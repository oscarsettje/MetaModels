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DA99EFC2-73C4-4277-9751-98C7D79F81C2}" xr6:coauthVersionLast="47" xr6:coauthVersionMax="47" xr10:uidLastSave="{00000000-0000-0000-0000-000000000000}"/>
  <bookViews>
    <workbookView xWindow="-120" yWindow="-120" windowWidth="38640" windowHeight="21060" xr2:uid="{99A4F583-0E14-4765-AB16-7E206A98D14D}"/>
  </bookViews>
  <sheets>
    <sheet name="Main" sheetId="1" r:id="rId1"/>
    <sheet name="AI" sheetId="10" r:id="rId2"/>
    <sheet name="Semiconductors" sheetId="4" r:id="rId3"/>
    <sheet name="Telecom" sheetId="9" r:id="rId4"/>
    <sheet name="Fintech" sheetId="3" r:id="rId5"/>
    <sheet name="E-Commerce" sheetId="7" r:id="rId6"/>
    <sheet name="Quantum" sheetId="8" r:id="rId7"/>
    <sheet name="Enterprise Cloud" sheetId="5" r:id="rId8"/>
    <sheet name="Social" sheetId="6" r:id="rId9"/>
    <sheet name="Education" sheetId="11" r:id="rId10"/>
    <sheet name="FX" sheetId="2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8" l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50" i="10"/>
  <c r="A51" i="10" s="1"/>
  <c r="A52" i="10" s="1"/>
  <c r="A53" i="10" s="1"/>
  <c r="A54" i="10" s="1"/>
  <c r="A55" i="10" s="1"/>
  <c r="A56" i="10" s="1"/>
  <c r="A57" i="10" s="1"/>
  <c r="A60" i="10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A102" i="10" s="1"/>
  <c r="A103" i="10" s="1"/>
  <c r="A104" i="10" s="1"/>
  <c r="A105" i="10" s="1"/>
  <c r="A106" i="10" s="1"/>
  <c r="A107" i="10" s="1"/>
  <c r="A108" i="10" s="1"/>
  <c r="A109" i="10" s="1"/>
  <c r="A110" i="10" s="1"/>
  <c r="A111" i="10" s="1"/>
  <c r="A112" i="10" s="1"/>
  <c r="A113" i="10" s="1"/>
  <c r="A114" i="10" s="1"/>
  <c r="A115" i="10" s="1"/>
  <c r="A116" i="10" s="1"/>
  <c r="A117" i="10" s="1"/>
  <c r="A118" i="10" s="1"/>
  <c r="A119" i="10" s="1"/>
  <c r="A120" i="10" s="1"/>
  <c r="A121" i="10" s="1"/>
  <c r="A122" i="10" s="1"/>
  <c r="A123" i="10" s="1"/>
  <c r="A124" i="10" s="1"/>
  <c r="A125" i="10" s="1"/>
  <c r="A126" i="10" s="1"/>
  <c r="A127" i="10" s="1"/>
  <c r="A128" i="10" s="1"/>
  <c r="A129" i="10" s="1"/>
  <c r="A130" i="10" s="1"/>
  <c r="A131" i="10" s="1"/>
  <c r="A132" i="10" s="1"/>
  <c r="A133" i="10" s="1"/>
  <c r="A134" i="10" s="1"/>
  <c r="A135" i="10" s="1"/>
  <c r="A136" i="10" s="1"/>
  <c r="A137" i="10" s="1"/>
  <c r="A138" i="10" s="1"/>
  <c r="A139" i="10" s="1"/>
  <c r="A140" i="10" s="1"/>
  <c r="A141" i="10" s="1"/>
  <c r="A142" i="10" s="1"/>
  <c r="A143" i="10" s="1"/>
  <c r="A144" i="10" s="1"/>
  <c r="A145" i="10" s="1"/>
  <c r="A146" i="10" s="1"/>
  <c r="A147" i="10" s="1"/>
  <c r="A148" i="10" s="1"/>
  <c r="A149" i="10" s="1"/>
  <c r="A150" i="10" s="1"/>
  <c r="A151" i="10" s="1"/>
  <c r="A152" i="10" s="1"/>
  <c r="A153" i="10" s="1"/>
  <c r="A154" i="10" s="1"/>
  <c r="A155" i="10" s="1"/>
  <c r="A156" i="10" s="1"/>
  <c r="A157" i="10" s="1"/>
  <c r="A158" i="10" s="1"/>
  <c r="A159" i="10" s="1"/>
  <c r="A160" i="10" s="1"/>
  <c r="A161" i="10" s="1"/>
  <c r="A162" i="10" s="1"/>
  <c r="A163" i="10" s="1"/>
  <c r="A164" i="10" s="1"/>
  <c r="A165" i="10" s="1"/>
  <c r="A166" i="10" s="1"/>
  <c r="A167" i="10" s="1"/>
  <c r="A168" i="10" s="1"/>
  <c r="A169" i="10" s="1"/>
  <c r="A170" i="10" s="1"/>
  <c r="A171" i="10" s="1"/>
  <c r="A172" i="10" s="1"/>
  <c r="A173" i="10" s="1"/>
  <c r="A174" i="10" s="1"/>
  <c r="A175" i="10" s="1"/>
  <c r="A176" i="10" s="1"/>
  <c r="A177" i="10" s="1"/>
  <c r="A178" i="10" s="1"/>
  <c r="A179" i="10" s="1"/>
  <c r="A180" i="10" s="1"/>
  <c r="A181" i="10" s="1"/>
  <c r="A182" i="10" s="1"/>
  <c r="A183" i="10" s="1"/>
  <c r="A184" i="10" s="1"/>
  <c r="A185" i="10" s="1"/>
  <c r="A186" i="10" s="1"/>
  <c r="A187" i="10" s="1"/>
  <c r="A188" i="10" s="1"/>
  <c r="A189" i="10" s="1"/>
  <c r="A190" i="10" s="1"/>
  <c r="A191" i="10" s="1"/>
  <c r="A192" i="10" s="1"/>
  <c r="A193" i="10" s="1"/>
  <c r="A194" i="10" s="1"/>
  <c r="A195" i="10" s="1"/>
  <c r="A196" i="10" s="1"/>
  <c r="A197" i="10" s="1"/>
  <c r="A198" i="10" s="1"/>
  <c r="A199" i="10" s="1"/>
  <c r="A200" i="10" s="1"/>
  <c r="A201" i="10" s="1"/>
  <c r="A202" i="10" s="1"/>
  <c r="A203" i="10" s="1"/>
  <c r="A204" i="10" s="1"/>
  <c r="A205" i="10" s="1"/>
  <c r="A206" i="10" s="1"/>
  <c r="A207" i="10" s="1"/>
  <c r="A208" i="10" s="1"/>
  <c r="A209" i="10" s="1"/>
  <c r="A210" i="10" s="1"/>
  <c r="A211" i="10" s="1"/>
  <c r="A212" i="10" s="1"/>
  <c r="A213" i="10" s="1"/>
  <c r="A214" i="10" s="1"/>
  <c r="A215" i="10" s="1"/>
  <c r="A216" i="10" s="1"/>
  <c r="A217" i="10" s="1"/>
  <c r="A218" i="10" s="1"/>
  <c r="A219" i="10" s="1"/>
  <c r="A220" i="10" s="1"/>
  <c r="A221" i="10" s="1"/>
  <c r="A222" i="10" s="1"/>
  <c r="A223" i="10" s="1"/>
  <c r="A224" i="10" s="1"/>
  <c r="A225" i="10" s="1"/>
  <c r="A226" i="10" s="1"/>
  <c r="A227" i="10" s="1"/>
  <c r="A228" i="10" s="1"/>
  <c r="A229" i="10" s="1"/>
  <c r="A230" i="10" s="1"/>
  <c r="A231" i="10" s="1"/>
  <c r="A232" i="10" s="1"/>
  <c r="A233" i="10" s="1"/>
  <c r="A234" i="10" s="1"/>
  <c r="A235" i="10" s="1"/>
  <c r="A236" i="10" s="1"/>
  <c r="A237" i="10" s="1"/>
  <c r="A238" i="10" s="1"/>
  <c r="A239" i="10" s="1"/>
  <c r="A240" i="10" s="1"/>
  <c r="A241" i="10" s="1"/>
  <c r="A242" i="10" s="1"/>
  <c r="A243" i="10" s="1"/>
  <c r="A244" i="10" s="1"/>
  <c r="A245" i="10" s="1"/>
  <c r="A246" i="10" s="1"/>
  <c r="A247" i="10" s="1"/>
  <c r="A248" i="10" s="1"/>
  <c r="A249" i="10" s="1"/>
  <c r="A250" i="10" s="1"/>
  <c r="A251" i="10" s="1"/>
  <c r="A252" i="10" s="1"/>
  <c r="A253" i="10" s="1"/>
  <c r="A254" i="10" s="1"/>
  <c r="A255" i="10" s="1"/>
  <c r="A256" i="10" s="1"/>
  <c r="A257" i="10" s="1"/>
  <c r="A258" i="10" s="1"/>
  <c r="A259" i="10" s="1"/>
  <c r="A260" i="10" s="1"/>
  <c r="A261" i="10" s="1"/>
  <c r="A262" i="10" s="1"/>
  <c r="A263" i="10" s="1"/>
  <c r="A264" i="10" s="1"/>
  <c r="A265" i="10" s="1"/>
  <c r="A266" i="10" s="1"/>
  <c r="A267" i="10" s="1"/>
  <c r="A268" i="10" s="1"/>
  <c r="A269" i="10" s="1"/>
  <c r="A270" i="10" s="1"/>
  <c r="A271" i="10" s="1"/>
  <c r="A272" i="10" s="1"/>
  <c r="A273" i="10" s="1"/>
  <c r="A274" i="10" s="1"/>
  <c r="A275" i="10" s="1"/>
  <c r="A276" i="10" s="1"/>
  <c r="A277" i="10" s="1"/>
  <c r="A278" i="10" s="1"/>
  <c r="A279" i="10" s="1"/>
  <c r="A280" i="10" s="1"/>
  <c r="A281" i="10" s="1"/>
  <c r="A282" i="10" s="1"/>
  <c r="A283" i="10" s="1"/>
  <c r="A284" i="10" s="1"/>
  <c r="A285" i="10" s="1"/>
  <c r="A286" i="10" s="1"/>
  <c r="A287" i="10" s="1"/>
  <c r="A288" i="10" s="1"/>
  <c r="A289" i="10" s="1"/>
  <c r="A290" i="10" s="1"/>
  <c r="A291" i="10" s="1"/>
  <c r="A292" i="10" s="1"/>
  <c r="A293" i="10" s="1"/>
  <c r="A294" i="10" s="1"/>
  <c r="A295" i="10" s="1"/>
  <c r="A296" i="10" s="1"/>
  <c r="A297" i="10" s="1"/>
  <c r="A298" i="10" s="1"/>
  <c r="A299" i="10" s="1"/>
  <c r="A300" i="10" s="1"/>
  <c r="A301" i="10" s="1"/>
  <c r="A302" i="10" s="1"/>
  <c r="A303" i="10" s="1"/>
  <c r="A304" i="10" s="1"/>
  <c r="A305" i="10" s="1"/>
  <c r="A306" i="10" s="1"/>
  <c r="A307" i="10" s="1"/>
  <c r="A308" i="10" s="1"/>
  <c r="A309" i="10" s="1"/>
  <c r="A310" i="10" s="1"/>
  <c r="A311" i="10" s="1"/>
  <c r="A312" i="10" s="1"/>
  <c r="A313" i="10" s="1"/>
  <c r="A314" i="10" s="1"/>
  <c r="A315" i="10" s="1"/>
  <c r="A316" i="10" s="1"/>
  <c r="A317" i="10" s="1"/>
  <c r="A318" i="10" s="1"/>
  <c r="A319" i="10" s="1"/>
  <c r="A320" i="10" s="1"/>
  <c r="A321" i="10" s="1"/>
  <c r="A322" i="10" s="1"/>
  <c r="A323" i="10" s="1"/>
  <c r="A324" i="10" s="1"/>
  <c r="A325" i="10" s="1"/>
  <c r="A326" i="10" s="1"/>
  <c r="A327" i="10" s="1"/>
  <c r="A328" i="10" s="1"/>
  <c r="A329" i="10" s="1"/>
  <c r="A330" i="10" s="1"/>
  <c r="A331" i="10" s="1"/>
  <c r="A332" i="10" s="1"/>
  <c r="A333" i="10" s="1"/>
  <c r="A334" i="10" s="1"/>
  <c r="A335" i="10" s="1"/>
  <c r="A336" i="10" s="1"/>
  <c r="A337" i="10" s="1"/>
  <c r="A338" i="10" s="1"/>
  <c r="A339" i="10" s="1"/>
  <c r="A340" i="10" s="1"/>
  <c r="A341" i="10" s="1"/>
  <c r="A342" i="10" s="1"/>
  <c r="A343" i="10" s="1"/>
  <c r="A344" i="10" s="1"/>
  <c r="A345" i="10" s="1"/>
  <c r="A346" i="10" s="1"/>
  <c r="A347" i="10" s="1"/>
  <c r="A348" i="10" s="1"/>
  <c r="A349" i="10" s="1"/>
  <c r="A350" i="10" s="1"/>
  <c r="A351" i="10" s="1"/>
  <c r="A352" i="10" s="1"/>
  <c r="A353" i="10" s="1"/>
  <c r="A354" i="10" s="1"/>
  <c r="A355" i="10" s="1"/>
  <c r="A356" i="10" s="1"/>
  <c r="A357" i="10" s="1"/>
  <c r="A358" i="10" s="1"/>
  <c r="A359" i="10" s="1"/>
  <c r="A360" i="10" s="1"/>
  <c r="A361" i="10" s="1"/>
  <c r="A362" i="10" s="1"/>
  <c r="A363" i="10" s="1"/>
  <c r="A364" i="10" s="1"/>
  <c r="A365" i="10" s="1"/>
  <c r="A366" i="10" s="1"/>
  <c r="A367" i="10" s="1"/>
  <c r="A368" i="10" s="1"/>
  <c r="A369" i="10" s="1"/>
  <c r="A370" i="10" s="1"/>
  <c r="A371" i="10" s="1"/>
  <c r="A372" i="10" s="1"/>
  <c r="A373" i="10" s="1"/>
  <c r="A374" i="10" s="1"/>
  <c r="A375" i="10" s="1"/>
  <c r="A376" i="10" s="1"/>
  <c r="A377" i="10" s="1"/>
  <c r="A378" i="10" s="1"/>
  <c r="A379" i="10" s="1"/>
  <c r="A380" i="10" s="1"/>
  <c r="A381" i="10" s="1"/>
  <c r="A382" i="10" s="1"/>
  <c r="A383" i="10" s="1"/>
  <c r="A384" i="10" s="1"/>
  <c r="A385" i="10" s="1"/>
  <c r="A386" i="10" s="1"/>
  <c r="A387" i="10" s="1"/>
  <c r="A388" i="10" s="1"/>
  <c r="A389" i="10" s="1"/>
  <c r="A390" i="10" s="1"/>
  <c r="A391" i="10" s="1"/>
  <c r="A392" i="10" s="1"/>
  <c r="A393" i="10" s="1"/>
  <c r="A394" i="10" s="1"/>
  <c r="A395" i="10" s="1"/>
  <c r="A396" i="10" s="1"/>
  <c r="A397" i="10" s="1"/>
  <c r="A398" i="10" s="1"/>
  <c r="A399" i="10" s="1"/>
  <c r="A400" i="10" s="1"/>
  <c r="A401" i="10" s="1"/>
  <c r="A402" i="10" s="1"/>
  <c r="A403" i="10" s="1"/>
  <c r="A404" i="10" s="1"/>
  <c r="A405" i="10" s="1"/>
  <c r="A406" i="10" s="1"/>
  <c r="A407" i="10" s="1"/>
  <c r="A408" i="10" s="1"/>
  <c r="A409" i="10" s="1"/>
  <c r="A410" i="10" s="1"/>
  <c r="A411" i="10" s="1"/>
  <c r="A412" i="10" s="1"/>
  <c r="A413" i="10" s="1"/>
  <c r="A414" i="10" s="1"/>
  <c r="A415" i="10" s="1"/>
  <c r="A416" i="10" s="1"/>
  <c r="A417" i="10" s="1"/>
  <c r="A418" i="10" s="1"/>
  <c r="A419" i="10" s="1"/>
  <c r="A420" i="10" s="1"/>
  <c r="A421" i="10" s="1"/>
  <c r="A422" i="10" s="1"/>
  <c r="A423" i="10" s="1"/>
  <c r="A424" i="10" s="1"/>
  <c r="A425" i="10" s="1"/>
  <c r="G41" i="4"/>
  <c r="F41" i="4"/>
  <c r="E41" i="4"/>
  <c r="A5" i="10"/>
  <c r="A6" i="10" s="1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41" i="4"/>
  <c r="A23" i="6"/>
  <c r="G1102" i="1"/>
  <c r="F1102" i="1"/>
  <c r="E1102" i="1"/>
  <c r="G293" i="1"/>
  <c r="F293" i="1"/>
  <c r="E293" i="1"/>
  <c r="G1099" i="1"/>
  <c r="F1099" i="1"/>
  <c r="E1099" i="1"/>
  <c r="G1101" i="1"/>
  <c r="F1101" i="1"/>
  <c r="E1101" i="1"/>
  <c r="H41" i="4" l="1"/>
  <c r="H1101" i="1"/>
  <c r="H1102" i="1"/>
  <c r="H1099" i="1"/>
  <c r="H293" i="1"/>
  <c r="G14" i="6"/>
  <c r="F14" i="6"/>
  <c r="E14" i="6"/>
  <c r="H14" i="6" l="1"/>
  <c r="G18" i="6"/>
  <c r="E18" i="6"/>
  <c r="F18" i="6"/>
  <c r="H18" i="6" l="1"/>
  <c r="G209" i="1" l="1"/>
  <c r="F209" i="1"/>
  <c r="E209" i="1"/>
  <c r="H209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61" i="1" l="1"/>
  <c r="A5" i="1" l="1"/>
  <c r="A6" i="1" l="1"/>
  <c r="A7" i="1" s="1"/>
  <c r="A8" i="1" s="1"/>
  <c r="G76" i="1"/>
  <c r="F76" i="1"/>
  <c r="E76" i="1"/>
  <c r="G122" i="1"/>
  <c r="F122" i="1"/>
  <c r="E122" i="1"/>
  <c r="H76" i="1" l="1"/>
  <c r="H122" i="1"/>
  <c r="G134" i="1"/>
  <c r="F134" i="1"/>
  <c r="E134" i="1"/>
  <c r="G93" i="1"/>
  <c r="F93" i="1"/>
  <c r="E93" i="1"/>
  <c r="G78" i="1"/>
  <c r="F78" i="1"/>
  <c r="E78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2" i="1"/>
  <c r="F52" i="1"/>
  <c r="E52" i="1"/>
  <c r="H23" i="3" l="1"/>
  <c r="H93" i="1"/>
  <c r="H134" i="1"/>
  <c r="H6" i="3"/>
  <c r="H9" i="3"/>
  <c r="H78" i="1"/>
  <c r="H16" i="3"/>
  <c r="H52" i="1"/>
  <c r="H7" i="3"/>
  <c r="H10" i="3"/>
  <c r="H14" i="3"/>
  <c r="H11" i="3"/>
  <c r="H54" i="3"/>
  <c r="A5" i="8"/>
  <c r="A6" i="8" s="1"/>
  <c r="A7" i="8" s="1"/>
  <c r="G87" i="1"/>
  <c r="F87" i="1"/>
  <c r="E87" i="1"/>
  <c r="G12" i="3"/>
  <c r="F12" i="3"/>
  <c r="E12" i="3"/>
  <c r="H87" i="1" l="1"/>
  <c r="H12" i="3"/>
  <c r="G20" i="3"/>
  <c r="F20" i="3"/>
  <c r="E20" i="3"/>
  <c r="G68" i="1"/>
  <c r="F68" i="1"/>
  <c r="E68" i="1"/>
  <c r="G52" i="3"/>
  <c r="F52" i="3"/>
  <c r="E52" i="3"/>
  <c r="G50" i="3"/>
  <c r="F50" i="3"/>
  <c r="E50" i="3"/>
  <c r="G62" i="1"/>
  <c r="F62" i="1"/>
  <c r="E62" i="1"/>
  <c r="G15" i="3"/>
  <c r="F15" i="3"/>
  <c r="G37" i="1"/>
  <c r="F37" i="1"/>
  <c r="E37" i="1"/>
  <c r="G35" i="1"/>
  <c r="F35" i="1"/>
  <c r="E35" i="1"/>
  <c r="E15" i="3"/>
  <c r="H37" i="1" l="1"/>
  <c r="H68" i="1"/>
  <c r="H35" i="1"/>
  <c r="H20" i="3"/>
  <c r="H15" i="3"/>
  <c r="H62" i="1"/>
  <c r="H50" i="3"/>
  <c r="H52" i="3"/>
  <c r="G60" i="1"/>
  <c r="F60" i="1"/>
  <c r="E60" i="1"/>
  <c r="H60" i="1" l="1"/>
  <c r="G249" i="1" l="1"/>
  <c r="F249" i="1"/>
  <c r="E249" i="1"/>
  <c r="H249" i="1" l="1"/>
  <c r="G56" i="1" l="1"/>
  <c r="F56" i="1"/>
  <c r="E56" i="1"/>
  <c r="G44" i="1"/>
  <c r="F44" i="1"/>
  <c r="E44" i="1"/>
  <c r="G46" i="1"/>
  <c r="F46" i="1"/>
  <c r="E46" i="1"/>
  <c r="G5" i="3"/>
  <c r="F5" i="3"/>
  <c r="E5" i="3"/>
  <c r="G323" i="1"/>
  <c r="F323" i="1"/>
  <c r="E323" i="1"/>
  <c r="G322" i="1"/>
  <c r="F322" i="1"/>
  <c r="E322" i="1"/>
  <c r="H56" i="1" l="1"/>
  <c r="H44" i="1"/>
  <c r="H46" i="1"/>
  <c r="H5" i="3"/>
  <c r="H322" i="1"/>
  <c r="H323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6" i="1"/>
  <c r="F16" i="1"/>
  <c r="E16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5" i="3" l="1"/>
  <c r="G7" i="1"/>
  <c r="F7" i="1"/>
  <c r="E7" i="1"/>
  <c r="G8" i="1"/>
  <c r="F8" i="1"/>
  <c r="E8" i="1"/>
  <c r="G4" i="1" l="1"/>
  <c r="F4" i="1"/>
  <c r="E4" i="1"/>
  <c r="G104" i="1" l="1"/>
  <c r="F104" i="1"/>
  <c r="E104" i="1"/>
  <c r="G84" i="1"/>
  <c r="F84" i="1"/>
  <c r="E84" i="1"/>
  <c r="G11" i="1"/>
  <c r="F11" i="1"/>
  <c r="E11" i="1"/>
  <c r="H104" i="1" l="1"/>
  <c r="H84" i="1"/>
  <c r="G82" i="1"/>
  <c r="F82" i="1"/>
  <c r="E82" i="1"/>
  <c r="H82" i="1" l="1"/>
  <c r="G49" i="1"/>
  <c r="F49" i="1"/>
  <c r="E49" i="1"/>
  <c r="G45" i="1"/>
  <c r="F45" i="1"/>
  <c r="E45" i="1"/>
  <c r="G205" i="1"/>
  <c r="F205" i="1"/>
  <c r="E205" i="1"/>
  <c r="G75" i="1"/>
  <c r="F75" i="1"/>
  <c r="E75" i="1"/>
  <c r="G131" i="1"/>
  <c r="F131" i="1"/>
  <c r="E131" i="1"/>
  <c r="G20" i="1"/>
  <c r="E20" i="1"/>
  <c r="F20" i="1"/>
  <c r="G42" i="1"/>
  <c r="F42" i="1"/>
  <c r="E42" i="1"/>
  <c r="H131" i="1" l="1"/>
  <c r="H49" i="1"/>
  <c r="H205" i="1"/>
  <c r="H45" i="1"/>
  <c r="H75" i="1"/>
  <c r="H20" i="1"/>
  <c r="H42" i="1"/>
  <c r="G17" i="1"/>
  <c r="F17" i="1"/>
  <c r="E17" i="1"/>
  <c r="G148" i="1"/>
  <c r="F148" i="1"/>
  <c r="E148" i="1"/>
  <c r="G66" i="1"/>
  <c r="E66" i="1"/>
  <c r="F66" i="1"/>
  <c r="G47" i="1"/>
  <c r="F47" i="1"/>
  <c r="E47" i="1"/>
  <c r="G40" i="1"/>
  <c r="F40" i="1"/>
  <c r="E40" i="1"/>
  <c r="G92" i="1"/>
  <c r="F92" i="1"/>
  <c r="E92" i="1"/>
  <c r="G29" i="1"/>
  <c r="F29" i="1"/>
  <c r="E29" i="1"/>
  <c r="G155" i="1"/>
  <c r="F155" i="1"/>
  <c r="E155" i="1"/>
  <c r="H40" i="1" l="1"/>
  <c r="H47" i="1"/>
  <c r="H92" i="1"/>
  <c r="H17" i="1"/>
  <c r="H148" i="1"/>
  <c r="H66" i="1"/>
  <c r="H29" i="1"/>
  <c r="H155" i="1"/>
  <c r="G156" i="1"/>
  <c r="F156" i="1"/>
  <c r="E156" i="1"/>
  <c r="G89" i="1"/>
  <c r="F89" i="1"/>
  <c r="E89" i="1"/>
  <c r="H156" i="1" l="1"/>
  <c r="H89" i="1"/>
  <c r="G51" i="1"/>
  <c r="F51" i="1"/>
  <c r="E51" i="1"/>
  <c r="G61" i="1"/>
  <c r="F61" i="1"/>
  <c r="H61" i="1" l="1"/>
  <c r="H51" i="1"/>
  <c r="G41" i="1"/>
  <c r="F41" i="1"/>
  <c r="E41" i="1"/>
  <c r="G33" i="1"/>
  <c r="F33" i="1"/>
  <c r="E33" i="1"/>
  <c r="H33" i="1" l="1"/>
  <c r="H41" i="1"/>
  <c r="F26" i="1"/>
  <c r="G27" i="1"/>
  <c r="G26" i="1"/>
  <c r="E26" i="1"/>
  <c r="G18" i="1"/>
  <c r="F18" i="1"/>
  <c r="E18" i="1"/>
  <c r="H26" i="1" l="1"/>
  <c r="G32" i="1"/>
  <c r="F32" i="1"/>
  <c r="E32" i="1"/>
  <c r="G39" i="1"/>
  <c r="F39" i="1"/>
  <c r="E39" i="1"/>
  <c r="G59" i="1"/>
  <c r="F59" i="1"/>
  <c r="E59" i="1"/>
  <c r="G58" i="1"/>
  <c r="F58" i="1"/>
  <c r="E58" i="1"/>
  <c r="G28" i="1"/>
  <c r="F28" i="1"/>
  <c r="E28" i="1"/>
  <c r="F27" i="1"/>
  <c r="H27" i="1" s="1"/>
  <c r="E27" i="1"/>
  <c r="G50" i="1"/>
  <c r="F50" i="1"/>
  <c r="E50" i="1"/>
  <c r="G25" i="1"/>
  <c r="F25" i="1"/>
  <c r="E25" i="1"/>
  <c r="G23" i="1"/>
  <c r="F23" i="1"/>
  <c r="E23" i="1"/>
  <c r="G24" i="1"/>
  <c r="F24" i="1"/>
  <c r="E24" i="1"/>
  <c r="G21" i="1"/>
  <c r="F21" i="1"/>
  <c r="E21" i="1"/>
  <c r="G15" i="1"/>
  <c r="F15" i="1"/>
  <c r="E15" i="1"/>
  <c r="E5" i="1"/>
  <c r="F5" i="1"/>
  <c r="G5" i="1"/>
  <c r="H23" i="1" l="1"/>
  <c r="H58" i="1"/>
  <c r="H32" i="1"/>
  <c r="H59" i="1"/>
  <c r="H50" i="1"/>
  <c r="H39" i="1"/>
  <c r="H28" i="1"/>
  <c r="H25" i="1"/>
  <c r="H24" i="1"/>
  <c r="H21" i="1"/>
  <c r="H5" i="1"/>
  <c r="H15" i="1"/>
  <c r="F14" i="1"/>
  <c r="G14" i="1" l="1"/>
  <c r="H14" i="1" s="1"/>
  <c r="E14" i="1"/>
  <c r="G123" i="1" l="1"/>
  <c r="F123" i="1"/>
  <c r="E123" i="1"/>
  <c r="H123" i="1" l="1"/>
  <c r="G108" i="1"/>
  <c r="F108" i="1"/>
  <c r="E108" i="1"/>
  <c r="G98" i="1" l="1"/>
  <c r="F98" i="1"/>
  <c r="E98" i="1"/>
  <c r="H98" i="1" l="1"/>
  <c r="G73" i="1"/>
  <c r="F73" i="1"/>
  <c r="E73" i="1"/>
  <c r="G57" i="1"/>
  <c r="F57" i="1"/>
  <c r="E57" i="1"/>
  <c r="G19" i="1"/>
  <c r="F19" i="1"/>
  <c r="E19" i="1"/>
  <c r="G48" i="1" l="1"/>
  <c r="F48" i="1"/>
  <c r="E48" i="1"/>
  <c r="G34" i="1" l="1"/>
  <c r="F34" i="1"/>
  <c r="E34" i="1"/>
  <c r="G31" i="1" l="1"/>
  <c r="F31" i="1"/>
  <c r="E31" i="1"/>
  <c r="G30" i="1"/>
  <c r="F30" i="1"/>
  <c r="E30" i="1"/>
  <c r="G22" i="1"/>
  <c r="F22" i="1"/>
  <c r="E22" i="1"/>
  <c r="G13" i="1"/>
  <c r="F13" i="1"/>
  <c r="E13" i="1"/>
  <c r="H22" i="1" l="1"/>
  <c r="G9" i="1" l="1"/>
  <c r="F9" i="1"/>
  <c r="E9" i="1"/>
  <c r="G12" i="1" l="1"/>
  <c r="F12" i="1"/>
  <c r="E12" i="1"/>
  <c r="F6" i="1"/>
  <c r="G6" i="1" l="1"/>
  <c r="E6" i="1"/>
  <c r="H57" i="1" l="1"/>
  <c r="H34" i="1" l="1"/>
  <c r="H108" i="1"/>
  <c r="H13" i="1"/>
  <c r="H16" i="1"/>
  <c r="H31" i="1" l="1"/>
  <c r="H30" i="1"/>
  <c r="H11" i="1"/>
  <c r="H73" i="1"/>
  <c r="H48" i="1"/>
  <c r="H19" i="1"/>
  <c r="H7" i="1"/>
  <c r="H4" i="1"/>
  <c r="H12" i="1"/>
  <c r="H8" i="1"/>
  <c r="H18" i="1"/>
  <c r="H9" i="1" l="1"/>
  <c r="H6" i="1" l="1"/>
  <c r="A9" i="1" l="1"/>
</calcChain>
</file>

<file path=xl/sharedStrings.xml><?xml version="1.0" encoding="utf-8"?>
<sst xmlns="http://schemas.openxmlformats.org/spreadsheetml/2006/main" count="5929" uniqueCount="3558">
  <si>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</si>
  <si>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</si>
  <si>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</si>
  <si>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</si>
  <si>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</si>
  <si>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</si>
  <si>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</si>
  <si>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</si>
  <si>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</si>
  <si>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</si>
  <si>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</si>
  <si>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</si>
  <si>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</si>
  <si>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</si>
  <si>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</si>
  <si>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</si>
  <si>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</si>
  <si>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</si>
  <si>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</si>
  <si>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</si>
  <si>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</si>
  <si>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</si>
  <si>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</si>
  <si>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</si>
  <si>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</si>
  <si>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</si>
  <si>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</si>
  <si>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</si>
  <si>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</si>
  <si>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</si>
  <si>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</si>
  <si>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</si>
  <si>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</si>
  <si>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</si>
  <si>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</si>
  <si>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</si>
  <si>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</si>
  <si>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</si>
  <si>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</si>
  <si>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</si>
  <si>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</si>
  <si>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</si>
  <si>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</si>
  <si>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</si>
  <si>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</si>
  <si>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</si>
  <si>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</si>
  <si>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</si>
  <si>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</si>
  <si>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</si>
  <si>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</si>
  <si>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</si>
  <si>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</si>
  <si>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</si>
  <si>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</si>
  <si>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</si>
  <si>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</si>
  <si>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</si>
  <si>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</si>
  <si>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</si>
  <si>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</si>
  <si>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</si>
  <si>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</si>
  <si>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</si>
  <si>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</si>
  <si>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</si>
  <si>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</si>
  <si>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</si>
  <si>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</si>
  <si>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</si>
  <si>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</si>
  <si>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</si>
  <si>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</si>
  <si>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</si>
  <si>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</si>
  <si>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</si>
  <si>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</si>
  <si>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</si>
  <si>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</si>
  <si>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</si>
  <si>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</si>
  <si>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</si>
  <si>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</si>
  <si>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</si>
  <si>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</si>
  <si>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</si>
  <si>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</si>
  <si>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</si>
  <si>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</si>
  <si>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</si>
  <si>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</si>
  <si>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</si>
  <si>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</si>
  <si>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</si>
  <si>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</si>
  <si>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</si>
  <si>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</si>
  <si>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</si>
  <si>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</si>
  <si>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</si>
  <si>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</si>
  <si>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</si>
  <si>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</si>
  <si>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</si>
  <si>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</si>
  <si>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</si>
  <si>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</si>
  <si>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</si>
  <si>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</si>
  <si>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</si>
  <si>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</si>
  <si>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</si>
  <si>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</si>
  <si>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</si>
  <si>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</si>
  <si>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</si>
  <si>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</si>
  <si>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</si>
  <si>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</si>
  <si>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</si>
  <si>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</si>
  <si>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</si>
  <si>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</si>
  <si>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</si>
  <si>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</si>
  <si>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</si>
  <si>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</si>
  <si>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</si>
  <si>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</si>
  <si>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</si>
  <si>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</si>
  <si>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</si>
  <si>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</si>
  <si>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</si>
  <si>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</si>
  <si>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</si>
  <si>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</si>
  <si>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</si>
  <si>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</si>
  <si>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</si>
  <si>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</si>
  <si>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</si>
  <si>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</si>
  <si>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</si>
  <si>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</si>
  <si>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</si>
  <si>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</si>
  <si>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</si>
  <si>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</si>
  <si>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</si>
  <si>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</si>
  <si>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</si>
  <si>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</si>
  <si>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</si>
  <si>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</si>
  <si>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</si>
  <si>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</si>
  <si>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</si>
  <si>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</si>
  <si>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</si>
  <si>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</si>
  <si>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</si>
  <si>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</si>
  <si>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</si>
  <si>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</si>
  <si>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</si>
  <si>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</si>
  <si>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</si>
  <si>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</si>
  <si>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</si>
  <si>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</si>
  <si>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</si>
  <si>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</si>
  <si>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</si>
  <si>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</si>
  <si>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</si>
  <si>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</si>
  <si>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</si>
  <si>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</si>
  <si>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</si>
  <si>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</si>
  <si>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</si>
  <si>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</si>
  <si>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</si>
  <si>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</si>
  <si>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</si>
  <si>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</si>
  <si>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</si>
  <si>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</si>
  <si>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</si>
  <si>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</si>
  <si>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</si>
  <si>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</si>
  <si>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</si>
  <si>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</si>
  <si>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</si>
  <si>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</si>
  <si>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</si>
  <si>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</si>
  <si>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</si>
  <si>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</si>
  <si>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</si>
  <si>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</si>
  <si>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</si>
  <si>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</si>
  <si>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</si>
  <si>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</si>
  <si>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</si>
  <si>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</si>
  <si>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</si>
  <si>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</si>
  <si>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</si>
  <si>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</si>
  <si>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</si>
  <si>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</si>
  <si>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</si>
  <si>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</si>
  <si>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</si>
  <si>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</si>
  <si>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</si>
  <si>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</si>
  <si>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</si>
  <si>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</si>
  <si>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</si>
  <si>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</si>
  <si>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</si>
  <si>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</si>
  <si>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</si>
  <si>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</si>
  <si>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</si>
  <si>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</si>
  <si>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</si>
  <si>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</si>
  <si>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</si>
  <si>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</si>
  <si>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</si>
  <si>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</si>
  <si>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</si>
  <si>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</si>
  <si>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</si>
  <si>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</si>
  <si>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</si>
  <si>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</si>
  <si>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</si>
  <si>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</si>
  <si>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</si>
  <si>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</si>
  <si>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</si>
  <si>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</si>
  <si>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</si>
  <si>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</si>
  <si>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</si>
  <si>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</si>
  <si>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</si>
  <si>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</si>
  <si>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</si>
  <si>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</si>
  <si>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</si>
  <si>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</si>
  <si>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</si>
  <si>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</si>
  <si>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</si>
  <si>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</si>
  <si>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</si>
  <si>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</si>
  <si>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</si>
  <si>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</si>
  <si>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</si>
  <si>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</si>
  <si>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</si>
  <si>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</si>
  <si>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</si>
  <si>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</si>
  <si>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</si>
  <si>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</si>
  <si>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</si>
  <si>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</si>
  <si>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</si>
  <si>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</si>
  <si>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</si>
  <si>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</si>
  <si>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</si>
  <si>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</si>
  <si>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</si>
  <si>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</si>
  <si>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</si>
  <si>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</si>
  <si>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</si>
  <si>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</si>
  <si>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</si>
  <si>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</si>
  <si>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</si>
  <si>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</si>
  <si>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</si>
  <si>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</si>
  <si>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</si>
  <si>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</si>
  <si>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</si>
  <si>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</si>
  <si>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</si>
  <si>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</si>
  <si>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</si>
  <si>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</si>
  <si>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</si>
  <si>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</si>
  <si>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</si>
  <si>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</si>
  <si>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</si>
  <si>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</si>
  <si>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</si>
  <si>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</si>
  <si>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</si>
  <si>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</si>
  <si>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</si>
  <si>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</si>
  <si>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</si>
  <si>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</si>
  <si>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</si>
  <si>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</si>
  <si>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</si>
  <si>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</si>
  <si>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</si>
  <si>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</si>
  <si>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</si>
  <si>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</si>
  <si>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</si>
  <si>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</si>
  <si>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</si>
  <si>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</si>
  <si>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</si>
  <si>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</si>
  <si>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</si>
  <si>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</si>
  <si>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</si>
  <si>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</si>
  <si>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</si>
  <si>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</si>
  <si>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</si>
  <si>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</si>
  <si>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</si>
  <si>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</si>
  <si>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</si>
  <si>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</si>
  <si>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</si>
  <si>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</si>
  <si>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</si>
  <si>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</si>
  <si>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</si>
  <si>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</si>
  <si>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</si>
  <si>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</si>
  <si>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</si>
  <si>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</si>
  <si>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</si>
  <si>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</si>
  <si>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</si>
  <si>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</si>
  <si>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</si>
  <si>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</si>
  <si>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</si>
  <si>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</si>
  <si>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</si>
  <si>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</si>
  <si>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</si>
  <si>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</si>
  <si>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</si>
  <si>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</si>
  <si>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</si>
  <si>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</si>
  <si>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</si>
  <si>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</si>
  <si>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</si>
  <si>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</si>
  <si>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</si>
  <si>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</si>
  <si>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</si>
  <si>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</si>
  <si>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</si>
  <si>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</si>
  <si>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</si>
  <si>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</si>
  <si>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</si>
  <si>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</si>
  <si>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</si>
  <si>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</si>
  <si>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</si>
  <si>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</si>
  <si>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</si>
  <si>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</si>
  <si>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</si>
  <si>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</si>
  <si>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</si>
  <si>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</si>
  <si>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</si>
  <si>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</si>
  <si>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</si>
  <si>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</si>
  <si>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</si>
  <si>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</si>
  <si>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</si>
  <si>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</si>
  <si>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</si>
  <si>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</si>
  <si>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</si>
  <si>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</si>
  <si>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</si>
  <si>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</si>
  <si>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</si>
  <si>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</si>
  <si>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</si>
  <si>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</si>
  <si>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</si>
  <si>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</si>
  <si>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</si>
  <si>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</si>
  <si>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</si>
  <si>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</si>
  <si>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</si>
  <si>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</si>
  <si>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</si>
  <si>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</si>
  <si>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</si>
  <si>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</si>
  <si>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</si>
  <si>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</si>
  <si>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</si>
  <si>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</si>
  <si>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</si>
  <si>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</si>
  <si>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</si>
  <si>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</si>
  <si>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</si>
  <si>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</si>
  <si>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</si>
  <si>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</si>
  <si>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</si>
  <si>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</si>
  <si>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</si>
  <si>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</si>
  <si>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</si>
  <si>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</si>
  <si>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</si>
  <si>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</si>
  <si>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</si>
  <si>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</si>
  <si>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</si>
  <si>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</si>
  <si>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</si>
  <si>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</si>
  <si>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</si>
  <si>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</si>
  <si>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</si>
  <si>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</si>
  <si>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</si>
  <si>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</si>
  <si>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</si>
  <si>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</si>
  <si>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</si>
  <si>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</si>
  <si>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</si>
  <si>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</si>
  <si>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</si>
  <si>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</si>
  <si>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</si>
  <si>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</si>
  <si>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</si>
  <si>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</si>
  <si>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</si>
  <si>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</si>
  <si>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</si>
  <si>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</si>
  <si>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</si>
  <si>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</si>
  <si>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</si>
  <si>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</si>
  <si>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</si>
  <si>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</si>
  <si>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</si>
  <si>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</si>
  <si>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</si>
  <si>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</si>
  <si>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</si>
  <si>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</si>
  <si>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</si>
  <si>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</si>
  <si>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</si>
  <si>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</si>
  <si>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</si>
  <si>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</si>
  <si>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</si>
  <si>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</si>
  <si>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</si>
  <si>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</si>
  <si>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</si>
  <si>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</si>
  <si>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</si>
  <si>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</si>
  <si>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</si>
  <si>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</si>
  <si>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</si>
  <si>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</si>
  <si>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</si>
  <si>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</si>
  <si>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</si>
  <si>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</si>
  <si>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</si>
  <si>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</si>
  <si>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</si>
  <si>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</si>
  <si>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</si>
  <si>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</si>
  <si>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</si>
  <si>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</si>
  <si>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</si>
  <si>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</si>
  <si>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</si>
  <si>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</si>
  <si>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</si>
  <si>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</si>
  <si>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</si>
  <si>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</si>
  <si>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</si>
  <si>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</si>
  <si>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</si>
  <si>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</si>
  <si>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</si>
  <si>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</si>
  <si>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</si>
  <si>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</si>
  <si>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</si>
  <si>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</si>
  <si>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</si>
  <si>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</si>
  <si>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</si>
  <si>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</si>
  <si>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</si>
  <si>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</si>
  <si>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</si>
  <si>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</si>
  <si>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</si>
  <si>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</si>
  <si>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</si>
  <si>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</si>
  <si>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</si>
  <si>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</si>
  <si>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</si>
  <si>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</si>
  <si>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</si>
  <si>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</si>
  <si>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</si>
  <si>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</si>
  <si>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</si>
  <si>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</si>
  <si>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</si>
  <si>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</si>
  <si>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</si>
  <si>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</si>
  <si>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</si>
  <si>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</si>
  <si>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</si>
  <si>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</si>
  <si>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</si>
  <si>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</si>
  <si>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</si>
  <si>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</si>
  <si>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</si>
  <si>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</si>
  <si>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</si>
  <si>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</si>
  <si>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</si>
  <si>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</si>
  <si>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</si>
  <si>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</si>
  <si>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</si>
  <si>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</si>
  <si>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</si>
  <si>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</si>
  <si>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</si>
  <si>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</si>
  <si>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</si>
  <si>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</si>
  <si>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</si>
  <si>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</si>
  <si>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</si>
  <si>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</si>
  <si>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</si>
  <si>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</si>
  <si>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</si>
  <si>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</si>
  <si>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</si>
  <si>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</si>
  <si>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</si>
  <si>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</si>
  <si>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</si>
  <si>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</si>
  <si>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</si>
  <si>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</si>
  <si>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</si>
  <si>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</si>
  <si>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</si>
  <si>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</si>
  <si>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</si>
  <si>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</si>
  <si>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</si>
  <si>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</si>
  <si>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</si>
  <si>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</si>
  <si>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</si>
  <si>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</si>
  <si>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</si>
  <si>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</si>
  <si>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</si>
  <si>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</si>
  <si>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</si>
  <si>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</si>
  <si>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</si>
  <si>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</si>
  <si>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</si>
  <si>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</si>
  <si>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</si>
  <si>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</si>
  <si>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</si>
  <si>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</si>
  <si>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</si>
  <si>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</si>
  <si>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</si>
  <si>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</si>
  <si>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</si>
  <si>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</si>
  <si>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</si>
  <si>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</si>
  <si>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</si>
  <si>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</si>
  <si>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</si>
  <si>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</si>
  <si>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</si>
  <si>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</si>
  <si>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</si>
  <si>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</si>
  <si>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</si>
  <si>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</si>
  <si>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</si>
  <si>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</si>
  <si>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</si>
  <si>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</si>
  <si>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</si>
  <si>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</si>
  <si>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</si>
  <si>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</si>
  <si>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</si>
  <si>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</si>
  <si>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</si>
  <si>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</si>
  <si>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</si>
  <si>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</si>
  <si>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</si>
  <si>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</si>
  <si>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</si>
  <si>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</si>
  <si>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</si>
  <si>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</si>
  <si>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</si>
  <si>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</si>
  <si>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</si>
  <si>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</si>
  <si>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</si>
  <si>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</si>
  <si>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</si>
  <si>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</si>
  <si>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</si>
  <si>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</si>
  <si>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</si>
  <si>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</si>
  <si>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</si>
  <si>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</si>
  <si>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</si>
  <si>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</si>
  <si>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</si>
  <si>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</si>
  <si>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</si>
  <si>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</si>
  <si>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</si>
  <si>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</si>
  <si>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</si>
  <si>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</si>
  <si>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</si>
  <si>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</si>
  <si>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</si>
  <si>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</si>
  <si>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</si>
  <si>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</si>
  <si>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</si>
  <si>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</si>
  <si>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</si>
  <si>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</si>
  <si>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</si>
  <si>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</si>
  <si>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</si>
  <si>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</si>
  <si>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</si>
  <si>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</si>
  <si>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</si>
  <si>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</si>
  <si>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</si>
  <si>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</si>
  <si>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</si>
  <si>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</si>
  <si>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</si>
  <si>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</si>
  <si>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</si>
  <si>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</si>
  <si>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</si>
  <si>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</si>
  <si>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</si>
  <si>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</si>
  <si>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</si>
  <si>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</si>
  <si>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</si>
  <si>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</si>
  <si>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</si>
  <si>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</si>
  <si>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</si>
  <si>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</si>
  <si>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</si>
  <si>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</si>
  <si>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</si>
  <si>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</si>
  <si>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</si>
  <si>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</si>
  <si>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</si>
  <si>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</si>
  <si>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</si>
  <si>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</si>
  <si>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</si>
  <si>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</si>
  <si>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</si>
  <si>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</si>
  <si>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</si>
  <si>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</si>
  <si>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</si>
  <si>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</si>
  <si>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</si>
  <si>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</si>
  <si>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</si>
  <si>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</si>
  <si>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</si>
  <si>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</si>
  <si>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</si>
  <si>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</si>
  <si>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</si>
  <si>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</si>
  <si>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</si>
  <si>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</si>
  <si>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</si>
  <si>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</si>
  <si>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</si>
  <si>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</si>
  <si>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</si>
  <si>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</si>
  <si>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</si>
  <si>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</si>
  <si>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</si>
  <si>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</si>
  <si>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</si>
  <si>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</si>
  <si>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</si>
  <si>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</si>
  <si>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</si>
  <si>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</si>
  <si>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</si>
  <si>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</si>
  <si>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</si>
  <si>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</si>
  <si>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</si>
  <si>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</si>
  <si>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</si>
  <si>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</si>
  <si>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</si>
  <si>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</si>
  <si>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</si>
  <si>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</si>
  <si>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</si>
  <si>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</si>
  <si>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</si>
  <si>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</si>
  <si>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</si>
  <si>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</si>
  <si>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</si>
  <si>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</si>
  <si>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</si>
  <si>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</si>
  <si>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</si>
  <si>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</si>
  <si>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</si>
  <si>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</si>
  <si>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</si>
  <si>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</si>
  <si>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</si>
  <si>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</si>
  <si>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</si>
  <si>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</si>
  <si>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</si>
  <si>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</si>
  <si>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</si>
  <si>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</si>
  <si>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</si>
  <si>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</si>
  <si>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</si>
  <si>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</si>
  <si>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</si>
  <si>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</si>
  <si>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</si>
  <si>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</si>
  <si>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</si>
  <si>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</si>
  <si>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</si>
  <si>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</si>
  <si>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</si>
  <si>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</si>
  <si>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</si>
  <si>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</si>
  <si>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</si>
  <si>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</si>
  <si>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</si>
  <si>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</si>
  <si>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</si>
  <si>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</si>
  <si>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</si>
  <si>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</si>
  <si>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</si>
  <si>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</si>
  <si>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</si>
  <si>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</si>
  <si>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</si>
  <si>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</si>
  <si>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</si>
  <si>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</si>
  <si>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</si>
  <si>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</si>
  <si>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</si>
  <si>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</si>
  <si>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</si>
  <si>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</si>
  <si>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</si>
  <si>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</si>
  <si>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</si>
  <si>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</si>
  <si>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</si>
  <si>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</si>
  <si>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</si>
  <si>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</si>
  <si>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</si>
  <si>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</si>
  <si>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</si>
  <si>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</si>
  <si>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</si>
  <si>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</si>
  <si>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</si>
  <si>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</si>
  <si>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</si>
  <si>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</si>
  <si>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</si>
  <si>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</si>
  <si>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</si>
  <si>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</si>
  <si>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</si>
  <si>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</si>
  <si>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</si>
  <si>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</si>
  <si>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</si>
  <si>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</si>
  <si>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</si>
  <si>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</si>
  <si>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</si>
  <si>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</si>
  <si>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</si>
  <si>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</si>
  <si>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</si>
  <si>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</si>
  <si>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</si>
  <si>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</si>
  <si>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</si>
  <si>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</si>
  <si>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</si>
  <si>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</si>
  <si>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</si>
  <si>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</si>
  <si>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</si>
  <si>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</si>
  <si>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</si>
  <si>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</si>
  <si>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</si>
  <si>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</si>
  <si>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</si>
  <si>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</si>
  <si>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</si>
  <si>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</si>
  <si>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</si>
  <si>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</si>
  <si>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</si>
  <si>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</si>
  <si>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</si>
  <si>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</si>
  <si>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</si>
  <si>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</si>
  <si>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</si>
  <si>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</si>
  <si>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</si>
  <si>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</si>
  <si>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</si>
  <si>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</si>
  <si>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</si>
  <si>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</si>
  <si>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</si>
  <si>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</si>
  <si>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</si>
  <si>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</si>
  <si>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</si>
  <si>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</si>
  <si>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</si>
  <si>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</si>
  <si>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</si>
  <si>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</si>
  <si>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</si>
  <si>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</si>
  <si>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</si>
  <si>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</si>
  <si>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</si>
  <si>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</si>
  <si>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</si>
  <si>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</si>
  <si>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</si>
  <si>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</si>
  <si>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</si>
  <si>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</si>
  <si>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</si>
  <si>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</si>
  <si>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</si>
  <si>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</si>
  <si>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</si>
  <si>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</si>
  <si>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</si>
  <si>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</si>
  <si>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</si>
  <si>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</si>
  <si>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</si>
  <si>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</si>
  <si>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</si>
  <si>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</si>
  <si>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</si>
  <si>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</si>
  <si>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</si>
  <si>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</si>
  <si>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</si>
  <si>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</si>
  <si>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</si>
  <si>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</si>
  <si>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</si>
  <si>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</si>
  <si>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</si>
  <si>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</si>
  <si>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</si>
  <si>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</si>
  <si>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</si>
  <si>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</si>
  <si>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</si>
  <si>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</si>
  <si>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</si>
  <si>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</si>
  <si>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</si>
  <si>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</si>
  <si>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</si>
  <si>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</si>
  <si>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</si>
  <si>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</si>
  <si>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</si>
  <si>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</si>
  <si>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</si>
  <si>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</si>
  <si>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</si>
  <si>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</si>
  <si>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</si>
  <si>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</si>
  <si>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</si>
  <si>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</si>
  <si>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</si>
  <si>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</si>
  <si>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</si>
  <si>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</si>
  <si>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</si>
  <si>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</si>
  <si>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</si>
  <si>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</si>
  <si>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</si>
  <si>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</si>
  <si>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</si>
  <si>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</si>
  <si>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</si>
  <si>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</si>
  <si>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</si>
  <si>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</si>
  <si>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</si>
  <si>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</si>
  <si>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</si>
  <si>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</si>
  <si>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</si>
  <si>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</si>
  <si>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</si>
  <si>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</si>
  <si>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</si>
  <si>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</si>
  <si>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</si>
  <si>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</si>
  <si>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</si>
  <si>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</si>
  <si>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</si>
  <si>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</si>
  <si>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</si>
  <si>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</si>
  <si>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</si>
  <si>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</si>
  <si>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</si>
  <si>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</si>
  <si>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</si>
  <si>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</si>
  <si>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</si>
  <si>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</si>
  <si>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</si>
  <si>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</si>
  <si>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</si>
  <si>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</si>
  <si>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</si>
  <si>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</si>
  <si>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</si>
  <si>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</si>
  <si>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</si>
  <si>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</si>
  <si>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</si>
  <si>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</si>
  <si>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</si>
  <si>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</si>
  <si>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</si>
  <si>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</si>
  <si>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</si>
  <si>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</si>
  <si>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</si>
  <si>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</si>
  <si>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</si>
  <si>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</si>
  <si>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</si>
  <si>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</si>
  <si>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</si>
  <si>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</si>
  <si>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</si>
  <si>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</si>
  <si>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</si>
  <si>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</si>
  <si>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</si>
  <si>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</si>
  <si>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</si>
  <si>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</si>
  <si>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</si>
  <si>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</si>
  <si>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</si>
  <si>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</si>
  <si>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</si>
  <si>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</si>
  <si>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</si>
  <si>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</si>
  <si>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</si>
  <si>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</si>
  <si>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</si>
  <si>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</si>
  <si>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</si>
  <si>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</si>
  <si>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</si>
  <si>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</si>
  <si>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</si>
  <si>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</si>
  <si>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</si>
  <si>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</si>
  <si>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</si>
  <si>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</si>
  <si>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</si>
  <si>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</si>
  <si>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</si>
  <si>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</si>
  <si>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</si>
  <si>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</si>
  <si>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</si>
  <si>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</si>
  <si>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</si>
  <si>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</si>
  <si>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</si>
  <si>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</si>
  <si>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</si>
  <si>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</si>
  <si>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</si>
  <si>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</si>
  <si>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</si>
  <si>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</si>
  <si>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</si>
  <si>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</si>
  <si>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</si>
  <si>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</si>
  <si>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</si>
  <si>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</si>
  <si>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</si>
  <si>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</si>
  <si>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</si>
  <si>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</si>
  <si>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</si>
  <si>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</si>
  <si>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</si>
  <si>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</si>
  <si>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</si>
  <si>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</si>
  <si>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</si>
  <si>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</si>
  <si>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</si>
  <si>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</si>
  <si>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</si>
  <si>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</si>
  <si>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</si>
  <si>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</si>
  <si>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</si>
  <si>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</si>
  <si>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</si>
  <si>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</si>
  <si>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</si>
  <si>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</si>
  <si>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</si>
  <si>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</si>
  <si>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</si>
  <si>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</si>
  <si>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</si>
  <si>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</si>
  <si>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</si>
  <si>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</si>
  <si>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</si>
  <si>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</si>
  <si>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</si>
  <si>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</si>
  <si>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</si>
  <si>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</si>
  <si>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</si>
  <si>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</si>
  <si>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</si>
  <si>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</si>
  <si>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</si>
  <si>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</si>
  <si>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</si>
  <si>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</si>
  <si>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</si>
  <si>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</si>
  <si>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</si>
  <si>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</si>
  <si>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</si>
  <si>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</si>
  <si>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</si>
  <si>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</si>
  <si>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</si>
  <si>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</si>
  <si>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</si>
  <si>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</si>
  <si>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</si>
  <si>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</si>
  <si>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</si>
  <si>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</si>
  <si>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</si>
  <si>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</si>
  <si>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</si>
  <si>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</si>
  <si>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</si>
  <si>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</si>
  <si>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</si>
  <si>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</si>
  <si>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</si>
  <si>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</si>
  <si>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</si>
  <si>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</si>
  <si>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</si>
  <si>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</si>
  <si>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</si>
  <si>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</si>
  <si>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</si>
  <si>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</si>
  <si>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</si>
  <si>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</si>
  <si>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</si>
  <si>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</si>
  <si>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</si>
  <si>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</si>
  <si>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</si>
  <si>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</si>
  <si>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</si>
  <si>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</si>
  <si>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</si>
  <si>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</si>
  <si>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</si>
  <si>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</si>
  <si>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</si>
  <si>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</si>
  <si>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</si>
  <si>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</si>
  <si>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</si>
  <si>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</si>
  <si>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</si>
  <si>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</si>
  <si>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</si>
  <si>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</si>
  <si>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</si>
  <si>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</si>
  <si>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</si>
  <si>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</si>
  <si>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</si>
  <si>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</si>
  <si>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</si>
  <si>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</si>
  <si>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</si>
  <si>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</si>
  <si>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</si>
  <si>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</si>
  <si>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</si>
  <si>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</si>
  <si>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</si>
  <si>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</si>
  <si>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</si>
  <si>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</si>
  <si>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</si>
  <si>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</si>
  <si>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</si>
  <si>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</si>
  <si>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</si>
  <si>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</si>
  <si>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</si>
  <si>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</si>
  <si>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</si>
  <si>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</si>
  <si>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</si>
  <si>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</si>
  <si>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</si>
  <si>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</si>
  <si>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</si>
  <si>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</si>
  <si>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</si>
  <si>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</si>
  <si>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</si>
  <si>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</si>
  <si>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</si>
  <si>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</si>
  <si>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</si>
  <si>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</si>
  <si>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</si>
  <si>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</si>
  <si>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</si>
  <si>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</si>
  <si>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</si>
  <si>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</si>
  <si>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</si>
  <si>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</si>
  <si>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</si>
  <si>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</si>
  <si>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</si>
  <si>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</si>
  <si>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</si>
  <si>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</si>
  <si>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</si>
  <si>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</si>
  <si>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</si>
  <si>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</si>
  <si>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</si>
  <si>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</si>
  <si>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</si>
  <si>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</si>
  <si>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</si>
  <si>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</si>
  <si>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</si>
  <si>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</si>
  <si>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</si>
  <si>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</si>
  <si>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</si>
  <si>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</si>
  <si>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</si>
  <si>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</si>
  <si>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</si>
  <si>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</si>
  <si>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</si>
  <si>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</si>
  <si>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</si>
  <si>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</si>
  <si>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</si>
  <si>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</si>
  <si>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</si>
  <si>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</si>
  <si>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</si>
  <si>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</si>
  <si>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</si>
  <si>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</si>
  <si>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</si>
  <si>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</si>
  <si>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</si>
  <si>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</si>
  <si>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</si>
  <si>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</si>
  <si>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</si>
  <si>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</si>
  <si>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</si>
  <si>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</si>
  <si>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</si>
  <si>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</si>
  <si>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</si>
  <si>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</si>
  <si>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</si>
  <si>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</si>
  <si>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</si>
  <si>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</si>
  <si>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</si>
  <si>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</si>
  <si>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</si>
  <si>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</si>
  <si>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</si>
  <si>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</si>
  <si>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</si>
  <si>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</si>
  <si>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</si>
  <si>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</si>
  <si>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</si>
  <si>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</si>
  <si>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</si>
  <si>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</si>
  <si>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</si>
  <si>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</si>
  <si>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</si>
  <si>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</si>
  <si>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</si>
  <si>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</si>
  <si>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</si>
  <si>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</si>
  <si>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</si>
  <si>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</si>
  <si>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</si>
  <si>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</si>
  <si>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</si>
  <si>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</si>
  <si>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</si>
  <si>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</si>
  <si>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</si>
  <si>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</si>
  <si>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</si>
  <si>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</si>
  <si>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</si>
  <si>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</si>
  <si>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</si>
  <si>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</si>
  <si>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</si>
  <si>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</si>
  <si>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</si>
  <si>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</si>
  <si>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</si>
  <si>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</si>
  <si>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</si>
  <si>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</si>
  <si>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</si>
  <si>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</si>
  <si>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</si>
  <si>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</si>
  <si>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</si>
  <si>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</si>
  <si>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</si>
  <si>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</si>
  <si>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</si>
  <si>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</si>
  <si>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</si>
  <si>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</si>
  <si>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</si>
  <si>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</si>
  <si>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</si>
  <si>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</si>
  <si>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</si>
  <si>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</si>
  <si>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</si>
  <si>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</si>
  <si>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</si>
  <si>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</si>
  <si>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</si>
  <si>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</si>
  <si>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</si>
  <si>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</si>
  <si>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</si>
  <si>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</si>
  <si>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</si>
  <si>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</si>
  <si>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</si>
  <si>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</si>
  <si>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</si>
  <si>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</si>
  <si>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</si>
  <si>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</si>
  <si>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</si>
  <si>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</si>
  <si>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</si>
  <si>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</si>
  <si>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</si>
  <si>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</si>
  <si>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</si>
  <si>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</si>
  <si>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</si>
  <si>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</si>
  <si>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</si>
  <si>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</si>
  <si>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</si>
  <si>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</si>
  <si>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</si>
  <si>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</si>
  <si>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</si>
  <si>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</si>
  <si>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</si>
  <si>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</si>
  <si>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</si>
  <si>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</si>
  <si>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</si>
  <si>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</si>
  <si>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</si>
  <si>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</si>
  <si>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</si>
  <si>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</si>
  <si>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</si>
  <si>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</si>
  <si>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</si>
  <si>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</si>
  <si>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</si>
  <si>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</si>
  <si>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</si>
  <si>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</si>
  <si>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</si>
  <si>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</si>
  <si>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</si>
  <si>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</si>
  <si>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</si>
  <si>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</si>
  <si>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</si>
  <si>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</si>
  <si>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</si>
  <si>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</si>
  <si>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</si>
  <si>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</si>
  <si>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</si>
  <si>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</si>
  <si>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</si>
  <si>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</si>
  <si>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</si>
  <si>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</si>
  <si>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</si>
  <si>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</si>
  <si>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</si>
  <si>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</si>
  <si>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</si>
  <si>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</si>
  <si>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</si>
  <si>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</si>
  <si>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</si>
  <si>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</si>
  <si>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</si>
  <si>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</si>
  <si>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</si>
  <si>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</si>
  <si>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</si>
  <si>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</si>
  <si>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</si>
  <si>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</si>
  <si>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</si>
  <si>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</si>
  <si>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</si>
  <si>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</si>
  <si>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</si>
  <si>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</si>
  <si>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</si>
  <si>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</si>
  <si>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</si>
  <si>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</si>
  <si>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</si>
  <si>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</si>
  <si>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</si>
  <si>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</si>
  <si>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</si>
  <si>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</si>
  <si>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</si>
  <si>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</si>
  <si>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</si>
  <si>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</si>
  <si>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</si>
  <si>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</si>
  <si>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</si>
  <si>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</si>
  <si>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</si>
  <si>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</si>
  <si>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</si>
  <si>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</si>
  <si>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</si>
  <si>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</si>
  <si>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</si>
  <si>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</si>
  <si>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</si>
  <si>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</si>
  <si>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</si>
  <si>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</si>
  <si>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</si>
  <si>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</si>
  <si>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</si>
  <si>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</si>
  <si>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</si>
  <si>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</si>
  <si>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</si>
  <si>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</si>
  <si>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</si>
  <si>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</si>
  <si>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</si>
  <si>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</si>
  <si>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</si>
  <si>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</si>
  <si>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</si>
  <si>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</si>
  <si>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</si>
  <si>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</si>
  <si>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</si>
  <si>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</si>
  <si>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</si>
  <si>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</si>
  <si>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</si>
  <si>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</si>
  <si>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</si>
  <si>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</si>
  <si>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</si>
  <si>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</si>
  <si>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</si>
  <si>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</si>
  <si>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</si>
  <si>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</si>
  <si>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</si>
  <si>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</si>
  <si>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</si>
  <si>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</si>
  <si>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</si>
  <si>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</si>
  <si>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</si>
  <si>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</si>
  <si>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</si>
  <si>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</si>
  <si>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</si>
  <si>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</si>
  <si>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</si>
  <si>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</si>
  <si>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</si>
  <si>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</si>
  <si>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</si>
  <si>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</si>
  <si>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</si>
  <si>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</si>
  <si>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</si>
  <si>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</si>
  <si>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</si>
  <si>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</si>
  <si>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</si>
  <si>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</si>
  <si>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</si>
  <si>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</si>
  <si>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</si>
  <si>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</si>
  <si>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</si>
  <si>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</si>
  <si>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</si>
  <si>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</si>
  <si>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</si>
  <si>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</si>
  <si>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</si>
  <si>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</si>
  <si>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</si>
  <si>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</si>
  <si>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</si>
  <si>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</si>
  <si>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</si>
  <si>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</si>
  <si>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</si>
  <si>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</si>
  <si>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</si>
  <si>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</si>
  <si>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</si>
  <si>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</si>
  <si>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</si>
  <si>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</si>
  <si>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</si>
  <si>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</si>
  <si>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</si>
  <si>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</si>
  <si>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</si>
  <si>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</si>
  <si>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</si>
  <si>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</si>
  <si>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</si>
  <si>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</si>
  <si>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</si>
  <si>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</si>
  <si>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</si>
  <si>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</si>
  <si>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</si>
  <si>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</si>
  <si>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</si>
  <si>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</si>
  <si>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</si>
  <si>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</si>
  <si>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</si>
  <si>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</si>
  <si>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</si>
  <si>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</si>
  <si>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</si>
  <si>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</si>
  <si>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</si>
  <si>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</si>
  <si>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</si>
  <si>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</si>
  <si>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</si>
  <si>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</si>
  <si>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</si>
  <si>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</si>
  <si>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</si>
  <si>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</si>
  <si>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</si>
  <si>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</si>
  <si>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</si>
  <si>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</si>
  <si>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</si>
  <si>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</si>
  <si>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</si>
  <si>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</si>
  <si>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</si>
  <si>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</si>
  <si>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</si>
  <si>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</si>
  <si>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</si>
  <si>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</si>
  <si>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</si>
  <si>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</si>
  <si>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</si>
  <si>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</si>
  <si>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</si>
  <si>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</si>
  <si>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</si>
  <si>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</si>
  <si>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</si>
  <si>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</si>
  <si>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</si>
  <si>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</si>
  <si>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</si>
  <si>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</si>
  <si>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</si>
  <si>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</si>
  <si>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</si>
  <si>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</si>
  <si>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</si>
  <si>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</si>
  <si>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</si>
  <si>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</si>
  <si>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</si>
  <si>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</si>
  <si>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</si>
  <si>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</si>
  <si>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</si>
  <si>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</si>
  <si>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</si>
  <si>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</si>
  <si>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</si>
  <si>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</si>
  <si>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</si>
  <si>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</si>
  <si>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</si>
  <si>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</si>
  <si>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</si>
  <si>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</si>
  <si>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</si>
  <si>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</si>
  <si>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</si>
  <si>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</si>
  <si>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</si>
  <si>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</si>
  <si>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</si>
  <si>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</si>
  <si>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</si>
  <si>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</si>
  <si>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</si>
  <si>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</si>
  <si>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</si>
  <si>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</si>
  <si>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</si>
  <si>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</si>
  <si>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</si>
  <si>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</si>
  <si>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</si>
  <si>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</si>
  <si>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</si>
  <si>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</si>
  <si>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</si>
  <si>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</si>
  <si>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</si>
  <si>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</si>
  <si>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</si>
  <si>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</si>
  <si>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</si>
  <si>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</si>
  <si>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</si>
  <si>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</si>
  <si>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</si>
  <si>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</si>
  <si>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</si>
  <si>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</si>
  <si>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</si>
  <si>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</si>
  <si>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</si>
  <si>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</si>
  <si>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</si>
  <si>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</si>
  <si>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</si>
  <si>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</si>
  <si>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</si>
  <si>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</si>
  <si>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</si>
  <si>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</si>
  <si>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</si>
  <si>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</si>
  <si>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</si>
  <si>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</si>
  <si>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</si>
  <si>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</si>
  <si>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</si>
  <si>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</si>
  <si>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</si>
  <si>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</si>
  <si>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</si>
  <si>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</si>
  <si>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</si>
  <si>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</si>
  <si>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</si>
  <si>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</si>
  <si>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</si>
  <si>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</si>
  <si>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</si>
  <si>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</si>
  <si>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</si>
  <si>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</si>
  <si>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</si>
  <si>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</si>
  <si>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</si>
  <si>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</si>
  <si>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</si>
  <si>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</si>
  <si>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</si>
  <si>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</si>
  <si>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</si>
  <si>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</si>
  <si>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</si>
  <si>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</si>
  <si>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</si>
  <si>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</si>
  <si>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</si>
  <si>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</si>
  <si>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</si>
  <si>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</si>
  <si>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</si>
  <si>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</si>
  <si>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</si>
  <si>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</si>
  <si>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</si>
  <si>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</si>
  <si>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</si>
  <si>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</si>
  <si>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</si>
  <si>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</si>
  <si>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</si>
  <si>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</si>
  <si>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</si>
  <si>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</si>
  <si>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</si>
  <si>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</si>
  <si>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</si>
  <si>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</si>
  <si>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</si>
  <si>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</si>
  <si>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</si>
  <si>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</si>
  <si>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</si>
  <si>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</si>
  <si>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</si>
  <si>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</si>
  <si>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</si>
  <si>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</si>
  <si>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</si>
  <si>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</si>
  <si>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</si>
  <si>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</si>
  <si>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</si>
  <si>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</si>
  <si>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</si>
  <si>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</si>
  <si>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</si>
  <si>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</si>
  <si>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</si>
  <si>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</si>
  <si>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</si>
  <si>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</si>
  <si>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</si>
  <si>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</si>
  <si>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</si>
  <si>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</si>
  <si>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</si>
  <si>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</si>
  <si>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</si>
  <si>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</si>
  <si>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</si>
  <si>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</si>
  <si>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</si>
  <si>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</si>
  <si>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</si>
  <si>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</si>
  <si>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</si>
  <si>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</si>
  <si>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</si>
  <si>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</si>
  <si>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</si>
  <si>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</si>
  <si>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</si>
  <si>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</si>
  <si>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</si>
  <si>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</si>
  <si>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</si>
  <si>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</si>
  <si>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</si>
  <si>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</si>
  <si>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</si>
  <si>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</si>
  <si>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</si>
  <si>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</si>
  <si>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</si>
  <si>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</si>
  <si>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</si>
  <si>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</si>
  <si>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</si>
  <si>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</si>
  <si>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</si>
  <si>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</si>
  <si>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</si>
  <si>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</si>
  <si>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</si>
  <si>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</si>
  <si>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</si>
  <si>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</si>
  <si>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</si>
  <si>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</si>
  <si>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</si>
  <si>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</si>
  <si>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</si>
  <si>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</si>
  <si>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</si>
  <si>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</si>
  <si>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</si>
  <si>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</si>
  <si>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</si>
  <si>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</si>
  <si>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</si>
  <si>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</si>
  <si>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</si>
  <si>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</si>
  <si>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</si>
  <si>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</si>
  <si>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</si>
  <si>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</si>
  <si>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</si>
  <si>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</si>
  <si>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</si>
  <si>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</si>
  <si>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</si>
  <si>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</si>
  <si>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</si>
  <si>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</si>
  <si>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</si>
  <si>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</si>
  <si>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</si>
  <si>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</si>
  <si>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</si>
  <si>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</si>
  <si>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</si>
  <si>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</si>
  <si>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</si>
  <si>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</si>
  <si>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</si>
  <si>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</si>
  <si>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</si>
  <si>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</si>
  <si>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</si>
  <si>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</si>
  <si>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</si>
  <si>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</si>
  <si>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</si>
  <si>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</si>
  <si>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</si>
  <si>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</si>
  <si>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</si>
  <si>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</si>
  <si>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</si>
  <si>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</si>
  <si>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</si>
  <si>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</si>
  <si>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</si>
  <si>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</si>
  <si>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</si>
  <si>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</si>
  <si>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</si>
  <si>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</si>
  <si>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</si>
  <si>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</si>
  <si>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</si>
  <si>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</si>
  <si>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</si>
  <si>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</si>
  <si>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</si>
  <si>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</si>
  <si>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</si>
  <si>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</si>
  <si>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</si>
  <si>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</si>
  <si>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</si>
  <si>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</si>
  <si>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</si>
  <si>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</si>
  <si>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</si>
  <si>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</si>
  <si>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</si>
  <si>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</si>
  <si>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</si>
  <si>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</si>
  <si>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</si>
  <si>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</si>
  <si>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</si>
  <si>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</si>
  <si>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</si>
  <si>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</si>
  <si>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</si>
  <si>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</si>
  <si>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</si>
  <si>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</si>
  <si>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</si>
  <si>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</si>
  <si>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</si>
  <si>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</si>
  <si>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</si>
  <si>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</si>
  <si>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</si>
  <si>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</si>
  <si>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</si>
  <si>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</si>
  <si>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</si>
  <si>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</si>
  <si>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</si>
  <si>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</si>
  <si>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</si>
  <si>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</si>
  <si>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</si>
  <si>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</si>
  <si>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</si>
  <si>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</si>
  <si>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</si>
  <si>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</si>
  <si>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</si>
  <si>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</si>
  <si>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</si>
  <si>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</si>
  <si>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</si>
  <si>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</si>
  <si>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</si>
  <si>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</si>
  <si>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</si>
  <si>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</si>
  <si>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</si>
  <si>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</si>
  <si>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</si>
  <si>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</si>
  <si>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</si>
  <si>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</si>
  <si>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</si>
  <si>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</si>
  <si>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</si>
  <si>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</si>
  <si>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</si>
  <si>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</si>
  <si>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</si>
  <si>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</si>
  <si>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</si>
  <si>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</si>
  <si>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</si>
  <si>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</si>
  <si>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</si>
  <si>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</si>
  <si>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</si>
  <si>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</si>
  <si>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</si>
  <si>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</si>
  <si>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</si>
  <si>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</si>
  <si>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</si>
  <si>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</si>
  <si>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</si>
  <si>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</si>
  <si>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</si>
  <si>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</si>
  <si>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</si>
  <si>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</si>
  <si>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</si>
  <si>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</si>
  <si>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</si>
  <si>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</si>
  <si>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</si>
  <si>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</si>
  <si>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</si>
  <si>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</si>
  <si>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</si>
  <si>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</si>
  <si>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</si>
  <si>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</si>
  <si>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</si>
  <si>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</si>
  <si>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</si>
  <si>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</si>
  <si>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</si>
  <si>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</si>
  <si>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</si>
  <si>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</si>
  <si>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</si>
  <si>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</si>
  <si>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</si>
  <si>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</si>
  <si>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</si>
  <si>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</si>
  <si>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</si>
  <si>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</si>
  <si>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</si>
  <si>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</si>
  <si>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</si>
  <si>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</si>
  <si>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</si>
  <si>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</si>
  <si>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</si>
  <si>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</si>
  <si>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</si>
  <si>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</si>
  <si>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</si>
  <si>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</si>
  <si>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</si>
  <si>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</si>
  <si>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</si>
  <si>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</si>
  <si>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</si>
  <si>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</si>
  <si>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</si>
  <si>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</si>
  <si>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</si>
  <si>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</si>
  <si>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</si>
  <si>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</si>
  <si>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</si>
  <si>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</si>
  <si>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</si>
  <si>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</si>
  <si>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</si>
  <si>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</si>
  <si>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</si>
  <si>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</si>
  <si>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</si>
  <si>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</si>
  <si>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</si>
  <si>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</si>
  <si>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</si>
  <si>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</si>
  <si>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</si>
  <si>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</si>
  <si>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</si>
  <si>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</si>
  <si>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</si>
  <si>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</si>
  <si>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</si>
  <si>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</si>
  <si>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</si>
  <si>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</si>
  <si>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</si>
  <si>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</si>
  <si>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</si>
  <si>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</si>
  <si>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</si>
  <si>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</si>
  <si>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</si>
  <si>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</si>
  <si>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</si>
  <si>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</si>
  <si>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</si>
  <si>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</si>
  <si>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</si>
  <si>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</si>
  <si>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</si>
  <si>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</si>
  <si>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</si>
  <si>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</si>
  <si>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</si>
  <si>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</si>
  <si>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</si>
  <si>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</si>
  <si>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</si>
  <si>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</si>
  <si>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</si>
  <si>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</si>
  <si>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</si>
  <si>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</si>
  <si>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</si>
  <si>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</si>
  <si>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</si>
  <si>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</si>
  <si>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</si>
  <si>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</si>
  <si>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</si>
  <si>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</si>
  <si>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</si>
  <si>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</si>
  <si>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</si>
  <si>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</si>
  <si>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</si>
  <si>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</si>
  <si>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</si>
  <si>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</si>
  <si>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</si>
  <si>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</si>
  <si>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</si>
  <si>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</si>
  <si>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</si>
  <si>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</si>
  <si>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</si>
  <si>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</si>
  <si>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</si>
  <si>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</si>
  <si>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</si>
  <si>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</si>
  <si>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</si>
  <si>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</si>
  <si>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</si>
  <si>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</si>
  <si>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</si>
  <si>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</si>
  <si>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</si>
  <si>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</si>
  <si>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</si>
  <si>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</si>
  <si>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</si>
  <si>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</si>
  <si>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</si>
  <si>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</si>
  <si>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</si>
  <si>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</si>
  <si>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</si>
  <si>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</si>
  <si>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</si>
  <si>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</si>
  <si>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</si>
  <si>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</si>
  <si>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</si>
  <si>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</si>
  <si>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</si>
  <si>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</si>
  <si>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</si>
  <si>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</si>
  <si>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</si>
  <si>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</si>
  <si>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</si>
  <si>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</si>
  <si>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</si>
  <si>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</si>
  <si>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</si>
  <si>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</si>
  <si>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</si>
  <si>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</si>
  <si>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</si>
  <si>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</si>
  <si>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</si>
  <si>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</si>
  <si>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</si>
  <si>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</si>
  <si>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</si>
  <si>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</si>
  <si>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</si>
  <si>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</si>
  <si>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</si>
  <si>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</si>
  <si>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</si>
  <si>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</si>
  <si>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</si>
  <si>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</si>
  <si>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</si>
  <si>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</si>
  <si>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</si>
  <si>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</si>
  <si>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</si>
  <si>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</si>
  <si>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</si>
  <si>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</si>
  <si>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</si>
  <si>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</si>
  <si>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</si>
  <si>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</si>
  <si>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</si>
  <si>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</si>
  <si>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</si>
  <si>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</si>
  <si>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</si>
  <si>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</si>
  <si>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</si>
  <si>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</si>
  <si>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</si>
  <si>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</si>
  <si>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</si>
  <si>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</si>
  <si>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</si>
  <si>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</si>
  <si>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</si>
  <si>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</si>
  <si>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</si>
  <si>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</si>
  <si>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</si>
  <si>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</si>
  <si>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</si>
  <si>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</si>
  <si>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</si>
  <si>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</si>
  <si>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</si>
  <si>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</si>
  <si>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</si>
  <si>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</si>
  <si>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</si>
  <si>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</si>
  <si>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</si>
  <si>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</si>
  <si>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</si>
  <si>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</si>
  <si>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</si>
  <si>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</si>
  <si>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</si>
  <si>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</si>
  <si>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</si>
  <si>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</si>
  <si>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</si>
  <si>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</si>
  <si>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</si>
  <si>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</si>
  <si>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</si>
  <si>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</si>
  <si>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</si>
  <si>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</si>
  <si>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</si>
  <si>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</si>
  <si>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</si>
  <si>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</si>
  <si>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</si>
  <si>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</si>
  <si>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</si>
  <si>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</si>
  <si>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</si>
  <si>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</si>
  <si>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</si>
  <si>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</si>
  <si>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</si>
  <si>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</si>
  <si>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</si>
  <si>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</si>
  <si>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</si>
  <si>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</si>
  <si>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</si>
  <si>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</si>
  <si>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</si>
  <si>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</si>
  <si>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</si>
  <si>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</si>
  <si>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</si>
  <si>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</si>
  <si>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</si>
  <si>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</si>
  <si>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</si>
  <si>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</si>
  <si>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</si>
  <si>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</si>
  <si>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</si>
  <si>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</si>
  <si>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</si>
  <si>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</si>
  <si>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</si>
  <si>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</si>
  <si>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</si>
  <si>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</si>
  <si>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</si>
  <si>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</si>
  <si>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</si>
  <si>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</si>
  <si>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</si>
  <si>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</si>
  <si>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</si>
  <si>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</si>
  <si>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</si>
  <si>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</si>
  <si>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</si>
  <si>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</si>
  <si>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</si>
  <si>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</si>
  <si>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</si>
  <si>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</si>
  <si>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</si>
  <si>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</si>
  <si>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</si>
  <si>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</si>
  <si>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</si>
  <si>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</si>
  <si>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</si>
  <si>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</si>
  <si>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</si>
  <si>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</si>
  <si>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</si>
  <si>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</si>
  <si>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</si>
  <si>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</si>
  <si>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</si>
  <si>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</si>
  <si>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</si>
  <si>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</si>
  <si>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</si>
  <si>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</si>
  <si>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</si>
  <si>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</si>
  <si>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</si>
  <si>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</si>
  <si>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</si>
  <si>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</si>
  <si>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</si>
  <si>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</si>
  <si>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</si>
  <si>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</si>
  <si>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</si>
  <si>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</si>
  <si>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</si>
  <si>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</si>
  <si>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</si>
  <si>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</si>
  <si>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</si>
  <si>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</si>
  <si>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</si>
  <si>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</si>
  <si>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</si>
  <si>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</si>
  <si>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</si>
  <si>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</si>
  <si>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</si>
  <si>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</si>
  <si>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</si>
  <si>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</si>
  <si>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</si>
  <si>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</si>
  <si>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</si>
  <si>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</si>
  <si>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</si>
  <si>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</si>
  <si>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</si>
  <si>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</si>
  <si>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</si>
  <si>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</si>
  <si>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</si>
  <si>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</si>
  <si>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</si>
  <si>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</si>
  <si>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</si>
  <si>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</si>
  <si>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</si>
  <si>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</si>
  <si>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</si>
  <si>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</si>
  <si>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</si>
  <si>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</si>
  <si>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</si>
  <si>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</si>
  <si>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</si>
  <si>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</si>
  <si>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</si>
  <si>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</si>
  <si>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</si>
  <si>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</si>
  <si>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</si>
  <si>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</si>
  <si>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</si>
  <si>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</si>
  <si>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</si>
  <si>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</si>
  <si>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</si>
  <si>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</si>
  <si>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</si>
  <si>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</si>
  <si>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</si>
  <si>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</si>
  <si>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</si>
  <si>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</si>
  <si>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</si>
  <si>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</si>
  <si>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</si>
  <si>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</si>
  <si>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</si>
  <si>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</si>
  <si>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</si>
  <si>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</si>
  <si>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</si>
  <si>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</si>
  <si>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</si>
  <si>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</si>
  <si>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</si>
  <si>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</si>
  <si>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</si>
  <si>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</si>
  <si>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</si>
  <si>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</si>
  <si>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</si>
  <si>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</si>
  <si>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</si>
  <si>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</si>
  <si>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</si>
  <si>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</si>
  <si>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</si>
  <si>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</si>
  <si>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</si>
  <si>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</si>
  <si>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</si>
  <si>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</si>
  <si>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</si>
  <si>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</si>
  <si>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</si>
  <si>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</si>
  <si>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</si>
  <si>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</si>
  <si>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</si>
  <si>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</si>
  <si>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</si>
  <si>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</si>
  <si>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</si>
  <si>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</si>
  <si>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</si>
  <si>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</si>
  <si>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</si>
  <si>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</si>
  <si>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</si>
  <si>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</si>
  <si>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</si>
  <si>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</si>
  <si>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</si>
  <si>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</si>
  <si>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</si>
  <si>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</si>
  <si>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</si>
  <si>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</si>
  <si>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</si>
  <si>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</si>
  <si>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</si>
  <si>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</si>
  <si>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</si>
  <si>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</si>
  <si>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</si>
  <si>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</si>
  <si>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</si>
  <si>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</si>
  <si>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</si>
  <si>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</si>
  <si>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</si>
  <si>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</si>
  <si>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</si>
  <si>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</si>
  <si>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</si>
  <si>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</si>
  <si>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</si>
  <si>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</si>
  <si>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</si>
  <si>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</si>
  <si>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</si>
  <si>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</si>
  <si>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</si>
  <si>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</si>
  <si>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</si>
  <si>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</si>
  <si>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</si>
  <si>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</si>
  <si>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</si>
  <si>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</si>
  <si>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</si>
  <si>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</si>
  <si>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</si>
  <si>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</si>
  <si>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</si>
  <si>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</si>
  <si>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</si>
  <si>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</si>
  <si>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</si>
  <si>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</si>
  <si>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</si>
  <si>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</si>
  <si>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</si>
  <si>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</si>
  <si>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</si>
  <si>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</si>
  <si>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</si>
  <si>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</si>
  <si>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</si>
  <si>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</si>
  <si>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</si>
  <si>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</si>
  <si>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</si>
  <si>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</si>
  <si>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</si>
  <si>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</si>
  <si>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</si>
  <si>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</si>
  <si>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</si>
  <si>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</si>
  <si>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</si>
  <si>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</si>
  <si>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</si>
  <si>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</si>
  <si>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</si>
  <si>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</si>
  <si>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</si>
  <si>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</si>
  <si>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</si>
  <si>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</si>
  <si>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</si>
  <si>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</si>
  <si>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</si>
  <si>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</si>
  <si>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</si>
  <si>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</si>
  <si>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</si>
  <si>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</si>
  <si>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</si>
  <si>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</si>
  <si>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</si>
  <si>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</si>
  <si>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</si>
  <si>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</si>
  <si>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</si>
  <si>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</si>
  <si>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</si>
  <si>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</si>
  <si>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</si>
  <si>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</si>
  <si>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</si>
  <si>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</si>
  <si>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</si>
  <si>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</si>
  <si>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</si>
  <si>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</si>
  <si>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</si>
  <si>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</si>
  <si>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</si>
  <si>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</si>
  <si>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</si>
  <si>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</si>
  <si>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</si>
  <si>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</si>
  <si>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</si>
  <si>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</si>
  <si>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</si>
  <si>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</si>
  <si>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</si>
  <si>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</si>
  <si>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</si>
  <si>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</si>
  <si>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</si>
  <si>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</si>
  <si>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</si>
  <si>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</si>
  <si>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</si>
  <si>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</si>
  <si>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</si>
  <si>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</si>
  <si>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</si>
  <si>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</si>
  <si>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</si>
  <si>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</si>
  <si>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</si>
  <si>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</si>
  <si>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</si>
  <si>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</si>
  <si>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</si>
  <si>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</si>
  <si>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</si>
  <si>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</si>
  <si>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</si>
  <si>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</si>
  <si>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</si>
  <si>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</si>
  <si>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</si>
  <si>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</si>
  <si>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</si>
  <si>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</si>
  <si>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</si>
  <si>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</si>
  <si>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</si>
  <si>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</si>
  <si>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</si>
  <si>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</si>
  <si>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</si>
  <si>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</si>
  <si>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</si>
  <si>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</si>
  <si>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</si>
  <si>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</si>
  <si>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</si>
  <si>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</si>
  <si>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</si>
  <si>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</si>
  <si>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</si>
  <si>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</si>
  <si>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</si>
  <si>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</si>
  <si>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</si>
  <si>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</si>
  <si>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</si>
  <si>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</si>
  <si>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</si>
  <si>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</si>
  <si>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</si>
  <si>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</si>
  <si>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</si>
  <si>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</si>
  <si>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</si>
  <si>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</si>
  <si>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</si>
  <si>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</si>
  <si>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</si>
  <si>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</si>
  <si>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</si>
  <si>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</si>
  <si>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</si>
  <si>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</si>
  <si>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</si>
  <si>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</si>
  <si>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</si>
  <si>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</si>
  <si>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</si>
  <si>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</si>
  <si>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</si>
  <si>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</si>
  <si>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</si>
  <si>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</si>
  <si>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</si>
  <si>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</si>
  <si>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</si>
  <si>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</si>
  <si>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</si>
  <si>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</si>
  <si>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</si>
  <si>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</si>
  <si>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</si>
  <si>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</si>
  <si>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</si>
  <si>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</si>
  <si>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</si>
  <si>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</si>
  <si>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</si>
  <si>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</si>
  <si>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</si>
  <si>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</si>
  <si>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</si>
  <si>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</si>
  <si>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</si>
  <si>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</si>
  <si>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</si>
  <si>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</si>
  <si>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</si>
  <si>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</si>
  <si>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</si>
  <si>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</si>
  <si>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</si>
  <si>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</si>
  <si>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</si>
  <si>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</si>
  <si>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</si>
  <si>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</si>
  <si>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</si>
  <si>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</si>
  <si>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</si>
  <si>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</si>
  <si>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</si>
  <si>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</si>
  <si>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</si>
  <si>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</si>
  <si>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</si>
  <si>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</si>
  <si>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</si>
  <si>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</si>
  <si>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</si>
  <si>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</si>
  <si>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</si>
  <si>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</si>
  <si>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</si>
  <si>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</si>
  <si>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</si>
  <si>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</si>
  <si>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</si>
  <si>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</si>
  <si>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</si>
  <si>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</si>
  <si>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</si>
  <si>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</si>
  <si>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</si>
  <si>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</si>
  <si>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</si>
  <si>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</si>
  <si>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</si>
  <si>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</si>
  <si>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</si>
  <si>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</si>
  <si>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</si>
  <si>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</si>
  <si>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</si>
  <si>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</si>
  <si>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</si>
  <si>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</si>
  <si>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</si>
  <si>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</si>
  <si>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</si>
  <si>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</si>
  <si>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</si>
  <si>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</si>
  <si>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</si>
  <si>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</si>
  <si>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</si>
  <si>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</si>
  <si>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</si>
  <si>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</si>
  <si>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</si>
  <si>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</si>
  <si>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</si>
  <si>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</si>
  <si>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</si>
  <si>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</si>
  <si>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</si>
  <si>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</si>
  <si>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</si>
  <si>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</si>
  <si>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</si>
  <si>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</si>
  <si>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</si>
  <si>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</si>
  <si>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</si>
  <si>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</si>
  <si>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</si>
  <si>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</si>
  <si>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</si>
  <si>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</si>
  <si>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</si>
  <si>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</si>
  <si>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</si>
  <si>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</si>
  <si>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</si>
  <si>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</si>
  <si>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</si>
  <si>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</si>
  <si>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</si>
  <si>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</si>
  <si>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</si>
  <si>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</si>
  <si>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</si>
  <si>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</si>
  <si>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</si>
  <si>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</si>
  <si>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</si>
  <si>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</si>
  <si>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</si>
  <si>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</si>
  <si>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</si>
  <si>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</si>
  <si>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</si>
  <si>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</si>
  <si>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</si>
  <si>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</si>
  <si>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</si>
  <si>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</si>
  <si>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</si>
  <si>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</si>
  <si>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</si>
  <si>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</si>
  <si>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</si>
  <si>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</si>
  <si>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</si>
  <si>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</si>
  <si>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</si>
  <si>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</si>
  <si>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</si>
  <si>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</si>
  <si>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</si>
  <si>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</si>
  <si>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</si>
  <si>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</si>
  <si>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</si>
  <si>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</si>
  <si>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</si>
  <si>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</si>
  <si>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</si>
  <si>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</si>
  <si>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</si>
  <si>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</si>
  <si>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</si>
  <si>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</si>
  <si>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</si>
  <si>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</si>
  <si>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</si>
  <si>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</si>
  <si>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</si>
  <si>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</si>
  <si>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</si>
  <si>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</si>
  <si>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</si>
  <si>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</si>
  <si>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</si>
  <si>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</si>
  <si>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</si>
  <si>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</si>
  <si>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</si>
  <si>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</si>
  <si>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</si>
  <si>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</si>
  <si>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</si>
  <si>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</si>
  <si>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</si>
  <si>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</si>
  <si>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</si>
  <si>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</si>
  <si>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</si>
  <si>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</si>
  <si>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</si>
  <si>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</si>
  <si>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</si>
  <si>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</si>
  <si>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</si>
  <si>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</si>
  <si>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</si>
  <si>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</si>
  <si>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</si>
  <si>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</si>
  <si>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</si>
  <si>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</si>
  <si>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</si>
  <si>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</si>
  <si>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</si>
  <si>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</si>
  <si>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</si>
  <si>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</si>
  <si>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</si>
  <si>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</si>
  <si>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</si>
  <si>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</si>
  <si>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</si>
  <si>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</si>
  <si>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</si>
  <si>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</si>
  <si>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</si>
  <si>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</si>
  <si>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</si>
  <si>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</si>
  <si>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</si>
  <si>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</si>
  <si>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</si>
  <si>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</si>
  <si>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</si>
  <si>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</si>
  <si>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</si>
  <si>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</si>
  <si>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</si>
  <si>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</si>
  <si>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</si>
  <si>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</si>
  <si>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</si>
  <si>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</si>
  <si>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</si>
  <si>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</si>
  <si>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</si>
  <si>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</si>
  <si>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</si>
  <si>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</si>
  <si>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</si>
  <si>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</si>
  <si>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</si>
  <si>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</si>
  <si>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</si>
  <si>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</si>
  <si>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</si>
  <si>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</si>
  <si>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</si>
  <si>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</si>
  <si>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</si>
  <si>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</si>
  <si>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</si>
  <si>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</si>
  <si>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</si>
  <si>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</si>
  <si>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</si>
  <si>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</si>
  <si>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</si>
  <si>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</si>
  <si>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</si>
  <si>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</si>
  <si>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</si>
  <si>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</si>
  <si>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</si>
  <si>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</si>
  <si>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</si>
  <si>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</si>
  <si>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</si>
  <si>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</si>
  <si>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</si>
  <si>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</si>
  <si>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</si>
  <si>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</si>
  <si>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</si>
  <si>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</si>
  <si>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</si>
  <si>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</si>
  <si>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</si>
  <si>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</si>
  <si>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</si>
  <si>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</si>
  <si>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</si>
  <si>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</si>
  <si>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</si>
  <si>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</si>
  <si>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</si>
  <si>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</si>
  <si>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</si>
  <si>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</si>
  <si>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</si>
  <si>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</si>
  <si>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</si>
  <si>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</si>
  <si>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</si>
  <si>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</si>
  <si>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</si>
  <si>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</si>
  <si>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</si>
  <si>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</si>
  <si>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</si>
  <si>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</si>
  <si>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</si>
  <si>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</si>
  <si>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</si>
  <si>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</si>
  <si>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</si>
  <si>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</si>
  <si>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</si>
  <si>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</si>
  <si>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</si>
  <si>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</si>
  <si>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</si>
  <si>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</si>
  <si>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</si>
  <si>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</si>
  <si>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</si>
  <si>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</si>
  <si>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</si>
  <si>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</si>
  <si>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</si>
  <si>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</si>
  <si>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</si>
  <si>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</si>
  <si>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</si>
  <si>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</si>
  <si>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</si>
  <si>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</si>
  <si>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</si>
  <si>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</si>
  <si>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</si>
  <si>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</si>
  <si>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</si>
  <si>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</si>
  <si>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</si>
  <si>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</si>
  <si>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</si>
  <si>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</si>
  <si>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</si>
  <si>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</si>
  <si>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</si>
  <si>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</si>
  <si>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</si>
  <si>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</si>
  <si>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</si>
  <si>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</si>
  <si>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</si>
  <si>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</si>
  <si>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</si>
  <si>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</si>
  <si>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</si>
  <si>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</si>
  <si>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</si>
  <si>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</si>
  <si>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</si>
  <si>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</si>
  <si>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</si>
  <si>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</si>
  <si>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</si>
  <si>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</si>
  <si>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</si>
  <si>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</si>
  <si>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</si>
  <si>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</si>
  <si>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</si>
  <si>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</si>
  <si>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</si>
  <si>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</si>
  <si>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</si>
  <si>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</si>
  <si>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</si>
  <si>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</si>
  <si>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</si>
  <si>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</si>
  <si>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</si>
  <si>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</si>
  <si>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</si>
  <si>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</si>
  <si>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</si>
  <si>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</si>
  <si>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</si>
  <si>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</si>
  <si>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</si>
  <si>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</si>
  <si>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</si>
  <si>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</si>
  <si>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</si>
  <si>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</si>
  <si>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</si>
  <si>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</si>
  <si>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</si>
  <si>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</si>
  <si>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</si>
  <si>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</si>
  <si>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</si>
  <si>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</si>
  <si>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</si>
  <si>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</si>
  <si>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</si>
  <si>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</si>
  <si>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</si>
  <si>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</si>
  <si>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</si>
  <si>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</si>
  <si>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</si>
  <si>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</si>
  <si>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</si>
  <si>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</si>
  <si>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</si>
  <si>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</si>
  <si>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</si>
  <si>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</si>
  <si>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</si>
  <si>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</si>
  <si>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</si>
  <si>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</si>
  <si>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</si>
  <si>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</si>
  <si>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</si>
  <si>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</si>
  <si>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</si>
  <si>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</si>
  <si>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</si>
  <si>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</si>
  <si>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</si>
  <si>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</si>
  <si>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</si>
  <si>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</si>
  <si>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</si>
  <si>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</si>
  <si>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</si>
  <si>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</si>
  <si>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</si>
  <si>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</si>
  <si>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</si>
  <si>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</si>
  <si>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</si>
  <si>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</si>
  <si>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</si>
  <si>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</si>
  <si>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</si>
  <si>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</si>
  <si>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</si>
  <si>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</si>
  <si>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</si>
  <si>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</si>
  <si>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</si>
  <si>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</si>
  <si>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</si>
  <si>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</si>
  <si>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</si>
  <si>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</si>
  <si>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</si>
  <si>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</si>
  <si>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</si>
  <si>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</si>
  <si>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</si>
  <si>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</si>
  <si>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</si>
  <si>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</si>
  <si>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</si>
  <si>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</si>
  <si>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</si>
  <si>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</si>
  <si>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</si>
  <si>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</si>
  <si>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</si>
  <si>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</si>
  <si>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</si>
  <si>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</si>
  <si>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</si>
  <si>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</si>
  <si>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</si>
  <si>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</si>
  <si>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</si>
  <si>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</si>
  <si>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</si>
  <si>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</si>
  <si>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</si>
  <si>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</si>
  <si>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</si>
  <si>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</si>
  <si>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</si>
  <si>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</si>
  <si>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</si>
  <si>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</si>
  <si>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</si>
  <si>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</si>
  <si>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</si>
  <si>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</si>
  <si>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</si>
  <si>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</si>
  <si>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FQ325</t>
  </si>
  <si>
    <t>Acquired</t>
  </si>
  <si>
    <t>Q425</t>
  </si>
  <si>
    <t>9626.HK</t>
  </si>
  <si>
    <t>BiliBili</t>
  </si>
  <si>
    <t>Ch</t>
  </si>
  <si>
    <t>FQ226</t>
  </si>
  <si>
    <t>CBRS</t>
  </si>
  <si>
    <t>Shares</t>
  </si>
  <si>
    <t>Q326</t>
  </si>
  <si>
    <t>Q226</t>
  </si>
  <si>
    <t>SpaceX</t>
  </si>
  <si>
    <t>Anthropic</t>
  </si>
  <si>
    <t>OpenAI</t>
  </si>
  <si>
    <t>Link</t>
  </si>
  <si>
    <t>Glossar</t>
  </si>
  <si>
    <t>Books</t>
  </si>
  <si>
    <t>AWS</t>
  </si>
  <si>
    <t>Waymo</t>
  </si>
  <si>
    <t>Cruise</t>
  </si>
  <si>
    <t>iFlyTek</t>
  </si>
  <si>
    <t>002230 CH</t>
  </si>
  <si>
    <t>Nice (nice.com)</t>
  </si>
  <si>
    <t>SenseTime</t>
  </si>
  <si>
    <t>20 HK</t>
  </si>
  <si>
    <t>VAST Data</t>
  </si>
  <si>
    <t>Pony.ai</t>
  </si>
  <si>
    <t>Nuro</t>
  </si>
  <si>
    <t>Gong.io</t>
  </si>
  <si>
    <t>SSI</t>
  </si>
  <si>
    <t>Hugging Face</t>
  </si>
  <si>
    <t>UBTech Robotics</t>
  </si>
  <si>
    <t>Inflection AI</t>
  </si>
  <si>
    <t>C3</t>
  </si>
  <si>
    <t>4Paradigm</t>
  </si>
  <si>
    <t>Applied Intuition</t>
  </si>
  <si>
    <t>Dataiku</t>
  </si>
  <si>
    <t>MEGVII</t>
  </si>
  <si>
    <t>SymphonyAI</t>
  </si>
  <si>
    <t>Momenta</t>
  </si>
  <si>
    <t>Shield AI</t>
  </si>
  <si>
    <t>Uniphore (Jacada)</t>
  </si>
  <si>
    <t>Cohere</t>
  </si>
  <si>
    <t>Skydio</t>
  </si>
  <si>
    <t>Moveworks</t>
  </si>
  <si>
    <t>Character AI</t>
  </si>
  <si>
    <t>ElevenLabs</t>
  </si>
  <si>
    <t>Wayve</t>
  </si>
  <si>
    <t>Plus</t>
  </si>
  <si>
    <t>Xiaoice (fka Bombax)</t>
  </si>
  <si>
    <t>Hive (thehive.ai)</t>
  </si>
  <si>
    <t>Squirrel AI Learning</t>
  </si>
  <si>
    <t>SambaNova Systems</t>
  </si>
  <si>
    <t>EightFold AI</t>
  </si>
  <si>
    <t>ThoughtSpot</t>
  </si>
  <si>
    <t>Enflame</t>
  </si>
  <si>
    <t>Jasper</t>
  </si>
  <si>
    <t>Builder.ai</t>
  </si>
  <si>
    <t>Runway</t>
  </si>
  <si>
    <t>Paradox</t>
  </si>
  <si>
    <t>AI21 Labs</t>
  </si>
  <si>
    <t>Together AI (together.ai)</t>
  </si>
  <si>
    <t>Weights and Biases</t>
  </si>
  <si>
    <t>Tractable</t>
  </si>
  <si>
    <t>K Health</t>
  </si>
  <si>
    <t>Soterea</t>
  </si>
  <si>
    <t>Ada.cx (Toronto)</t>
  </si>
  <si>
    <t>Synthesia</t>
  </si>
  <si>
    <t>Stability AI</t>
  </si>
  <si>
    <t>Midjourney</t>
  </si>
  <si>
    <t>Adept AI</t>
  </si>
  <si>
    <t>Anyscale</t>
  </si>
  <si>
    <t>Typeface</t>
  </si>
  <si>
    <t>People.ai</t>
  </si>
  <si>
    <t>Glean</t>
  </si>
  <si>
    <t>Snorkel AI</t>
  </si>
  <si>
    <t>Tecton</t>
  </si>
  <si>
    <t>Deeproute</t>
  </si>
  <si>
    <t>Oosto (fka AnyVision)</t>
  </si>
  <si>
    <t>Parametrix AI</t>
  </si>
  <si>
    <t>Perplexity AI</t>
  </si>
  <si>
    <t>Vastai Technologies</t>
  </si>
  <si>
    <t>DeepL</t>
  </si>
  <si>
    <t>Observe.AI</t>
  </si>
  <si>
    <t>OpenSpace</t>
  </si>
  <si>
    <t>Shift Technology</t>
  </si>
  <si>
    <t>Labelbox</t>
  </si>
  <si>
    <t>Meero</t>
  </si>
  <si>
    <t>OctoML</t>
  </si>
  <si>
    <t>Pinecone</t>
  </si>
  <si>
    <t>Groq</t>
  </si>
  <si>
    <t>Weka</t>
  </si>
  <si>
    <t>Dataminr</t>
  </si>
  <si>
    <t>Descript</t>
  </si>
  <si>
    <t>Aisera</t>
  </si>
  <si>
    <t>Datarobot</t>
  </si>
  <si>
    <t>Domino Data Lab</t>
  </si>
  <si>
    <t>Path Robotics</t>
  </si>
  <si>
    <t>ContractpodAI</t>
  </si>
  <si>
    <t>Primer</t>
  </si>
  <si>
    <t>Digits</t>
  </si>
  <si>
    <t>Covariant</t>
  </si>
  <si>
    <t>Vianai</t>
  </si>
  <si>
    <t>Petuum</t>
  </si>
  <si>
    <t>Supremind</t>
  </si>
  <si>
    <t>Zhipu</t>
  </si>
  <si>
    <t>AMP Robotics</t>
  </si>
  <si>
    <t>H2O.ai</t>
  </si>
  <si>
    <t>ArteraAI (artera.ai)</t>
  </si>
  <si>
    <t>CloudFactory</t>
  </si>
  <si>
    <t>Rewind.ai</t>
  </si>
  <si>
    <t>Ada Health</t>
  </si>
  <si>
    <t>Sima.AI</t>
  </si>
  <si>
    <t>Voicemod</t>
  </si>
  <si>
    <t>Rossum</t>
  </si>
  <si>
    <t>Climavision</t>
  </si>
  <si>
    <t>Run:AI</t>
  </si>
  <si>
    <t>Relational.ai</t>
  </si>
  <si>
    <t>Cresta</t>
  </si>
  <si>
    <t>Helsing</t>
  </si>
  <si>
    <t>Akasa</t>
  </si>
  <si>
    <t>PolyAI</t>
  </si>
  <si>
    <t>Tome</t>
  </si>
  <si>
    <t>Abacus.AI</t>
  </si>
  <si>
    <t>Unlearn</t>
  </si>
  <si>
    <t>Replicate</t>
  </si>
  <si>
    <t>Fetch.ai</t>
  </si>
  <si>
    <t>Vedrai</t>
  </si>
  <si>
    <t>Infinitus Systems (infinitus.ai)</t>
  </si>
  <si>
    <t>Mistral AI</t>
  </si>
  <si>
    <t>Ascertain</t>
  </si>
  <si>
    <t>Ambi Robotics</t>
  </si>
  <si>
    <t>Gretel</t>
  </si>
  <si>
    <t>Comet</t>
  </si>
  <si>
    <t>Playground.ai</t>
  </si>
  <si>
    <t>Langchain</t>
  </si>
  <si>
    <t>Janitor AI</t>
  </si>
  <si>
    <t>D-ID.ai</t>
  </si>
  <si>
    <t>Reka</t>
  </si>
  <si>
    <t>Woebot Health</t>
  </si>
  <si>
    <t>Syllable</t>
  </si>
  <si>
    <t>GraphCore</t>
  </si>
  <si>
    <t>Artera (artera.io, Well Health)</t>
  </si>
  <si>
    <t>Skan.ai</t>
  </si>
  <si>
    <t>HarveyAI</t>
  </si>
  <si>
    <t>Weaviate</t>
  </si>
  <si>
    <t>Landing AI</t>
  </si>
  <si>
    <t>AssemblyAI</t>
  </si>
  <si>
    <t>Lightning AI</t>
  </si>
  <si>
    <t>AI Rudder</t>
  </si>
  <si>
    <t>Otter.ai</t>
  </si>
  <si>
    <t>Arthur</t>
  </si>
  <si>
    <t>Kumo.AI</t>
  </si>
  <si>
    <t>Fiddler AI</t>
  </si>
  <si>
    <t>d-Matrix</t>
  </si>
  <si>
    <t>Seekr Technologies</t>
  </si>
  <si>
    <t>Generally Intelligent</t>
  </si>
  <si>
    <t>Arize AI</t>
  </si>
  <si>
    <t>Mem</t>
  </si>
  <si>
    <t>Capacity</t>
  </si>
  <si>
    <t>Nabla</t>
  </si>
  <si>
    <t>Deci AI</t>
  </si>
  <si>
    <t>Aleph Alpha</t>
  </si>
  <si>
    <t>V7</t>
  </si>
  <si>
    <t>Inworld</t>
  </si>
  <si>
    <t>Magic (magic.dev)</t>
  </si>
  <si>
    <t>ExpressSteuer</t>
  </si>
  <si>
    <t>Datagen</t>
  </si>
  <si>
    <t>Merlyn Mind</t>
  </si>
  <si>
    <t>Unsupervised</t>
  </si>
  <si>
    <t>Curai Health</t>
  </si>
  <si>
    <t>Jina AI</t>
  </si>
  <si>
    <t>Modular</t>
  </si>
  <si>
    <t>Kili Technology</t>
  </si>
  <si>
    <t>John Snow Labs</t>
  </si>
  <si>
    <t>Rad AI</t>
  </si>
  <si>
    <t>The Applied AI Company</t>
  </si>
  <si>
    <t>Irreverant Labs</t>
  </si>
  <si>
    <t>Neo Cybernetica</t>
  </si>
  <si>
    <t>Keen Technologies</t>
  </si>
  <si>
    <t>AXON Networks</t>
  </si>
  <si>
    <t>Aiola</t>
  </si>
  <si>
    <t>Conjecture</t>
  </si>
  <si>
    <t>Eigen Technologies</t>
  </si>
  <si>
    <t>Exafunction</t>
  </si>
  <si>
    <t>Speak (usespeak.com) or speak.com?</t>
  </si>
  <si>
    <t>CLARA Analytics</t>
  </si>
  <si>
    <t>TruEra</t>
  </si>
  <si>
    <t>Workera</t>
  </si>
  <si>
    <t>Aporia</t>
  </si>
  <si>
    <t>Wizard</t>
  </si>
  <si>
    <t>Imagen</t>
  </si>
  <si>
    <t>Modal Labs</t>
  </si>
  <si>
    <t>Quantiphi</t>
  </si>
  <si>
    <t>Surge AI</t>
  </si>
  <si>
    <t>Upstage AI</t>
  </si>
  <si>
    <t>Hippocratic</t>
  </si>
  <si>
    <t>Predibase</t>
  </si>
  <si>
    <t>HumanSignal (fka Heartex)</t>
  </si>
  <si>
    <t>Aible</t>
  </si>
  <si>
    <t>Phaidra</t>
  </si>
  <si>
    <t>Protex AI</t>
  </si>
  <si>
    <t>Robust Intelligence</t>
  </si>
  <si>
    <t>Spicychat.ai</t>
  </si>
  <si>
    <t>NovelAI</t>
  </si>
  <si>
    <t>Nastia ai</t>
  </si>
  <si>
    <t>Anima ai (myanima.ai)</t>
  </si>
  <si>
    <t>Dreamily</t>
  </si>
  <si>
    <t>Chub.ai (chub.ai)</t>
  </si>
  <si>
    <t>Crushon.ai</t>
  </si>
  <si>
    <t>Chatfai</t>
  </si>
  <si>
    <t>Nr2</t>
  </si>
  <si>
    <t>Enlitic</t>
  </si>
  <si>
    <t>Writer (writer.com)</t>
  </si>
  <si>
    <t>Coiled</t>
  </si>
  <si>
    <t>Hebbia</t>
  </si>
  <si>
    <t>Outerbounds</t>
  </si>
  <si>
    <t>Superb AI</t>
  </si>
  <si>
    <t>Hyro</t>
  </si>
  <si>
    <t>Hour One</t>
  </si>
  <si>
    <t>Paravision</t>
  </si>
  <si>
    <t>hOS</t>
  </si>
  <si>
    <t>Spring Discovery</t>
  </si>
  <si>
    <t>Tonic</t>
  </si>
  <si>
    <t>Seldon</t>
  </si>
  <si>
    <t>Parallel Domain</t>
  </si>
  <si>
    <t>Replika</t>
  </si>
  <si>
    <t>Gantry</t>
  </si>
  <si>
    <t>Anyword</t>
  </si>
  <si>
    <t>Bardeen</t>
  </si>
  <si>
    <t>Mostly AI</t>
  </si>
  <si>
    <t>Axios HQ</t>
  </si>
  <si>
    <t>prezent.ai</t>
  </si>
  <si>
    <t>Wysa</t>
  </si>
  <si>
    <t>Utilidata</t>
  </si>
  <si>
    <t>HireEz</t>
  </si>
  <si>
    <t>Pieces</t>
  </si>
  <si>
    <t>Navina</t>
  </si>
  <si>
    <t>Relyance</t>
  </si>
  <si>
    <t>Pactum</t>
  </si>
  <si>
    <t>Wiz.ai</t>
  </si>
  <si>
    <t>Deepdub</t>
  </si>
  <si>
    <t>Daloopa</t>
  </si>
  <si>
    <t>Two Platforms (two.ai)</t>
  </si>
  <si>
    <t>Roboflow</t>
  </si>
  <si>
    <t>Rasgo</t>
  </si>
  <si>
    <t>Enchanted Tools</t>
  </si>
  <si>
    <t>Chroma</t>
  </si>
  <si>
    <t>Synthesis AI</t>
  </si>
  <si>
    <t>Alethea AI</t>
  </si>
  <si>
    <t>Torre</t>
  </si>
  <si>
    <t>WhyLabs</t>
  </si>
  <si>
    <t>Neural Magic</t>
  </si>
  <si>
    <t>Zuva</t>
  </si>
  <si>
    <t>Facet.ai</t>
  </si>
  <si>
    <t>Swapp</t>
  </si>
  <si>
    <t>EnCharge AI</t>
  </si>
  <si>
    <t>Ava</t>
  </si>
  <si>
    <t>Rain Neuromorphics</t>
  </si>
  <si>
    <t>ZeroEyes</t>
  </si>
  <si>
    <t>Essential AI</t>
  </si>
  <si>
    <t>Galileo</t>
  </si>
  <si>
    <t>Tabnine</t>
  </si>
  <si>
    <t>Noogata</t>
  </si>
  <si>
    <t>Regie.ai</t>
  </si>
  <si>
    <t>Botpress</t>
  </si>
  <si>
    <t>Spellbook (Rally)</t>
  </si>
  <si>
    <t>Xembly</t>
  </si>
  <si>
    <t>Abridge</t>
  </si>
  <si>
    <t>Gan.ai</t>
  </si>
  <si>
    <t>Tenyx</t>
  </si>
  <si>
    <t>Encord</t>
  </si>
  <si>
    <t>SuperAnnotate</t>
  </si>
  <si>
    <t>Graft</t>
  </si>
  <si>
    <t>Zowie</t>
  </si>
  <si>
    <t>Mind Foundry</t>
  </si>
  <si>
    <t>Haiper</t>
  </si>
  <si>
    <t>Hume AI</t>
  </si>
  <si>
    <t>Bridgewise</t>
  </si>
  <si>
    <t>Vectice</t>
  </si>
  <si>
    <t>Numbers Station</t>
  </si>
  <si>
    <t>Credo AI</t>
  </si>
  <si>
    <t>Voxel51</t>
  </si>
  <si>
    <t>Synthetaic</t>
  </si>
  <si>
    <t>Faros AI</t>
  </si>
  <si>
    <t>Paperspace</t>
  </si>
  <si>
    <t>Baseten</t>
  </si>
  <si>
    <t>LatticeFlow</t>
  </si>
  <si>
    <t>Fixie.ai</t>
  </si>
  <si>
    <t>CopyAI</t>
  </si>
  <si>
    <t>ClearML (fka Allegro AI)</t>
  </si>
  <si>
    <t>Lavender</t>
  </si>
  <si>
    <t>Rephrase.ai</t>
  </si>
  <si>
    <t>CodiumAI</t>
  </si>
  <si>
    <t>Robin AI</t>
  </si>
  <si>
    <t>Kinetix</t>
  </si>
  <si>
    <t>Capitol</t>
  </si>
  <si>
    <t>Wispr</t>
  </si>
  <si>
    <t>Copysmith</t>
  </si>
  <si>
    <t>Kogniz</t>
  </si>
  <si>
    <t>Wellsaid</t>
  </si>
  <si>
    <t>Ask-AI</t>
  </si>
  <si>
    <t>Wonder Dynamics</t>
  </si>
  <si>
    <t>Yembo</t>
  </si>
  <si>
    <t>One AI</t>
  </si>
  <si>
    <t>Vcat.ai (Pion)</t>
  </si>
  <si>
    <t>Hopsworks (Logical Clocks)</t>
  </si>
  <si>
    <t>Hidden Door</t>
  </si>
  <si>
    <t>Rosebud</t>
  </si>
  <si>
    <t>Kognitos</t>
  </si>
  <si>
    <t>Birdie</t>
  </si>
  <si>
    <t>Orby AI</t>
  </si>
  <si>
    <t>Telmai</t>
  </si>
  <si>
    <t>NinjaTech AI</t>
  </si>
  <si>
    <t>Kubiya.ai</t>
  </si>
  <si>
    <t>Dust</t>
  </si>
  <si>
    <t>Yoodli</t>
  </si>
  <si>
    <t>Mimica Automation</t>
  </si>
  <si>
    <t>Waymark</t>
  </si>
  <si>
    <t>DarwinAI</t>
  </si>
  <si>
    <t>Common Sense Machines</t>
  </si>
  <si>
    <t>Writesonic</t>
  </si>
  <si>
    <t>Workhack</t>
  </si>
  <si>
    <t>Booth AI</t>
  </si>
  <si>
    <t>Play.HT</t>
  </si>
  <si>
    <t>Voice AI</t>
  </si>
  <si>
    <t>Arithmer</t>
  </si>
  <si>
    <t>Koxy AI</t>
  </si>
  <si>
    <t>Supernormal</t>
  </si>
  <si>
    <t>MURF.AI</t>
  </si>
  <si>
    <t>Got It AI</t>
  </si>
  <si>
    <t>Docugami</t>
  </si>
  <si>
    <t>Glass Health</t>
  </si>
  <si>
    <t>SapientAI</t>
  </si>
  <si>
    <t>Autonomize AI</t>
  </si>
  <si>
    <t>Twosense.ai</t>
  </si>
  <si>
    <t>Fabi.ai</t>
  </si>
  <si>
    <t>Neptune AI</t>
  </si>
  <si>
    <t>Omneky</t>
  </si>
  <si>
    <t>OthersideAI</t>
  </si>
  <si>
    <t>norby.io</t>
  </si>
  <si>
    <t>Tymely</t>
  </si>
  <si>
    <t>Retrocausal</t>
  </si>
  <si>
    <t>Resemble.ai</t>
  </si>
  <si>
    <t>Consensus</t>
  </si>
  <si>
    <t>Pictory</t>
  </si>
  <si>
    <t>Datrics</t>
  </si>
  <si>
    <t>DeepMotion</t>
  </si>
  <si>
    <t>Intrinsic</t>
  </si>
  <si>
    <t>Bravo</t>
  </si>
  <si>
    <t>DL Software</t>
  </si>
  <si>
    <t>Mason</t>
  </si>
  <si>
    <t>Luminai</t>
  </si>
  <si>
    <t>Inceptive</t>
  </si>
  <si>
    <t>Fellow AI</t>
  </si>
  <si>
    <t>Lovo</t>
  </si>
  <si>
    <t>togetherAI</t>
  </si>
  <si>
    <t>Verta.ai</t>
  </si>
  <si>
    <t>Pirr.app</t>
  </si>
  <si>
    <t>Ada (ada.place, rental AI)</t>
  </si>
  <si>
    <t>RizzGPT (rizzgpt.app)</t>
  </si>
  <si>
    <t>Faraday.dev</t>
  </si>
  <si>
    <t>GooseAI</t>
  </si>
  <si>
    <t>Goose-AI</t>
  </si>
  <si>
    <t>Holo</t>
  </si>
  <si>
    <t>Chai (app, Chai Research Corp, Chai.ml)</t>
  </si>
  <si>
    <t>KoboldAI (Github)</t>
  </si>
  <si>
    <t>Agnaistic</t>
  </si>
  <si>
    <t>InferKit</t>
  </si>
  <si>
    <t>Rad AI (Santa Monica, CA)</t>
  </si>
  <si>
    <t>TextSynth</t>
  </si>
  <si>
    <t>ElevateAI</t>
  </si>
  <si>
    <t>Coachvox AI</t>
  </si>
  <si>
    <t>Sidney.ai</t>
  </si>
  <si>
    <t>Hemison.ai</t>
  </si>
  <si>
    <t>sudowrite</t>
  </si>
  <si>
    <t>Banana.dev</t>
  </si>
  <si>
    <t>Grit</t>
  </si>
  <si>
    <t>Censius</t>
  </si>
  <si>
    <t>https://course.fast.ai/Resources/book.html</t>
  </si>
  <si>
    <t>https://github.com/fastai/fastbook</t>
  </si>
  <si>
    <t>Courses</t>
  </si>
  <si>
    <t>https://www.youtube.com/playlist?list=PL_iWQOsE6TfVmKkQHucjPAoRtIJYt8a5A</t>
  </si>
  <si>
    <t>Cambricon Technologies</t>
  </si>
  <si>
    <t>688256.SS</t>
  </si>
  <si>
    <t>ABE</t>
  </si>
  <si>
    <t>CoreWeave</t>
  </si>
  <si>
    <t>CRBS</t>
  </si>
  <si>
    <t>Aurora Innovation</t>
  </si>
  <si>
    <t>AUR</t>
  </si>
  <si>
    <t>Mobileeye</t>
  </si>
  <si>
    <t>ISR</t>
  </si>
  <si>
    <t>PonyAI</t>
  </si>
  <si>
    <t>CHI</t>
  </si>
  <si>
    <t>SoundHoundAI</t>
  </si>
  <si>
    <t>AMSL</t>
  </si>
  <si>
    <t>SandDisk</t>
  </si>
  <si>
    <t>Seagate Tech</t>
  </si>
  <si>
    <t>DeepSeek</t>
  </si>
  <si>
    <t>Moonshot AI</t>
  </si>
  <si>
    <t>NBSE</t>
  </si>
  <si>
    <t>OpenRexr</t>
  </si>
  <si>
    <t>C3.Ai</t>
  </si>
  <si>
    <t>Arm Holdings</t>
  </si>
  <si>
    <t>Marvell Tech</t>
  </si>
  <si>
    <t>Palp Alto</t>
  </si>
  <si>
    <t>Thinking Machine Labs</t>
  </si>
  <si>
    <t>Safe Superintelligence</t>
  </si>
  <si>
    <t>Reka AI</t>
  </si>
  <si>
    <t>SPCX</t>
  </si>
  <si>
    <t>Q127</t>
  </si>
  <si>
    <t xml:space="preserve">Quantinuum </t>
  </si>
  <si>
    <t>QNT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</si>
</sst>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6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  <font>
      <i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59" fillId="0" borderId="0" applyFill="0" applyBorder="0" applyAlignment="0" applyProtection="0"/>
    <xf numFmtId="0" fontId="43" fillId="0" borderId="0" applyNumberFormat="0" applyFill="0" applyBorder="0" applyAlignment="0" applyProtection="0"/>
    <xf numFmtId="0" fontId="44" fillId="0" borderId="4" applyNumberFormat="0" applyFill="0" applyAlignment="0" applyProtection="0"/>
    <xf numFmtId="0" fontId="45" fillId="0" borderId="5" applyNumberFormat="0" applyFill="0" applyAlignment="0" applyProtection="0"/>
    <xf numFmtId="0" fontId="46" fillId="0" borderId="6" applyNumberFormat="0" applyFill="0" applyAlignment="0" applyProtection="0"/>
    <xf numFmtId="0" fontId="46" fillId="0" borderId="0" applyNumberFormat="0" applyFill="0" applyBorder="0" applyAlignment="0" applyProtection="0"/>
    <xf numFmtId="0" fontId="47" fillId="3" borderId="0" applyNumberFormat="0" applyBorder="0" applyAlignment="0" applyProtection="0"/>
    <xf numFmtId="0" fontId="48" fillId="4" borderId="0" applyNumberFormat="0" applyBorder="0" applyAlignment="0" applyProtection="0"/>
    <xf numFmtId="0" fontId="49" fillId="5" borderId="0" applyNumberFormat="0" applyBorder="0" applyAlignment="0" applyProtection="0"/>
    <xf numFmtId="0" fontId="50" fillId="6" borderId="7" applyNumberFormat="0" applyAlignment="0" applyProtection="0"/>
    <xf numFmtId="0" fontId="51" fillId="7" borderId="8" applyNumberFormat="0" applyAlignment="0" applyProtection="0"/>
    <xf numFmtId="0" fontId="52" fillId="7" borderId="7" applyNumberFormat="0" applyAlignment="0" applyProtection="0"/>
    <xf numFmtId="0" fontId="53" fillId="0" borderId="9" applyNumberFormat="0" applyFill="0" applyAlignment="0" applyProtection="0"/>
    <xf numFmtId="0" fontId="54" fillId="8" borderId="10" applyNumberFormat="0" applyAlignment="0" applyProtection="0"/>
    <xf numFmtId="0" fontId="55" fillId="0" borderId="0" applyNumberFormat="0" applyFill="0" applyBorder="0" applyAlignment="0" applyProtection="0"/>
    <xf numFmtId="0" fontId="42" fillId="9" borderId="11" applyNumberFormat="0" applyFont="0" applyAlignment="0" applyProtection="0"/>
    <xf numFmtId="0" fontId="56" fillId="0" borderId="0" applyNumberFormat="0" applyFill="0" applyBorder="0" applyAlignment="0" applyProtection="0"/>
    <xf numFmtId="0" fontId="38" fillId="0" borderId="12" applyNumberFormat="0" applyFill="0" applyAlignment="0" applyProtection="0"/>
    <xf numFmtId="0" fontId="57" fillId="10" borderId="0" applyNumberFormat="0" applyBorder="0" applyAlignment="0" applyProtection="0"/>
    <xf numFmtId="0" fontId="42" fillId="11" borderId="0" applyNumberFormat="0" applyBorder="0" applyAlignment="0" applyProtection="0"/>
    <xf numFmtId="0" fontId="42" fillId="12" borderId="0" applyNumberFormat="0" applyBorder="0" applyAlignment="0" applyProtection="0"/>
    <xf numFmtId="0" fontId="42" fillId="13" borderId="0" applyNumberFormat="0" applyBorder="0" applyAlignment="0" applyProtection="0"/>
    <xf numFmtId="0" fontId="57" fillId="14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7" borderId="0" applyNumberFormat="0" applyBorder="0" applyAlignment="0" applyProtection="0"/>
    <xf numFmtId="0" fontId="57" fillId="18" borderId="0" applyNumberFormat="0" applyBorder="0" applyAlignment="0" applyProtection="0"/>
    <xf numFmtId="0" fontId="42" fillId="19" borderId="0" applyNumberFormat="0" applyBorder="0" applyAlignment="0" applyProtection="0"/>
    <xf numFmtId="0" fontId="42" fillId="20" borderId="0" applyNumberFormat="0" applyBorder="0" applyAlignment="0" applyProtection="0"/>
    <xf numFmtId="0" fontId="42" fillId="21" borderId="0" applyNumberFormat="0" applyBorder="0" applyAlignment="0" applyProtection="0"/>
    <xf numFmtId="0" fontId="57" fillId="22" borderId="0" applyNumberFormat="0" applyBorder="0" applyAlignment="0" applyProtection="0"/>
    <xf numFmtId="0" fontId="42" fillId="23" borderId="0" applyNumberFormat="0" applyBorder="0" applyAlignment="0" applyProtection="0"/>
    <xf numFmtId="0" fontId="42" fillId="24" borderId="0" applyNumberFormat="0" applyBorder="0" applyAlignment="0" applyProtection="0"/>
    <xf numFmtId="0" fontId="42" fillId="25" borderId="0" applyNumberFormat="0" applyBorder="0" applyAlignment="0" applyProtection="0"/>
    <xf numFmtId="0" fontId="57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29" borderId="0" applyNumberFormat="0" applyBorder="0" applyAlignment="0" applyProtection="0"/>
    <xf numFmtId="0" fontId="57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3" borderId="0" applyNumberFormat="0" applyBorder="0" applyAlignment="0" applyProtection="0"/>
    <xf numFmtId="0" fontId="6" fillId="0" borderId="0"/>
    <xf numFmtId="0" fontId="42" fillId="0" borderId="0"/>
  </cellStyleXfs>
  <cellXfs count="71">
    <xf numFmtId="0" fontId="0" fillId="0" borderId="0" xfId="0"/>
    <xf numFmtId="0" fontId="39" fillId="0" borderId="0" xfId="0" applyFont="1"/>
    <xf numFmtId="0" fontId="40" fillId="0" borderId="0" xfId="0" applyFont="1"/>
    <xf numFmtId="0" fontId="41" fillId="0" borderId="0" xfId="0" applyFont="1"/>
    <xf numFmtId="0" fontId="37" fillId="0" borderId="0" xfId="0" applyFont="1"/>
    <xf numFmtId="0" fontId="37" fillId="0" borderId="0" xfId="0" applyFont="1" applyAlignment="1">
      <alignment horizontal="right"/>
    </xf>
    <xf numFmtId="0" fontId="58" fillId="0" borderId="0" xfId="0" applyFont="1"/>
    <xf numFmtId="0" fontId="40" fillId="2" borderId="1" xfId="0" applyFont="1" applyFill="1" applyBorder="1" applyAlignment="1">
      <alignment horizontal="center"/>
    </xf>
    <xf numFmtId="0" fontId="40" fillId="2" borderId="2" xfId="0" applyFont="1" applyFill="1" applyBorder="1"/>
    <xf numFmtId="0" fontId="40" fillId="2" borderId="2" xfId="0" applyFont="1" applyFill="1" applyBorder="1" applyAlignment="1">
      <alignment horizontal="center"/>
    </xf>
    <xf numFmtId="0" fontId="40" fillId="2" borderId="2" xfId="0" applyFont="1" applyFill="1" applyBorder="1" applyAlignment="1">
      <alignment horizontal="right"/>
    </xf>
    <xf numFmtId="0" fontId="37" fillId="2" borderId="3" xfId="0" applyFont="1" applyFill="1" applyBorder="1"/>
    <xf numFmtId="0" fontId="37" fillId="0" borderId="0" xfId="0" applyFont="1" applyAlignment="1">
      <alignment horizontal="center"/>
    </xf>
    <xf numFmtId="0" fontId="59" fillId="0" borderId="0" xfId="1"/>
    <xf numFmtId="164" fontId="37" fillId="0" borderId="0" xfId="0" applyNumberFormat="1" applyFont="1"/>
    <xf numFmtId="16" fontId="37" fillId="0" borderId="0" xfId="0" applyNumberFormat="1" applyFont="1"/>
    <xf numFmtId="0" fontId="60" fillId="0" borderId="0" xfId="0" applyFont="1"/>
    <xf numFmtId="0" fontId="37" fillId="0" borderId="0" xfId="0" quotePrefix="1" applyFont="1"/>
    <xf numFmtId="0" fontId="58" fillId="0" borderId="0" xfId="0" applyFont="1" applyAlignment="1">
      <alignment horizontal="right"/>
    </xf>
    <xf numFmtId="0" fontId="37" fillId="2" borderId="2" xfId="0" applyFont="1" applyFill="1" applyBorder="1"/>
    <xf numFmtId="0" fontId="40" fillId="2" borderId="3" xfId="0" applyFont="1" applyFill="1" applyBorder="1"/>
    <xf numFmtId="0" fontId="36" fillId="0" borderId="0" xfId="0" applyFont="1" applyAlignment="1">
      <alignment horizontal="right"/>
    </xf>
    <xf numFmtId="0" fontId="35" fillId="0" borderId="0" xfId="0" applyFont="1" applyAlignment="1">
      <alignment horizontal="right"/>
    </xf>
    <xf numFmtId="0" fontId="34" fillId="0" borderId="0" xfId="0" applyFont="1" applyAlignment="1">
      <alignment horizontal="right"/>
    </xf>
    <xf numFmtId="0" fontId="33" fillId="0" borderId="0" xfId="0" applyFont="1"/>
    <xf numFmtId="0" fontId="33" fillId="0" borderId="0" xfId="0" applyFont="1" applyAlignment="1">
      <alignment horizontal="right"/>
    </xf>
    <xf numFmtId="0" fontId="32" fillId="0" borderId="0" xfId="0" applyFont="1" applyAlignment="1">
      <alignment horizontal="right"/>
    </xf>
    <xf numFmtId="0" fontId="31" fillId="0" borderId="0" xfId="0" applyFont="1" applyAlignment="1">
      <alignment horizontal="right"/>
    </xf>
    <xf numFmtId="0" fontId="30" fillId="0" borderId="0" xfId="0" applyFont="1" applyAlignment="1">
      <alignment horizontal="right"/>
    </xf>
    <xf numFmtId="0" fontId="29" fillId="0" borderId="0" xfId="0" applyFont="1" applyAlignment="1">
      <alignment horizontal="right"/>
    </xf>
    <xf numFmtId="0" fontId="28" fillId="0" borderId="0" xfId="0" applyFont="1" applyAlignment="1">
      <alignment horizontal="right"/>
    </xf>
    <xf numFmtId="164" fontId="28" fillId="0" borderId="0" xfId="0" applyNumberFormat="1" applyFont="1"/>
    <xf numFmtId="0" fontId="27" fillId="0" borderId="0" xfId="0" applyFont="1" applyAlignment="1">
      <alignment horizontal="right"/>
    </xf>
    <xf numFmtId="0" fontId="26" fillId="0" borderId="0" xfId="0" applyFont="1" applyAlignment="1">
      <alignment horizontal="right"/>
    </xf>
    <xf numFmtId="0" fontId="25" fillId="0" borderId="0" xfId="0" applyFont="1" applyAlignment="1">
      <alignment horizontal="right"/>
    </xf>
    <xf numFmtId="0" fontId="24" fillId="0" borderId="0" xfId="0" applyFont="1" applyAlignment="1">
      <alignment horizontal="right"/>
    </xf>
    <xf numFmtId="0" fontId="23" fillId="0" borderId="0" xfId="0" applyFont="1"/>
    <xf numFmtId="0" fontId="22" fillId="0" borderId="0" xfId="0" applyFont="1" applyAlignment="1">
      <alignment horizontal="right"/>
    </xf>
    <xf numFmtId="0" fontId="21" fillId="0" borderId="0" xfId="0" applyFont="1" applyAlignment="1">
      <alignment horizontal="right"/>
    </xf>
    <xf numFmtId="0" fontId="20" fillId="0" borderId="0" xfId="0" applyFont="1"/>
    <xf numFmtId="0" fontId="20" fillId="0" borderId="0" xfId="0" applyFont="1" applyAlignment="1">
      <alignment horizontal="right"/>
    </xf>
    <xf numFmtId="0" fontId="19" fillId="0" borderId="0" xfId="0" applyFont="1" applyAlignment="1">
      <alignment horizontal="right"/>
    </xf>
    <xf numFmtId="0" fontId="18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15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13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0" fontId="11" fillId="0" borderId="0" xfId="0" applyFont="1"/>
    <xf numFmtId="0" fontId="10" fillId="0" borderId="0" xfId="0" applyFont="1" applyAlignment="1">
      <alignment horizontal="right"/>
    </xf>
    <xf numFmtId="0" fontId="10" fillId="0" borderId="0" xfId="0" applyFont="1"/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44" applyFont="1"/>
    <xf numFmtId="0" fontId="4" fillId="0" borderId="0" xfId="44" applyFont="1" applyAlignment="1">
      <alignment horizontal="center"/>
    </xf>
    <xf numFmtId="0" fontId="40" fillId="0" borderId="0" xfId="44" applyFont="1"/>
    <xf numFmtId="0" fontId="40" fillId="0" borderId="0" xfId="44" applyFont="1" applyAlignment="1">
      <alignment horizontal="center"/>
    </xf>
    <xf numFmtId="0" fontId="61" fillId="0" borderId="0" xfId="44" applyFont="1"/>
    <xf numFmtId="0" fontId="61" fillId="0" borderId="0" xfId="44" applyFont="1" applyAlignment="1">
      <alignment horizontal="center"/>
    </xf>
    <xf numFmtId="3" fontId="4" fillId="0" borderId="0" xfId="44" applyNumberFormat="1" applyFont="1" applyAlignment="1">
      <alignment horizontal="right"/>
    </xf>
    <xf numFmtId="0" fontId="4" fillId="0" borderId="0" xfId="43" applyFont="1"/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2" fillId="0" borderId="0" xfId="0" applyFont="1" applyAlignment="1">
      <alignment horizontal="right"/>
    </xf>
    <xf numFmtId="0" fontId="1" fillId="0" borderId="0" xfId="0" applyFont="1"/>
  </cellXfs>
  <cellStyles count="45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4" xr:uid="{D2919AD1-436A-4B1E-967A-C57DB758254C}"/>
    <cellStyle name="Normal 3" xfId="43" xr:uid="{2581BC2D-B881-4A18-BF21-93A904FE738B}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5.xml"/><Relationship Id="rId21" Type="http://schemas.openxmlformats.org/officeDocument/2006/relationships/externalLink" Target="externalLinks/externalLink10.xml"/><Relationship Id="rId42" Type="http://schemas.openxmlformats.org/officeDocument/2006/relationships/externalLink" Target="externalLinks/externalLink31.xml"/><Relationship Id="rId47" Type="http://schemas.openxmlformats.org/officeDocument/2006/relationships/externalLink" Target="externalLinks/externalLink36.xml"/><Relationship Id="rId63" Type="http://schemas.openxmlformats.org/officeDocument/2006/relationships/externalLink" Target="externalLinks/externalLink52.xml"/><Relationship Id="rId68" Type="http://schemas.openxmlformats.org/officeDocument/2006/relationships/externalLink" Target="externalLinks/externalLink57.xml"/><Relationship Id="rId84" Type="http://schemas.openxmlformats.org/officeDocument/2006/relationships/externalLink" Target="externalLinks/externalLink73.xml"/><Relationship Id="rId89" Type="http://schemas.openxmlformats.org/officeDocument/2006/relationships/externalLink" Target="externalLinks/externalLink78.xml"/><Relationship Id="rId16" Type="http://schemas.openxmlformats.org/officeDocument/2006/relationships/externalLink" Target="externalLinks/externalLink5.xml"/><Relationship Id="rId107" Type="http://schemas.openxmlformats.org/officeDocument/2006/relationships/externalLink" Target="externalLinks/externalLink96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1.xml"/><Relationship Id="rId37" Type="http://schemas.openxmlformats.org/officeDocument/2006/relationships/externalLink" Target="externalLinks/externalLink26.xml"/><Relationship Id="rId53" Type="http://schemas.openxmlformats.org/officeDocument/2006/relationships/externalLink" Target="externalLinks/externalLink42.xml"/><Relationship Id="rId58" Type="http://schemas.openxmlformats.org/officeDocument/2006/relationships/externalLink" Target="externalLinks/externalLink47.xml"/><Relationship Id="rId74" Type="http://schemas.openxmlformats.org/officeDocument/2006/relationships/externalLink" Target="externalLinks/externalLink63.xml"/><Relationship Id="rId79" Type="http://schemas.openxmlformats.org/officeDocument/2006/relationships/externalLink" Target="externalLinks/externalLink68.xml"/><Relationship Id="rId102" Type="http://schemas.openxmlformats.org/officeDocument/2006/relationships/externalLink" Target="externalLinks/externalLink91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9.xml"/><Relationship Id="rId95" Type="http://schemas.openxmlformats.org/officeDocument/2006/relationships/externalLink" Target="externalLinks/externalLink84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43" Type="http://schemas.openxmlformats.org/officeDocument/2006/relationships/externalLink" Target="externalLinks/externalLink32.xml"/><Relationship Id="rId48" Type="http://schemas.openxmlformats.org/officeDocument/2006/relationships/externalLink" Target="externalLinks/externalLink37.xml"/><Relationship Id="rId64" Type="http://schemas.openxmlformats.org/officeDocument/2006/relationships/externalLink" Target="externalLinks/externalLink53.xml"/><Relationship Id="rId69" Type="http://schemas.openxmlformats.org/officeDocument/2006/relationships/externalLink" Target="externalLinks/externalLink58.xml"/><Relationship Id="rId80" Type="http://schemas.openxmlformats.org/officeDocument/2006/relationships/externalLink" Target="externalLinks/externalLink69.xml"/><Relationship Id="rId85" Type="http://schemas.openxmlformats.org/officeDocument/2006/relationships/externalLink" Target="externalLinks/externalLink74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33" Type="http://schemas.openxmlformats.org/officeDocument/2006/relationships/externalLink" Target="externalLinks/externalLink22.xml"/><Relationship Id="rId38" Type="http://schemas.openxmlformats.org/officeDocument/2006/relationships/externalLink" Target="externalLinks/externalLink27.xml"/><Relationship Id="rId59" Type="http://schemas.openxmlformats.org/officeDocument/2006/relationships/externalLink" Target="externalLinks/externalLink48.xml"/><Relationship Id="rId103" Type="http://schemas.openxmlformats.org/officeDocument/2006/relationships/externalLink" Target="externalLinks/externalLink92.xml"/><Relationship Id="rId108" Type="http://schemas.openxmlformats.org/officeDocument/2006/relationships/theme" Target="theme/theme1.xml"/><Relationship Id="rId54" Type="http://schemas.openxmlformats.org/officeDocument/2006/relationships/externalLink" Target="externalLinks/externalLink43.xml"/><Relationship Id="rId70" Type="http://schemas.openxmlformats.org/officeDocument/2006/relationships/externalLink" Target="externalLinks/externalLink59.xml"/><Relationship Id="rId75" Type="http://schemas.openxmlformats.org/officeDocument/2006/relationships/externalLink" Target="externalLinks/externalLink64.xml"/><Relationship Id="rId91" Type="http://schemas.openxmlformats.org/officeDocument/2006/relationships/externalLink" Target="externalLinks/externalLink80.xml"/><Relationship Id="rId96" Type="http://schemas.openxmlformats.org/officeDocument/2006/relationships/externalLink" Target="externalLinks/externalLink8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externalLink" Target="externalLinks/externalLink25.xml"/><Relationship Id="rId49" Type="http://schemas.openxmlformats.org/officeDocument/2006/relationships/externalLink" Target="externalLinks/externalLink38.xml"/><Relationship Id="rId57" Type="http://schemas.openxmlformats.org/officeDocument/2006/relationships/externalLink" Target="externalLinks/externalLink46.xml"/><Relationship Id="rId106" Type="http://schemas.openxmlformats.org/officeDocument/2006/relationships/externalLink" Target="externalLinks/externalLink9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20.xml"/><Relationship Id="rId44" Type="http://schemas.openxmlformats.org/officeDocument/2006/relationships/externalLink" Target="externalLinks/externalLink33.xml"/><Relationship Id="rId52" Type="http://schemas.openxmlformats.org/officeDocument/2006/relationships/externalLink" Target="externalLinks/externalLink41.xml"/><Relationship Id="rId60" Type="http://schemas.openxmlformats.org/officeDocument/2006/relationships/externalLink" Target="externalLinks/externalLink49.xml"/><Relationship Id="rId65" Type="http://schemas.openxmlformats.org/officeDocument/2006/relationships/externalLink" Target="externalLinks/externalLink54.xml"/><Relationship Id="rId73" Type="http://schemas.openxmlformats.org/officeDocument/2006/relationships/externalLink" Target="externalLinks/externalLink62.xml"/><Relationship Id="rId78" Type="http://schemas.openxmlformats.org/officeDocument/2006/relationships/externalLink" Target="externalLinks/externalLink67.xml"/><Relationship Id="rId81" Type="http://schemas.openxmlformats.org/officeDocument/2006/relationships/externalLink" Target="externalLinks/externalLink70.xml"/><Relationship Id="rId86" Type="http://schemas.openxmlformats.org/officeDocument/2006/relationships/externalLink" Target="externalLinks/externalLink75.xml"/><Relationship Id="rId94" Type="http://schemas.openxmlformats.org/officeDocument/2006/relationships/externalLink" Target="externalLinks/externalLink83.xml"/><Relationship Id="rId99" Type="http://schemas.openxmlformats.org/officeDocument/2006/relationships/externalLink" Target="externalLinks/externalLink88.xml"/><Relationship Id="rId101" Type="http://schemas.openxmlformats.org/officeDocument/2006/relationships/externalLink" Target="externalLinks/externalLink9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39" Type="http://schemas.openxmlformats.org/officeDocument/2006/relationships/externalLink" Target="externalLinks/externalLink28.xml"/><Relationship Id="rId109" Type="http://schemas.openxmlformats.org/officeDocument/2006/relationships/styles" Target="styles.xml"/><Relationship Id="rId34" Type="http://schemas.openxmlformats.org/officeDocument/2006/relationships/externalLink" Target="externalLinks/externalLink23.xml"/><Relationship Id="rId50" Type="http://schemas.openxmlformats.org/officeDocument/2006/relationships/externalLink" Target="externalLinks/externalLink39.xml"/><Relationship Id="rId55" Type="http://schemas.openxmlformats.org/officeDocument/2006/relationships/externalLink" Target="externalLinks/externalLink44.xml"/><Relationship Id="rId76" Type="http://schemas.openxmlformats.org/officeDocument/2006/relationships/externalLink" Target="externalLinks/externalLink65.xml"/><Relationship Id="rId97" Type="http://schemas.openxmlformats.org/officeDocument/2006/relationships/externalLink" Target="externalLinks/externalLink86.xml"/><Relationship Id="rId104" Type="http://schemas.openxmlformats.org/officeDocument/2006/relationships/externalLink" Target="externalLinks/externalLink93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0.xml"/><Relationship Id="rId92" Type="http://schemas.openxmlformats.org/officeDocument/2006/relationships/externalLink" Target="externalLinks/externalLink81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8.xml"/><Relationship Id="rId24" Type="http://schemas.openxmlformats.org/officeDocument/2006/relationships/externalLink" Target="externalLinks/externalLink13.xml"/><Relationship Id="rId40" Type="http://schemas.openxmlformats.org/officeDocument/2006/relationships/externalLink" Target="externalLinks/externalLink29.xml"/><Relationship Id="rId45" Type="http://schemas.openxmlformats.org/officeDocument/2006/relationships/externalLink" Target="externalLinks/externalLink34.xml"/><Relationship Id="rId66" Type="http://schemas.openxmlformats.org/officeDocument/2006/relationships/externalLink" Target="externalLinks/externalLink55.xml"/><Relationship Id="rId87" Type="http://schemas.openxmlformats.org/officeDocument/2006/relationships/externalLink" Target="externalLinks/externalLink76.xml"/><Relationship Id="rId110" Type="http://schemas.openxmlformats.org/officeDocument/2006/relationships/sharedStrings" Target="sharedStrings.xml"/><Relationship Id="rId61" Type="http://schemas.openxmlformats.org/officeDocument/2006/relationships/externalLink" Target="externalLinks/externalLink50.xml"/><Relationship Id="rId82" Type="http://schemas.openxmlformats.org/officeDocument/2006/relationships/externalLink" Target="externalLinks/externalLink71.xml"/><Relationship Id="rId1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3.xml"/><Relationship Id="rId30" Type="http://schemas.openxmlformats.org/officeDocument/2006/relationships/externalLink" Target="externalLinks/externalLink19.xml"/><Relationship Id="rId35" Type="http://schemas.openxmlformats.org/officeDocument/2006/relationships/externalLink" Target="externalLinks/externalLink24.xml"/><Relationship Id="rId56" Type="http://schemas.openxmlformats.org/officeDocument/2006/relationships/externalLink" Target="externalLinks/externalLink45.xml"/><Relationship Id="rId77" Type="http://schemas.openxmlformats.org/officeDocument/2006/relationships/externalLink" Target="externalLinks/externalLink66.xml"/><Relationship Id="rId100" Type="http://schemas.openxmlformats.org/officeDocument/2006/relationships/externalLink" Target="externalLinks/externalLink89.xml"/><Relationship Id="rId105" Type="http://schemas.openxmlformats.org/officeDocument/2006/relationships/externalLink" Target="externalLinks/externalLink94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0.xml"/><Relationship Id="rId72" Type="http://schemas.openxmlformats.org/officeDocument/2006/relationships/externalLink" Target="externalLinks/externalLink61.xml"/><Relationship Id="rId93" Type="http://schemas.openxmlformats.org/officeDocument/2006/relationships/externalLink" Target="externalLinks/externalLink82.xml"/><Relationship Id="rId98" Type="http://schemas.openxmlformats.org/officeDocument/2006/relationships/externalLink" Target="externalLinks/externalLink87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4.xml"/><Relationship Id="rId46" Type="http://schemas.openxmlformats.org/officeDocument/2006/relationships/externalLink" Target="externalLinks/externalLink35.xml"/><Relationship Id="rId67" Type="http://schemas.openxmlformats.org/officeDocument/2006/relationships/externalLink" Target="externalLinks/externalLink56.xml"/><Relationship Id="rId20" Type="http://schemas.openxmlformats.org/officeDocument/2006/relationships/externalLink" Target="externalLinks/externalLink9.xml"/><Relationship Id="rId41" Type="http://schemas.openxmlformats.org/officeDocument/2006/relationships/externalLink" Target="externalLinks/externalLink30.xml"/><Relationship Id="rId62" Type="http://schemas.openxmlformats.org/officeDocument/2006/relationships/externalLink" Target="externalLinks/externalLink51.xml"/><Relationship Id="rId83" Type="http://schemas.openxmlformats.org/officeDocument/2006/relationships/externalLink" Target="externalLinks/externalLink72.xml"/><Relationship Id="rId88" Type="http://schemas.openxmlformats.org/officeDocument/2006/relationships/externalLink" Target="externalLinks/externalLink77.xml"/><Relationship Id="rId111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VDA.xlsx" TargetMode="External"/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FT.xlsx" TargetMode="External"/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APL.xlsx" TargetMode="External"/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G.xlsx" TargetMode="External"/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ZN.xlsx" TargetMode="External"/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ta.xlsx" TargetMode="External"/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LA.xlsx" TargetMode="External"/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VGO.xlsx" TargetMode="External"/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RCL.xlsx" TargetMode="External"/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M.xlsx" TargetMode="External"/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ECHY.xlsx" TargetMode="External"/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ML.xlsx" TargetMode="External"/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05930.KS.xlsx" TargetMode="External"/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FLX.xlsx" TargetMode="External"/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LTR.xlsx" TargetMode="External"/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ABA.xlsx" TargetMode="External"/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AP.xlsx" TargetMode="External"/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M.xlsx" TargetMode="External"/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D.xlsx" TargetMode="External"/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BE.xlsx" TargetMode="External"/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SCO.xlsx" TargetMode="External"/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DD.xlsx" TargetMode="External"/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M.xlsx" TargetMode="External"/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QCOM.xlsx" TargetMode="External"/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P.xlsx" TargetMode="External"/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XN.xlsx" TargetMode="External"/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W.xlsx" TargetMode="External"/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U.xlsx" TargetMode="External"/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AT.xlsx" TargetMode="External"/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BER.xlsx" TargetMode="External"/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810.HK.xlsx" TargetMode="External"/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U.PA.xlsx" TargetMode="External"/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NG.xlsx" TargetMode="External"/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ET.xlsx" TargetMode="External"/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ONY.xlsx" TargetMode="External"/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D.xlsx" TargetMode="External"/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P.xlsx" TargetMode="External"/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U.xlsx" TargetMode="External"/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I.xlsx" TargetMode="External"/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NW.xlsx" TargetMode="External"/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LI.xlsx" TargetMode="External"/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.xlsx" TargetMode="External"/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RCX.xlsx" TargetMode="External"/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C.xlsx" TargetMode="External"/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C.xlsx" TargetMode="External"/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7.TW.xlsx" TargetMode="External"/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LL.xlsx" TargetMode="External"/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NB.xlsx" TargetMode="External"/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YPL.xlsx" TargetMode="External"/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PS.xlsx" TargetMode="External"/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OT.xlsx" TargetMode="External"/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NS.xlsx" TargetMode="External"/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74.T.xlsx" TargetMode="External"/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RVL.xlsx" TargetMode="External"/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SH.xlsx" TargetMode="External"/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E.xlsx" TargetMode="External"/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D.xlsx" TargetMode="External"/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CO.xlsx" TargetMode="External"/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NG.xlsx" TargetMode="External"/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PP.xlsx" TargetMode="External"/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OOD.xlsx" TargetMode="External"/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TR.xlsx" TargetMode="External"/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IN.xlsx" TargetMode="External"/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XYZ.xlsx" TargetMode="External"/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A.xlsx" TargetMode="External"/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PQ.xlsx" TargetMode="External"/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BAY.xlsx" TargetMode="External"/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ET.xlsx" TargetMode="External"/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WO.xlsx" TargetMode="External"/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DDT.xlsx" TargetMode="External"/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KIA.HE.xlsx" TargetMode="External"/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XPE.xlsx" TargetMode="External"/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DS.xlsx" TargetMode="External"/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AP.xlsx" TargetMode="External"/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UOL.xlsx" TargetMode="External"/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R.xlsx" TargetMode="External"/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OR.xlsx" TargetMode="External"/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SY.xlsx" TargetMode="External"/><Relationship Id="rId2" Type="http://schemas.openxmlformats.org/officeDocument/2006/relationships/externalLinkPath" Target="file:///E:\1.Finance\Anaylsen\Models\ETSY.xlsx" TargetMode="External"/><Relationship Id="rId1" Type="http://schemas.openxmlformats.org/officeDocument/2006/relationships/externalLinkPath" Target="/1.Finance/Anaylsen/Models/ETSY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RND.xlsx" TargetMode="External"/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UM.xlsx" TargetMode="External"/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V.xlsx" TargetMode="External"/><Relationship Id="rId2" Type="http://schemas.openxmlformats.org/officeDocument/2006/relationships/externalLinkPath" Target="file:///E:\1.Finance\Anaylsen\Models\CRWV.xlsx" TargetMode="External"/><Relationship Id="rId1" Type="http://schemas.openxmlformats.org/officeDocument/2006/relationships/externalLinkPath" Target="/1.Finance/Anaylsen/Models/CRWV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UR.xlsx" TargetMode="External"/><Relationship Id="rId2" Type="http://schemas.openxmlformats.org/officeDocument/2006/relationships/externalLinkPath" Target="file:///E:\1.Finance\Anaylsen\Models\COUR.xlsx" TargetMode="External"/><Relationship Id="rId1" Type="http://schemas.openxmlformats.org/officeDocument/2006/relationships/externalLinkPath" Target="/1.Finance/Anaylsen/Models/COUR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626.HK.xlsx" TargetMode="External"/><Relationship Id="rId2" Type="http://schemas.openxmlformats.org/officeDocument/2006/relationships/externalLinkPath" Target="file:///E:\1.Finance\Anaylsen\Models\9626.HK.xlsx" TargetMode="External"/><Relationship Id="rId1" Type="http://schemas.openxmlformats.org/officeDocument/2006/relationships/externalLinkPath" Target="/1.Finance/Anaylsen/Models/9626.HK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BRS.xlsx" TargetMode="External"/><Relationship Id="rId2" Type="http://schemas.openxmlformats.org/officeDocument/2006/relationships/externalLinkPath" Target="file:///E:\1.Finance\Anaylsen\Models\CBRS.xlsx" TargetMode="External"/><Relationship Id="rId1" Type="http://schemas.openxmlformats.org/officeDocument/2006/relationships/externalLinkPath" Target="/1.Finance/Anaylsen/Models/CBRS.xlsx" TargetMode="External"/></Relationships>
</file>

<file path=xl/externalLinks/_rels/externalLink8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MUS.xlsx" TargetMode="External"/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.xlsx" TargetMode="External"/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.xlsx" TargetMode="External"/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GI.xlsx" TargetMode="External"/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CE.xlsx" TargetMode="External"/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9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DAQ.xlsx" TargetMode="External"/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9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CL.xlsx" TargetMode="External"/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9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CI.xlsx" TargetMode="External"/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9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KR.xlsx" TargetMode="External"/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9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HYM.xlsx" TargetMode="External"/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IRT.xlsx" TargetMode="External"/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TCH.xlsx" TargetMode="External"/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217.23</v>
          </cell>
        </row>
        <row r="4">
          <cell r="I4">
            <v>5275647.7799999993</v>
          </cell>
        </row>
        <row r="5">
          <cell r="I5">
            <v>80572</v>
          </cell>
        </row>
        <row r="6">
          <cell r="I6">
            <v>8470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405.1</v>
          </cell>
        </row>
        <row r="4">
          <cell r="H4">
            <v>3009258.8985904003</v>
          </cell>
        </row>
        <row r="5">
          <cell r="H5">
            <v>78272</v>
          </cell>
        </row>
        <row r="6">
          <cell r="H6">
            <v>40262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283.95999999999998</v>
          </cell>
        </row>
        <row r="5">
          <cell r="H5">
            <v>4170621.6097599994</v>
          </cell>
        </row>
        <row r="6">
          <cell r="H6">
            <v>68507</v>
          </cell>
        </row>
        <row r="7">
          <cell r="H7">
            <v>82714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372.9</v>
          </cell>
        </row>
        <row r="4">
          <cell r="I4">
            <v>4518056.3999999994</v>
          </cell>
        </row>
        <row r="5">
          <cell r="I5">
            <v>126840</v>
          </cell>
        </row>
        <row r="6">
          <cell r="I6">
            <v>77501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257.5</v>
          </cell>
        </row>
        <row r="5">
          <cell r="I5">
            <v>2769955.6797700003</v>
          </cell>
        </row>
        <row r="6">
          <cell r="I6">
            <v>143089</v>
          </cell>
        </row>
        <row r="7">
          <cell r="I7">
            <v>119074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606.92999999999995</v>
          </cell>
        </row>
        <row r="4">
          <cell r="I4">
            <v>1540645.2558967199</v>
          </cell>
        </row>
        <row r="5">
          <cell r="I5">
            <v>81180</v>
          </cell>
        </row>
        <row r="6">
          <cell r="I6">
            <v>58748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373.72</v>
          </cell>
        </row>
        <row r="4">
          <cell r="K4">
            <v>1403589.1250701202</v>
          </cell>
        </row>
        <row r="5">
          <cell r="K5">
            <v>44743</v>
          </cell>
        </row>
        <row r="6">
          <cell r="K6">
            <v>9229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385.02</v>
          </cell>
        </row>
        <row r="5">
          <cell r="G5">
            <v>1822941.9442036799</v>
          </cell>
        </row>
        <row r="6">
          <cell r="G6">
            <v>14174</v>
          </cell>
        </row>
        <row r="7">
          <cell r="G7">
            <v>66057</v>
          </cell>
        </row>
      </sheetData>
      <sheetData sheetId="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188.13</v>
          </cell>
        </row>
        <row r="5">
          <cell r="H5">
            <v>540521.94689999998</v>
          </cell>
        </row>
        <row r="6">
          <cell r="H6">
            <v>19766</v>
          </cell>
        </row>
        <row r="7">
          <cell r="H7">
            <v>108075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2030</v>
          </cell>
        </row>
        <row r="4">
          <cell r="H4">
            <v>52639930</v>
          </cell>
        </row>
        <row r="5">
          <cell r="H5">
            <v>3383601</v>
          </cell>
        </row>
        <row r="6">
          <cell r="H6">
            <v>1016268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5158916.1000000006</v>
          </cell>
        </row>
        <row r="6">
          <cell r="G6">
            <v>386128</v>
          </cell>
        </row>
        <row r="7">
          <cell r="G7">
            <v>252889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1250.8</v>
          </cell>
        </row>
        <row r="4">
          <cell r="H4">
            <v>482058.31999999995</v>
          </cell>
        </row>
        <row r="5">
          <cell r="H5">
            <v>8376.2999999999993</v>
          </cell>
        </row>
        <row r="6">
          <cell r="H6">
            <v>2705.6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treaming"/>
    </sheetNames>
    <sheetDataSet>
      <sheetData sheetId="0">
        <row r="3">
          <cell r="I3">
            <v>97.5</v>
          </cell>
        </row>
        <row r="5">
          <cell r="I5">
            <v>411721.73250000004</v>
          </cell>
        </row>
        <row r="6">
          <cell r="I6">
            <v>12288.45</v>
          </cell>
        </row>
        <row r="7">
          <cell r="I7">
            <v>14360.516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133.06</v>
          </cell>
        </row>
        <row r="5">
          <cell r="G5">
            <v>318986.33165962005</v>
          </cell>
        </row>
        <row r="6">
          <cell r="G6">
            <v>8026.4130000000005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124.3</v>
          </cell>
        </row>
        <row r="5">
          <cell r="J5">
            <v>2169755.94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237.8</v>
          </cell>
        </row>
        <row r="4">
          <cell r="H4">
            <v>277274.8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196.4</v>
          </cell>
        </row>
        <row r="4">
          <cell r="K4">
            <v>320212.68956520001</v>
          </cell>
        </row>
        <row r="5">
          <cell r="K5">
            <v>7243</v>
          </cell>
        </row>
        <row r="6">
          <cell r="K6">
            <v>3220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67.2</v>
          </cell>
        </row>
        <row r="4">
          <cell r="G4">
            <v>265654.8352416</v>
          </cell>
        </row>
        <row r="5">
          <cell r="G5">
            <v>16100</v>
          </cell>
        </row>
        <row r="6">
          <cell r="G6">
            <v>28093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130.96</v>
          </cell>
        </row>
        <row r="5">
          <cell r="I5">
            <v>1116661.3611964283</v>
          </cell>
        </row>
        <row r="6">
          <cell r="I6">
            <v>387131.08399999997</v>
          </cell>
        </row>
        <row r="7">
          <cell r="I7">
            <v>5287.585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258.2</v>
          </cell>
        </row>
        <row r="4">
          <cell r="H4">
            <v>240518.26828439999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171.39</v>
          </cell>
        </row>
        <row r="4">
          <cell r="H4">
            <v>184929.81</v>
          </cell>
        </row>
        <row r="5">
          <cell r="H5">
            <v>10011</v>
          </cell>
        </row>
        <row r="6">
          <cell r="H6">
            <v>14788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122.04</v>
          </cell>
        </row>
        <row r="4">
          <cell r="I4">
            <v>159153.75196092</v>
          </cell>
        </row>
        <row r="5">
          <cell r="I5">
            <v>5820</v>
          </cell>
        </row>
        <row r="6">
          <cell r="I6">
            <v>919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182.49</v>
          </cell>
        </row>
        <row r="5">
          <cell r="G5">
            <v>165908.44197081</v>
          </cell>
        </row>
        <row r="6">
          <cell r="G6">
            <v>5359</v>
          </cell>
        </row>
        <row r="7">
          <cell r="G7">
            <v>14043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947.74</v>
          </cell>
        </row>
        <row r="5">
          <cell r="H5">
            <v>197129.92</v>
          </cell>
        </row>
        <row r="6">
          <cell r="H6">
            <v>6132</v>
          </cell>
        </row>
        <row r="7">
          <cell r="H7">
            <v>1490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670.1</v>
          </cell>
        </row>
        <row r="4">
          <cell r="I4">
            <v>186827.23050000001</v>
          </cell>
        </row>
        <row r="5">
          <cell r="I5">
            <v>4552</v>
          </cell>
        </row>
        <row r="6">
          <cell r="I6">
            <v>10730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225.73</v>
          </cell>
        </row>
        <row r="4">
          <cell r="I4">
            <v>179826.09504670999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75.69</v>
          </cell>
        </row>
        <row r="4">
          <cell r="H4">
            <v>155778.79875327001</v>
          </cell>
        </row>
        <row r="5">
          <cell r="H5">
            <v>7633</v>
          </cell>
        </row>
        <row r="6">
          <cell r="H6">
            <v>10521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133.80000000000001</v>
          </cell>
        </row>
        <row r="4">
          <cell r="I4">
            <v>168492.342366</v>
          </cell>
        </row>
        <row r="5">
          <cell r="I5">
            <v>10106.200000000001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481.5</v>
          </cell>
        </row>
        <row r="4">
          <cell r="I4">
            <v>120834.89990999999</v>
          </cell>
        </row>
        <row r="5">
          <cell r="I5">
            <v>4972.4359999999997</v>
          </cell>
        </row>
        <row r="6">
          <cell r="I6">
            <v>744.72699999999998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55.6</v>
          </cell>
        </row>
        <row r="4">
          <cell r="I4">
            <v>29904.564917200001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heet1"/>
      <sheetName val="Sheet2"/>
    </sheetNames>
    <sheetDataSet>
      <sheetData sheetId="0">
        <row r="2">
          <cell r="K2">
            <v>82.72</v>
          </cell>
        </row>
        <row r="4">
          <cell r="K4">
            <v>85340</v>
          </cell>
        </row>
        <row r="5">
          <cell r="K5">
            <v>32789</v>
          </cell>
        </row>
        <row r="6">
          <cell r="K6">
            <v>45031</v>
          </cell>
        </row>
      </sheetData>
      <sheetData sheetId="1"/>
      <sheetData sheetId="2"/>
      <sheetData sheetId="3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123.56</v>
          </cell>
        </row>
        <row r="4">
          <cell r="H4">
            <v>76784.591385200009</v>
          </cell>
        </row>
        <row r="5">
          <cell r="H5">
            <v>11356</v>
          </cell>
        </row>
        <row r="6">
          <cell r="H6">
            <v>1997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45.76</v>
          </cell>
        </row>
        <row r="4">
          <cell r="I4">
            <v>40365.147359679999</v>
          </cell>
        </row>
        <row r="5">
          <cell r="I5">
            <v>9342</v>
          </cell>
        </row>
        <row r="6">
          <cell r="I6">
            <v>9409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115.31</v>
          </cell>
        </row>
        <row r="4">
          <cell r="H4">
            <v>51658.880000000005</v>
          </cell>
        </row>
        <row r="5">
          <cell r="H5">
            <v>2919</v>
          </cell>
        </row>
        <row r="6">
          <cell r="H6">
            <v>6746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283.56</v>
          </cell>
        </row>
        <row r="4">
          <cell r="I4">
            <v>10720.488835439999</v>
          </cell>
        </row>
        <row r="5">
          <cell r="I5">
            <v>364.04500000000002</v>
          </cell>
        </row>
        <row r="6">
          <cell r="I6">
            <v>1430.1969999999999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5.75</v>
          </cell>
        </row>
        <row r="4">
          <cell r="I4">
            <v>9886.3120132500007</v>
          </cell>
        </row>
        <row r="5">
          <cell r="I5">
            <v>2993.377</v>
          </cell>
        </row>
        <row r="6">
          <cell r="I6">
            <v>3537.8890000000001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70.8</v>
          </cell>
        </row>
        <row r="4">
          <cell r="I4">
            <v>7016.8866144000003</v>
          </cell>
        </row>
        <row r="5">
          <cell r="I5">
            <v>1412.336</v>
          </cell>
        </row>
        <row r="6">
          <cell r="I6">
            <v>2978.971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141.35</v>
          </cell>
        </row>
        <row r="4">
          <cell r="I4">
            <v>69059.707043799994</v>
          </cell>
        </row>
        <row r="5">
          <cell r="I5">
            <v>1152.883</v>
          </cell>
        </row>
        <row r="6">
          <cell r="I6">
            <v>11051.501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11.3</v>
          </cell>
        </row>
        <row r="4">
          <cell r="I4">
            <v>1849.81</v>
          </cell>
        </row>
        <row r="5">
          <cell r="I5">
            <v>775.1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209</v>
          </cell>
        </row>
        <row r="5">
          <cell r="I5">
            <v>79398.203544659991</v>
          </cell>
        </row>
        <row r="6">
          <cell r="I6">
            <v>18311.116000000002</v>
          </cell>
        </row>
        <row r="7">
          <cell r="I7">
            <v>9692.4069999999992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Patents"/>
    </sheetNames>
    <sheetDataSet>
      <sheetData sheetId="0">
        <row r="2">
          <cell r="L2">
            <v>311.07</v>
          </cell>
        </row>
        <row r="4">
          <cell r="L4">
            <v>66951.596099999995</v>
          </cell>
        </row>
        <row r="5">
          <cell r="L5">
            <v>1108.2370000000001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51.9</v>
          </cell>
        </row>
        <row r="4">
          <cell r="H4">
            <v>7933.6541597999994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84" Type="http://schemas.openxmlformats.org/officeDocument/2006/relationships/hyperlink" Target="..\Models\CRWV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85" Type="http://schemas.openxmlformats.org/officeDocument/2006/relationships/hyperlink" Target="..\Models\ETSY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83" Type="http://schemas.openxmlformats.org/officeDocument/2006/relationships/hyperlink" Target="..\Models\COUR.xlsx" TargetMode="External"/><Relationship Id="rId88" Type="http://schemas.openxmlformats.org/officeDocument/2006/relationships/hyperlink" Target="..\Models\SPCX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86" Type="http://schemas.openxmlformats.org/officeDocument/2006/relationships/hyperlink" Target="..\Models\9626.HK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Relationship Id="rId87" Type="http://schemas.openxmlformats.org/officeDocument/2006/relationships/hyperlink" Target="..\Models\CBRS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13" Type="http://schemas.openxmlformats.org/officeDocument/2006/relationships/hyperlink" Target="..\Models\CBRS.xlsx" TargetMode="External"/><Relationship Id="rId3" Type="http://schemas.openxmlformats.org/officeDocument/2006/relationships/hyperlink" Target="..\Models\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..\Models\ASML.xlsx" TargetMode="External"/><Relationship Id="rId2" Type="http://schemas.openxmlformats.org/officeDocument/2006/relationships/hyperlink" Target="..\Models\TXN.xlsx" TargetMode="External"/><Relationship Id="rId1" Type="http://schemas.openxmlformats.org/officeDocument/2006/relationships/hyperlink" Target="..\Models\NVDA.xlsx" TargetMode="External"/><Relationship Id="rId6" Type="http://schemas.openxmlformats.org/officeDocument/2006/relationships/hyperlink" Target="..\Models\AVGO.xlsx" TargetMode="External"/><Relationship Id="rId11" Type="http://schemas.openxmlformats.org/officeDocument/2006/relationships/hyperlink" Target="..\Models\QCOM.xlsx" TargetMode="External"/><Relationship Id="rId5" Type="http://schemas.openxmlformats.org/officeDocument/2006/relationships/hyperlink" Target="..\Models\TSM.xlsx" TargetMode="External"/><Relationship Id="rId15" Type="http://schemas.openxmlformats.org/officeDocument/2006/relationships/hyperlink" Target="..\Models\AMAT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..\Models\AMD.xlsx" TargetMode="External"/><Relationship Id="rId9" Type="http://schemas.openxmlformats.org/officeDocument/2006/relationships/hyperlink" Target="ENPH.xlsx" TargetMode="External"/><Relationship Id="rId14" Type="http://schemas.openxmlformats.org/officeDocument/2006/relationships/hyperlink" Target="..\Models\005930.KS.xlsx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..\..\..\4.Bibliothek\Notes\ai_glossary_v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9"/>
  <sheetViews>
    <sheetView tabSelected="1" zoomScale="220" zoomScaleNormal="22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B12" sqref="B12"/>
    </sheetView>
  </sheetViews>
  <sheetFormatPr defaultColWidth="8.85546875" defaultRowHeight="13.5" x14ac:dyDescent="0.25"/>
  <cols>
    <col min="1" max="1" width="5" style="6" customWidth="1"/>
    <col min="2" max="2" width="23" style="6" bestFit="1" customWidth="1"/>
    <col min="3" max="3" width="10.42578125" style="6" bestFit="1" customWidth="1"/>
    <col min="4" max="4" width="8.85546875" style="6"/>
    <col min="5" max="5" width="9" style="6" bestFit="1" customWidth="1"/>
    <col min="6" max="6" width="10.28515625" style="6" bestFit="1" customWidth="1"/>
    <col min="7" max="7" width="9.28515625" style="6" bestFit="1" customWidth="1"/>
    <col min="8" max="8" width="10.28515625" style="6" bestFit="1" customWidth="1"/>
    <col min="9" max="9" width="8.85546875" style="18"/>
    <col min="10" max="10" width="10.42578125" style="6" bestFit="1" customWidth="1"/>
    <col min="11" max="17" width="8.85546875" style="6"/>
    <col min="18" max="18" width="9" style="6" bestFit="1" customWidth="1"/>
    <col min="19" max="16384" width="8.85546875" style="6"/>
  </cols>
  <sheetData>
    <row r="1" spans="1:86" x14ac:dyDescent="0.25">
      <c r="A1" s="2" t="s">
        <v>30</v>
      </c>
      <c r="B1" s="4"/>
      <c r="C1" s="4"/>
      <c r="D1" s="4"/>
      <c r="E1" s="4"/>
      <c r="F1" s="4"/>
      <c r="G1" s="4"/>
      <c r="H1" s="4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</row>
    <row r="2" spans="1:86" x14ac:dyDescent="0.25">
      <c r="A2" s="4" t="s">
        <v>51</v>
      </c>
      <c r="B2" s="4"/>
      <c r="C2" s="4"/>
      <c r="D2" s="4"/>
      <c r="E2" s="4"/>
      <c r="F2" s="4"/>
      <c r="G2" s="4"/>
      <c r="H2" s="4"/>
      <c r="I2" s="5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</row>
    <row r="3" spans="1:86" x14ac:dyDescent="0.25">
      <c r="A3" s="7" t="s">
        <v>54</v>
      </c>
      <c r="B3" s="8" t="s">
        <v>0</v>
      </c>
      <c r="C3" s="8" t="s">
        <v>1</v>
      </c>
      <c r="D3" s="8" t="s">
        <v>44</v>
      </c>
      <c r="E3" s="8" t="s">
        <v>2</v>
      </c>
      <c r="F3" s="9" t="s">
        <v>3</v>
      </c>
      <c r="G3" s="8" t="s">
        <v>4</v>
      </c>
      <c r="H3" s="9" t="s">
        <v>5</v>
      </c>
      <c r="I3" s="10" t="s">
        <v>2580</v>
      </c>
      <c r="J3" s="8" t="s">
        <v>38</v>
      </c>
      <c r="K3" s="8" t="s">
        <v>39</v>
      </c>
      <c r="L3" s="8" t="s">
        <v>40</v>
      </c>
      <c r="M3" s="8" t="s">
        <v>41</v>
      </c>
      <c r="N3" s="8" t="s">
        <v>42</v>
      </c>
      <c r="O3" s="8" t="s">
        <v>43</v>
      </c>
      <c r="P3" s="8" t="s">
        <v>432</v>
      </c>
      <c r="Q3" s="8" t="s">
        <v>52</v>
      </c>
      <c r="R3" s="8" t="s">
        <v>427</v>
      </c>
      <c r="S3" s="8" t="s">
        <v>426</v>
      </c>
      <c r="T3" s="11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</row>
    <row r="4" spans="1:86" x14ac:dyDescent="0.25">
      <c r="A4" s="12">
        <v>1</v>
      </c>
      <c r="B4" s="13" t="s">
        <v>8</v>
      </c>
      <c r="C4" s="4" t="s">
        <v>428</v>
      </c>
      <c r="D4" s="4" t="s">
        <v>45</v>
      </c>
      <c r="E4" s="14">
        <f>+[1]Main!$I$2</f>
        <v>217.23</v>
      </c>
      <c r="F4" s="14">
        <f>+[1]Main!$I$4</f>
        <v>5275647.7799999993</v>
      </c>
      <c r="G4" s="14">
        <f>+[1]Main!$I$6-[1]Main!$I$5</f>
        <v>-72102</v>
      </c>
      <c r="H4" s="14">
        <f>F4+G4</f>
        <v>5203545.7799999993</v>
      </c>
      <c r="I4" s="69" t="s">
        <v>3555</v>
      </c>
      <c r="J4" s="15"/>
      <c r="K4" s="4"/>
      <c r="L4" s="4"/>
      <c r="M4" s="4"/>
      <c r="N4" s="4"/>
      <c r="O4" s="4"/>
      <c r="P4" s="4"/>
      <c r="Q4" s="4"/>
      <c r="R4" s="4">
        <v>1993</v>
      </c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</row>
    <row r="5" spans="1:86" x14ac:dyDescent="0.25">
      <c r="A5" s="12">
        <f>+A4+1</f>
        <v>2</v>
      </c>
      <c r="B5" s="13" t="s">
        <v>6</v>
      </c>
      <c r="C5" s="4" t="s">
        <v>31</v>
      </c>
      <c r="D5" s="4" t="s">
        <v>45</v>
      </c>
      <c r="E5" s="14">
        <f>+[2]Main!$H$2</f>
        <v>405.1</v>
      </c>
      <c r="F5" s="14">
        <f>+[2]Main!$H$4</f>
        <v>3009258.8985904003</v>
      </c>
      <c r="G5" s="14">
        <f>+[2]Main!$H$6-[2]Main!$H$5</f>
        <v>-38010</v>
      </c>
      <c r="H5" s="14">
        <f>F5+G5</f>
        <v>2971248.8985904003</v>
      </c>
      <c r="I5" s="52" t="s">
        <v>3154</v>
      </c>
      <c r="J5" s="15"/>
      <c r="K5" s="4"/>
      <c r="L5" s="4"/>
      <c r="M5" s="4"/>
      <c r="N5" s="4"/>
      <c r="O5" s="4"/>
      <c r="P5" s="4"/>
      <c r="Q5" s="4"/>
      <c r="R5" s="4">
        <v>1975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</row>
    <row r="6" spans="1:86" x14ac:dyDescent="0.25">
      <c r="A6" s="12">
        <f>+A5+1</f>
        <v>3</v>
      </c>
      <c r="B6" s="13" t="s">
        <v>7</v>
      </c>
      <c r="C6" s="4" t="s">
        <v>32</v>
      </c>
      <c r="D6" s="4" t="s">
        <v>45</v>
      </c>
      <c r="E6" s="14">
        <f>+[3]Main!$H$3</f>
        <v>283.95999999999998</v>
      </c>
      <c r="F6" s="14">
        <f>+[3]Main!$H$5</f>
        <v>4170621.6097599994</v>
      </c>
      <c r="G6" s="14">
        <f>+[3]Main!$H$6-[3]Main!$H$7</f>
        <v>-14207</v>
      </c>
      <c r="H6" s="14">
        <f t="shared" ref="H6:H15" si="0">F6+G6</f>
        <v>4156414.6097599994</v>
      </c>
      <c r="I6" s="53" t="s">
        <v>3155</v>
      </c>
      <c r="J6" s="15"/>
      <c r="K6" s="16"/>
      <c r="L6" s="16"/>
      <c r="M6" s="16"/>
      <c r="N6" s="16"/>
      <c r="O6" s="16"/>
      <c r="P6" s="16"/>
      <c r="Q6" s="16"/>
      <c r="R6" s="4">
        <v>1976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</row>
    <row r="7" spans="1:86" x14ac:dyDescent="0.25">
      <c r="A7" s="12">
        <f>+A6+1</f>
        <v>4</v>
      </c>
      <c r="B7" s="13" t="s">
        <v>12</v>
      </c>
      <c r="C7" s="4" t="s">
        <v>34</v>
      </c>
      <c r="D7" s="4" t="s">
        <v>45</v>
      </c>
      <c r="E7" s="14">
        <f>+[4]Main!$I$2</f>
        <v>372.9</v>
      </c>
      <c r="F7" s="14">
        <f>+[4]Main!$I$4</f>
        <v>4518056.3999999994</v>
      </c>
      <c r="G7" s="14">
        <f>+[4]Main!$I$6-[4]Main!$I$5</f>
        <v>-49339</v>
      </c>
      <c r="H7" s="14">
        <f t="shared" si="0"/>
        <v>4468717.3999999994</v>
      </c>
      <c r="I7" s="52" t="s">
        <v>3144</v>
      </c>
      <c r="J7" s="15"/>
      <c r="K7" s="4"/>
      <c r="L7" s="4"/>
      <c r="M7" s="4"/>
      <c r="N7" s="4"/>
      <c r="O7" s="4"/>
      <c r="P7" s="4"/>
      <c r="Q7" s="4"/>
      <c r="R7" s="4">
        <v>1998</v>
      </c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</row>
    <row r="8" spans="1:86" x14ac:dyDescent="0.25">
      <c r="A8" s="12">
        <f t="shared" ref="A8" si="1">+A7+1</f>
        <v>5</v>
      </c>
      <c r="B8" s="13" t="s">
        <v>9</v>
      </c>
      <c r="C8" s="4" t="s">
        <v>33</v>
      </c>
      <c r="D8" s="4" t="s">
        <v>45</v>
      </c>
      <c r="E8" s="14">
        <f>+[5]Main!$I$3</f>
        <v>257.5</v>
      </c>
      <c r="F8" s="14">
        <f>+[5]Main!$I$5</f>
        <v>2769955.6797700003</v>
      </c>
      <c r="G8" s="14">
        <f>+[5]Main!$I$7-[5]Main!$I$6</f>
        <v>-24015</v>
      </c>
      <c r="H8" s="14">
        <f t="shared" si="0"/>
        <v>2745940.6797700003</v>
      </c>
      <c r="I8" s="52" t="s">
        <v>3144</v>
      </c>
      <c r="J8" s="15"/>
      <c r="K8" s="4"/>
      <c r="L8" s="4"/>
      <c r="M8" s="4"/>
      <c r="N8" s="4"/>
      <c r="O8" s="4"/>
      <c r="P8" s="4"/>
      <c r="Q8" s="4"/>
      <c r="R8" s="4">
        <v>1994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</row>
    <row r="9" spans="1:86" x14ac:dyDescent="0.25">
      <c r="A9" s="12">
        <f t="shared" ref="A9:A73" si="2">+A8+1</f>
        <v>6</v>
      </c>
      <c r="B9" s="13" t="s">
        <v>11</v>
      </c>
      <c r="C9" s="4" t="s">
        <v>37</v>
      </c>
      <c r="D9" s="4" t="s">
        <v>45</v>
      </c>
      <c r="E9" s="14">
        <f>+[6]Main!$I$2</f>
        <v>606.92999999999995</v>
      </c>
      <c r="F9" s="14">
        <f>+[6]Main!$I$4</f>
        <v>1540645.2558967199</v>
      </c>
      <c r="G9" s="14">
        <f>+[6]Main!$I$6-[6]Main!$I$5</f>
        <v>-22432</v>
      </c>
      <c r="H9" s="14">
        <f t="shared" si="0"/>
        <v>1518213.2558967199</v>
      </c>
      <c r="I9" s="52" t="s">
        <v>3144</v>
      </c>
      <c r="J9" s="15"/>
      <c r="K9" s="4"/>
      <c r="L9" s="4"/>
      <c r="M9" s="4"/>
      <c r="N9" s="4"/>
      <c r="O9" s="4"/>
      <c r="P9" s="4"/>
      <c r="Q9" s="4"/>
      <c r="R9" s="4">
        <v>2004</v>
      </c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</row>
    <row r="10" spans="1:86" x14ac:dyDescent="0.25">
      <c r="A10" s="12">
        <f t="shared" si="2"/>
        <v>7</v>
      </c>
      <c r="B10" s="13" t="s">
        <v>3156</v>
      </c>
      <c r="C10" s="67" t="s">
        <v>3554</v>
      </c>
      <c r="D10" s="67" t="s">
        <v>45</v>
      </c>
      <c r="E10" s="68" t="s">
        <v>808</v>
      </c>
      <c r="F10" s="14"/>
      <c r="G10" s="14"/>
      <c r="H10" s="14"/>
      <c r="I10" s="52"/>
      <c r="J10" s="15"/>
      <c r="K10" s="4"/>
      <c r="L10" s="4"/>
      <c r="M10" s="4"/>
      <c r="N10" s="4"/>
      <c r="O10" s="4"/>
      <c r="P10" s="4"/>
      <c r="Q10" s="4"/>
      <c r="R10" s="4">
        <v>2002</v>
      </c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</row>
    <row r="11" spans="1:86" x14ac:dyDescent="0.25">
      <c r="A11" s="12">
        <f t="shared" si="2"/>
        <v>8</v>
      </c>
      <c r="B11" s="13" t="s">
        <v>14</v>
      </c>
      <c r="C11" s="4" t="s">
        <v>36</v>
      </c>
      <c r="D11" s="4" t="s">
        <v>45</v>
      </c>
      <c r="E11" s="14">
        <f>+[7]Main!$K$2</f>
        <v>373.72</v>
      </c>
      <c r="F11" s="14">
        <f>+[7]Main!$K$4</f>
        <v>1403589.1250701202</v>
      </c>
      <c r="G11" s="14">
        <f>+[7]Main!$K$6-[7]Main!$K$5</f>
        <v>-35514</v>
      </c>
      <c r="H11" s="14">
        <f t="shared" si="0"/>
        <v>1368075.1250701202</v>
      </c>
      <c r="I11" s="50" t="s">
        <v>3144</v>
      </c>
      <c r="J11" s="15">
        <v>46225</v>
      </c>
      <c r="K11" s="4"/>
      <c r="L11" s="4"/>
      <c r="M11" s="4"/>
      <c r="N11" s="4"/>
      <c r="O11" s="4"/>
      <c r="P11" s="4"/>
      <c r="Q11" s="4"/>
      <c r="R11" s="4">
        <v>2003</v>
      </c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</row>
    <row r="12" spans="1:86" x14ac:dyDescent="0.25">
      <c r="A12" s="12">
        <f t="shared" si="2"/>
        <v>9</v>
      </c>
      <c r="B12" s="13" t="s">
        <v>10</v>
      </c>
      <c r="C12" s="4" t="s">
        <v>35</v>
      </c>
      <c r="D12" s="4" t="s">
        <v>45</v>
      </c>
      <c r="E12" s="14">
        <f>+[8]Main!$G$3</f>
        <v>385.02</v>
      </c>
      <c r="F12" s="14">
        <f>+[8]Main!$G$5</f>
        <v>1822941.9442036799</v>
      </c>
      <c r="G12" s="14">
        <f>+[8]Main!$G$7-[8]Main!$G$6</f>
        <v>51883</v>
      </c>
      <c r="H12" s="14">
        <f t="shared" si="0"/>
        <v>1874824.9442036799</v>
      </c>
      <c r="I12" s="45" t="s">
        <v>3144</v>
      </c>
      <c r="J12" s="15">
        <v>46177</v>
      </c>
      <c r="K12" s="4"/>
      <c r="L12" s="4"/>
      <c r="M12" s="4"/>
      <c r="N12" s="4"/>
      <c r="O12" s="4"/>
      <c r="P12" s="4"/>
      <c r="Q12" s="4"/>
      <c r="R12" s="4">
        <v>1991</v>
      </c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</row>
    <row r="13" spans="1:86" x14ac:dyDescent="0.25">
      <c r="A13" s="12">
        <f t="shared" si="2"/>
        <v>10</v>
      </c>
      <c r="B13" s="13" t="s">
        <v>15</v>
      </c>
      <c r="C13" s="4" t="s">
        <v>57</v>
      </c>
      <c r="D13" s="4" t="s">
        <v>45</v>
      </c>
      <c r="E13" s="14">
        <f>+[9]Main!$H$3</f>
        <v>188.13</v>
      </c>
      <c r="F13" s="14">
        <f>+[9]Main!$H$5</f>
        <v>540521.94689999998</v>
      </c>
      <c r="G13" s="14">
        <f>+[9]Main!$H$7-[9]Main!$H$6</f>
        <v>88309</v>
      </c>
      <c r="H13" s="14">
        <f>F13+G13</f>
        <v>628830.94689999998</v>
      </c>
      <c r="I13" s="41" t="s">
        <v>3151</v>
      </c>
      <c r="J13" s="15">
        <v>46091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</row>
    <row r="14" spans="1:86" x14ac:dyDescent="0.25">
      <c r="A14" s="12">
        <f t="shared" si="2"/>
        <v>11</v>
      </c>
      <c r="B14" s="13" t="s">
        <v>13</v>
      </c>
      <c r="C14" s="4" t="s">
        <v>53</v>
      </c>
      <c r="D14" s="4" t="s">
        <v>1126</v>
      </c>
      <c r="E14" s="14">
        <f>+[10]Main!$H$2</f>
        <v>2030</v>
      </c>
      <c r="F14" s="14">
        <f>+[10]Main!$H$4*FX!C2</f>
        <v>1579197.9</v>
      </c>
      <c r="G14" s="14">
        <f>+([10]Main!$H$6-[10]Main!$H$5)*FX!C2</f>
        <v>-71019.989999999991</v>
      </c>
      <c r="H14" s="14">
        <f t="shared" si="0"/>
        <v>1508177.91</v>
      </c>
      <c r="I14" s="48" t="s">
        <v>3144</v>
      </c>
      <c r="J14" s="15">
        <v>46219</v>
      </c>
      <c r="K14" s="4"/>
      <c r="L14" s="4"/>
      <c r="M14" s="4"/>
      <c r="N14" s="4"/>
      <c r="O14" s="4"/>
      <c r="P14" s="4"/>
      <c r="Q14" s="4"/>
      <c r="R14" s="4">
        <v>1987</v>
      </c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</row>
    <row r="15" spans="1:86" x14ac:dyDescent="0.25">
      <c r="A15" s="12">
        <f t="shared" si="2"/>
        <v>12</v>
      </c>
      <c r="B15" s="13" t="s">
        <v>55</v>
      </c>
      <c r="C15" s="4" t="s">
        <v>56</v>
      </c>
      <c r="D15" s="4" t="s">
        <v>768</v>
      </c>
      <c r="E15" s="14">
        <f>+[11]Main!$G$2</f>
        <v>617.5</v>
      </c>
      <c r="F15" s="14">
        <f>+[11]Main!$G$5*FX!C3</f>
        <v>722248.25400000019</v>
      </c>
      <c r="G15" s="14">
        <f>+([11]Main!$G$7-[11]Main!$G$6)*FX!C3</f>
        <v>-18653.460000000003</v>
      </c>
      <c r="H15" s="14">
        <f t="shared" si="0"/>
        <v>703594.79400000023</v>
      </c>
      <c r="I15" s="46" t="s">
        <v>2708</v>
      </c>
      <c r="J15" s="15">
        <v>46099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</row>
    <row r="16" spans="1:86" x14ac:dyDescent="0.25">
      <c r="A16" s="12">
        <f t="shared" si="2"/>
        <v>13</v>
      </c>
      <c r="B16" s="13" t="s">
        <v>58</v>
      </c>
      <c r="C16" s="4" t="s">
        <v>58</v>
      </c>
      <c r="D16" s="4" t="s">
        <v>46</v>
      </c>
      <c r="E16" s="14">
        <f>+[12]Main!$H$2</f>
        <v>1250.8</v>
      </c>
      <c r="F16" s="14">
        <f>+[12]Main!$H$4*FX!C4</f>
        <v>491699.48639999994</v>
      </c>
      <c r="G16" s="14">
        <f>+([12]Main!$H$6-[12]Main!$H$5)*FX!C4</f>
        <v>-5784.1139999999987</v>
      </c>
      <c r="H16" s="14">
        <f t="shared" ref="H16:H20" si="3">F16+G16</f>
        <v>485915.37239999993</v>
      </c>
      <c r="I16" s="46" t="s">
        <v>3147</v>
      </c>
      <c r="J16" s="15">
        <v>46218</v>
      </c>
      <c r="K16" s="4"/>
      <c r="L16" s="4"/>
      <c r="M16" s="4"/>
      <c r="N16" s="4"/>
      <c r="O16" s="4"/>
      <c r="P16" s="4"/>
      <c r="Q16" s="4"/>
      <c r="R16" s="4">
        <v>1984</v>
      </c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</row>
    <row r="17" spans="1:86" x14ac:dyDescent="0.25">
      <c r="A17" s="12">
        <f t="shared" si="2"/>
        <v>14</v>
      </c>
      <c r="B17" s="13" t="s">
        <v>16</v>
      </c>
      <c r="C17" s="17" t="s">
        <v>60</v>
      </c>
      <c r="D17" s="4" t="s">
        <v>59</v>
      </c>
      <c r="E17" s="14">
        <f>+[13]Main!$J$2</f>
        <v>71500</v>
      </c>
      <c r="F17" s="14">
        <f>+[13]Main!$J$4*FX!C5</f>
        <v>285727.36377900001</v>
      </c>
      <c r="G17" s="14">
        <f>+([13]Main!$J$6-[13]Main!$J$5)*FX!C5</f>
        <v>-59763.892360000005</v>
      </c>
      <c r="H17" s="14">
        <f t="shared" si="3"/>
        <v>225963.47141900001</v>
      </c>
      <c r="I17" s="23" t="s">
        <v>2583</v>
      </c>
      <c r="J17" s="15">
        <v>45960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</row>
    <row r="18" spans="1:86" x14ac:dyDescent="0.25">
      <c r="A18" s="12">
        <f t="shared" si="2"/>
        <v>15</v>
      </c>
      <c r="B18" s="13" t="s">
        <v>17</v>
      </c>
      <c r="C18" s="4" t="s">
        <v>50</v>
      </c>
      <c r="D18" s="4" t="s">
        <v>45</v>
      </c>
      <c r="E18" s="14">
        <f>+[14]Main!$I$3</f>
        <v>97.5</v>
      </c>
      <c r="F18" s="14">
        <f>+[14]Main!$I$5</f>
        <v>411721.73250000004</v>
      </c>
      <c r="G18" s="14">
        <f>+[14]Main!$I$7-[14]Main!$I$6</f>
        <v>2072.0659999999989</v>
      </c>
      <c r="H18" s="14">
        <f t="shared" si="3"/>
        <v>413793.79850000003</v>
      </c>
      <c r="I18" s="48" t="s">
        <v>3144</v>
      </c>
      <c r="J18" s="15"/>
      <c r="K18" s="4"/>
      <c r="L18" s="4"/>
      <c r="M18" s="4"/>
      <c r="N18" s="4"/>
      <c r="O18" s="4"/>
      <c r="P18" s="4"/>
      <c r="Q18" s="4"/>
      <c r="R18" s="4">
        <v>1997</v>
      </c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</row>
    <row r="19" spans="1:86" x14ac:dyDescent="0.25">
      <c r="A19" s="12">
        <f t="shared" si="2"/>
        <v>16</v>
      </c>
      <c r="B19" s="13" t="s">
        <v>115</v>
      </c>
      <c r="C19" s="4" t="s">
        <v>116</v>
      </c>
      <c r="D19" s="4" t="s">
        <v>45</v>
      </c>
      <c r="E19" s="14">
        <f>+[15]Main!$G$3</f>
        <v>133.06</v>
      </c>
      <c r="F19" s="14">
        <f>+[15]Main!$G$5</f>
        <v>318986.33165962005</v>
      </c>
      <c r="G19" s="14">
        <f>+[15]Main!$G$7-[15]Main!$G$6</f>
        <v>-8026.4130000000005</v>
      </c>
      <c r="H19" s="14">
        <f t="shared" si="3"/>
        <v>310959.91865962005</v>
      </c>
      <c r="I19" s="56" t="s">
        <v>3144</v>
      </c>
      <c r="J19" s="15"/>
      <c r="K19" s="4"/>
      <c r="L19" s="4"/>
      <c r="M19" s="4"/>
      <c r="N19" s="4"/>
      <c r="O19" s="4"/>
      <c r="P19" s="4"/>
      <c r="Q19" s="4"/>
      <c r="R19" s="4">
        <v>2003</v>
      </c>
      <c r="S19" s="4" t="s">
        <v>453</v>
      </c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</row>
    <row r="20" spans="1:86" x14ac:dyDescent="0.25">
      <c r="A20" s="12">
        <f t="shared" si="2"/>
        <v>17</v>
      </c>
      <c r="B20" s="13" t="s">
        <v>61</v>
      </c>
      <c r="C20" s="4" t="s">
        <v>62</v>
      </c>
      <c r="D20" s="4" t="s">
        <v>768</v>
      </c>
      <c r="E20" s="14">
        <f>+[16]Main!$J$2</f>
        <v>124.3</v>
      </c>
      <c r="F20" s="14">
        <f>+[16]Main!$J$5*FX!C3</f>
        <v>303765.83160000003</v>
      </c>
      <c r="G20" s="14">
        <f>+([16]Main!$J$7-[16]Main!$J$6)*FX!C3</f>
        <v>-41909.560000000005</v>
      </c>
      <c r="H20" s="14">
        <f t="shared" si="3"/>
        <v>261856.27160000004</v>
      </c>
      <c r="I20" s="22" t="s">
        <v>3144</v>
      </c>
      <c r="J20" s="15">
        <v>45981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</row>
    <row r="21" spans="1:86" x14ac:dyDescent="0.25">
      <c r="A21" s="12">
        <f t="shared" si="2"/>
        <v>18</v>
      </c>
      <c r="B21" s="13" t="s">
        <v>20</v>
      </c>
      <c r="C21" s="4" t="s">
        <v>20</v>
      </c>
      <c r="D21" s="4" t="s">
        <v>47</v>
      </c>
      <c r="E21" s="14">
        <f>+[17]Main!$H$2</f>
        <v>237.8</v>
      </c>
      <c r="F21" s="14">
        <f>+[17]Main!$H$4*FX!C4</f>
        <v>282820.29599999997</v>
      </c>
      <c r="G21" s="14">
        <f>(+[17]Main!$H$6-[17]Main!$H$5)*FX!C4</f>
        <v>-812.94</v>
      </c>
      <c r="H21" s="14">
        <f t="shared" ref="H21:H33" si="4">F21+G21</f>
        <v>282007.35599999997</v>
      </c>
      <c r="I21" s="23" t="s">
        <v>2583</v>
      </c>
      <c r="J21" s="15">
        <v>45952</v>
      </c>
      <c r="K21" s="4"/>
      <c r="L21" s="4"/>
      <c r="M21" s="4"/>
      <c r="N21" s="4"/>
      <c r="O21" s="4"/>
      <c r="P21" s="4"/>
      <c r="Q21" s="4"/>
      <c r="R21" s="4">
        <v>1999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</row>
    <row r="22" spans="1:86" x14ac:dyDescent="0.25">
      <c r="A22" s="12">
        <f t="shared" si="2"/>
        <v>19</v>
      </c>
      <c r="B22" s="13" t="s">
        <v>19</v>
      </c>
      <c r="C22" s="4" t="s">
        <v>63</v>
      </c>
      <c r="D22" s="4" t="s">
        <v>45</v>
      </c>
      <c r="E22" s="14">
        <f>+[18]Main!$F$3</f>
        <v>246.6</v>
      </c>
      <c r="F22" s="14">
        <f>+[18]Main!$F$5</f>
        <v>234763.19999999998</v>
      </c>
      <c r="G22" s="14">
        <f>+[18]Main!$F$7-[18]Main!$F$6</f>
        <v>-6936</v>
      </c>
      <c r="H22" s="14">
        <f t="shared" si="4"/>
        <v>227827.19999999998</v>
      </c>
      <c r="I22" s="26" t="s">
        <v>2583</v>
      </c>
      <c r="J22" s="15">
        <v>45993</v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</row>
    <row r="23" spans="1:86" x14ac:dyDescent="0.25">
      <c r="A23" s="12">
        <f t="shared" si="2"/>
        <v>20</v>
      </c>
      <c r="B23" s="13" t="s">
        <v>64</v>
      </c>
      <c r="C23" s="4" t="s">
        <v>64</v>
      </c>
      <c r="D23" s="4" t="s">
        <v>45</v>
      </c>
      <c r="E23" s="14">
        <f>+[19]Main!$K$2</f>
        <v>196.4</v>
      </c>
      <c r="F23" s="14">
        <f>+[19]Main!$K$4</f>
        <v>320212.68956520001</v>
      </c>
      <c r="G23" s="14">
        <f>+[19]Main!$K$6-[19]Main!$K$5</f>
        <v>-4023</v>
      </c>
      <c r="H23" s="14">
        <f t="shared" si="4"/>
        <v>316189.68956520001</v>
      </c>
      <c r="I23" s="46" t="s">
        <v>3147</v>
      </c>
      <c r="J23" s="15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</row>
    <row r="24" spans="1:86" x14ac:dyDescent="0.25">
      <c r="A24" s="12">
        <f t="shared" si="2"/>
        <v>21</v>
      </c>
      <c r="B24" s="13" t="s">
        <v>18</v>
      </c>
      <c r="C24" s="4" t="s">
        <v>65</v>
      </c>
      <c r="D24" s="4" t="s">
        <v>45</v>
      </c>
      <c r="E24" s="14">
        <f>+[20]Main!$G$2</f>
        <v>349.25</v>
      </c>
      <c r="F24" s="14">
        <f>+[20]Main!$G$4</f>
        <v>148151.85</v>
      </c>
      <c r="G24" s="14">
        <f>+[20]Main!$G$6-[20]Main!$G$5</f>
        <v>260</v>
      </c>
      <c r="H24" s="14">
        <f t="shared" si="4"/>
        <v>148411.85</v>
      </c>
      <c r="I24" s="27" t="s">
        <v>2708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</row>
    <row r="25" spans="1:86" x14ac:dyDescent="0.25">
      <c r="A25" s="12">
        <f t="shared" si="2"/>
        <v>22</v>
      </c>
      <c r="B25" s="13" t="s">
        <v>22</v>
      </c>
      <c r="C25" s="4" t="s">
        <v>66</v>
      </c>
      <c r="D25" s="4" t="s">
        <v>45</v>
      </c>
      <c r="E25" s="14">
        <f>+[21]Main!$G$2</f>
        <v>67.2</v>
      </c>
      <c r="F25" s="14">
        <f>+[21]Main!$G$4</f>
        <v>265654.8352416</v>
      </c>
      <c r="G25" s="14">
        <f>+[21]Main!$G$6-[21]Main!$G$5</f>
        <v>11993</v>
      </c>
      <c r="H25" s="14">
        <f t="shared" si="4"/>
        <v>277647.8352416</v>
      </c>
      <c r="I25" s="33" t="s">
        <v>2707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</row>
    <row r="26" spans="1:86" x14ac:dyDescent="0.25">
      <c r="A26" s="12">
        <f t="shared" si="2"/>
        <v>23</v>
      </c>
      <c r="B26" s="13" t="s">
        <v>67</v>
      </c>
      <c r="C26" s="4" t="s">
        <v>68</v>
      </c>
      <c r="D26" s="4" t="s">
        <v>768</v>
      </c>
      <c r="E26" s="14">
        <f>+[22]Main!$I$2</f>
        <v>130.96</v>
      </c>
      <c r="F26" s="14">
        <f>+[22]Main!$I$5*FX!C3</f>
        <v>156332.59056749998</v>
      </c>
      <c r="G26" s="14">
        <f>+([22]Main!$I$7-[22]Main!$I$6)*FX!C3</f>
        <v>-53458.08986</v>
      </c>
      <c r="H26" s="14">
        <f t="shared" si="4"/>
        <v>102874.50070749997</v>
      </c>
      <c r="I26" s="38" t="s">
        <v>2583</v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</row>
    <row r="27" spans="1:86" x14ac:dyDescent="0.25">
      <c r="A27" s="12">
        <f t="shared" si="2"/>
        <v>24</v>
      </c>
      <c r="B27" s="13" t="s">
        <v>25</v>
      </c>
      <c r="C27" s="4" t="s">
        <v>25</v>
      </c>
      <c r="D27" s="4" t="s">
        <v>45</v>
      </c>
      <c r="E27" s="14">
        <f>+[23]Main!$H$2</f>
        <v>258.2</v>
      </c>
      <c r="F27" s="14">
        <f>+[23]Main!$H$4</f>
        <v>240518.26828439999</v>
      </c>
      <c r="G27" s="14">
        <f>+[23]Main!$H$6-[23]Main!$H$5</f>
        <v>48717</v>
      </c>
      <c r="H27" s="14">
        <f t="shared" si="4"/>
        <v>289235.26828439999</v>
      </c>
      <c r="I27" s="29" t="s">
        <v>2583</v>
      </c>
      <c r="J27" s="15">
        <v>45952</v>
      </c>
      <c r="K27" s="4"/>
      <c r="L27" s="4"/>
      <c r="M27" s="4"/>
      <c r="N27" s="4"/>
      <c r="O27" s="4"/>
      <c r="P27" s="4"/>
      <c r="Q27" s="4"/>
      <c r="R27" s="4"/>
      <c r="S27" s="4" t="s">
        <v>460</v>
      </c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</row>
    <row r="28" spans="1:86" x14ac:dyDescent="0.25">
      <c r="A28" s="12">
        <f t="shared" si="2"/>
        <v>25</v>
      </c>
      <c r="B28" s="13" t="s">
        <v>21</v>
      </c>
      <c r="C28" s="4" t="s">
        <v>69</v>
      </c>
      <c r="D28" s="4" t="s">
        <v>45</v>
      </c>
      <c r="E28" s="14">
        <f>+[24]Main!$H$2</f>
        <v>171.39</v>
      </c>
      <c r="F28" s="14">
        <f>+[24]Main!$H$4</f>
        <v>184929.81</v>
      </c>
      <c r="G28" s="14">
        <f>+[24]Main!$H$6-[24]Main!$H$5</f>
        <v>4777</v>
      </c>
      <c r="H28" s="14">
        <f t="shared" si="4"/>
        <v>189706.81</v>
      </c>
      <c r="I28" s="33" t="s">
        <v>3145</v>
      </c>
      <c r="J28" s="4"/>
      <c r="K28" s="4"/>
      <c r="L28" s="4"/>
      <c r="M28" s="4"/>
      <c r="N28" s="4"/>
      <c r="O28" s="4"/>
      <c r="P28" s="4"/>
      <c r="Q28" s="4"/>
      <c r="R28" s="4">
        <v>1930</v>
      </c>
      <c r="S28" s="4" t="s">
        <v>459</v>
      </c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</row>
    <row r="29" spans="1:86" x14ac:dyDescent="0.25">
      <c r="A29" s="12">
        <f t="shared" si="2"/>
        <v>26</v>
      </c>
      <c r="B29" s="13" t="s">
        <v>29</v>
      </c>
      <c r="C29" s="4" t="s">
        <v>106</v>
      </c>
      <c r="D29" s="4" t="s">
        <v>107</v>
      </c>
      <c r="E29" s="14">
        <f>+[25]Main!$I$2</f>
        <v>122.04</v>
      </c>
      <c r="F29" s="14">
        <f>+[25]Main!$I$4</f>
        <v>159153.75196092</v>
      </c>
      <c r="G29" s="14">
        <f>+[25]Main!$I$6-[25]Main!$I$5</f>
        <v>-4901</v>
      </c>
      <c r="H29" s="14">
        <f>+F29+G29</f>
        <v>154252.75196092</v>
      </c>
      <c r="I29" s="47" t="s">
        <v>3147</v>
      </c>
      <c r="J29" s="15">
        <v>46149</v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</row>
    <row r="30" spans="1:86" x14ac:dyDescent="0.25">
      <c r="A30" s="12">
        <f t="shared" si="2"/>
        <v>27</v>
      </c>
      <c r="B30" s="13" t="s">
        <v>23</v>
      </c>
      <c r="C30" s="4" t="s">
        <v>166</v>
      </c>
      <c r="D30" s="4" t="s">
        <v>45</v>
      </c>
      <c r="E30" s="14">
        <f>+[26]Main!$G$3</f>
        <v>182.49</v>
      </c>
      <c r="F30" s="14">
        <f>+[26]Main!$G$5</f>
        <v>165908.44197081</v>
      </c>
      <c r="G30" s="14">
        <f>+[26]Main!$G$7-[26]Main!$G$6</f>
        <v>8684</v>
      </c>
      <c r="H30" s="14">
        <f t="shared" si="4"/>
        <v>174592.44197081</v>
      </c>
      <c r="I30" s="32" t="s">
        <v>2583</v>
      </c>
      <c r="J30" s="4"/>
      <c r="K30" s="4"/>
      <c r="L30" s="4"/>
      <c r="M30" s="4"/>
      <c r="N30" s="4"/>
      <c r="O30" s="4"/>
      <c r="P30" s="4"/>
      <c r="Q30" s="4"/>
      <c r="R30" s="4">
        <v>2004</v>
      </c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</row>
    <row r="31" spans="1:86" x14ac:dyDescent="0.25">
      <c r="A31" s="12">
        <f t="shared" si="2"/>
        <v>28</v>
      </c>
      <c r="B31" s="13" t="s">
        <v>26</v>
      </c>
      <c r="C31" s="4" t="s">
        <v>70</v>
      </c>
      <c r="D31" s="4" t="s">
        <v>45</v>
      </c>
      <c r="E31" s="14">
        <f>+[27]Main!$H$3</f>
        <v>947.74</v>
      </c>
      <c r="F31" s="14">
        <f>+[27]Main!$H$5</f>
        <v>197129.92</v>
      </c>
      <c r="G31" s="14">
        <f>+[27]Main!$H$7-[27]Main!$H$6</f>
        <v>-4642</v>
      </c>
      <c r="H31" s="14">
        <f t="shared" si="4"/>
        <v>192487.92</v>
      </c>
      <c r="I31" s="37" t="s">
        <v>2583</v>
      </c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</row>
    <row r="32" spans="1:86" x14ac:dyDescent="0.25">
      <c r="A32" s="12">
        <f t="shared" si="2"/>
        <v>29</v>
      </c>
      <c r="B32" s="13" t="s">
        <v>24</v>
      </c>
      <c r="C32" s="4" t="s">
        <v>71</v>
      </c>
      <c r="D32" s="4" t="s">
        <v>45</v>
      </c>
      <c r="E32" s="14">
        <f>+[28]Main!$I$2</f>
        <v>670.1</v>
      </c>
      <c r="F32" s="14">
        <f>+[28]Main!$I$4</f>
        <v>186827.23050000001</v>
      </c>
      <c r="G32" s="14">
        <f>+[28]Main!$I$6-[28]Main!$I$5</f>
        <v>6178</v>
      </c>
      <c r="H32" s="14">
        <f t="shared" si="4"/>
        <v>193005.23050000001</v>
      </c>
      <c r="I32" s="37" t="s">
        <v>3147</v>
      </c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</row>
    <row r="33" spans="1:86" x14ac:dyDescent="0.25">
      <c r="A33" s="12">
        <f t="shared" si="2"/>
        <v>30</v>
      </c>
      <c r="B33" s="13" t="s">
        <v>72</v>
      </c>
      <c r="C33" s="4" t="s">
        <v>73</v>
      </c>
      <c r="D33" s="4" t="s">
        <v>45</v>
      </c>
      <c r="E33" s="14">
        <f>+[29]Main!$I$2</f>
        <v>225.73</v>
      </c>
      <c r="F33" s="14">
        <f>+[29]Main!$I$4</f>
        <v>179826.09504670999</v>
      </c>
      <c r="G33" s="14">
        <f>+[29]Main!$I$6-[29]Main!$I$5</f>
        <v>-2846</v>
      </c>
      <c r="H33" s="14">
        <f t="shared" si="4"/>
        <v>176980.09504670999</v>
      </c>
      <c r="I33" s="37" t="s">
        <v>3145</v>
      </c>
      <c r="J33" s="4"/>
      <c r="K33" s="4"/>
      <c r="L33" s="4"/>
      <c r="M33" s="4"/>
      <c r="N33" s="4"/>
      <c r="O33" s="4"/>
      <c r="P33" s="4"/>
      <c r="Q33" s="4"/>
      <c r="R33" s="4">
        <v>2009</v>
      </c>
      <c r="S33" s="4" t="s">
        <v>456</v>
      </c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</row>
    <row r="34" spans="1:86" x14ac:dyDescent="0.25">
      <c r="A34" s="12">
        <f t="shared" si="2"/>
        <v>31</v>
      </c>
      <c r="B34" s="13" t="s">
        <v>74</v>
      </c>
      <c r="C34" s="4" t="s">
        <v>74</v>
      </c>
      <c r="D34" s="4" t="s">
        <v>45</v>
      </c>
      <c r="E34" s="14">
        <f>+[30]Main!$H$2</f>
        <v>75.69</v>
      </c>
      <c r="F34" s="14">
        <f>+[30]Main!$H$4</f>
        <v>155778.79875327001</v>
      </c>
      <c r="G34" s="14">
        <f>+[30]Main!$H$6-[30]Main!$H$5</f>
        <v>2888</v>
      </c>
      <c r="H34" s="14">
        <f>F34+G34</f>
        <v>158666.79875327001</v>
      </c>
      <c r="I34" s="44" t="s">
        <v>2708</v>
      </c>
      <c r="J34" s="15">
        <v>45784</v>
      </c>
      <c r="K34" s="4"/>
      <c r="L34" s="4"/>
      <c r="M34" s="4"/>
      <c r="N34" s="4"/>
      <c r="O34" s="4"/>
      <c r="P34" s="4"/>
      <c r="Q34" s="4"/>
      <c r="R34" s="4"/>
      <c r="S34" s="4" t="s">
        <v>458</v>
      </c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</row>
    <row r="35" spans="1:86" x14ac:dyDescent="0.25">
      <c r="A35" s="12">
        <f t="shared" si="2"/>
        <v>32</v>
      </c>
      <c r="B35" s="13" t="s">
        <v>130</v>
      </c>
      <c r="C35" s="4" t="s">
        <v>2588</v>
      </c>
      <c r="D35" s="4" t="s">
        <v>768</v>
      </c>
      <c r="E35" s="14">
        <f>+[31]Main!$I$2</f>
        <v>56.2</v>
      </c>
      <c r="F35" s="14">
        <f>+[31]Main!$I$5*FX!C3</f>
        <v>187067.70580176005</v>
      </c>
      <c r="G35" s="14">
        <f>+([31]Main!$I$7-[31]Main!$I$6)*FX!C3</f>
        <v>-11416.8614</v>
      </c>
      <c r="H35" s="14">
        <f>+F35+G35</f>
        <v>175650.84440176006</v>
      </c>
      <c r="I35" s="27" t="s">
        <v>2583</v>
      </c>
      <c r="J35" s="15">
        <v>45978</v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</row>
    <row r="36" spans="1:86" x14ac:dyDescent="0.25">
      <c r="A36" s="12">
        <f t="shared" si="2"/>
        <v>33</v>
      </c>
      <c r="B36" s="4" t="s">
        <v>75</v>
      </c>
      <c r="C36" s="4" t="s">
        <v>76</v>
      </c>
      <c r="D36" s="4" t="s">
        <v>768</v>
      </c>
      <c r="E36" s="14"/>
      <c r="F36" s="14"/>
      <c r="G36" s="14"/>
      <c r="H36" s="14"/>
      <c r="I36" s="5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</row>
    <row r="37" spans="1:86" x14ac:dyDescent="0.25">
      <c r="A37" s="12">
        <f t="shared" si="2"/>
        <v>34</v>
      </c>
      <c r="B37" s="13" t="s">
        <v>77</v>
      </c>
      <c r="C37" s="4" t="s">
        <v>78</v>
      </c>
      <c r="D37" s="4" t="s">
        <v>79</v>
      </c>
      <c r="E37" s="14">
        <f>+[32]Main!$J$2</f>
        <v>227.65</v>
      </c>
      <c r="F37" s="14">
        <f>+[32]Main!$J$4*FX!C4</f>
        <v>133014.210772452</v>
      </c>
      <c r="G37" s="14">
        <f>+([32]Main!$J$6-[32]Main!$J$5)*FX!C4</f>
        <v>8102.88</v>
      </c>
      <c r="H37" s="14">
        <f>+F37+G37</f>
        <v>141117.09077245201</v>
      </c>
      <c r="I37" s="5" t="s">
        <v>430</v>
      </c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</row>
    <row r="38" spans="1:86" x14ac:dyDescent="0.25">
      <c r="A38" s="12">
        <f t="shared" si="2"/>
        <v>35</v>
      </c>
      <c r="B38" s="4" t="s">
        <v>80</v>
      </c>
      <c r="C38" s="4" t="s">
        <v>81</v>
      </c>
      <c r="D38" s="4" t="s">
        <v>84</v>
      </c>
      <c r="E38" s="14"/>
      <c r="F38" s="14"/>
      <c r="G38" s="14"/>
      <c r="H38" s="14"/>
      <c r="I38" s="5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</row>
    <row r="39" spans="1:86" x14ac:dyDescent="0.25">
      <c r="A39" s="12">
        <f t="shared" si="2"/>
        <v>36</v>
      </c>
      <c r="B39" s="13" t="s">
        <v>82</v>
      </c>
      <c r="C39" s="4" t="s">
        <v>83</v>
      </c>
      <c r="D39" s="4" t="s">
        <v>45</v>
      </c>
      <c r="E39" s="14">
        <f>+[33]Main!$I$2</f>
        <v>5475.01</v>
      </c>
      <c r="F39" s="14">
        <f>+[33]Main!$I$4</f>
        <v>177444.44447385002</v>
      </c>
      <c r="G39" s="14">
        <f>+[33]Main!$I$6-[33]Main!$I$5</f>
        <v>877</v>
      </c>
      <c r="H39" s="14">
        <f>F39+G39</f>
        <v>178321.44447385002</v>
      </c>
      <c r="I39" s="28" t="s">
        <v>2583</v>
      </c>
      <c r="J39" s="4"/>
      <c r="K39" s="4"/>
      <c r="L39" s="4"/>
      <c r="M39" s="4"/>
      <c r="N39" s="4"/>
      <c r="O39" s="4"/>
      <c r="P39" s="4"/>
      <c r="Q39" s="4"/>
      <c r="R39" s="4"/>
      <c r="S39" s="4" t="s">
        <v>452</v>
      </c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</row>
    <row r="40" spans="1:86" x14ac:dyDescent="0.25">
      <c r="A40" s="12">
        <f t="shared" si="2"/>
        <v>37</v>
      </c>
      <c r="B40" s="13" t="s">
        <v>959</v>
      </c>
      <c r="C40" s="4" t="s">
        <v>85</v>
      </c>
      <c r="D40" s="4" t="s">
        <v>45</v>
      </c>
      <c r="E40" s="14">
        <f>+[34]Main!$I$2</f>
        <v>133.80000000000001</v>
      </c>
      <c r="F40" s="14">
        <f>+[34]Main!$I$4</f>
        <v>168492.342366</v>
      </c>
      <c r="G40" s="14">
        <f>+[34]Main!$I$6-[34]Main!$I$5</f>
        <v>-10106.200000000001</v>
      </c>
      <c r="H40" s="14">
        <f>F40+G40</f>
        <v>158386.14236599999</v>
      </c>
      <c r="I40" s="46" t="s">
        <v>2708</v>
      </c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</row>
    <row r="41" spans="1:86" x14ac:dyDescent="0.25">
      <c r="A41" s="12">
        <f t="shared" si="2"/>
        <v>38</v>
      </c>
      <c r="B41" s="13" t="s">
        <v>86</v>
      </c>
      <c r="C41" s="4" t="s">
        <v>88</v>
      </c>
      <c r="D41" s="4" t="s">
        <v>87</v>
      </c>
      <c r="E41" s="14">
        <f>+[35]Main!$H$2</f>
        <v>3214</v>
      </c>
      <c r="F41" s="14">
        <f>+[35]Main!$H$4*FX!C6</f>
        <v>126918.76080161199</v>
      </c>
      <c r="G41" s="14">
        <f>+([35]Main!$H$6-[35]Main!$H$5)*FX!C6</f>
        <v>12746.721</v>
      </c>
      <c r="H41" s="14">
        <f>F41+G41</f>
        <v>139665.48180161198</v>
      </c>
      <c r="I41" s="5" t="s">
        <v>440</v>
      </c>
      <c r="J41" s="4"/>
      <c r="K41" s="4"/>
      <c r="L41" s="4"/>
      <c r="M41" s="4"/>
      <c r="N41" s="4"/>
      <c r="O41" s="4"/>
      <c r="P41" s="4"/>
      <c r="Q41" s="4"/>
      <c r="R41" s="4"/>
      <c r="S41" s="4" t="s">
        <v>457</v>
      </c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</row>
    <row r="42" spans="1:86" x14ac:dyDescent="0.25">
      <c r="A42" s="12">
        <f t="shared" si="2"/>
        <v>39</v>
      </c>
      <c r="B42" s="13" t="s">
        <v>135</v>
      </c>
      <c r="C42" s="4" t="s">
        <v>136</v>
      </c>
      <c r="D42" s="4" t="s">
        <v>45</v>
      </c>
      <c r="E42" s="14">
        <f>+[36]Main!$I$2</f>
        <v>481.5</v>
      </c>
      <c r="F42" s="14">
        <f>+[36]Main!$I$4</f>
        <v>120834.89990999999</v>
      </c>
      <c r="G42" s="14">
        <f>+[36]Main!$I$6-[36]Main!$I$5</f>
        <v>-4227.7089999999998</v>
      </c>
      <c r="H42" s="14">
        <f>+F42+G42</f>
        <v>116607.19090999999</v>
      </c>
      <c r="I42" s="32" t="s">
        <v>2583</v>
      </c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</row>
    <row r="43" spans="1:86" x14ac:dyDescent="0.25">
      <c r="A43" s="12">
        <f t="shared" si="2"/>
        <v>40</v>
      </c>
      <c r="B43" s="4" t="s">
        <v>89</v>
      </c>
      <c r="C43" s="4" t="s">
        <v>90</v>
      </c>
      <c r="D43" s="4" t="s">
        <v>87</v>
      </c>
      <c r="E43" s="14"/>
      <c r="F43" s="14"/>
      <c r="G43" s="14"/>
      <c r="H43" s="14"/>
      <c r="I43" s="5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</row>
    <row r="44" spans="1:86" x14ac:dyDescent="0.25">
      <c r="A44" s="12">
        <f t="shared" si="2"/>
        <v>41</v>
      </c>
      <c r="B44" s="13" t="s">
        <v>91</v>
      </c>
      <c r="C44" s="4" t="s">
        <v>92</v>
      </c>
      <c r="D44" s="4" t="s">
        <v>45</v>
      </c>
      <c r="E44" s="14">
        <f>+[37]Main!$I$2</f>
        <v>284.85000000000002</v>
      </c>
      <c r="F44" s="14">
        <f>+[37]Main!$I$4</f>
        <v>115897.17387105002</v>
      </c>
      <c r="G44" s="14">
        <f>+[37]Main!$I$6-[37]Main!$I$5</f>
        <v>1766.1</v>
      </c>
      <c r="H44" s="14">
        <f>+F44+G44</f>
        <v>117663.27387105003</v>
      </c>
      <c r="I44" s="5" t="s">
        <v>431</v>
      </c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</row>
    <row r="45" spans="1:86" x14ac:dyDescent="0.25">
      <c r="A45" s="12">
        <f t="shared" si="2"/>
        <v>42</v>
      </c>
      <c r="B45" s="13" t="s">
        <v>93</v>
      </c>
      <c r="C45" s="4" t="s">
        <v>94</v>
      </c>
      <c r="D45" s="4" t="s">
        <v>45</v>
      </c>
      <c r="E45" s="14">
        <f>+[38]Main!$H$2</f>
        <v>97.8</v>
      </c>
      <c r="F45" s="14">
        <f>+[38]Main!$H$4</f>
        <v>108966.01494959999</v>
      </c>
      <c r="G45" s="14">
        <f>+[38]Main!$H$6-[38]Main!$H$5</f>
        <v>5041</v>
      </c>
      <c r="H45" s="14">
        <f>+F45+G45</f>
        <v>114007.01494959999</v>
      </c>
      <c r="I45" s="5" t="s">
        <v>49</v>
      </c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</row>
    <row r="46" spans="1:86" x14ac:dyDescent="0.25">
      <c r="A46" s="12">
        <f t="shared" si="2"/>
        <v>43</v>
      </c>
      <c r="B46" s="13" t="s">
        <v>95</v>
      </c>
      <c r="C46" s="4" t="s">
        <v>96</v>
      </c>
      <c r="D46" s="4" t="s">
        <v>45</v>
      </c>
      <c r="E46" s="14">
        <f>+[39]Main!$J$2</f>
        <v>176.33</v>
      </c>
      <c r="F46" s="14">
        <f>+[39]Main!$J$4</f>
        <v>105088.53324739002</v>
      </c>
      <c r="G46" s="14">
        <f>+[39]Main!$J$6-[39]Main!$J$5</f>
        <v>4296.9570000000003</v>
      </c>
      <c r="H46" s="14">
        <f>+F46+G46</f>
        <v>109385.49024739001</v>
      </c>
      <c r="I46" s="5" t="s">
        <v>708</v>
      </c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</row>
    <row r="47" spans="1:86" x14ac:dyDescent="0.25">
      <c r="A47" s="12">
        <f t="shared" si="2"/>
        <v>44</v>
      </c>
      <c r="B47" s="13" t="s">
        <v>97</v>
      </c>
      <c r="C47" s="4" t="s">
        <v>98</v>
      </c>
      <c r="D47" s="4" t="s">
        <v>45</v>
      </c>
      <c r="E47" s="14">
        <f>+[40]Main!$H$3</f>
        <v>171.05</v>
      </c>
      <c r="F47" s="14">
        <f>+[40]Main!$H$5</f>
        <v>56121.505000000005</v>
      </c>
      <c r="G47" s="14">
        <f>+[40]Main!$H$7-[40]Main!$H$6</f>
        <v>-2745.2</v>
      </c>
      <c r="H47" s="14">
        <f t="shared" ref="H47:H52" si="5">+F47+G47</f>
        <v>53376.305000000008</v>
      </c>
      <c r="I47" s="5" t="s">
        <v>49</v>
      </c>
      <c r="J47" s="4"/>
      <c r="K47" s="4"/>
      <c r="L47" s="4"/>
      <c r="M47" s="4"/>
      <c r="N47" s="4"/>
      <c r="O47" s="4"/>
      <c r="P47" s="4"/>
      <c r="Q47" s="4"/>
      <c r="R47" s="4"/>
      <c r="S47" s="4" t="s">
        <v>456</v>
      </c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</row>
    <row r="48" spans="1:86" x14ac:dyDescent="0.25">
      <c r="A48" s="12">
        <f t="shared" si="2"/>
        <v>45</v>
      </c>
      <c r="B48" s="13" t="s">
        <v>99</v>
      </c>
      <c r="C48" s="4" t="s">
        <v>100</v>
      </c>
      <c r="D48" s="4" t="s">
        <v>101</v>
      </c>
      <c r="E48" s="14">
        <f>+[41]Main!$H$3</f>
        <v>3216</v>
      </c>
      <c r="F48" s="14">
        <f>+[41]Main!$H$5</f>
        <v>163042.758</v>
      </c>
      <c r="G48" s="14">
        <f>+[41]Main!$H$7-[41]Main!$H$6</f>
        <v>-7567</v>
      </c>
      <c r="H48" s="14">
        <f t="shared" si="5"/>
        <v>155475.758</v>
      </c>
      <c r="I48" s="29" t="s">
        <v>2583</v>
      </c>
      <c r="J48" s="4"/>
      <c r="K48" s="4"/>
      <c r="L48" s="4"/>
      <c r="M48" s="4"/>
      <c r="N48" s="4"/>
      <c r="O48" s="4"/>
      <c r="P48" s="4"/>
      <c r="Q48" s="4"/>
      <c r="R48" s="4">
        <v>1999</v>
      </c>
      <c r="S48" s="4" t="s">
        <v>455</v>
      </c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</row>
    <row r="49" spans="1:86" x14ac:dyDescent="0.25">
      <c r="A49" s="12">
        <f t="shared" si="2"/>
        <v>46</v>
      </c>
      <c r="B49" s="13" t="s">
        <v>102</v>
      </c>
      <c r="C49" s="4" t="s">
        <v>103</v>
      </c>
      <c r="D49" s="4" t="s">
        <v>45</v>
      </c>
      <c r="E49" s="14">
        <f>+[42]Main!$I$2</f>
        <v>55.6</v>
      </c>
      <c r="F49" s="14">
        <f>+[42]Main!$I$4</f>
        <v>29904.564917200001</v>
      </c>
      <c r="G49" s="14">
        <f>+[42]Main!$I$6-[42]Main!$I$5</f>
        <v>29131</v>
      </c>
      <c r="H49" s="14">
        <f t="shared" si="5"/>
        <v>59035.564917199998</v>
      </c>
      <c r="I49" s="5" t="s">
        <v>430</v>
      </c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</row>
    <row r="50" spans="1:86" x14ac:dyDescent="0.25">
      <c r="A50" s="12">
        <f t="shared" si="2"/>
        <v>47</v>
      </c>
      <c r="B50" s="13" t="s">
        <v>104</v>
      </c>
      <c r="C50" s="4" t="s">
        <v>105</v>
      </c>
      <c r="D50" s="4" t="s">
        <v>45</v>
      </c>
      <c r="E50" s="14">
        <f>+[43]Main!$H$2</f>
        <v>73.2</v>
      </c>
      <c r="F50" s="14">
        <f>+[43]Main!$H$4</f>
        <v>94185.342000000004</v>
      </c>
      <c r="G50" s="14">
        <f>+[43]Main!$H$6-[43]Main!$H$5</f>
        <v>-1083.7019999999993</v>
      </c>
      <c r="H50" s="14">
        <f t="shared" si="5"/>
        <v>93101.64</v>
      </c>
      <c r="I50" s="5" t="s">
        <v>429</v>
      </c>
      <c r="J50" s="4"/>
      <c r="K50" s="4"/>
      <c r="L50" s="4"/>
      <c r="M50" s="4"/>
      <c r="N50" s="4"/>
      <c r="O50" s="4"/>
      <c r="P50" s="4"/>
      <c r="Q50" s="4"/>
      <c r="R50" s="4"/>
      <c r="S50" s="4" t="s">
        <v>438</v>
      </c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</row>
    <row r="51" spans="1:86" x14ac:dyDescent="0.25">
      <c r="A51" s="12">
        <f t="shared" si="2"/>
        <v>48</v>
      </c>
      <c r="B51" s="13" t="s">
        <v>109</v>
      </c>
      <c r="C51" s="4" t="s">
        <v>108</v>
      </c>
      <c r="D51" s="4" t="s">
        <v>45</v>
      </c>
      <c r="E51" s="14">
        <f>+[44]Main!$I$2</f>
        <v>739.7</v>
      </c>
      <c r="F51" s="14">
        <f>+[44]Main!$I$4</f>
        <v>98296.326016199993</v>
      </c>
      <c r="G51" s="14">
        <f>+[44]Main!$I$6-[44]Main!$I$5</f>
        <v>2101.982</v>
      </c>
      <c r="H51" s="14">
        <f t="shared" si="5"/>
        <v>100398.3080162</v>
      </c>
      <c r="I51" s="5" t="s">
        <v>431</v>
      </c>
      <c r="J51" s="4"/>
      <c r="K51" s="4"/>
      <c r="L51" s="4"/>
      <c r="M51" s="4"/>
      <c r="N51" s="4"/>
      <c r="O51" s="4"/>
      <c r="P51" s="4"/>
      <c r="Q51" s="4"/>
      <c r="R51" s="4"/>
      <c r="S51" s="4" t="s">
        <v>438</v>
      </c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</row>
    <row r="52" spans="1:86" x14ac:dyDescent="0.25">
      <c r="A52" s="12">
        <f t="shared" si="2"/>
        <v>49</v>
      </c>
      <c r="B52" s="13" t="s">
        <v>27</v>
      </c>
      <c r="C52" s="4" t="s">
        <v>110</v>
      </c>
      <c r="D52" s="4" t="s">
        <v>45</v>
      </c>
      <c r="E52" s="14">
        <f>+[45]Main!$K$2</f>
        <v>82.72</v>
      </c>
      <c r="F52" s="14">
        <f>+[45]Main!$K$4</f>
        <v>85340</v>
      </c>
      <c r="G52" s="14">
        <f>+[45]Main!$K$6-[45]Main!$K$5</f>
        <v>12242</v>
      </c>
      <c r="H52" s="14">
        <f t="shared" si="5"/>
        <v>97582</v>
      </c>
      <c r="I52" s="56" t="s">
        <v>3144</v>
      </c>
      <c r="J52" s="4"/>
      <c r="K52" s="4"/>
      <c r="L52" s="4"/>
      <c r="M52" s="4"/>
      <c r="N52" s="4"/>
      <c r="O52" s="4"/>
      <c r="P52" s="4"/>
      <c r="Q52" s="4"/>
      <c r="R52" s="4"/>
      <c r="S52" s="4" t="s">
        <v>454</v>
      </c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</row>
    <row r="53" spans="1:86" x14ac:dyDescent="0.25">
      <c r="A53" s="12">
        <f t="shared" si="2"/>
        <v>50</v>
      </c>
      <c r="B53" s="4" t="s">
        <v>111</v>
      </c>
      <c r="C53" s="17" t="s">
        <v>112</v>
      </c>
      <c r="D53" s="4" t="s">
        <v>59</v>
      </c>
      <c r="E53" s="14"/>
      <c r="F53" s="14"/>
      <c r="G53" s="14"/>
      <c r="H53" s="14"/>
      <c r="I53" s="5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</row>
    <row r="54" spans="1:86" x14ac:dyDescent="0.25">
      <c r="A54" s="12">
        <f t="shared" si="2"/>
        <v>51</v>
      </c>
      <c r="B54" s="4" t="s">
        <v>113</v>
      </c>
      <c r="C54" s="4" t="s">
        <v>114</v>
      </c>
      <c r="D54" s="4" t="s">
        <v>45</v>
      </c>
      <c r="E54" s="14"/>
      <c r="F54" s="14"/>
      <c r="G54" s="14"/>
      <c r="H54" s="14"/>
      <c r="I54" s="5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</row>
    <row r="55" spans="1:86" x14ac:dyDescent="0.25">
      <c r="A55" s="12">
        <f t="shared" si="2"/>
        <v>52</v>
      </c>
      <c r="B55" s="4" t="s">
        <v>117</v>
      </c>
      <c r="C55" s="4" t="s">
        <v>118</v>
      </c>
      <c r="D55" s="4" t="s">
        <v>87</v>
      </c>
      <c r="E55" s="14"/>
      <c r="F55" s="14"/>
      <c r="G55" s="14"/>
      <c r="H55" s="14"/>
      <c r="I55" s="5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</row>
    <row r="56" spans="1:86" x14ac:dyDescent="0.25">
      <c r="A56" s="12">
        <f t="shared" si="2"/>
        <v>53</v>
      </c>
      <c r="B56" s="13" t="s">
        <v>2582</v>
      </c>
      <c r="C56" s="4" t="s">
        <v>119</v>
      </c>
      <c r="D56" s="4" t="s">
        <v>1126</v>
      </c>
      <c r="E56" s="14">
        <f>+[46]Main!$J$2</f>
        <v>142.5</v>
      </c>
      <c r="F56" s="14">
        <f>+[46]Main!$J$4*FX!C2</f>
        <v>59264.286524999996</v>
      </c>
      <c r="G56" s="14">
        <f>+([46]Main!$J$6-[46]Main!$J$5)*FX!C2</f>
        <v>-8207.3572199999999</v>
      </c>
      <c r="H56" s="14">
        <f t="shared" ref="H56:H62" si="6">+F56+G56</f>
        <v>51056.929304999998</v>
      </c>
      <c r="I56" s="5" t="s">
        <v>49</v>
      </c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</row>
    <row r="57" spans="1:86" x14ac:dyDescent="0.25">
      <c r="A57" s="12">
        <f t="shared" si="2"/>
        <v>54</v>
      </c>
      <c r="B57" s="13" t="s">
        <v>28</v>
      </c>
      <c r="C57" s="4" t="s">
        <v>120</v>
      </c>
      <c r="D57" s="4" t="s">
        <v>45</v>
      </c>
      <c r="E57" s="14">
        <f>+[47]Main!$H$2</f>
        <v>119.01</v>
      </c>
      <c r="F57" s="14">
        <f>+[47]Main!$H$4</f>
        <v>83361.643560510012</v>
      </c>
      <c r="G57" s="14">
        <f>+[47]Main!$H$6-[47]Main!$H$5</f>
        <v>19797</v>
      </c>
      <c r="H57" s="14">
        <f t="shared" si="6"/>
        <v>103158.64356051001</v>
      </c>
      <c r="I57" s="5" t="s">
        <v>49</v>
      </c>
      <c r="J57" s="4"/>
      <c r="K57" s="4"/>
      <c r="L57" s="4"/>
      <c r="M57" s="4"/>
      <c r="N57" s="4"/>
      <c r="O57" s="4"/>
      <c r="P57" s="4"/>
      <c r="Q57" s="4"/>
      <c r="R57" s="4"/>
      <c r="S57" s="4" t="s">
        <v>441</v>
      </c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</row>
    <row r="58" spans="1:86" x14ac:dyDescent="0.25">
      <c r="A58" s="12">
        <f t="shared" si="2"/>
        <v>55</v>
      </c>
      <c r="B58" s="13" t="s">
        <v>121</v>
      </c>
      <c r="C58" s="4" t="s">
        <v>122</v>
      </c>
      <c r="D58" s="4" t="s">
        <v>45</v>
      </c>
      <c r="E58" s="14">
        <f>+[48]Main!$H$2</f>
        <v>123.56</v>
      </c>
      <c r="F58" s="14">
        <f>+[48]Main!$H$4</f>
        <v>76784.591385200009</v>
      </c>
      <c r="G58" s="14">
        <f>+[48]Main!$H$6-[48]Main!$H$5</f>
        <v>-9359</v>
      </c>
      <c r="H58" s="14">
        <f t="shared" si="6"/>
        <v>67425.591385200009</v>
      </c>
      <c r="I58" s="32" t="s">
        <v>2583</v>
      </c>
      <c r="J58" s="4"/>
      <c r="K58" s="4"/>
      <c r="L58" s="4"/>
      <c r="M58" s="4"/>
      <c r="N58" s="4"/>
      <c r="O58" s="4"/>
      <c r="P58" s="4"/>
      <c r="Q58" s="4"/>
      <c r="R58" s="4"/>
      <c r="S58" s="4" t="s">
        <v>452</v>
      </c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</row>
    <row r="59" spans="1:86" x14ac:dyDescent="0.25">
      <c r="A59" s="12">
        <f t="shared" si="2"/>
        <v>56</v>
      </c>
      <c r="B59" s="13" t="s">
        <v>123</v>
      </c>
      <c r="C59" s="4" t="s">
        <v>124</v>
      </c>
      <c r="D59" s="4" t="s">
        <v>45</v>
      </c>
      <c r="E59" s="14">
        <f>+[49]Main!$I$2</f>
        <v>45.76</v>
      </c>
      <c r="F59" s="14">
        <f>+[49]Main!$I$4</f>
        <v>40365.147359679999</v>
      </c>
      <c r="G59" s="14">
        <f>+[49]Main!$I$6-[49]Main!$I$5</f>
        <v>67</v>
      </c>
      <c r="H59" s="14">
        <f t="shared" si="6"/>
        <v>40432.147359679999</v>
      </c>
      <c r="I59" s="54" t="s">
        <v>3144</v>
      </c>
      <c r="J59" s="15"/>
      <c r="K59" s="4"/>
      <c r="L59" s="4"/>
      <c r="M59" s="4"/>
      <c r="N59" s="4"/>
      <c r="O59" s="4"/>
      <c r="P59" s="4"/>
      <c r="Q59" s="4"/>
      <c r="R59" s="4"/>
      <c r="S59" s="4" t="s">
        <v>451</v>
      </c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</row>
    <row r="60" spans="1:86" x14ac:dyDescent="0.25">
      <c r="A60" s="12">
        <f t="shared" si="2"/>
        <v>57</v>
      </c>
      <c r="B60" s="13" t="s">
        <v>125</v>
      </c>
      <c r="C60" s="4" t="s">
        <v>126</v>
      </c>
      <c r="D60" s="4" t="s">
        <v>45</v>
      </c>
      <c r="E60" s="14">
        <f>+[50]Main!$I$2</f>
        <v>512.14</v>
      </c>
      <c r="F60" s="14">
        <f>+[50]Main!$I$4</f>
        <v>79187.125722640005</v>
      </c>
      <c r="G60" s="14">
        <f>+[50]Main!$I$6-[50]Main!$I$5</f>
        <v>-3795.1490000000003</v>
      </c>
      <c r="H60" s="14">
        <f t="shared" si="6"/>
        <v>75391.97672264</v>
      </c>
      <c r="I60" s="5" t="s">
        <v>708</v>
      </c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</row>
    <row r="61" spans="1:86" x14ac:dyDescent="0.25">
      <c r="A61" s="12">
        <f t="shared" si="2"/>
        <v>58</v>
      </c>
      <c r="B61" s="13" t="s">
        <v>127</v>
      </c>
      <c r="C61" s="4" t="s">
        <v>129</v>
      </c>
      <c r="D61" s="4" t="s">
        <v>128</v>
      </c>
      <c r="E61" s="14">
        <f>+[51]Main!$H$2</f>
        <v>627.5</v>
      </c>
      <c r="F61" s="14">
        <f>+[51]Main!$H$5*FX!C4</f>
        <v>131483.55070995001</v>
      </c>
      <c r="G61" s="14">
        <f>+([51]Main!$H$7-[51]Main!$H$6)*FX!C4</f>
        <v>-8510.880000000001</v>
      </c>
      <c r="H61" s="14">
        <f t="shared" si="6"/>
        <v>122972.67070995001</v>
      </c>
      <c r="I61" s="5" t="s">
        <v>2583</v>
      </c>
      <c r="J61" s="15"/>
      <c r="K61" s="4"/>
      <c r="L61" s="4"/>
      <c r="M61" s="4"/>
      <c r="N61" s="4"/>
      <c r="O61" s="4"/>
      <c r="P61" s="4"/>
      <c r="Q61" s="4"/>
      <c r="R61" s="4"/>
      <c r="S61" s="4" t="s">
        <v>450</v>
      </c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</row>
    <row r="62" spans="1:86" x14ac:dyDescent="0.25">
      <c r="A62" s="12">
        <f t="shared" si="2"/>
        <v>59</v>
      </c>
      <c r="B62" s="13" t="s">
        <v>131</v>
      </c>
      <c r="C62" s="4" t="s">
        <v>132</v>
      </c>
      <c r="D62" s="4" t="s">
        <v>45</v>
      </c>
      <c r="E62" s="14">
        <f>+[52]Main!$J$2</f>
        <v>304.60000000000002</v>
      </c>
      <c r="F62" s="14">
        <f>+[52]Main!$J$4</f>
        <v>83168.593200000003</v>
      </c>
      <c r="G62" s="14">
        <f>+[52]Main!$J$6-[52]Main!$J$5</f>
        <v>-300.51499999999987</v>
      </c>
      <c r="H62" s="14">
        <f t="shared" si="6"/>
        <v>82868.078200000004</v>
      </c>
      <c r="I62" s="5" t="s">
        <v>708</v>
      </c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</row>
    <row r="63" spans="1:86" x14ac:dyDescent="0.25">
      <c r="A63" s="12">
        <f t="shared" si="2"/>
        <v>60</v>
      </c>
      <c r="B63" s="4" t="s">
        <v>133</v>
      </c>
      <c r="C63" s="4" t="s">
        <v>134</v>
      </c>
      <c r="D63" s="4" t="s">
        <v>107</v>
      </c>
      <c r="E63" s="14"/>
      <c r="F63" s="14"/>
      <c r="G63" s="14"/>
      <c r="H63" s="14"/>
      <c r="I63" s="5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</row>
    <row r="64" spans="1:86" x14ac:dyDescent="0.25">
      <c r="A64" s="12">
        <f t="shared" si="2"/>
        <v>61</v>
      </c>
      <c r="B64" s="4" t="s">
        <v>137</v>
      </c>
      <c r="C64" s="4" t="s">
        <v>138</v>
      </c>
      <c r="D64" s="4" t="s">
        <v>768</v>
      </c>
      <c r="E64" s="14"/>
      <c r="F64" s="14"/>
      <c r="G64" s="14"/>
      <c r="H64" s="14"/>
      <c r="I64" s="5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</row>
    <row r="65" spans="1:86" x14ac:dyDescent="0.25">
      <c r="A65" s="12">
        <f t="shared" si="2"/>
        <v>62</v>
      </c>
      <c r="B65" s="4" t="s">
        <v>140</v>
      </c>
      <c r="C65" s="4" t="s">
        <v>139</v>
      </c>
      <c r="D65" s="4" t="s">
        <v>45</v>
      </c>
      <c r="E65" s="14"/>
      <c r="F65" s="14"/>
      <c r="G65" s="14"/>
      <c r="H65" s="14"/>
      <c r="I65" s="5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</row>
    <row r="66" spans="1:86" x14ac:dyDescent="0.25">
      <c r="A66" s="12">
        <f t="shared" si="2"/>
        <v>63</v>
      </c>
      <c r="B66" s="13" t="s">
        <v>141</v>
      </c>
      <c r="C66" s="4" t="s">
        <v>142</v>
      </c>
      <c r="D66" s="4" t="s">
        <v>87</v>
      </c>
      <c r="E66" s="14">
        <f>+[53]Main!$I$2</f>
        <v>12800</v>
      </c>
      <c r="F66" s="14">
        <f>+[53]Main!$I$4*FX!C6</f>
        <v>108051.008</v>
      </c>
      <c r="G66" s="14">
        <f>+([53]Main!$I$6-[53]Main!$I$5)*FX!C6</f>
        <v>-10310.7875</v>
      </c>
      <c r="H66" s="14">
        <f>+F66+G66</f>
        <v>97740.220499999996</v>
      </c>
      <c r="I66" s="5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</row>
    <row r="67" spans="1:86" x14ac:dyDescent="0.25">
      <c r="A67" s="12">
        <f t="shared" si="2"/>
        <v>64</v>
      </c>
      <c r="B67" s="4" t="s">
        <v>143</v>
      </c>
      <c r="C67" s="4" t="s">
        <v>144</v>
      </c>
      <c r="D67" s="4" t="s">
        <v>768</v>
      </c>
      <c r="E67" s="14"/>
      <c r="F67" s="14"/>
      <c r="G67" s="14"/>
      <c r="H67" s="14"/>
      <c r="I67" s="5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</row>
    <row r="68" spans="1:86" x14ac:dyDescent="0.25">
      <c r="A68" s="12">
        <f t="shared" si="2"/>
        <v>65</v>
      </c>
      <c r="B68" s="13" t="s">
        <v>146</v>
      </c>
      <c r="C68" s="4" t="s">
        <v>145</v>
      </c>
      <c r="D68" s="4" t="s">
        <v>45</v>
      </c>
      <c r="E68" s="14">
        <f>+[54]Main!$I$2</f>
        <v>70.2</v>
      </c>
      <c r="F68" s="14">
        <f>+[54]Main!$I$4</f>
        <v>60526.44</v>
      </c>
      <c r="G68" s="14">
        <f>+[54]Main!$I$6-[54]Main!$I$5</f>
        <v>3346.7000000000003</v>
      </c>
      <c r="H68" s="14">
        <f>+F68+G68</f>
        <v>63873.14</v>
      </c>
      <c r="I68" s="5" t="s">
        <v>708</v>
      </c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</row>
    <row r="69" spans="1:86" x14ac:dyDescent="0.25">
      <c r="A69" s="12">
        <f t="shared" si="2"/>
        <v>66</v>
      </c>
      <c r="B69" s="4" t="s">
        <v>147</v>
      </c>
      <c r="C69" s="4" t="s">
        <v>148</v>
      </c>
      <c r="D69" s="4" t="s">
        <v>1126</v>
      </c>
      <c r="E69" s="14"/>
      <c r="F69" s="14"/>
      <c r="G69" s="14"/>
      <c r="H69" s="14"/>
      <c r="I69" s="5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</row>
    <row r="70" spans="1:86" x14ac:dyDescent="0.25">
      <c r="A70" s="12">
        <f t="shared" si="2"/>
        <v>67</v>
      </c>
      <c r="B70" s="4" t="s">
        <v>149</v>
      </c>
      <c r="C70" s="4" t="s">
        <v>150</v>
      </c>
      <c r="D70" s="4" t="s">
        <v>46</v>
      </c>
      <c r="E70" s="14"/>
      <c r="F70" s="14"/>
      <c r="G70" s="14"/>
      <c r="H70" s="14"/>
      <c r="I70" s="5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</row>
    <row r="71" spans="1:86" x14ac:dyDescent="0.25">
      <c r="A71" s="12">
        <f t="shared" si="2"/>
        <v>68</v>
      </c>
      <c r="B71" s="4" t="s">
        <v>151</v>
      </c>
      <c r="C71" s="4" t="s">
        <v>152</v>
      </c>
      <c r="D71" s="4" t="s">
        <v>45</v>
      </c>
      <c r="E71" s="14"/>
      <c r="F71" s="14"/>
      <c r="G71" s="14"/>
      <c r="H71" s="14"/>
      <c r="I71" s="5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</row>
    <row r="72" spans="1:86" x14ac:dyDescent="0.25">
      <c r="A72" s="12">
        <f t="shared" si="2"/>
        <v>69</v>
      </c>
      <c r="B72" s="4" t="s">
        <v>153</v>
      </c>
      <c r="C72" s="4" t="s">
        <v>154</v>
      </c>
      <c r="D72" s="4" t="s">
        <v>45</v>
      </c>
      <c r="E72" s="14"/>
      <c r="F72" s="14"/>
      <c r="G72" s="14"/>
      <c r="H72" s="14"/>
      <c r="I72" s="5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</row>
    <row r="73" spans="1:86" x14ac:dyDescent="0.25">
      <c r="A73" s="12">
        <f t="shared" si="2"/>
        <v>70</v>
      </c>
      <c r="B73" s="13" t="s">
        <v>155</v>
      </c>
      <c r="C73" s="4" t="s">
        <v>157</v>
      </c>
      <c r="D73" s="4" t="s">
        <v>45</v>
      </c>
      <c r="E73" s="14">
        <f>+[55]Main!$G$3</f>
        <v>267.60000000000002</v>
      </c>
      <c r="F73" s="14">
        <f>+[55]Main!$G$5</f>
        <v>114317.33704320001</v>
      </c>
      <c r="G73" s="14">
        <f>+[55]Main!$G$7-[55]Main!$G$6</f>
        <v>-2278</v>
      </c>
      <c r="H73" s="14">
        <f>F73+G73</f>
        <v>112039.33704320001</v>
      </c>
      <c r="I73" s="29" t="s">
        <v>2583</v>
      </c>
      <c r="J73" s="4"/>
      <c r="K73" s="4"/>
      <c r="L73" s="4"/>
      <c r="M73" s="4"/>
      <c r="N73" s="4"/>
      <c r="O73" s="4"/>
      <c r="P73" s="4"/>
      <c r="Q73" s="4"/>
      <c r="R73" s="4"/>
      <c r="S73" s="4" t="s">
        <v>449</v>
      </c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</row>
    <row r="74" spans="1:86" x14ac:dyDescent="0.25">
      <c r="A74" s="12">
        <f t="shared" ref="A74:A137" si="7">+A73+1</f>
        <v>71</v>
      </c>
      <c r="B74" s="4" t="s">
        <v>156</v>
      </c>
      <c r="C74" s="4" t="s">
        <v>158</v>
      </c>
      <c r="D74" s="4" t="s">
        <v>45</v>
      </c>
      <c r="E74" s="14"/>
      <c r="F74" s="14"/>
      <c r="G74" s="14"/>
      <c r="H74" s="14"/>
      <c r="I74" s="5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</row>
    <row r="75" spans="1:86" x14ac:dyDescent="0.25">
      <c r="A75" s="12">
        <f t="shared" si="7"/>
        <v>72</v>
      </c>
      <c r="B75" s="13" t="s">
        <v>160</v>
      </c>
      <c r="C75" s="4" t="s">
        <v>159</v>
      </c>
      <c r="D75" s="4" t="s">
        <v>161</v>
      </c>
      <c r="E75" s="14">
        <f>+[56]Main!$I$2</f>
        <v>141.63</v>
      </c>
      <c r="F75" s="14">
        <f>+[56]Main!$I$4</f>
        <v>82151.979704910002</v>
      </c>
      <c r="G75" s="14">
        <f>+[56]Main!$I$6-[56]Main!$I$5</f>
        <v>1013.5080000000007</v>
      </c>
      <c r="H75" s="14">
        <f>+F75+G75</f>
        <v>83165.487704910003</v>
      </c>
      <c r="I75" s="5" t="s">
        <v>430</v>
      </c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</row>
    <row r="76" spans="1:86" x14ac:dyDescent="0.25">
      <c r="A76" s="12">
        <f t="shared" si="7"/>
        <v>73</v>
      </c>
      <c r="B76" s="13" t="s">
        <v>162</v>
      </c>
      <c r="C76" s="4" t="s">
        <v>163</v>
      </c>
      <c r="D76" s="4" t="s">
        <v>45</v>
      </c>
      <c r="E76" s="14">
        <f>+[57]Main!$J$2</f>
        <v>81.150000000000006</v>
      </c>
      <c r="F76" s="14">
        <f>+[57]Main!$J$4</f>
        <v>39872.214139349999</v>
      </c>
      <c r="G76" s="14">
        <f>+[57]Main!$J$6-[57]Main!$J$5</f>
        <v>-1740.3710000000001</v>
      </c>
      <c r="H76" s="14">
        <f>+F76+G76</f>
        <v>38131.84313935</v>
      </c>
      <c r="I76" s="5" t="s">
        <v>708</v>
      </c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</row>
    <row r="77" spans="1:86" x14ac:dyDescent="0.25">
      <c r="A77" s="12">
        <f t="shared" si="7"/>
        <v>74</v>
      </c>
      <c r="B77" s="4" t="s">
        <v>164</v>
      </c>
      <c r="C77" s="4" t="s">
        <v>165</v>
      </c>
      <c r="D77" s="4" t="s">
        <v>79</v>
      </c>
      <c r="E77" s="14"/>
      <c r="F77" s="14"/>
      <c r="G77" s="14"/>
      <c r="H77" s="14"/>
      <c r="I77" s="5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</row>
    <row r="78" spans="1:86" x14ac:dyDescent="0.25">
      <c r="A78" s="12">
        <f t="shared" si="7"/>
        <v>75</v>
      </c>
      <c r="B78" s="13" t="s">
        <v>167</v>
      </c>
      <c r="C78" s="4" t="s">
        <v>167</v>
      </c>
      <c r="D78" s="4" t="s">
        <v>45</v>
      </c>
      <c r="E78" s="14">
        <f>+[58]Main!$I$2</f>
        <v>1790.2</v>
      </c>
      <c r="F78" s="14">
        <f>+[58]Main!$I$4</f>
        <v>43576.493437999998</v>
      </c>
      <c r="G78" s="14">
        <f>+[58]Main!$I$6-[58]Main!$I$5</f>
        <v>2381.538</v>
      </c>
      <c r="H78" s="14">
        <f>+F78+G78</f>
        <v>45958.031437999998</v>
      </c>
      <c r="I78" s="5" t="s">
        <v>431</v>
      </c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</row>
    <row r="79" spans="1:86" x14ac:dyDescent="0.25">
      <c r="A79" s="12">
        <f t="shared" si="7"/>
        <v>76</v>
      </c>
      <c r="B79" s="4" t="s">
        <v>168</v>
      </c>
      <c r="C79" s="4" t="s">
        <v>169</v>
      </c>
      <c r="D79" s="4" t="s">
        <v>46</v>
      </c>
      <c r="E79" s="14"/>
      <c r="F79" s="14"/>
      <c r="G79" s="14"/>
      <c r="H79" s="14"/>
      <c r="I79" s="5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</row>
    <row r="80" spans="1:86" x14ac:dyDescent="0.25">
      <c r="A80" s="12">
        <f t="shared" si="7"/>
        <v>77</v>
      </c>
      <c r="B80" s="4" t="s">
        <v>170</v>
      </c>
      <c r="C80" s="4" t="s">
        <v>171</v>
      </c>
      <c r="D80" s="4" t="s">
        <v>45</v>
      </c>
      <c r="E80" s="14"/>
      <c r="F80" s="14"/>
      <c r="G80" s="14"/>
      <c r="H80" s="14"/>
      <c r="I80" s="5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</row>
    <row r="81" spans="1:86" x14ac:dyDescent="0.25">
      <c r="A81" s="12">
        <f t="shared" si="7"/>
        <v>78</v>
      </c>
      <c r="B81" s="4" t="s">
        <v>172</v>
      </c>
      <c r="C81" s="4" t="s">
        <v>174</v>
      </c>
      <c r="D81" s="4" t="s">
        <v>173</v>
      </c>
      <c r="E81" s="14"/>
      <c r="F81" s="14"/>
      <c r="G81" s="14"/>
      <c r="H81" s="14"/>
      <c r="I81" s="5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</row>
    <row r="82" spans="1:86" x14ac:dyDescent="0.25">
      <c r="A82" s="12">
        <f t="shared" si="7"/>
        <v>79</v>
      </c>
      <c r="B82" s="13" t="s">
        <v>175</v>
      </c>
      <c r="C82" s="4" t="s">
        <v>176</v>
      </c>
      <c r="D82" s="4" t="s">
        <v>59</v>
      </c>
      <c r="E82" s="14">
        <f>+[59]Main!$I$2</f>
        <v>22.51</v>
      </c>
      <c r="F82" s="14">
        <f>+[59]Main!$I$4</f>
        <v>40518</v>
      </c>
      <c r="G82" s="14">
        <f>+[59]Main!$I$6-[59]Main!$I$5</f>
        <v>-4497</v>
      </c>
      <c r="H82" s="14">
        <f>+F82+G82</f>
        <v>36021</v>
      </c>
      <c r="I82" s="5" t="s">
        <v>430</v>
      </c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</row>
    <row r="83" spans="1:86" x14ac:dyDescent="0.25">
      <c r="A83" s="12">
        <f t="shared" si="7"/>
        <v>80</v>
      </c>
      <c r="B83" s="4" t="s">
        <v>177</v>
      </c>
      <c r="C83" s="4" t="s">
        <v>178</v>
      </c>
      <c r="D83" s="4" t="s">
        <v>47</v>
      </c>
      <c r="E83" s="14"/>
      <c r="F83" s="14"/>
      <c r="G83" s="14"/>
      <c r="H83" s="14"/>
      <c r="I83" s="5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</row>
    <row r="84" spans="1:86" x14ac:dyDescent="0.25">
      <c r="A84" s="12">
        <f t="shared" si="7"/>
        <v>81</v>
      </c>
      <c r="B84" s="13" t="s">
        <v>179</v>
      </c>
      <c r="C84" s="4" t="s">
        <v>180</v>
      </c>
      <c r="D84" s="4" t="s">
        <v>45</v>
      </c>
      <c r="E84" s="14">
        <f>+[60]Main!$I$2</f>
        <v>355.99</v>
      </c>
      <c r="F84" s="14">
        <f>+[60]Main!$I$4</f>
        <v>121021.73065369001</v>
      </c>
      <c r="G84" s="14">
        <f>+[60]Main!$I$6-[60]Main!$I$5</f>
        <v>2767.482</v>
      </c>
      <c r="H84" s="14">
        <f>+F84+G84</f>
        <v>123789.21265369002</v>
      </c>
      <c r="I84" s="5" t="s">
        <v>430</v>
      </c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</row>
    <row r="85" spans="1:86" x14ac:dyDescent="0.25">
      <c r="A85" s="12">
        <f t="shared" si="7"/>
        <v>82</v>
      </c>
      <c r="B85" s="4" t="s">
        <v>181</v>
      </c>
      <c r="C85" s="4" t="s">
        <v>182</v>
      </c>
      <c r="D85" s="4" t="s">
        <v>45</v>
      </c>
      <c r="E85" s="14"/>
      <c r="F85" s="14"/>
      <c r="G85" s="14"/>
      <c r="H85" s="14"/>
      <c r="I85" s="5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</row>
    <row r="86" spans="1:86" x14ac:dyDescent="0.25">
      <c r="A86" s="12">
        <f t="shared" si="7"/>
        <v>83</v>
      </c>
      <c r="B86" s="4" t="s">
        <v>183</v>
      </c>
      <c r="C86" s="4" t="s">
        <v>184</v>
      </c>
      <c r="D86" s="4" t="s">
        <v>45</v>
      </c>
      <c r="E86" s="14"/>
      <c r="F86" s="14"/>
      <c r="G86" s="14"/>
      <c r="H86" s="14"/>
      <c r="I86" s="5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</row>
    <row r="87" spans="1:86" x14ac:dyDescent="0.25">
      <c r="A87" s="12">
        <f t="shared" si="7"/>
        <v>84</v>
      </c>
      <c r="B87" s="13" t="s">
        <v>307</v>
      </c>
      <c r="C87" s="4" t="s">
        <v>308</v>
      </c>
      <c r="D87" s="4" t="s">
        <v>45</v>
      </c>
      <c r="E87" s="14">
        <f>+[61]Main!$J$2</f>
        <v>117.07</v>
      </c>
      <c r="F87" s="14">
        <f>+[61]Main!$J$4</f>
        <v>104037.19313750998</v>
      </c>
      <c r="G87" s="14">
        <f>+[61]Main!$J$6-[61]Main!$J$5</f>
        <v>-4332</v>
      </c>
      <c r="H87" s="14">
        <f>+F87+G87</f>
        <v>99705.193137509981</v>
      </c>
      <c r="I87" s="5" t="s">
        <v>2583</v>
      </c>
      <c r="J87" s="4"/>
      <c r="K87" s="4"/>
      <c r="L87" s="4"/>
      <c r="M87" s="4"/>
      <c r="N87" s="4"/>
      <c r="O87" s="4"/>
      <c r="P87" s="4"/>
      <c r="Q87" s="4"/>
      <c r="R87" s="4"/>
      <c r="S87" s="4" t="s">
        <v>445</v>
      </c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</row>
    <row r="88" spans="1:86" x14ac:dyDescent="0.25">
      <c r="A88" s="12">
        <f t="shared" si="7"/>
        <v>85</v>
      </c>
      <c r="B88" s="4" t="s">
        <v>185</v>
      </c>
      <c r="C88" s="4" t="s">
        <v>187</v>
      </c>
      <c r="D88" s="4" t="s">
        <v>186</v>
      </c>
      <c r="E88" s="14"/>
      <c r="F88" s="14"/>
      <c r="G88" s="14"/>
      <c r="H88" s="14"/>
      <c r="I88" s="5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</row>
    <row r="89" spans="1:86" x14ac:dyDescent="0.25">
      <c r="A89" s="12">
        <f t="shared" si="7"/>
        <v>86</v>
      </c>
      <c r="B89" s="13" t="s">
        <v>442</v>
      </c>
      <c r="C89" s="4" t="s">
        <v>222</v>
      </c>
      <c r="D89" s="4" t="s">
        <v>45</v>
      </c>
      <c r="E89" s="14">
        <f>+[62]Main!$I$2</f>
        <v>337.5</v>
      </c>
      <c r="F89" s="14">
        <f>+[62]Main!$I$4</f>
        <v>78536.25</v>
      </c>
      <c r="G89" s="14">
        <f>+[62]Main!$I$6-[62]Main!$I$5</f>
        <v>-42129.569890000006</v>
      </c>
      <c r="H89" s="14">
        <f>+F89+G89</f>
        <v>36406.680109999994</v>
      </c>
      <c r="I89" s="5" t="s">
        <v>430</v>
      </c>
      <c r="J89" s="4"/>
      <c r="K89" s="4"/>
      <c r="L89" s="4"/>
      <c r="M89" s="4"/>
      <c r="N89" s="4"/>
      <c r="O89" s="4"/>
      <c r="P89" s="4"/>
      <c r="Q89" s="4"/>
      <c r="R89" s="4"/>
      <c r="S89" s="4" t="s">
        <v>448</v>
      </c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</row>
    <row r="90" spans="1:86" x14ac:dyDescent="0.25">
      <c r="A90" s="12">
        <f t="shared" si="7"/>
        <v>87</v>
      </c>
      <c r="B90" s="4" t="s">
        <v>188</v>
      </c>
      <c r="C90" s="4" t="s">
        <v>189</v>
      </c>
      <c r="D90" s="4" t="s">
        <v>45</v>
      </c>
      <c r="E90" s="14"/>
      <c r="F90" s="14"/>
      <c r="G90" s="14"/>
      <c r="H90" s="14"/>
      <c r="I90" s="5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</row>
    <row r="91" spans="1:86" x14ac:dyDescent="0.25">
      <c r="A91" s="12">
        <f t="shared" si="7"/>
        <v>88</v>
      </c>
      <c r="B91" s="4" t="s">
        <v>190</v>
      </c>
      <c r="C91" s="4" t="s">
        <v>191</v>
      </c>
      <c r="D91" s="4" t="s">
        <v>768</v>
      </c>
      <c r="E91" s="14"/>
      <c r="F91" s="14"/>
      <c r="G91" s="14"/>
      <c r="H91" s="14"/>
      <c r="I91" s="5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</row>
    <row r="92" spans="1:86" x14ac:dyDescent="0.25">
      <c r="A92" s="12">
        <f t="shared" si="7"/>
        <v>89</v>
      </c>
      <c r="B92" s="13" t="s">
        <v>192</v>
      </c>
      <c r="C92" s="4" t="s">
        <v>193</v>
      </c>
      <c r="D92" s="4" t="s">
        <v>45</v>
      </c>
      <c r="E92" s="14">
        <f>+[63]Main!$H$2</f>
        <v>276.01</v>
      </c>
      <c r="F92" s="14">
        <f>+[63]Main!$H$4</f>
        <v>69099.22577243</v>
      </c>
      <c r="G92" s="14">
        <f>+[63]Main!$H$6-[63]Main!$H$5</f>
        <v>-3259.3870999999999</v>
      </c>
      <c r="H92" s="14">
        <f>+F92+G92</f>
        <v>65839.838672429993</v>
      </c>
      <c r="I92" s="5" t="s">
        <v>49</v>
      </c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</row>
    <row r="93" spans="1:86" x14ac:dyDescent="0.25">
      <c r="A93" s="12">
        <f t="shared" si="7"/>
        <v>90</v>
      </c>
      <c r="B93" s="13" t="s">
        <v>194</v>
      </c>
      <c r="C93" s="4" t="s">
        <v>707</v>
      </c>
      <c r="D93" s="4" t="s">
        <v>45</v>
      </c>
      <c r="E93" s="14">
        <f>+[64]Main!$J$2</f>
        <v>53.86</v>
      </c>
      <c r="F93" s="14">
        <f>+[64]Main!$J$4</f>
        <v>33365.192799999997</v>
      </c>
      <c r="G93" s="14">
        <f>+[64]Main!$J$6-[64]Main!$J$5</f>
        <v>-2373.2370000000001</v>
      </c>
      <c r="H93" s="14">
        <f>+F93+G93</f>
        <v>30991.955799999996</v>
      </c>
      <c r="I93" s="5" t="s">
        <v>430</v>
      </c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</row>
    <row r="94" spans="1:86" x14ac:dyDescent="0.25">
      <c r="A94" s="12">
        <f t="shared" si="7"/>
        <v>91</v>
      </c>
      <c r="B94" s="4" t="s">
        <v>195</v>
      </c>
      <c r="C94" s="4" t="s">
        <v>197</v>
      </c>
      <c r="D94" s="4" t="s">
        <v>196</v>
      </c>
      <c r="E94" s="14"/>
      <c r="F94" s="14"/>
      <c r="G94" s="14"/>
      <c r="H94" s="14"/>
      <c r="I94" s="5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</row>
    <row r="95" spans="1:86" x14ac:dyDescent="0.25">
      <c r="A95" s="12">
        <f t="shared" si="7"/>
        <v>92</v>
      </c>
      <c r="B95" s="4" t="s">
        <v>198</v>
      </c>
      <c r="C95" s="4" t="s">
        <v>199</v>
      </c>
      <c r="D95" s="4" t="s">
        <v>46</v>
      </c>
      <c r="E95" s="14"/>
      <c r="F95" s="14"/>
      <c r="G95" s="14"/>
      <c r="H95" s="14"/>
      <c r="I95" s="5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</row>
    <row r="96" spans="1:86" x14ac:dyDescent="0.25">
      <c r="A96" s="12">
        <f t="shared" si="7"/>
        <v>93</v>
      </c>
      <c r="B96" s="4" t="s">
        <v>200</v>
      </c>
      <c r="C96" s="4" t="s">
        <v>201</v>
      </c>
      <c r="D96" s="4" t="s">
        <v>45</v>
      </c>
      <c r="E96" s="14"/>
      <c r="F96" s="14"/>
      <c r="G96" s="14"/>
      <c r="H96" s="14"/>
      <c r="I96" s="5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</row>
    <row r="97" spans="1:86" x14ac:dyDescent="0.25">
      <c r="A97" s="12">
        <f t="shared" si="7"/>
        <v>94</v>
      </c>
      <c r="B97" s="4" t="s">
        <v>202</v>
      </c>
      <c r="C97" s="4" t="s">
        <v>203</v>
      </c>
      <c r="D97" s="4" t="s">
        <v>768</v>
      </c>
      <c r="E97" s="14"/>
      <c r="F97" s="14"/>
      <c r="G97" s="14"/>
      <c r="H97" s="14"/>
      <c r="I97" s="5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</row>
    <row r="98" spans="1:86" x14ac:dyDescent="0.25">
      <c r="A98" s="12">
        <f t="shared" si="7"/>
        <v>95</v>
      </c>
      <c r="B98" s="13" t="s">
        <v>204</v>
      </c>
      <c r="C98" s="4" t="s">
        <v>205</v>
      </c>
      <c r="D98" s="4" t="s">
        <v>45</v>
      </c>
      <c r="E98" s="14">
        <f>+[65]Main!$I$2</f>
        <v>202.53</v>
      </c>
      <c r="F98" s="14">
        <f>+[65]Main!$I$4</f>
        <v>50674.485076589997</v>
      </c>
      <c r="G98" s="14">
        <f>+[65]Main!$I$6-[65]Main!$I$5</f>
        <v>-1230</v>
      </c>
      <c r="H98" s="14">
        <f>+F98+G98</f>
        <v>49444.485076589997</v>
      </c>
      <c r="I98" s="5" t="s">
        <v>431</v>
      </c>
      <c r="J98" s="36" t="s">
        <v>3146</v>
      </c>
      <c r="K98" s="4"/>
      <c r="L98" s="4"/>
      <c r="M98" s="4"/>
      <c r="N98" s="4"/>
      <c r="O98" s="4"/>
      <c r="P98" s="4"/>
      <c r="Q98" s="4"/>
      <c r="R98" s="4"/>
      <c r="S98" s="4" t="s">
        <v>446</v>
      </c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</row>
    <row r="99" spans="1:86" x14ac:dyDescent="0.25">
      <c r="A99" s="12">
        <f t="shared" si="7"/>
        <v>96</v>
      </c>
      <c r="B99" s="4" t="s">
        <v>206</v>
      </c>
      <c r="C99" s="4" t="s">
        <v>207</v>
      </c>
      <c r="D99" s="4" t="s">
        <v>45</v>
      </c>
      <c r="E99" s="14"/>
      <c r="F99" s="14"/>
      <c r="G99" s="14"/>
      <c r="H99" s="14"/>
      <c r="I99" s="5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</row>
    <row r="100" spans="1:86" x14ac:dyDescent="0.25">
      <c r="A100" s="12">
        <f t="shared" si="7"/>
        <v>97</v>
      </c>
      <c r="B100" s="4" t="s">
        <v>208</v>
      </c>
      <c r="C100" s="4" t="s">
        <v>209</v>
      </c>
      <c r="D100" s="4" t="s">
        <v>87</v>
      </c>
      <c r="E100" s="14"/>
      <c r="F100" s="14"/>
      <c r="G100" s="14"/>
      <c r="H100" s="14"/>
      <c r="I100" s="5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</row>
    <row r="101" spans="1:86" x14ac:dyDescent="0.25">
      <c r="A101" s="12">
        <f t="shared" si="7"/>
        <v>98</v>
      </c>
      <c r="B101" s="4" t="s">
        <v>210</v>
      </c>
      <c r="C101" s="17" t="s">
        <v>211</v>
      </c>
      <c r="D101" s="4" t="s">
        <v>768</v>
      </c>
      <c r="E101" s="14"/>
      <c r="F101" s="14"/>
      <c r="G101" s="14"/>
      <c r="H101" s="14"/>
      <c r="I101" s="5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</row>
    <row r="102" spans="1:86" x14ac:dyDescent="0.25">
      <c r="A102" s="12">
        <f t="shared" si="7"/>
        <v>99</v>
      </c>
      <c r="B102" s="4" t="s">
        <v>212</v>
      </c>
      <c r="C102" s="4" t="s">
        <v>213</v>
      </c>
      <c r="D102" s="4" t="s">
        <v>87</v>
      </c>
      <c r="E102" s="14"/>
      <c r="F102" s="14"/>
      <c r="G102" s="14"/>
      <c r="H102" s="14"/>
      <c r="I102" s="5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</row>
    <row r="103" spans="1:86" x14ac:dyDescent="0.25">
      <c r="A103" s="12">
        <f t="shared" si="7"/>
        <v>100</v>
      </c>
      <c r="B103" s="4" t="s">
        <v>214</v>
      </c>
      <c r="C103" s="4" t="s">
        <v>215</v>
      </c>
      <c r="D103" s="4" t="s">
        <v>45</v>
      </c>
      <c r="E103" s="14"/>
      <c r="F103" s="14"/>
      <c r="G103" s="14"/>
      <c r="H103" s="14"/>
      <c r="I103" s="5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</row>
    <row r="104" spans="1:86" x14ac:dyDescent="0.25">
      <c r="A104" s="12">
        <f t="shared" si="7"/>
        <v>101</v>
      </c>
      <c r="B104" s="13" t="s">
        <v>216</v>
      </c>
      <c r="C104" s="4" t="s">
        <v>217</v>
      </c>
      <c r="D104" s="4" t="s">
        <v>45</v>
      </c>
      <c r="E104" s="14">
        <f>+[66]Main!$I$2</f>
        <v>28.82</v>
      </c>
      <c r="F104" s="14">
        <f>+[66]Main!$I$4</f>
        <v>27027.330751519999</v>
      </c>
      <c r="G104" s="14">
        <f>+[66]Main!$I$6-[66]Main!$I$5</f>
        <v>6416</v>
      </c>
      <c r="H104" s="14">
        <f>+F104+G104</f>
        <v>33443.330751519999</v>
      </c>
      <c r="I104" s="5" t="s">
        <v>430</v>
      </c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</row>
    <row r="105" spans="1:86" x14ac:dyDescent="0.25">
      <c r="A105" s="12">
        <f t="shared" si="7"/>
        <v>102</v>
      </c>
      <c r="B105" s="4" t="s">
        <v>218</v>
      </c>
      <c r="C105" s="4" t="s">
        <v>219</v>
      </c>
      <c r="D105" s="4" t="s">
        <v>173</v>
      </c>
      <c r="E105" s="14"/>
      <c r="F105" s="14"/>
      <c r="G105" s="14"/>
      <c r="H105" s="14"/>
      <c r="I105" s="5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</row>
    <row r="106" spans="1:86" x14ac:dyDescent="0.25">
      <c r="A106" s="12">
        <f t="shared" si="7"/>
        <v>103</v>
      </c>
      <c r="B106" s="4" t="s">
        <v>220</v>
      </c>
      <c r="C106" s="4" t="s">
        <v>221</v>
      </c>
      <c r="D106" s="4" t="s">
        <v>768</v>
      </c>
      <c r="E106" s="14"/>
      <c r="F106" s="14"/>
      <c r="G106" s="14"/>
      <c r="H106" s="14"/>
      <c r="I106" s="5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</row>
    <row r="107" spans="1:86" x14ac:dyDescent="0.25">
      <c r="A107" s="12">
        <f t="shared" si="7"/>
        <v>104</v>
      </c>
      <c r="B107" s="4" t="s">
        <v>223</v>
      </c>
      <c r="C107" s="4" t="s">
        <v>224</v>
      </c>
      <c r="D107" s="4" t="s">
        <v>1126</v>
      </c>
      <c r="E107" s="14"/>
      <c r="F107" s="14"/>
      <c r="G107" s="14"/>
      <c r="H107" s="14"/>
      <c r="I107" s="5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</row>
    <row r="108" spans="1:86" x14ac:dyDescent="0.25">
      <c r="A108" s="12">
        <f t="shared" si="7"/>
        <v>105</v>
      </c>
      <c r="B108" s="13" t="s">
        <v>225</v>
      </c>
      <c r="C108" s="4" t="s">
        <v>226</v>
      </c>
      <c r="D108" s="4" t="s">
        <v>45</v>
      </c>
      <c r="E108" s="14">
        <f>+[67]Main!$H$2</f>
        <v>115.31</v>
      </c>
      <c r="F108" s="14">
        <f>+[67]Main!$H$4</f>
        <v>51658.880000000005</v>
      </c>
      <c r="G108" s="14">
        <f>+[67]Main!$H$6-[67]Main!$H$5</f>
        <v>3827</v>
      </c>
      <c r="H108" s="14">
        <f>+F108+G108</f>
        <v>55485.880000000005</v>
      </c>
      <c r="I108" s="43" t="s">
        <v>3147</v>
      </c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</row>
    <row r="109" spans="1:86" x14ac:dyDescent="0.25">
      <c r="A109" s="12">
        <f t="shared" si="7"/>
        <v>106</v>
      </c>
      <c r="B109" s="4" t="s">
        <v>227</v>
      </c>
      <c r="C109" s="4" t="s">
        <v>228</v>
      </c>
      <c r="D109" s="4" t="s">
        <v>46</v>
      </c>
      <c r="E109" s="14"/>
      <c r="F109" s="14"/>
      <c r="G109" s="14"/>
      <c r="H109" s="14"/>
      <c r="I109" s="5"/>
      <c r="J109" s="4"/>
      <c r="K109" s="4"/>
      <c r="L109" s="4"/>
      <c r="M109" s="4"/>
      <c r="N109" s="4"/>
      <c r="O109" s="4"/>
      <c r="P109" s="4"/>
      <c r="Q109" s="4"/>
      <c r="R109" s="4"/>
      <c r="S109" s="4" t="s">
        <v>447</v>
      </c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</row>
    <row r="110" spans="1:86" x14ac:dyDescent="0.25">
      <c r="A110" s="12">
        <f t="shared" si="7"/>
        <v>107</v>
      </c>
      <c r="B110" s="4" t="s">
        <v>229</v>
      </c>
      <c r="C110" s="4" t="s">
        <v>230</v>
      </c>
      <c r="D110" s="4" t="s">
        <v>87</v>
      </c>
      <c r="E110" s="14"/>
      <c r="F110" s="14"/>
      <c r="G110" s="14"/>
      <c r="H110" s="14"/>
      <c r="I110" s="5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</row>
    <row r="111" spans="1:86" x14ac:dyDescent="0.25">
      <c r="A111" s="12">
        <f t="shared" si="7"/>
        <v>108</v>
      </c>
      <c r="B111" s="4" t="s">
        <v>195</v>
      </c>
      <c r="C111" s="4" t="s">
        <v>231</v>
      </c>
      <c r="D111" s="4" t="s">
        <v>1126</v>
      </c>
      <c r="E111" s="14"/>
      <c r="F111" s="14"/>
      <c r="G111" s="14"/>
      <c r="H111" s="14"/>
      <c r="I111" s="5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</row>
    <row r="112" spans="1:86" x14ac:dyDescent="0.25">
      <c r="A112" s="12">
        <f t="shared" si="7"/>
        <v>109</v>
      </c>
      <c r="B112" s="4" t="s">
        <v>232</v>
      </c>
      <c r="C112" s="4" t="s">
        <v>234</v>
      </c>
      <c r="D112" s="4" t="s">
        <v>233</v>
      </c>
      <c r="E112" s="14"/>
      <c r="F112" s="14"/>
      <c r="G112" s="14"/>
      <c r="H112" s="14"/>
      <c r="I112" s="5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</row>
    <row r="113" spans="1:86" x14ac:dyDescent="0.25">
      <c r="A113" s="12">
        <f t="shared" si="7"/>
        <v>110</v>
      </c>
      <c r="B113" s="4" t="s">
        <v>235</v>
      </c>
      <c r="C113" s="4" t="s">
        <v>236</v>
      </c>
      <c r="D113" s="4" t="s">
        <v>186</v>
      </c>
      <c r="E113" s="14"/>
      <c r="F113" s="14"/>
      <c r="G113" s="14"/>
      <c r="H113" s="14"/>
      <c r="I113" s="5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</row>
    <row r="114" spans="1:86" x14ac:dyDescent="0.25">
      <c r="A114" s="12">
        <f t="shared" si="7"/>
        <v>111</v>
      </c>
      <c r="B114" s="4" t="s">
        <v>237</v>
      </c>
      <c r="C114" s="4" t="s">
        <v>238</v>
      </c>
      <c r="D114" s="4" t="s">
        <v>45</v>
      </c>
      <c r="E114" s="14"/>
      <c r="F114" s="14"/>
      <c r="G114" s="14"/>
      <c r="H114" s="14"/>
      <c r="I114" s="5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</row>
    <row r="115" spans="1:86" x14ac:dyDescent="0.25">
      <c r="A115" s="12">
        <f t="shared" si="7"/>
        <v>112</v>
      </c>
      <c r="B115" s="4" t="s">
        <v>239</v>
      </c>
      <c r="C115" s="4" t="s">
        <v>240</v>
      </c>
      <c r="D115" s="4" t="s">
        <v>45</v>
      </c>
      <c r="E115" s="14"/>
      <c r="F115" s="14"/>
      <c r="G115" s="14"/>
      <c r="H115" s="14"/>
      <c r="I115" s="5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</row>
    <row r="116" spans="1:86" x14ac:dyDescent="0.25">
      <c r="A116" s="12">
        <f t="shared" si="7"/>
        <v>113</v>
      </c>
      <c r="B116" s="4" t="s">
        <v>241</v>
      </c>
      <c r="C116" s="4" t="s">
        <v>242</v>
      </c>
      <c r="D116" s="4" t="s">
        <v>87</v>
      </c>
      <c r="E116" s="14"/>
      <c r="F116" s="14"/>
      <c r="G116" s="14"/>
      <c r="H116" s="14"/>
      <c r="I116" s="5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</row>
    <row r="117" spans="1:86" x14ac:dyDescent="0.25">
      <c r="A117" s="12">
        <f t="shared" si="7"/>
        <v>114</v>
      </c>
      <c r="B117" s="4" t="s">
        <v>243</v>
      </c>
      <c r="C117" s="4" t="s">
        <v>244</v>
      </c>
      <c r="D117" s="4" t="s">
        <v>245</v>
      </c>
      <c r="E117" s="14"/>
      <c r="F117" s="14"/>
      <c r="G117" s="14"/>
      <c r="H117" s="14"/>
      <c r="I117" s="5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</row>
    <row r="118" spans="1:86" x14ac:dyDescent="0.25">
      <c r="A118" s="12">
        <f t="shared" si="7"/>
        <v>115</v>
      </c>
      <c r="B118" s="4" t="s">
        <v>246</v>
      </c>
      <c r="C118" s="4" t="s">
        <v>247</v>
      </c>
      <c r="D118" s="4" t="s">
        <v>45</v>
      </c>
      <c r="E118" s="14"/>
      <c r="F118" s="14"/>
      <c r="G118" s="14"/>
      <c r="H118" s="14"/>
      <c r="I118" s="5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</row>
    <row r="119" spans="1:86" x14ac:dyDescent="0.25">
      <c r="A119" s="12">
        <f t="shared" si="7"/>
        <v>116</v>
      </c>
      <c r="B119" s="4" t="s">
        <v>248</v>
      </c>
      <c r="C119" s="4" t="s">
        <v>249</v>
      </c>
      <c r="D119" s="4" t="s">
        <v>45</v>
      </c>
      <c r="E119" s="14"/>
      <c r="F119" s="14"/>
      <c r="G119" s="14"/>
      <c r="H119" s="14"/>
      <c r="I119" s="5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</row>
    <row r="120" spans="1:86" x14ac:dyDescent="0.25">
      <c r="A120" s="12">
        <f t="shared" si="7"/>
        <v>117</v>
      </c>
      <c r="B120" s="4" t="s">
        <v>250</v>
      </c>
      <c r="C120" s="4" t="s">
        <v>251</v>
      </c>
      <c r="D120" s="4" t="s">
        <v>45</v>
      </c>
      <c r="E120" s="14"/>
      <c r="F120" s="14"/>
      <c r="G120" s="14"/>
      <c r="H120" s="14"/>
      <c r="I120" s="5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</row>
    <row r="121" spans="1:86" x14ac:dyDescent="0.25">
      <c r="A121" s="12">
        <f t="shared" si="7"/>
        <v>118</v>
      </c>
      <c r="B121" s="4" t="s">
        <v>252</v>
      </c>
      <c r="C121" s="4" t="s">
        <v>253</v>
      </c>
      <c r="D121" s="4" t="s">
        <v>173</v>
      </c>
      <c r="E121" s="14"/>
      <c r="F121" s="14"/>
      <c r="G121" s="14"/>
      <c r="H121" s="14"/>
      <c r="I121" s="5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</row>
    <row r="122" spans="1:86" x14ac:dyDescent="0.25">
      <c r="A122" s="12">
        <f t="shared" si="7"/>
        <v>119</v>
      </c>
      <c r="B122" s="13" t="s">
        <v>257</v>
      </c>
      <c r="C122" s="4" t="s">
        <v>254</v>
      </c>
      <c r="D122" s="4" t="s">
        <v>45</v>
      </c>
      <c r="E122" s="14">
        <f>+[68]Main!$I$2</f>
        <v>194.53</v>
      </c>
      <c r="F122" s="14">
        <f>+[68]Main!$I$4</f>
        <v>67601.194415930004</v>
      </c>
      <c r="G122" s="14">
        <f>+[68]Main!$I$6-[68]Main!$I$5</f>
        <v>-204.459</v>
      </c>
      <c r="H122" s="14">
        <f>+F122+G122</f>
        <v>67396.735415930001</v>
      </c>
      <c r="I122" s="5" t="s">
        <v>708</v>
      </c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</row>
    <row r="123" spans="1:86" x14ac:dyDescent="0.25">
      <c r="A123" s="12">
        <f t="shared" si="7"/>
        <v>120</v>
      </c>
      <c r="B123" s="13" t="s">
        <v>255</v>
      </c>
      <c r="C123" s="4" t="s">
        <v>256</v>
      </c>
      <c r="D123" s="4" t="s">
        <v>45</v>
      </c>
      <c r="E123" s="14">
        <f>+[69]Main!$L$3</f>
        <v>228.01</v>
      </c>
      <c r="F123" s="14">
        <f>+[69]Main!$L$5</f>
        <v>42061.053038120001</v>
      </c>
      <c r="G123" s="14">
        <f>+[69]Main!$L$7-[69]Main!$L$6</f>
        <v>1030</v>
      </c>
      <c r="H123" s="14">
        <f>+F123+G123</f>
        <v>43091.053038120001</v>
      </c>
      <c r="I123" s="5" t="s">
        <v>429</v>
      </c>
      <c r="J123" s="4"/>
      <c r="K123" s="4"/>
      <c r="L123" s="4"/>
      <c r="M123" s="4"/>
      <c r="N123" s="4"/>
      <c r="O123" s="4"/>
      <c r="P123" s="4"/>
      <c r="Q123" s="4"/>
      <c r="R123" s="4"/>
      <c r="S123" s="4" t="s">
        <v>446</v>
      </c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</row>
    <row r="124" spans="1:86" x14ac:dyDescent="0.25">
      <c r="A124" s="12">
        <f t="shared" si="7"/>
        <v>121</v>
      </c>
      <c r="B124" s="4" t="s">
        <v>258</v>
      </c>
      <c r="C124" s="4" t="s">
        <v>259</v>
      </c>
      <c r="D124" s="4" t="s">
        <v>87</v>
      </c>
      <c r="E124" s="14"/>
      <c r="F124" s="14"/>
      <c r="G124" s="14"/>
      <c r="H124" s="14"/>
      <c r="I124" s="5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</row>
    <row r="125" spans="1:86" x14ac:dyDescent="0.25">
      <c r="A125" s="12">
        <f t="shared" si="7"/>
        <v>122</v>
      </c>
      <c r="B125" s="4" t="s">
        <v>260</v>
      </c>
      <c r="C125" s="4" t="s">
        <v>261</v>
      </c>
      <c r="D125" s="4" t="s">
        <v>87</v>
      </c>
      <c r="E125" s="14"/>
      <c r="F125" s="14"/>
      <c r="G125" s="14"/>
      <c r="H125" s="14"/>
      <c r="I125" s="5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</row>
    <row r="126" spans="1:86" x14ac:dyDescent="0.25">
      <c r="A126" s="12">
        <f t="shared" si="7"/>
        <v>123</v>
      </c>
      <c r="B126" s="4" t="s">
        <v>262</v>
      </c>
      <c r="C126" s="4" t="s">
        <v>263</v>
      </c>
      <c r="D126" s="4" t="s">
        <v>45</v>
      </c>
      <c r="E126" s="14"/>
      <c r="F126" s="14"/>
      <c r="G126" s="14"/>
      <c r="H126" s="14"/>
      <c r="I126" s="5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</row>
    <row r="127" spans="1:86" x14ac:dyDescent="0.25">
      <c r="A127" s="12">
        <f t="shared" si="7"/>
        <v>124</v>
      </c>
      <c r="B127" s="4" t="s">
        <v>264</v>
      </c>
      <c r="C127" s="4" t="s">
        <v>265</v>
      </c>
      <c r="D127" s="4" t="s">
        <v>45</v>
      </c>
      <c r="E127" s="14"/>
      <c r="F127" s="14"/>
      <c r="G127" s="14"/>
      <c r="H127" s="14"/>
      <c r="I127" s="5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</row>
    <row r="128" spans="1:86" x14ac:dyDescent="0.25">
      <c r="A128" s="12">
        <f t="shared" si="7"/>
        <v>125</v>
      </c>
      <c r="B128" s="4" t="s">
        <v>266</v>
      </c>
      <c r="C128" s="4" t="s">
        <v>267</v>
      </c>
      <c r="D128" s="4" t="s">
        <v>45</v>
      </c>
      <c r="E128" s="14"/>
      <c r="F128" s="14"/>
      <c r="G128" s="14"/>
      <c r="H128" s="14"/>
      <c r="I128" s="5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</row>
    <row r="129" spans="1:86" x14ac:dyDescent="0.25">
      <c r="A129" s="12">
        <f t="shared" si="7"/>
        <v>126</v>
      </c>
      <c r="B129" s="4" t="s">
        <v>268</v>
      </c>
      <c r="C129" s="4" t="s">
        <v>269</v>
      </c>
      <c r="D129" s="4" t="s">
        <v>45</v>
      </c>
      <c r="E129" s="14"/>
      <c r="F129" s="14"/>
      <c r="G129" s="14"/>
      <c r="H129" s="14"/>
      <c r="I129" s="5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</row>
    <row r="130" spans="1:86" x14ac:dyDescent="0.25">
      <c r="A130" s="12">
        <f t="shared" si="7"/>
        <v>127</v>
      </c>
      <c r="B130" s="4" t="s">
        <v>271</v>
      </c>
      <c r="C130" s="4" t="s">
        <v>270</v>
      </c>
      <c r="D130" s="4" t="s">
        <v>45</v>
      </c>
      <c r="E130" s="14"/>
      <c r="F130" s="14"/>
      <c r="G130" s="14"/>
      <c r="H130" s="14"/>
      <c r="I130" s="5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</row>
    <row r="131" spans="1:86" x14ac:dyDescent="0.25">
      <c r="A131" s="12">
        <f t="shared" si="7"/>
        <v>128</v>
      </c>
      <c r="B131" s="13" t="s">
        <v>424</v>
      </c>
      <c r="C131" s="4" t="s">
        <v>425</v>
      </c>
      <c r="D131" s="4" t="s">
        <v>45</v>
      </c>
      <c r="E131" s="14">
        <f>+[70]Main!$I$2</f>
        <v>215</v>
      </c>
      <c r="F131" s="14">
        <f>+[70]Main!$I$4</f>
        <v>40238.578914999998</v>
      </c>
      <c r="G131" s="14">
        <f>+[70]Main!$I$6-[70]Main!$I$5</f>
        <v>-2059.9409999999998</v>
      </c>
      <c r="H131" s="14">
        <f>+F131+G131</f>
        <v>38178.637914999999</v>
      </c>
      <c r="I131" s="5" t="s">
        <v>2583</v>
      </c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</row>
    <row r="132" spans="1:86" x14ac:dyDescent="0.25">
      <c r="A132" s="12">
        <f t="shared" si="7"/>
        <v>129</v>
      </c>
      <c r="B132" s="4" t="s">
        <v>272</v>
      </c>
      <c r="C132" s="4" t="s">
        <v>273</v>
      </c>
      <c r="D132" s="4" t="s">
        <v>128</v>
      </c>
      <c r="E132" s="14"/>
      <c r="F132" s="14"/>
      <c r="G132" s="14"/>
      <c r="H132" s="14"/>
      <c r="I132" s="5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</row>
    <row r="133" spans="1:86" x14ac:dyDescent="0.25">
      <c r="A133" s="12">
        <f t="shared" si="7"/>
        <v>130</v>
      </c>
      <c r="B133" s="4" t="s">
        <v>274</v>
      </c>
      <c r="C133" s="4" t="s">
        <v>275</v>
      </c>
      <c r="D133" s="4" t="s">
        <v>45</v>
      </c>
      <c r="E133" s="14"/>
      <c r="F133" s="14"/>
      <c r="G133" s="14"/>
      <c r="H133" s="14"/>
      <c r="I133" s="5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</row>
    <row r="134" spans="1:86" x14ac:dyDescent="0.25">
      <c r="A134" s="12">
        <f t="shared" si="7"/>
        <v>131</v>
      </c>
      <c r="B134" s="13" t="s">
        <v>276</v>
      </c>
      <c r="C134" s="4" t="s">
        <v>277</v>
      </c>
      <c r="D134" s="4" t="s">
        <v>278</v>
      </c>
      <c r="E134" s="14">
        <f>+[71]Main!$J$2</f>
        <v>4.42</v>
      </c>
      <c r="F134" s="14">
        <f>+[71]Main!$J$4*FX!C4</f>
        <v>25273.325527398003</v>
      </c>
      <c r="G134" s="14">
        <f>+([71]Main!$J$6-[71]Main!$J$5)*FX!C4</f>
        <v>-2129.7600000000002</v>
      </c>
      <c r="H134" s="14">
        <f>+F134+G134</f>
        <v>23143.565527398001</v>
      </c>
      <c r="I134" s="5" t="s">
        <v>708</v>
      </c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</row>
    <row r="135" spans="1:86" x14ac:dyDescent="0.25">
      <c r="A135" s="12">
        <f t="shared" si="7"/>
        <v>132</v>
      </c>
      <c r="B135" s="4" t="s">
        <v>279</v>
      </c>
      <c r="C135" s="4" t="s">
        <v>280</v>
      </c>
      <c r="D135" s="4" t="s">
        <v>45</v>
      </c>
      <c r="E135" s="14"/>
      <c r="F135" s="14"/>
      <c r="G135" s="14"/>
      <c r="H135" s="14"/>
      <c r="I135" s="5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</row>
    <row r="136" spans="1:86" x14ac:dyDescent="0.25">
      <c r="A136" s="12">
        <f t="shared" si="7"/>
        <v>133</v>
      </c>
      <c r="B136" s="4" t="s">
        <v>281</v>
      </c>
      <c r="C136" s="4" t="s">
        <v>283</v>
      </c>
      <c r="D136" s="4" t="s">
        <v>282</v>
      </c>
      <c r="E136" s="14"/>
      <c r="F136" s="14"/>
      <c r="G136" s="14"/>
      <c r="H136" s="14"/>
      <c r="I136" s="5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</row>
    <row r="137" spans="1:86" x14ac:dyDescent="0.25">
      <c r="A137" s="12">
        <f t="shared" si="7"/>
        <v>134</v>
      </c>
      <c r="B137" s="4" t="s">
        <v>285</v>
      </c>
      <c r="C137" s="4" t="s">
        <v>284</v>
      </c>
      <c r="D137" s="4" t="s">
        <v>768</v>
      </c>
      <c r="E137" s="14"/>
      <c r="F137" s="14"/>
      <c r="G137" s="14"/>
      <c r="H137" s="14"/>
      <c r="I137" s="5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</row>
    <row r="138" spans="1:86" x14ac:dyDescent="0.25">
      <c r="A138" s="12">
        <f t="shared" ref="A138:A201" si="8">+A137+1</f>
        <v>135</v>
      </c>
      <c r="B138" s="4" t="s">
        <v>286</v>
      </c>
      <c r="C138" s="4" t="s">
        <v>287</v>
      </c>
      <c r="D138" s="4" t="s">
        <v>45</v>
      </c>
      <c r="E138" s="14"/>
      <c r="F138" s="14"/>
      <c r="G138" s="14"/>
      <c r="H138" s="14"/>
      <c r="I138" s="5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</row>
    <row r="139" spans="1:86" x14ac:dyDescent="0.25">
      <c r="A139" s="12">
        <f t="shared" si="8"/>
        <v>136</v>
      </c>
      <c r="B139" s="4" t="s">
        <v>288</v>
      </c>
      <c r="C139" s="4" t="s">
        <v>289</v>
      </c>
      <c r="D139" s="4" t="s">
        <v>45</v>
      </c>
      <c r="E139" s="14"/>
      <c r="F139" s="14"/>
      <c r="G139" s="14"/>
      <c r="H139" s="14"/>
      <c r="I139" s="5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</row>
    <row r="140" spans="1:86" x14ac:dyDescent="0.25">
      <c r="A140" s="12">
        <f t="shared" si="8"/>
        <v>137</v>
      </c>
      <c r="B140" s="4" t="s">
        <v>290</v>
      </c>
      <c r="C140" s="4" t="s">
        <v>291</v>
      </c>
      <c r="D140" s="4" t="s">
        <v>45</v>
      </c>
      <c r="E140" s="14"/>
      <c r="F140" s="14"/>
      <c r="G140" s="14"/>
      <c r="H140" s="14"/>
      <c r="I140" s="5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</row>
    <row r="141" spans="1:86" x14ac:dyDescent="0.25">
      <c r="A141" s="12">
        <f t="shared" si="8"/>
        <v>138</v>
      </c>
      <c r="B141" s="4" t="s">
        <v>292</v>
      </c>
      <c r="C141" s="4" t="s">
        <v>293</v>
      </c>
      <c r="D141" s="4" t="s">
        <v>1126</v>
      </c>
      <c r="E141" s="14"/>
      <c r="F141" s="14"/>
      <c r="G141" s="14"/>
      <c r="H141" s="14"/>
      <c r="I141" s="5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</row>
    <row r="142" spans="1:86" x14ac:dyDescent="0.25">
      <c r="A142" s="12">
        <f t="shared" si="8"/>
        <v>139</v>
      </c>
      <c r="B142" s="4" t="s">
        <v>295</v>
      </c>
      <c r="C142" s="4" t="s">
        <v>296</v>
      </c>
      <c r="D142" s="4" t="s">
        <v>294</v>
      </c>
      <c r="E142" s="14"/>
      <c r="F142" s="14"/>
      <c r="G142" s="14"/>
      <c r="H142" s="14"/>
      <c r="I142" s="5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</row>
    <row r="143" spans="1:86" x14ac:dyDescent="0.25">
      <c r="A143" s="12">
        <f t="shared" si="8"/>
        <v>140</v>
      </c>
      <c r="B143" s="4" t="s">
        <v>299</v>
      </c>
      <c r="C143" s="4" t="s">
        <v>299</v>
      </c>
      <c r="D143" s="4" t="s">
        <v>45</v>
      </c>
      <c r="E143" s="14"/>
      <c r="F143" s="14"/>
      <c r="G143" s="14"/>
      <c r="H143" s="14"/>
      <c r="I143" s="5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</row>
    <row r="144" spans="1:86" x14ac:dyDescent="0.25">
      <c r="A144" s="12">
        <f t="shared" si="8"/>
        <v>141</v>
      </c>
      <c r="B144" s="4" t="s">
        <v>297</v>
      </c>
      <c r="C144" s="4" t="s">
        <v>298</v>
      </c>
      <c r="D144" s="4" t="s">
        <v>45</v>
      </c>
      <c r="E144" s="14"/>
      <c r="F144" s="14"/>
      <c r="G144" s="14"/>
      <c r="H144" s="14"/>
      <c r="I144" s="5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</row>
    <row r="145" spans="1:86" x14ac:dyDescent="0.25">
      <c r="A145" s="12">
        <f t="shared" si="8"/>
        <v>142</v>
      </c>
      <c r="B145" s="4" t="s">
        <v>300</v>
      </c>
      <c r="C145" s="4" t="s">
        <v>302</v>
      </c>
      <c r="D145" s="4" t="s">
        <v>301</v>
      </c>
      <c r="E145" s="14"/>
      <c r="F145" s="14"/>
      <c r="G145" s="14"/>
      <c r="H145" s="14"/>
      <c r="I145" s="5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</row>
    <row r="146" spans="1:86" x14ac:dyDescent="0.25">
      <c r="A146" s="12">
        <f t="shared" si="8"/>
        <v>143</v>
      </c>
      <c r="B146" s="4" t="s">
        <v>303</v>
      </c>
      <c r="C146" s="4" t="s">
        <v>304</v>
      </c>
      <c r="D146" s="4" t="s">
        <v>1126</v>
      </c>
      <c r="E146" s="14"/>
      <c r="F146" s="14"/>
      <c r="G146" s="14"/>
      <c r="H146" s="14"/>
      <c r="I146" s="5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</row>
    <row r="147" spans="1:86" x14ac:dyDescent="0.25">
      <c r="A147" s="12">
        <f t="shared" si="8"/>
        <v>144</v>
      </c>
      <c r="B147" s="4" t="s">
        <v>305</v>
      </c>
      <c r="C147" s="4" t="s">
        <v>306</v>
      </c>
      <c r="D147" s="4" t="s">
        <v>87</v>
      </c>
      <c r="E147" s="14"/>
      <c r="F147" s="14"/>
      <c r="G147" s="14"/>
      <c r="H147" s="14"/>
      <c r="I147" s="5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</row>
    <row r="148" spans="1:86" x14ac:dyDescent="0.25">
      <c r="A148" s="12">
        <f t="shared" si="8"/>
        <v>145</v>
      </c>
      <c r="B148" s="13" t="s">
        <v>309</v>
      </c>
      <c r="C148" s="4" t="s">
        <v>310</v>
      </c>
      <c r="D148" s="4" t="s">
        <v>45</v>
      </c>
      <c r="E148" s="14">
        <f>+[72]Main!$I$2</f>
        <v>195.81</v>
      </c>
      <c r="F148" s="14">
        <f>+[72]Main!$I$4</f>
        <v>25231.503659940001</v>
      </c>
      <c r="G148" s="14">
        <f>+[72]Main!$I$6-[72]Main!$I$5</f>
        <v>392</v>
      </c>
      <c r="H148" s="14">
        <f>+F148+G148</f>
        <v>25623.503659940001</v>
      </c>
      <c r="I148" s="5" t="s">
        <v>430</v>
      </c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</row>
    <row r="149" spans="1:86" x14ac:dyDescent="0.25">
      <c r="A149" s="12">
        <f t="shared" si="8"/>
        <v>146</v>
      </c>
      <c r="B149" s="4" t="s">
        <v>311</v>
      </c>
      <c r="C149" s="4" t="s">
        <v>312</v>
      </c>
      <c r="D149" s="4" t="s">
        <v>45</v>
      </c>
      <c r="E149" s="14"/>
      <c r="F149" s="14"/>
      <c r="G149" s="14"/>
      <c r="H149" s="14"/>
      <c r="I149" s="5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</row>
    <row r="150" spans="1:86" x14ac:dyDescent="0.25">
      <c r="A150" s="12">
        <f t="shared" si="8"/>
        <v>147</v>
      </c>
      <c r="B150" s="4" t="s">
        <v>313</v>
      </c>
      <c r="C150" s="17" t="s">
        <v>314</v>
      </c>
      <c r="D150" s="4" t="s">
        <v>59</v>
      </c>
      <c r="E150" s="14"/>
      <c r="F150" s="14"/>
      <c r="G150" s="14"/>
      <c r="H150" s="14"/>
      <c r="I150" s="5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</row>
    <row r="151" spans="1:86" x14ac:dyDescent="0.25">
      <c r="A151" s="12">
        <f t="shared" si="8"/>
        <v>148</v>
      </c>
      <c r="B151" s="4" t="s">
        <v>315</v>
      </c>
      <c r="C151" s="4" t="s">
        <v>316</v>
      </c>
      <c r="D151" s="4" t="s">
        <v>45</v>
      </c>
      <c r="E151" s="14"/>
      <c r="F151" s="14"/>
      <c r="G151" s="14"/>
      <c r="H151" s="14"/>
      <c r="I151" s="5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</row>
    <row r="152" spans="1:86" x14ac:dyDescent="0.25">
      <c r="A152" s="12">
        <f t="shared" si="8"/>
        <v>149</v>
      </c>
      <c r="B152" s="4" t="s">
        <v>317</v>
      </c>
      <c r="C152" s="4" t="s">
        <v>318</v>
      </c>
      <c r="D152" s="4" t="s">
        <v>45</v>
      </c>
      <c r="E152" s="14"/>
      <c r="F152" s="14"/>
      <c r="G152" s="14"/>
      <c r="H152" s="14"/>
      <c r="I152" s="5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</row>
    <row r="153" spans="1:86" x14ac:dyDescent="0.25">
      <c r="A153" s="12">
        <f t="shared" si="8"/>
        <v>150</v>
      </c>
      <c r="B153" s="4" t="s">
        <v>320</v>
      </c>
      <c r="C153" s="4" t="s">
        <v>319</v>
      </c>
      <c r="D153" s="4" t="s">
        <v>45</v>
      </c>
      <c r="E153" s="14"/>
      <c r="F153" s="14"/>
      <c r="G153" s="14"/>
      <c r="H153" s="14"/>
      <c r="I153" s="5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</row>
    <row r="154" spans="1:86" x14ac:dyDescent="0.25">
      <c r="A154" s="12">
        <f t="shared" si="8"/>
        <v>151</v>
      </c>
      <c r="B154" s="13" t="s">
        <v>321</v>
      </c>
      <c r="C154" s="17" t="s">
        <v>323</v>
      </c>
      <c r="D154" s="4" t="s">
        <v>322</v>
      </c>
      <c r="E154" s="14"/>
      <c r="F154" s="14"/>
      <c r="G154" s="14"/>
      <c r="H154" s="14"/>
      <c r="I154" s="5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</row>
    <row r="155" spans="1:86" x14ac:dyDescent="0.25">
      <c r="A155" s="12">
        <f t="shared" si="8"/>
        <v>152</v>
      </c>
      <c r="B155" s="13" t="s">
        <v>324</v>
      </c>
      <c r="C155" s="4" t="s">
        <v>325</v>
      </c>
      <c r="D155" s="4" t="s">
        <v>45</v>
      </c>
      <c r="E155" s="14">
        <f>+[73]Main!$I$2</f>
        <v>283.56</v>
      </c>
      <c r="F155" s="14">
        <f>+[73]Main!$I$4</f>
        <v>10720.488835439999</v>
      </c>
      <c r="G155" s="14">
        <f>+[73]Main!$I$6-[73]Main!$I$5</f>
        <v>1066.1519999999998</v>
      </c>
      <c r="H155" s="14">
        <f>+F155+G155</f>
        <v>11786.640835439999</v>
      </c>
      <c r="I155" s="5" t="s">
        <v>429</v>
      </c>
      <c r="J155" s="4"/>
      <c r="K155" s="4"/>
      <c r="L155" s="4"/>
      <c r="M155" s="4"/>
      <c r="N155" s="4"/>
      <c r="O155" s="4"/>
      <c r="P155" s="4"/>
      <c r="Q155" s="4"/>
      <c r="R155" s="4"/>
      <c r="S155" s="4" t="s">
        <v>443</v>
      </c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</row>
    <row r="156" spans="1:86" x14ac:dyDescent="0.25">
      <c r="A156" s="12">
        <f t="shared" si="8"/>
        <v>153</v>
      </c>
      <c r="B156" s="13" t="s">
        <v>327</v>
      </c>
      <c r="C156" s="4" t="s">
        <v>326</v>
      </c>
      <c r="D156" s="4" t="s">
        <v>45</v>
      </c>
      <c r="E156" s="14">
        <f>+[74]Main!$I$2</f>
        <v>5.75</v>
      </c>
      <c r="F156" s="14">
        <f>+[74]Main!$I$4</f>
        <v>9886.3120132500007</v>
      </c>
      <c r="G156" s="14">
        <f>+[74]Main!$I$6-[74]Main!$I$5</f>
        <v>544.51200000000017</v>
      </c>
      <c r="H156" s="14">
        <f>+F156+G156</f>
        <v>10430.824013250001</v>
      </c>
      <c r="I156" s="5" t="s">
        <v>2583</v>
      </c>
      <c r="J156" s="15">
        <v>45958</v>
      </c>
      <c r="K156" s="4"/>
      <c r="L156" s="4"/>
      <c r="M156" s="4"/>
      <c r="N156" s="4"/>
      <c r="O156" s="4"/>
      <c r="P156" s="4"/>
      <c r="Q156" s="4"/>
      <c r="R156" s="4"/>
      <c r="S156" s="4" t="s">
        <v>444</v>
      </c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</row>
    <row r="157" spans="1:86" x14ac:dyDescent="0.25">
      <c r="A157" s="12">
        <f t="shared" si="8"/>
        <v>154</v>
      </c>
      <c r="B157" s="4" t="s">
        <v>329</v>
      </c>
      <c r="C157" s="4" t="s">
        <v>328</v>
      </c>
      <c r="D157" s="4" t="s">
        <v>45</v>
      </c>
      <c r="E157" s="14"/>
      <c r="F157" s="14"/>
      <c r="G157" s="14"/>
      <c r="H157" s="14"/>
      <c r="I157" s="5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</row>
    <row r="158" spans="1:86" x14ac:dyDescent="0.25">
      <c r="A158" s="12">
        <f t="shared" si="8"/>
        <v>155</v>
      </c>
      <c r="B158" s="4" t="s">
        <v>330</v>
      </c>
      <c r="C158" s="4" t="s">
        <v>331</v>
      </c>
      <c r="D158" s="4" t="s">
        <v>45</v>
      </c>
      <c r="E158" s="14"/>
      <c r="F158" s="14"/>
      <c r="G158" s="14"/>
      <c r="H158" s="14"/>
      <c r="I158" s="5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</row>
    <row r="159" spans="1:86" x14ac:dyDescent="0.25">
      <c r="A159" s="12">
        <f t="shared" si="8"/>
        <v>156</v>
      </c>
      <c r="B159" s="4" t="s">
        <v>332</v>
      </c>
      <c r="C159" s="4" t="s">
        <v>333</v>
      </c>
      <c r="D159" s="4" t="s">
        <v>45</v>
      </c>
      <c r="E159" s="14"/>
      <c r="F159" s="14"/>
      <c r="G159" s="14"/>
      <c r="H159" s="14"/>
      <c r="I159" s="5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</row>
    <row r="160" spans="1:86" x14ac:dyDescent="0.25">
      <c r="A160" s="12">
        <f t="shared" si="8"/>
        <v>157</v>
      </c>
      <c r="B160" s="4" t="s">
        <v>334</v>
      </c>
      <c r="C160" s="4" t="s">
        <v>335</v>
      </c>
      <c r="D160" s="4" t="s">
        <v>87</v>
      </c>
      <c r="E160" s="14"/>
      <c r="F160" s="14"/>
      <c r="G160" s="14"/>
      <c r="H160" s="14"/>
      <c r="I160" s="5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</row>
    <row r="161" spans="1:86" x14ac:dyDescent="0.25">
      <c r="A161" s="12">
        <f t="shared" si="8"/>
        <v>158</v>
      </c>
      <c r="B161" s="4" t="s">
        <v>336</v>
      </c>
      <c r="C161" s="4" t="s">
        <v>337</v>
      </c>
      <c r="D161" s="4" t="s">
        <v>45</v>
      </c>
      <c r="E161" s="14"/>
      <c r="F161" s="14"/>
      <c r="G161" s="14"/>
      <c r="H161" s="14"/>
      <c r="I161" s="5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</row>
    <row r="162" spans="1:86" x14ac:dyDescent="0.25">
      <c r="A162" s="12">
        <f t="shared" si="8"/>
        <v>159</v>
      </c>
      <c r="B162" s="4" t="s">
        <v>338</v>
      </c>
      <c r="C162" s="4" t="s">
        <v>339</v>
      </c>
      <c r="D162" s="4" t="s">
        <v>45</v>
      </c>
      <c r="E162" s="14"/>
      <c r="F162" s="14"/>
      <c r="G162" s="14"/>
      <c r="H162" s="14"/>
      <c r="I162" s="5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</row>
    <row r="163" spans="1:86" x14ac:dyDescent="0.25">
      <c r="A163" s="12">
        <f t="shared" si="8"/>
        <v>160</v>
      </c>
      <c r="B163" s="4" t="s">
        <v>340</v>
      </c>
      <c r="C163" s="4" t="s">
        <v>341</v>
      </c>
      <c r="D163" s="4" t="s">
        <v>45</v>
      </c>
      <c r="E163" s="14"/>
      <c r="F163" s="14"/>
      <c r="G163" s="14"/>
      <c r="H163" s="14"/>
      <c r="I163" s="5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</row>
    <row r="164" spans="1:86" x14ac:dyDescent="0.25">
      <c r="A164" s="12">
        <f t="shared" si="8"/>
        <v>161</v>
      </c>
      <c r="B164" s="4" t="s">
        <v>342</v>
      </c>
      <c r="C164" s="4" t="s">
        <v>343</v>
      </c>
      <c r="D164" s="4" t="s">
        <v>186</v>
      </c>
      <c r="E164" s="14"/>
      <c r="F164" s="14"/>
      <c r="G164" s="14"/>
      <c r="H164" s="14"/>
      <c r="I164" s="5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</row>
    <row r="165" spans="1:86" x14ac:dyDescent="0.25">
      <c r="A165" s="12">
        <f t="shared" si="8"/>
        <v>162</v>
      </c>
      <c r="B165" s="4" t="s">
        <v>344</v>
      </c>
      <c r="C165" s="4" t="s">
        <v>345</v>
      </c>
      <c r="D165" s="4" t="s">
        <v>45</v>
      </c>
      <c r="E165" s="14"/>
      <c r="F165" s="14"/>
      <c r="G165" s="14"/>
      <c r="H165" s="14"/>
      <c r="I165" s="5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</row>
    <row r="166" spans="1:86" x14ac:dyDescent="0.25">
      <c r="A166" s="12">
        <f t="shared" si="8"/>
        <v>163</v>
      </c>
      <c r="B166" s="4" t="s">
        <v>346</v>
      </c>
      <c r="C166" s="4" t="s">
        <v>347</v>
      </c>
      <c r="D166" s="4" t="s">
        <v>45</v>
      </c>
      <c r="E166" s="14"/>
      <c r="F166" s="14"/>
      <c r="G166" s="14"/>
      <c r="H166" s="14"/>
      <c r="I166" s="5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</row>
    <row r="167" spans="1:86" x14ac:dyDescent="0.25">
      <c r="A167" s="12">
        <f t="shared" si="8"/>
        <v>164</v>
      </c>
      <c r="B167" s="4" t="s">
        <v>348</v>
      </c>
      <c r="C167" s="4" t="s">
        <v>349</v>
      </c>
      <c r="D167" s="4" t="s">
        <v>45</v>
      </c>
      <c r="E167" s="14"/>
      <c r="F167" s="14"/>
      <c r="G167" s="14"/>
      <c r="H167" s="14"/>
      <c r="I167" s="5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</row>
    <row r="168" spans="1:86" x14ac:dyDescent="0.25">
      <c r="A168" s="12">
        <f t="shared" si="8"/>
        <v>165</v>
      </c>
      <c r="B168" s="4" t="s">
        <v>350</v>
      </c>
      <c r="C168" s="4" t="s">
        <v>351</v>
      </c>
      <c r="D168" s="4" t="s">
        <v>45</v>
      </c>
      <c r="E168" s="14"/>
      <c r="F168" s="14"/>
      <c r="G168" s="14"/>
      <c r="H168" s="14"/>
      <c r="I168" s="5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</row>
    <row r="169" spans="1:86" x14ac:dyDescent="0.25">
      <c r="A169" s="12">
        <f t="shared" si="8"/>
        <v>166</v>
      </c>
      <c r="B169" s="4" t="s">
        <v>353</v>
      </c>
      <c r="C169" s="4" t="s">
        <v>352</v>
      </c>
      <c r="D169" s="4" t="s">
        <v>45</v>
      </c>
      <c r="E169" s="14"/>
      <c r="F169" s="14"/>
      <c r="G169" s="14"/>
      <c r="H169" s="14"/>
      <c r="I169" s="5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</row>
    <row r="170" spans="1:86" x14ac:dyDescent="0.25">
      <c r="A170" s="12">
        <f t="shared" si="8"/>
        <v>167</v>
      </c>
      <c r="B170" s="4" t="s">
        <v>354</v>
      </c>
      <c r="C170" s="4" t="s">
        <v>355</v>
      </c>
      <c r="D170" s="4" t="s">
        <v>161</v>
      </c>
      <c r="E170" s="14"/>
      <c r="F170" s="14"/>
      <c r="G170" s="14"/>
      <c r="H170" s="14"/>
      <c r="I170" s="5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</row>
    <row r="171" spans="1:86" x14ac:dyDescent="0.25">
      <c r="A171" s="12">
        <f t="shared" si="8"/>
        <v>168</v>
      </c>
      <c r="B171" s="4" t="s">
        <v>356</v>
      </c>
      <c r="C171" s="4" t="s">
        <v>357</v>
      </c>
      <c r="D171" s="4" t="s">
        <v>45</v>
      </c>
      <c r="E171" s="14"/>
      <c r="F171" s="14"/>
      <c r="G171" s="14"/>
      <c r="H171" s="14"/>
      <c r="I171" s="5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</row>
    <row r="172" spans="1:86" x14ac:dyDescent="0.25">
      <c r="A172" s="12">
        <f t="shared" si="8"/>
        <v>169</v>
      </c>
      <c r="B172" s="4" t="s">
        <v>358</v>
      </c>
      <c r="C172" s="4" t="s">
        <v>359</v>
      </c>
      <c r="D172" s="4" t="s">
        <v>45</v>
      </c>
      <c r="E172" s="14"/>
      <c r="F172" s="14"/>
      <c r="G172" s="14"/>
      <c r="H172" s="14"/>
      <c r="I172" s="5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</row>
    <row r="173" spans="1:86" x14ac:dyDescent="0.25">
      <c r="A173" s="12">
        <f t="shared" si="8"/>
        <v>170</v>
      </c>
      <c r="B173" s="4" t="s">
        <v>360</v>
      </c>
      <c r="C173" s="4" t="s">
        <v>361</v>
      </c>
      <c r="D173" s="4" t="s">
        <v>45</v>
      </c>
      <c r="E173" s="14"/>
      <c r="F173" s="14"/>
      <c r="G173" s="14"/>
      <c r="H173" s="14"/>
      <c r="I173" s="5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</row>
    <row r="174" spans="1:86" x14ac:dyDescent="0.25">
      <c r="A174" s="12">
        <f t="shared" si="8"/>
        <v>171</v>
      </c>
      <c r="B174" s="4" t="s">
        <v>362</v>
      </c>
      <c r="C174" s="4" t="s">
        <v>363</v>
      </c>
      <c r="D174" s="4" t="s">
        <v>322</v>
      </c>
      <c r="E174" s="14"/>
      <c r="F174" s="14"/>
      <c r="G174" s="14"/>
      <c r="H174" s="14"/>
      <c r="I174" s="5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</row>
    <row r="175" spans="1:86" x14ac:dyDescent="0.25">
      <c r="A175" s="12">
        <f t="shared" si="8"/>
        <v>172</v>
      </c>
      <c r="B175" s="4" t="s">
        <v>364</v>
      </c>
      <c r="C175" s="4" t="s">
        <v>365</v>
      </c>
      <c r="D175" s="4" t="s">
        <v>45</v>
      </c>
      <c r="E175" s="14"/>
      <c r="F175" s="14"/>
      <c r="G175" s="14"/>
      <c r="H175" s="14"/>
      <c r="I175" s="5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</row>
    <row r="176" spans="1:86" x14ac:dyDescent="0.25">
      <c r="A176" s="12">
        <f t="shared" si="8"/>
        <v>173</v>
      </c>
      <c r="B176" s="4" t="s">
        <v>366</v>
      </c>
      <c r="C176" s="4" t="s">
        <v>367</v>
      </c>
      <c r="D176" s="4" t="s">
        <v>768</v>
      </c>
      <c r="E176" s="14"/>
      <c r="F176" s="14"/>
      <c r="G176" s="14"/>
      <c r="H176" s="14"/>
      <c r="I176" s="5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</row>
    <row r="177" spans="1:86" x14ac:dyDescent="0.25">
      <c r="A177" s="12">
        <f t="shared" si="8"/>
        <v>174</v>
      </c>
      <c r="B177" s="4" t="s">
        <v>368</v>
      </c>
      <c r="C177" s="4" t="s">
        <v>369</v>
      </c>
      <c r="D177" s="4" t="s">
        <v>87</v>
      </c>
      <c r="E177" s="14"/>
      <c r="F177" s="14"/>
      <c r="G177" s="14"/>
      <c r="H177" s="14"/>
      <c r="I177" s="5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</row>
    <row r="178" spans="1:86" x14ac:dyDescent="0.25">
      <c r="A178" s="12">
        <f t="shared" si="8"/>
        <v>175</v>
      </c>
      <c r="B178" s="13" t="s">
        <v>371</v>
      </c>
      <c r="C178" s="4" t="s">
        <v>370</v>
      </c>
      <c r="D178" s="4" t="s">
        <v>87</v>
      </c>
      <c r="E178" s="14"/>
      <c r="F178" s="14"/>
      <c r="G178" s="14"/>
      <c r="H178" s="14"/>
      <c r="I178" s="5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</row>
    <row r="179" spans="1:86" x14ac:dyDescent="0.25">
      <c r="A179" s="12">
        <f t="shared" si="8"/>
        <v>176</v>
      </c>
      <c r="B179" s="4" t="s">
        <v>372</v>
      </c>
      <c r="C179" s="4" t="s">
        <v>373</v>
      </c>
      <c r="D179" s="4" t="s">
        <v>768</v>
      </c>
      <c r="E179" s="14"/>
      <c r="F179" s="14"/>
      <c r="G179" s="14"/>
      <c r="H179" s="14"/>
      <c r="I179" s="5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</row>
    <row r="180" spans="1:86" x14ac:dyDescent="0.25">
      <c r="A180" s="12">
        <f t="shared" si="8"/>
        <v>177</v>
      </c>
      <c r="B180" s="4" t="s">
        <v>374</v>
      </c>
      <c r="C180" s="4" t="s">
        <v>375</v>
      </c>
      <c r="D180" s="4" t="s">
        <v>45</v>
      </c>
      <c r="E180" s="14"/>
      <c r="F180" s="14"/>
      <c r="G180" s="14"/>
      <c r="H180" s="14"/>
      <c r="I180" s="5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</row>
    <row r="181" spans="1:86" x14ac:dyDescent="0.25">
      <c r="A181" s="12">
        <f t="shared" si="8"/>
        <v>178</v>
      </c>
      <c r="B181" s="4" t="s">
        <v>376</v>
      </c>
      <c r="C181" s="4" t="s">
        <v>377</v>
      </c>
      <c r="D181" s="4" t="s">
        <v>45</v>
      </c>
      <c r="E181" s="14"/>
      <c r="F181" s="14"/>
      <c r="G181" s="14"/>
      <c r="H181" s="14"/>
      <c r="I181" s="5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</row>
    <row r="182" spans="1:86" x14ac:dyDescent="0.25">
      <c r="A182" s="12">
        <f t="shared" si="8"/>
        <v>179</v>
      </c>
      <c r="B182" s="4" t="s">
        <v>378</v>
      </c>
      <c r="C182" s="4" t="s">
        <v>379</v>
      </c>
      <c r="D182" s="4" t="s">
        <v>87</v>
      </c>
      <c r="E182" s="14"/>
      <c r="F182" s="14"/>
      <c r="G182" s="14"/>
      <c r="H182" s="14"/>
      <c r="I182" s="5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</row>
    <row r="183" spans="1:86" x14ac:dyDescent="0.25">
      <c r="A183" s="12">
        <f t="shared" si="8"/>
        <v>180</v>
      </c>
      <c r="B183" s="4" t="s">
        <v>380</v>
      </c>
      <c r="C183" s="4" t="s">
        <v>381</v>
      </c>
      <c r="D183" s="4" t="s">
        <v>87</v>
      </c>
      <c r="E183" s="14"/>
      <c r="F183" s="14"/>
      <c r="G183" s="14"/>
      <c r="H183" s="14"/>
      <c r="I183" s="5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</row>
    <row r="184" spans="1:86" x14ac:dyDescent="0.25">
      <c r="A184" s="12">
        <f t="shared" si="8"/>
        <v>181</v>
      </c>
      <c r="B184" s="4" t="s">
        <v>433</v>
      </c>
      <c r="C184" s="4" t="s">
        <v>382</v>
      </c>
      <c r="D184" s="4" t="s">
        <v>301</v>
      </c>
      <c r="E184" s="14"/>
      <c r="F184" s="14"/>
      <c r="G184" s="14"/>
      <c r="H184" s="14"/>
      <c r="I184" s="5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</row>
    <row r="185" spans="1:86" x14ac:dyDescent="0.25">
      <c r="A185" s="12">
        <f t="shared" si="8"/>
        <v>182</v>
      </c>
      <c r="B185" s="4" t="s">
        <v>383</v>
      </c>
      <c r="C185" s="4" t="s">
        <v>384</v>
      </c>
      <c r="D185" s="4" t="s">
        <v>1126</v>
      </c>
      <c r="E185" s="14"/>
      <c r="F185" s="14"/>
      <c r="G185" s="14"/>
      <c r="H185" s="14"/>
      <c r="I185" s="5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</row>
    <row r="186" spans="1:86" x14ac:dyDescent="0.25">
      <c r="A186" s="12">
        <f t="shared" si="8"/>
        <v>183</v>
      </c>
      <c r="B186" s="4" t="s">
        <v>385</v>
      </c>
      <c r="C186" s="4" t="s">
        <v>386</v>
      </c>
      <c r="D186" s="4" t="s">
        <v>173</v>
      </c>
      <c r="E186" s="14"/>
      <c r="F186" s="14"/>
      <c r="G186" s="14"/>
      <c r="H186" s="14"/>
      <c r="I186" s="5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</row>
    <row r="187" spans="1:86" x14ac:dyDescent="0.25">
      <c r="A187" s="12">
        <f t="shared" si="8"/>
        <v>184</v>
      </c>
      <c r="B187" s="4" t="s">
        <v>387</v>
      </c>
      <c r="C187" s="17" t="s">
        <v>388</v>
      </c>
      <c r="D187" s="4" t="s">
        <v>59</v>
      </c>
      <c r="E187" s="14"/>
      <c r="F187" s="14"/>
      <c r="G187" s="14"/>
      <c r="H187" s="14"/>
      <c r="I187" s="5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</row>
    <row r="188" spans="1:86" x14ac:dyDescent="0.25">
      <c r="A188" s="12">
        <f t="shared" si="8"/>
        <v>185</v>
      </c>
      <c r="B188" s="4" t="s">
        <v>389</v>
      </c>
      <c r="C188" s="4" t="s">
        <v>390</v>
      </c>
      <c r="D188" s="4" t="s">
        <v>84</v>
      </c>
      <c r="E188" s="14"/>
      <c r="F188" s="14"/>
      <c r="G188" s="14"/>
      <c r="H188" s="14"/>
      <c r="I188" s="5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</row>
    <row r="189" spans="1:86" x14ac:dyDescent="0.25">
      <c r="A189" s="12">
        <f t="shared" si="8"/>
        <v>186</v>
      </c>
      <c r="B189" s="4" t="s">
        <v>391</v>
      </c>
      <c r="C189" s="4" t="s">
        <v>392</v>
      </c>
      <c r="D189" s="4" t="s">
        <v>45</v>
      </c>
      <c r="E189" s="14"/>
      <c r="F189" s="14"/>
      <c r="G189" s="14"/>
      <c r="H189" s="14"/>
      <c r="I189" s="5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</row>
    <row r="190" spans="1:86" x14ac:dyDescent="0.25">
      <c r="A190" s="12">
        <f t="shared" si="8"/>
        <v>187</v>
      </c>
      <c r="B190" s="4" t="s">
        <v>393</v>
      </c>
      <c r="C190" s="4" t="s">
        <v>394</v>
      </c>
      <c r="D190" s="4" t="s">
        <v>87</v>
      </c>
      <c r="E190" s="14"/>
      <c r="F190" s="14"/>
      <c r="G190" s="14"/>
      <c r="H190" s="14"/>
      <c r="I190" s="5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</row>
    <row r="191" spans="1:86" x14ac:dyDescent="0.25">
      <c r="A191" s="12">
        <f t="shared" si="8"/>
        <v>188</v>
      </c>
      <c r="B191" s="4" t="s">
        <v>395</v>
      </c>
      <c r="C191" s="4" t="s">
        <v>396</v>
      </c>
      <c r="D191" s="4" t="s">
        <v>45</v>
      </c>
      <c r="E191" s="14"/>
      <c r="F191" s="14"/>
      <c r="G191" s="14"/>
      <c r="H191" s="14"/>
      <c r="I191" s="5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</row>
    <row r="192" spans="1:86" x14ac:dyDescent="0.25">
      <c r="A192" s="12">
        <f t="shared" si="8"/>
        <v>189</v>
      </c>
      <c r="B192" s="4" t="s">
        <v>397</v>
      </c>
      <c r="C192" s="4" t="s">
        <v>399</v>
      </c>
      <c r="D192" s="4" t="s">
        <v>45</v>
      </c>
      <c r="E192" s="14"/>
      <c r="F192" s="14"/>
      <c r="G192" s="14"/>
      <c r="H192" s="14"/>
      <c r="I192" s="5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</row>
    <row r="193" spans="1:86" x14ac:dyDescent="0.25">
      <c r="A193" s="12">
        <f t="shared" si="8"/>
        <v>190</v>
      </c>
      <c r="B193" s="4" t="s">
        <v>400</v>
      </c>
      <c r="C193" s="4" t="s">
        <v>401</v>
      </c>
      <c r="D193" s="4" t="s">
        <v>398</v>
      </c>
      <c r="E193" s="14"/>
      <c r="F193" s="14"/>
      <c r="G193" s="14"/>
      <c r="H193" s="14"/>
      <c r="I193" s="5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</row>
    <row r="194" spans="1:86" x14ac:dyDescent="0.25">
      <c r="A194" s="12">
        <f t="shared" si="8"/>
        <v>191</v>
      </c>
      <c r="B194" s="4" t="s">
        <v>402</v>
      </c>
      <c r="C194" s="17" t="s">
        <v>403</v>
      </c>
      <c r="D194" s="4" t="s">
        <v>322</v>
      </c>
      <c r="E194" s="14"/>
      <c r="F194" s="14"/>
      <c r="G194" s="14"/>
      <c r="H194" s="14"/>
      <c r="I194" s="5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</row>
    <row r="195" spans="1:86" x14ac:dyDescent="0.25">
      <c r="A195" s="12">
        <f t="shared" si="8"/>
        <v>192</v>
      </c>
      <c r="B195" s="4" t="s">
        <v>404</v>
      </c>
      <c r="C195" s="4" t="s">
        <v>405</v>
      </c>
      <c r="D195" s="4" t="s">
        <v>186</v>
      </c>
      <c r="E195" s="14"/>
      <c r="F195" s="14"/>
      <c r="G195" s="14"/>
      <c r="H195" s="14"/>
      <c r="I195" s="5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</row>
    <row r="196" spans="1:86" x14ac:dyDescent="0.25">
      <c r="A196" s="12">
        <f t="shared" si="8"/>
        <v>193</v>
      </c>
      <c r="B196" s="4" t="s">
        <v>406</v>
      </c>
      <c r="C196" s="4" t="s">
        <v>407</v>
      </c>
      <c r="D196" s="4" t="s">
        <v>45</v>
      </c>
      <c r="E196" s="14"/>
      <c r="F196" s="14"/>
      <c r="G196" s="14"/>
      <c r="H196" s="14"/>
      <c r="I196" s="5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</row>
    <row r="197" spans="1:86" x14ac:dyDescent="0.25">
      <c r="A197" s="12">
        <f t="shared" si="8"/>
        <v>194</v>
      </c>
      <c r="B197" s="4" t="s">
        <v>408</v>
      </c>
      <c r="C197" s="4" t="s">
        <v>409</v>
      </c>
      <c r="D197" s="4" t="s">
        <v>45</v>
      </c>
      <c r="E197" s="14"/>
      <c r="F197" s="14"/>
      <c r="G197" s="14"/>
      <c r="H197" s="14"/>
      <c r="I197" s="5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</row>
    <row r="198" spans="1:86" x14ac:dyDescent="0.25">
      <c r="A198" s="12">
        <f t="shared" si="8"/>
        <v>195</v>
      </c>
      <c r="B198" s="4" t="s">
        <v>410</v>
      </c>
      <c r="C198" s="4" t="s">
        <v>411</v>
      </c>
      <c r="D198" s="4" t="s">
        <v>301</v>
      </c>
      <c r="E198" s="14"/>
      <c r="F198" s="14"/>
      <c r="G198" s="14"/>
      <c r="H198" s="14"/>
      <c r="I198" s="5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</row>
    <row r="199" spans="1:86" x14ac:dyDescent="0.25">
      <c r="A199" s="12">
        <f t="shared" si="8"/>
        <v>196</v>
      </c>
      <c r="B199" s="4" t="s">
        <v>412</v>
      </c>
      <c r="C199" s="4" t="s">
        <v>413</v>
      </c>
      <c r="D199" s="4" t="s">
        <v>45</v>
      </c>
      <c r="E199" s="14"/>
      <c r="F199" s="14"/>
      <c r="G199" s="14"/>
      <c r="H199" s="14"/>
      <c r="I199" s="5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</row>
    <row r="200" spans="1:86" x14ac:dyDescent="0.25">
      <c r="A200" s="12">
        <f t="shared" si="8"/>
        <v>197</v>
      </c>
      <c r="B200" s="4" t="s">
        <v>416</v>
      </c>
      <c r="C200" s="4" t="s">
        <v>415</v>
      </c>
      <c r="D200" s="4" t="s">
        <v>47</v>
      </c>
      <c r="E200" s="14"/>
      <c r="F200" s="14"/>
      <c r="G200" s="14"/>
      <c r="H200" s="14"/>
      <c r="I200" s="5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</row>
    <row r="201" spans="1:86" x14ac:dyDescent="0.25">
      <c r="A201" s="12">
        <f t="shared" si="8"/>
        <v>198</v>
      </c>
      <c r="B201" s="4" t="s">
        <v>417</v>
      </c>
      <c r="C201" s="17" t="s">
        <v>418</v>
      </c>
      <c r="D201" s="4" t="s">
        <v>59</v>
      </c>
      <c r="E201" s="14"/>
      <c r="F201" s="14"/>
      <c r="G201" s="14"/>
      <c r="H201" s="14"/>
      <c r="I201" s="5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</row>
    <row r="202" spans="1:86" x14ac:dyDescent="0.25">
      <c r="A202" s="12">
        <f t="shared" ref="A202:A265" si="9">+A201+1</f>
        <v>199</v>
      </c>
      <c r="B202" s="4" t="s">
        <v>419</v>
      </c>
      <c r="C202" s="4" t="s">
        <v>420</v>
      </c>
      <c r="D202" s="4" t="s">
        <v>59</v>
      </c>
      <c r="E202" s="14"/>
      <c r="F202" s="14"/>
      <c r="G202" s="14"/>
      <c r="H202" s="14"/>
      <c r="I202" s="5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</row>
    <row r="203" spans="1:86" x14ac:dyDescent="0.25">
      <c r="A203" s="12">
        <f t="shared" si="9"/>
        <v>200</v>
      </c>
      <c r="B203" s="4" t="s">
        <v>414</v>
      </c>
      <c r="C203" s="4" t="s">
        <v>421</v>
      </c>
      <c r="D203" s="4" t="s">
        <v>47</v>
      </c>
      <c r="E203" s="14"/>
      <c r="F203" s="14"/>
      <c r="G203" s="14"/>
      <c r="H203" s="14"/>
      <c r="I203" s="5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</row>
    <row r="204" spans="1:86" x14ac:dyDescent="0.25">
      <c r="A204" s="12">
        <f t="shared" si="9"/>
        <v>201</v>
      </c>
      <c r="B204" s="4" t="s">
        <v>422</v>
      </c>
      <c r="C204" s="4" t="s">
        <v>423</v>
      </c>
      <c r="D204" s="4" t="s">
        <v>45</v>
      </c>
      <c r="E204" s="14"/>
      <c r="F204" s="14"/>
      <c r="G204" s="14"/>
      <c r="H204" s="14"/>
      <c r="I204" s="5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</row>
    <row r="205" spans="1:86" x14ac:dyDescent="0.25">
      <c r="A205" s="12">
        <f t="shared" si="9"/>
        <v>202</v>
      </c>
      <c r="B205" s="13" t="s">
        <v>461</v>
      </c>
      <c r="C205" s="4" t="s">
        <v>462</v>
      </c>
      <c r="D205" s="4" t="s">
        <v>45</v>
      </c>
      <c r="E205" s="14">
        <f>+[75]Main!$I$2</f>
        <v>371.65</v>
      </c>
      <c r="F205" s="14">
        <f>+[75]Main!$I$4</f>
        <v>17029.711736549998</v>
      </c>
      <c r="G205" s="14">
        <f>+[75]Main!$I$6-[75]Main!$I$5</f>
        <v>-1097.883</v>
      </c>
      <c r="H205" s="14">
        <f>+F205+G205</f>
        <v>15931.828736549998</v>
      </c>
      <c r="I205" s="5" t="s">
        <v>2583</v>
      </c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</row>
    <row r="206" spans="1:86" x14ac:dyDescent="0.25">
      <c r="A206" s="12">
        <f t="shared" si="9"/>
        <v>203</v>
      </c>
      <c r="B206" s="4" t="s">
        <v>463</v>
      </c>
      <c r="C206" s="4" t="s">
        <v>464</v>
      </c>
      <c r="D206" s="4" t="s">
        <v>45</v>
      </c>
      <c r="E206" s="14"/>
      <c r="F206" s="14"/>
      <c r="G206" s="14"/>
      <c r="H206" s="14"/>
      <c r="I206" s="5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</row>
    <row r="207" spans="1:86" x14ac:dyDescent="0.25">
      <c r="A207" s="12">
        <f t="shared" si="9"/>
        <v>204</v>
      </c>
      <c r="B207" s="4" t="s">
        <v>465</v>
      </c>
      <c r="C207" s="4" t="s">
        <v>466</v>
      </c>
      <c r="D207" s="4" t="s">
        <v>45</v>
      </c>
      <c r="E207" s="14"/>
      <c r="F207" s="14"/>
      <c r="G207" s="14"/>
      <c r="H207" s="14"/>
      <c r="I207" s="5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</row>
    <row r="208" spans="1:86" x14ac:dyDescent="0.25">
      <c r="A208" s="12">
        <f t="shared" si="9"/>
        <v>205</v>
      </c>
      <c r="B208" s="4" t="s">
        <v>467</v>
      </c>
      <c r="C208" s="4" t="s">
        <v>468</v>
      </c>
      <c r="D208" s="4" t="s">
        <v>45</v>
      </c>
      <c r="E208" s="14"/>
      <c r="F208" s="14"/>
      <c r="G208" s="14"/>
      <c r="H208" s="14"/>
      <c r="I208" s="5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</row>
    <row r="209" spans="1:86" x14ac:dyDescent="0.25">
      <c r="A209" s="12">
        <f t="shared" si="9"/>
        <v>206</v>
      </c>
      <c r="B209" s="13" t="s">
        <v>705</v>
      </c>
      <c r="C209" s="4" t="s">
        <v>706</v>
      </c>
      <c r="D209" s="24" t="s">
        <v>128</v>
      </c>
      <c r="E209" s="14">
        <f>+[76]Main!$I$2</f>
        <v>44</v>
      </c>
      <c r="F209" s="14">
        <f>+[76]Main!$I$4</f>
        <v>16060</v>
      </c>
      <c r="G209" s="14">
        <f>+[76]Main!$I$6-[76]Main!$I$5</f>
        <v>-4777</v>
      </c>
      <c r="H209" s="14">
        <f>+F209+G209</f>
        <v>11283</v>
      </c>
      <c r="I209" s="25" t="s">
        <v>2583</v>
      </c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</row>
    <row r="210" spans="1:86" x14ac:dyDescent="0.25">
      <c r="A210" s="12">
        <f t="shared" si="9"/>
        <v>207</v>
      </c>
      <c r="B210" s="4" t="s">
        <v>469</v>
      </c>
      <c r="C210" s="4" t="s">
        <v>470</v>
      </c>
      <c r="D210" s="4" t="s">
        <v>1126</v>
      </c>
      <c r="E210" s="14"/>
      <c r="F210" s="14"/>
      <c r="G210" s="14"/>
      <c r="H210" s="14"/>
      <c r="I210" s="5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</row>
    <row r="211" spans="1:86" x14ac:dyDescent="0.25">
      <c r="A211" s="12">
        <f t="shared" si="9"/>
        <v>208</v>
      </c>
      <c r="B211" s="4" t="s">
        <v>471</v>
      </c>
      <c r="C211" s="4" t="s">
        <v>472</v>
      </c>
      <c r="D211" s="4" t="s">
        <v>45</v>
      </c>
      <c r="E211" s="14"/>
      <c r="F211" s="14"/>
      <c r="G211" s="14"/>
      <c r="H211" s="14"/>
      <c r="I211" s="5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</row>
    <row r="212" spans="1:86" x14ac:dyDescent="0.25">
      <c r="A212" s="12">
        <f t="shared" si="9"/>
        <v>209</v>
      </c>
      <c r="B212" s="4" t="s">
        <v>473</v>
      </c>
      <c r="C212" s="4" t="s">
        <v>474</v>
      </c>
      <c r="D212" s="4" t="s">
        <v>45</v>
      </c>
      <c r="E212" s="14"/>
      <c r="F212" s="14"/>
      <c r="G212" s="14"/>
      <c r="H212" s="14"/>
      <c r="I212" s="5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</row>
    <row r="213" spans="1:86" x14ac:dyDescent="0.25">
      <c r="A213" s="12">
        <f t="shared" si="9"/>
        <v>210</v>
      </c>
      <c r="B213" s="4" t="s">
        <v>475</v>
      </c>
      <c r="C213" s="4" t="s">
        <v>476</v>
      </c>
      <c r="D213" s="4" t="s">
        <v>45</v>
      </c>
      <c r="E213" s="14"/>
      <c r="F213" s="14"/>
      <c r="G213" s="14"/>
      <c r="H213" s="14"/>
      <c r="I213" s="5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</row>
    <row r="214" spans="1:86" x14ac:dyDescent="0.25">
      <c r="A214" s="12">
        <f t="shared" si="9"/>
        <v>211</v>
      </c>
      <c r="B214" s="4" t="s">
        <v>478</v>
      </c>
      <c r="C214" s="4" t="s">
        <v>477</v>
      </c>
      <c r="D214" s="4" t="s">
        <v>1126</v>
      </c>
      <c r="E214" s="14"/>
      <c r="F214" s="14"/>
      <c r="G214" s="14"/>
      <c r="H214" s="14"/>
      <c r="I214" s="5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</row>
    <row r="215" spans="1:86" x14ac:dyDescent="0.25">
      <c r="A215" s="12">
        <f t="shared" si="9"/>
        <v>212</v>
      </c>
      <c r="B215" s="4" t="s">
        <v>479</v>
      </c>
      <c r="C215" s="4" t="s">
        <v>480</v>
      </c>
      <c r="D215" s="4" t="s">
        <v>45</v>
      </c>
      <c r="E215" s="14"/>
      <c r="F215" s="14"/>
      <c r="G215" s="14"/>
      <c r="H215" s="14"/>
      <c r="I215" s="5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</row>
    <row r="216" spans="1:86" x14ac:dyDescent="0.25">
      <c r="A216" s="12">
        <f t="shared" si="9"/>
        <v>213</v>
      </c>
      <c r="B216" s="4" t="s">
        <v>481</v>
      </c>
      <c r="C216" s="4" t="s">
        <v>482</v>
      </c>
      <c r="D216" s="4" t="s">
        <v>45</v>
      </c>
      <c r="E216" s="14"/>
      <c r="F216" s="14"/>
      <c r="G216" s="14"/>
      <c r="H216" s="14"/>
      <c r="I216" s="5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</row>
    <row r="217" spans="1:86" x14ac:dyDescent="0.25">
      <c r="A217" s="12">
        <f t="shared" si="9"/>
        <v>214</v>
      </c>
      <c r="B217" s="4" t="s">
        <v>483</v>
      </c>
      <c r="C217" s="4" t="s">
        <v>484</v>
      </c>
      <c r="D217" s="4" t="s">
        <v>245</v>
      </c>
      <c r="E217" s="14"/>
      <c r="F217" s="14"/>
      <c r="G217" s="14"/>
      <c r="H217" s="14"/>
      <c r="I217" s="5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</row>
    <row r="218" spans="1:86" x14ac:dyDescent="0.25">
      <c r="A218" s="12">
        <f t="shared" si="9"/>
        <v>215</v>
      </c>
      <c r="B218" s="4" t="s">
        <v>485</v>
      </c>
      <c r="C218" s="4" t="s">
        <v>486</v>
      </c>
      <c r="D218" s="4" t="s">
        <v>45</v>
      </c>
      <c r="E218" s="14"/>
      <c r="F218" s="14"/>
      <c r="G218" s="14"/>
      <c r="H218" s="14"/>
      <c r="I218" s="5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</row>
    <row r="219" spans="1:86" x14ac:dyDescent="0.25">
      <c r="A219" s="12">
        <f t="shared" si="9"/>
        <v>216</v>
      </c>
      <c r="B219" s="4" t="s">
        <v>487</v>
      </c>
      <c r="C219" s="4" t="s">
        <v>488</v>
      </c>
      <c r="D219" s="4" t="s">
        <v>768</v>
      </c>
      <c r="E219" s="14"/>
      <c r="F219" s="14"/>
      <c r="G219" s="14"/>
      <c r="H219" s="14"/>
      <c r="I219" s="5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</row>
    <row r="220" spans="1:86" x14ac:dyDescent="0.25">
      <c r="A220" s="12">
        <f t="shared" si="9"/>
        <v>217</v>
      </c>
      <c r="B220" s="4" t="s">
        <v>489</v>
      </c>
      <c r="C220" s="4" t="s">
        <v>490</v>
      </c>
      <c r="D220" s="4" t="s">
        <v>45</v>
      </c>
      <c r="E220" s="14"/>
      <c r="F220" s="14"/>
      <c r="G220" s="14"/>
      <c r="H220" s="14"/>
      <c r="I220" s="5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</row>
    <row r="221" spans="1:86" x14ac:dyDescent="0.25">
      <c r="A221" s="12">
        <f t="shared" si="9"/>
        <v>218</v>
      </c>
      <c r="B221" s="4" t="s">
        <v>491</v>
      </c>
      <c r="C221" s="4" t="s">
        <v>492</v>
      </c>
      <c r="D221" s="4" t="s">
        <v>301</v>
      </c>
      <c r="E221" s="14"/>
      <c r="F221" s="14"/>
      <c r="G221" s="14"/>
      <c r="H221" s="14"/>
      <c r="I221" s="5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</row>
    <row r="222" spans="1:86" x14ac:dyDescent="0.25">
      <c r="A222" s="12">
        <f t="shared" si="9"/>
        <v>219</v>
      </c>
      <c r="B222" s="4" t="s">
        <v>493</v>
      </c>
      <c r="C222" s="4" t="s">
        <v>494</v>
      </c>
      <c r="D222" s="4" t="s">
        <v>45</v>
      </c>
      <c r="E222" s="14"/>
      <c r="F222" s="14"/>
      <c r="G222" s="14"/>
      <c r="H222" s="14"/>
      <c r="I222" s="5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</row>
    <row r="223" spans="1:86" x14ac:dyDescent="0.25">
      <c r="A223" s="12">
        <f t="shared" si="9"/>
        <v>220</v>
      </c>
      <c r="B223" s="4" t="s">
        <v>495</v>
      </c>
      <c r="C223" s="4" t="s">
        <v>496</v>
      </c>
      <c r="D223" s="4" t="s">
        <v>45</v>
      </c>
      <c r="E223" s="14"/>
      <c r="F223" s="14"/>
      <c r="G223" s="14"/>
      <c r="H223" s="14"/>
      <c r="I223" s="5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</row>
    <row r="224" spans="1:86" x14ac:dyDescent="0.25">
      <c r="A224" s="12">
        <f t="shared" si="9"/>
        <v>221</v>
      </c>
      <c r="B224" s="4" t="s">
        <v>497</v>
      </c>
      <c r="C224" s="4" t="s">
        <v>498</v>
      </c>
      <c r="D224" s="4" t="s">
        <v>46</v>
      </c>
      <c r="E224" s="14"/>
      <c r="F224" s="14"/>
      <c r="G224" s="14"/>
      <c r="H224" s="14"/>
      <c r="I224" s="5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</row>
    <row r="225" spans="1:86" x14ac:dyDescent="0.25">
      <c r="A225" s="12">
        <f t="shared" si="9"/>
        <v>222</v>
      </c>
      <c r="B225" s="4" t="s">
        <v>499</v>
      </c>
      <c r="C225" s="4" t="s">
        <v>499</v>
      </c>
      <c r="D225" s="4" t="s">
        <v>301</v>
      </c>
      <c r="E225" s="14"/>
      <c r="F225" s="14"/>
      <c r="G225" s="14"/>
      <c r="H225" s="14"/>
      <c r="I225" s="5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</row>
    <row r="226" spans="1:86" x14ac:dyDescent="0.25">
      <c r="A226" s="12">
        <f t="shared" si="9"/>
        <v>223</v>
      </c>
      <c r="B226" s="4" t="s">
        <v>500</v>
      </c>
      <c r="C226" s="4" t="s">
        <v>501</v>
      </c>
      <c r="D226" s="4" t="s">
        <v>87</v>
      </c>
      <c r="E226" s="14"/>
      <c r="F226" s="14"/>
      <c r="G226" s="14"/>
      <c r="H226" s="14"/>
      <c r="I226" s="5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</row>
    <row r="227" spans="1:86" x14ac:dyDescent="0.25">
      <c r="A227" s="12">
        <f t="shared" si="9"/>
        <v>224</v>
      </c>
      <c r="B227" s="4" t="s">
        <v>502</v>
      </c>
      <c r="C227" s="4" t="s">
        <v>503</v>
      </c>
      <c r="D227" s="4" t="s">
        <v>87</v>
      </c>
      <c r="E227" s="14"/>
      <c r="F227" s="14"/>
      <c r="G227" s="14"/>
      <c r="H227" s="14"/>
      <c r="I227" s="5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</row>
    <row r="228" spans="1:86" x14ac:dyDescent="0.25">
      <c r="A228" s="12">
        <f t="shared" si="9"/>
        <v>225</v>
      </c>
      <c r="B228" s="4" t="s">
        <v>504</v>
      </c>
      <c r="C228" s="4" t="s">
        <v>505</v>
      </c>
      <c r="D228" s="4" t="s">
        <v>87</v>
      </c>
      <c r="E228" s="14"/>
      <c r="F228" s="14"/>
      <c r="G228" s="14"/>
      <c r="H228" s="14"/>
      <c r="I228" s="5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</row>
    <row r="229" spans="1:86" x14ac:dyDescent="0.25">
      <c r="A229" s="12">
        <f t="shared" si="9"/>
        <v>226</v>
      </c>
      <c r="B229" s="4" t="s">
        <v>506</v>
      </c>
      <c r="C229" s="4" t="s">
        <v>507</v>
      </c>
      <c r="D229" s="4" t="s">
        <v>508</v>
      </c>
      <c r="E229" s="14"/>
      <c r="F229" s="14"/>
      <c r="G229" s="14"/>
      <c r="H229" s="14"/>
      <c r="I229" s="5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</row>
    <row r="230" spans="1:86" x14ac:dyDescent="0.25">
      <c r="A230" s="12">
        <f t="shared" si="9"/>
        <v>227</v>
      </c>
      <c r="B230" s="4" t="s">
        <v>509</v>
      </c>
      <c r="C230" s="4" t="s">
        <v>510</v>
      </c>
      <c r="D230" s="4" t="s">
        <v>511</v>
      </c>
      <c r="E230" s="14"/>
      <c r="F230" s="14"/>
      <c r="G230" s="14"/>
      <c r="H230" s="14"/>
      <c r="I230" s="5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</row>
    <row r="231" spans="1:86" x14ac:dyDescent="0.25">
      <c r="A231" s="12">
        <f t="shared" si="9"/>
        <v>228</v>
      </c>
      <c r="B231" s="4" t="s">
        <v>512</v>
      </c>
      <c r="C231" s="4" t="s">
        <v>513</v>
      </c>
      <c r="D231" s="4" t="s">
        <v>1126</v>
      </c>
      <c r="E231" s="14"/>
      <c r="F231" s="14"/>
      <c r="G231" s="14"/>
      <c r="H231" s="14"/>
      <c r="I231" s="5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</row>
    <row r="232" spans="1:86" x14ac:dyDescent="0.25">
      <c r="A232" s="12">
        <f t="shared" si="9"/>
        <v>229</v>
      </c>
      <c r="B232" s="4" t="s">
        <v>514</v>
      </c>
      <c r="C232" s="4" t="s">
        <v>515</v>
      </c>
      <c r="D232" s="4" t="s">
        <v>45</v>
      </c>
      <c r="E232" s="14"/>
      <c r="F232" s="14"/>
      <c r="G232" s="14"/>
      <c r="H232" s="14"/>
      <c r="I232" s="5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</row>
    <row r="233" spans="1:86" x14ac:dyDescent="0.25">
      <c r="A233" s="12">
        <f t="shared" si="9"/>
        <v>230</v>
      </c>
      <c r="B233" s="4" t="s">
        <v>516</v>
      </c>
      <c r="C233" s="4" t="s">
        <v>517</v>
      </c>
      <c r="D233" s="4" t="s">
        <v>45</v>
      </c>
      <c r="E233" s="14"/>
      <c r="F233" s="14"/>
      <c r="G233" s="14"/>
      <c r="H233" s="14"/>
      <c r="I233" s="5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</row>
    <row r="234" spans="1:86" x14ac:dyDescent="0.25">
      <c r="A234" s="12">
        <f t="shared" si="9"/>
        <v>231</v>
      </c>
      <c r="B234" s="4" t="s">
        <v>518</v>
      </c>
      <c r="C234" s="4" t="s">
        <v>519</v>
      </c>
      <c r="D234" s="4" t="s">
        <v>45</v>
      </c>
      <c r="E234" s="14"/>
      <c r="F234" s="14"/>
      <c r="G234" s="14"/>
      <c r="H234" s="14"/>
      <c r="I234" s="5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</row>
    <row r="235" spans="1:86" x14ac:dyDescent="0.25">
      <c r="A235" s="12">
        <f t="shared" si="9"/>
        <v>232</v>
      </c>
      <c r="B235" s="4" t="s">
        <v>520</v>
      </c>
      <c r="C235" s="4" t="s">
        <v>521</v>
      </c>
      <c r="D235" s="4" t="s">
        <v>45</v>
      </c>
      <c r="E235" s="14"/>
      <c r="F235" s="14"/>
      <c r="G235" s="14"/>
      <c r="H235" s="14"/>
      <c r="I235" s="5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</row>
    <row r="236" spans="1:86" x14ac:dyDescent="0.25">
      <c r="A236" s="12">
        <f t="shared" si="9"/>
        <v>233</v>
      </c>
      <c r="B236" s="4" t="s">
        <v>522</v>
      </c>
      <c r="C236" s="4" t="s">
        <v>523</v>
      </c>
      <c r="D236" s="4" t="s">
        <v>768</v>
      </c>
      <c r="E236" s="14"/>
      <c r="F236" s="14"/>
      <c r="G236" s="14"/>
      <c r="H236" s="14"/>
      <c r="I236" s="5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</row>
    <row r="237" spans="1:86" x14ac:dyDescent="0.25">
      <c r="A237" s="12">
        <f t="shared" si="9"/>
        <v>234</v>
      </c>
      <c r="B237" s="4" t="s">
        <v>524</v>
      </c>
      <c r="C237" s="4" t="s">
        <v>525</v>
      </c>
      <c r="D237" s="4" t="s">
        <v>107</v>
      </c>
      <c r="E237" s="14"/>
      <c r="F237" s="14"/>
      <c r="G237" s="14"/>
      <c r="H237" s="14"/>
      <c r="I237" s="5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</row>
    <row r="238" spans="1:86" x14ac:dyDescent="0.25">
      <c r="A238" s="12">
        <f t="shared" si="9"/>
        <v>235</v>
      </c>
      <c r="B238" s="4" t="s">
        <v>526</v>
      </c>
      <c r="C238" s="4" t="s">
        <v>527</v>
      </c>
      <c r="D238" s="4" t="s">
        <v>768</v>
      </c>
      <c r="E238" s="14"/>
      <c r="F238" s="14"/>
      <c r="G238" s="14"/>
      <c r="H238" s="14"/>
      <c r="I238" s="5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</row>
    <row r="239" spans="1:86" x14ac:dyDescent="0.25">
      <c r="A239" s="12">
        <f t="shared" si="9"/>
        <v>236</v>
      </c>
      <c r="B239" s="4" t="s">
        <v>528</v>
      </c>
      <c r="C239" s="4" t="s">
        <v>529</v>
      </c>
      <c r="D239" s="4" t="s">
        <v>186</v>
      </c>
      <c r="E239" s="14"/>
      <c r="F239" s="14"/>
      <c r="G239" s="14"/>
      <c r="H239" s="14"/>
      <c r="I239" s="5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</row>
    <row r="240" spans="1:86" x14ac:dyDescent="0.25">
      <c r="A240" s="12">
        <f t="shared" si="9"/>
        <v>237</v>
      </c>
      <c r="B240" s="4" t="s">
        <v>530</v>
      </c>
      <c r="C240" s="4" t="s">
        <v>531</v>
      </c>
      <c r="D240" s="4" t="s">
        <v>45</v>
      </c>
      <c r="E240" s="14"/>
      <c r="F240" s="14"/>
      <c r="G240" s="14"/>
      <c r="H240" s="14"/>
      <c r="I240" s="5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</row>
    <row r="241" spans="1:86" x14ac:dyDescent="0.25">
      <c r="A241" s="12">
        <f t="shared" si="9"/>
        <v>238</v>
      </c>
      <c r="B241" s="4" t="s">
        <v>532</v>
      </c>
      <c r="C241" s="4" t="s">
        <v>533</v>
      </c>
      <c r="D241" s="4" t="s">
        <v>107</v>
      </c>
      <c r="E241" s="14"/>
      <c r="F241" s="14"/>
      <c r="G241" s="14"/>
      <c r="H241" s="14"/>
      <c r="I241" s="5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</row>
    <row r="242" spans="1:86" x14ac:dyDescent="0.25">
      <c r="A242" s="12">
        <f t="shared" si="9"/>
        <v>239</v>
      </c>
      <c r="B242" s="4" t="s">
        <v>534</v>
      </c>
      <c r="C242" s="4" t="s">
        <v>535</v>
      </c>
      <c r="D242" s="4" t="s">
        <v>536</v>
      </c>
      <c r="E242" s="14"/>
      <c r="F242" s="14"/>
      <c r="G242" s="14"/>
      <c r="H242" s="14"/>
      <c r="I242" s="5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</row>
    <row r="243" spans="1:86" x14ac:dyDescent="0.25">
      <c r="A243" s="12">
        <f t="shared" si="9"/>
        <v>240</v>
      </c>
      <c r="B243" s="4" t="s">
        <v>537</v>
      </c>
      <c r="C243" s="4" t="s">
        <v>538</v>
      </c>
      <c r="D243" s="4" t="s">
        <v>45</v>
      </c>
      <c r="E243" s="14"/>
      <c r="F243" s="14"/>
      <c r="G243" s="14"/>
      <c r="H243" s="14"/>
      <c r="I243" s="5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</row>
    <row r="244" spans="1:86" x14ac:dyDescent="0.25">
      <c r="A244" s="12">
        <f t="shared" si="9"/>
        <v>241</v>
      </c>
      <c r="B244" s="4" t="s">
        <v>539</v>
      </c>
      <c r="C244" s="4" t="s">
        <v>540</v>
      </c>
      <c r="D244" s="4" t="s">
        <v>87</v>
      </c>
      <c r="E244" s="14"/>
      <c r="F244" s="14"/>
      <c r="G244" s="14"/>
      <c r="H244" s="14"/>
      <c r="I244" s="5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</row>
    <row r="245" spans="1:86" x14ac:dyDescent="0.25">
      <c r="A245" s="12">
        <f t="shared" si="9"/>
        <v>242</v>
      </c>
      <c r="B245" s="4" t="s">
        <v>541</v>
      </c>
      <c r="C245" s="4" t="s">
        <v>542</v>
      </c>
      <c r="D245" s="4" t="s">
        <v>45</v>
      </c>
      <c r="E245" s="14"/>
      <c r="F245" s="14"/>
      <c r="G245" s="14"/>
      <c r="H245" s="14"/>
      <c r="I245" s="5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</row>
    <row r="246" spans="1:86" x14ac:dyDescent="0.25">
      <c r="A246" s="12">
        <f t="shared" si="9"/>
        <v>243</v>
      </c>
      <c r="B246" s="4" t="s">
        <v>543</v>
      </c>
      <c r="C246" s="4" t="s">
        <v>544</v>
      </c>
      <c r="D246" s="4" t="s">
        <v>45</v>
      </c>
      <c r="E246" s="14"/>
      <c r="F246" s="14"/>
      <c r="G246" s="14"/>
      <c r="H246" s="14"/>
      <c r="I246" s="5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</row>
    <row r="247" spans="1:86" x14ac:dyDescent="0.25">
      <c r="A247" s="12">
        <f t="shared" si="9"/>
        <v>244</v>
      </c>
      <c r="B247" s="4" t="s">
        <v>545</v>
      </c>
      <c r="C247" s="4" t="s">
        <v>546</v>
      </c>
      <c r="D247" s="4" t="s">
        <v>45</v>
      </c>
      <c r="E247" s="14"/>
      <c r="F247" s="14"/>
      <c r="G247" s="14"/>
      <c r="H247" s="14"/>
      <c r="I247" s="5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</row>
    <row r="248" spans="1:86" x14ac:dyDescent="0.25">
      <c r="A248" s="12">
        <f t="shared" si="9"/>
        <v>245</v>
      </c>
      <c r="B248" s="4" t="s">
        <v>547</v>
      </c>
      <c r="C248" s="4" t="s">
        <v>548</v>
      </c>
      <c r="D248" s="4" t="s">
        <v>45</v>
      </c>
      <c r="E248" s="14"/>
      <c r="F248" s="14"/>
      <c r="G248" s="14"/>
      <c r="H248" s="14"/>
      <c r="I248" s="5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</row>
    <row r="249" spans="1:86" x14ac:dyDescent="0.25">
      <c r="A249" s="12">
        <f t="shared" si="9"/>
        <v>246</v>
      </c>
      <c r="B249" s="13" t="s">
        <v>2584</v>
      </c>
      <c r="C249" s="4" t="s">
        <v>2585</v>
      </c>
      <c r="D249" s="4" t="s">
        <v>301</v>
      </c>
      <c r="E249" s="14">
        <f>+[77]Main!$I$2</f>
        <v>65.7</v>
      </c>
      <c r="F249" s="14">
        <f>+[77]Main!$I$4</f>
        <v>7075.3846356000004</v>
      </c>
      <c r="G249" s="14">
        <f>+[77]Main!$I$6-[77]Main!$I$5</f>
        <v>-640.70899999999995</v>
      </c>
      <c r="H249" s="14">
        <f>+F249+G249</f>
        <v>6434.6756356000005</v>
      </c>
      <c r="I249" s="5" t="s">
        <v>430</v>
      </c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</row>
    <row r="250" spans="1:86" x14ac:dyDescent="0.25">
      <c r="A250" s="12">
        <f t="shared" si="9"/>
        <v>247</v>
      </c>
      <c r="B250" s="4" t="s">
        <v>549</v>
      </c>
      <c r="C250" s="4" t="s">
        <v>550</v>
      </c>
      <c r="D250" s="4" t="s">
        <v>45</v>
      </c>
      <c r="E250" s="14"/>
      <c r="F250" s="14"/>
      <c r="G250" s="14"/>
      <c r="H250" s="14"/>
      <c r="I250" s="5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</row>
    <row r="251" spans="1:86" x14ac:dyDescent="0.25">
      <c r="A251" s="12">
        <f t="shared" si="9"/>
        <v>248</v>
      </c>
      <c r="B251" s="4" t="s">
        <v>551</v>
      </c>
      <c r="C251" s="4" t="s">
        <v>552</v>
      </c>
      <c r="D251" s="4" t="s">
        <v>1126</v>
      </c>
      <c r="E251" s="14"/>
      <c r="F251" s="14"/>
      <c r="G251" s="14"/>
      <c r="H251" s="14"/>
      <c r="I251" s="5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</row>
    <row r="252" spans="1:86" x14ac:dyDescent="0.25">
      <c r="A252" s="12">
        <f t="shared" si="9"/>
        <v>249</v>
      </c>
      <c r="B252" s="4" t="s">
        <v>553</v>
      </c>
      <c r="C252" s="4" t="s">
        <v>554</v>
      </c>
      <c r="D252" s="4" t="s">
        <v>45</v>
      </c>
      <c r="E252" s="14"/>
      <c r="F252" s="14"/>
      <c r="G252" s="14"/>
      <c r="H252" s="14"/>
      <c r="I252" s="5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</row>
    <row r="253" spans="1:86" x14ac:dyDescent="0.25">
      <c r="A253" s="12">
        <f t="shared" si="9"/>
        <v>250</v>
      </c>
      <c r="B253" s="4" t="s">
        <v>555</v>
      </c>
      <c r="C253" s="4" t="s">
        <v>556</v>
      </c>
      <c r="D253" s="4" t="s">
        <v>245</v>
      </c>
      <c r="E253" s="14"/>
      <c r="F253" s="14"/>
      <c r="G253" s="14"/>
      <c r="H253" s="14"/>
      <c r="I253" s="5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</row>
    <row r="254" spans="1:86" x14ac:dyDescent="0.25">
      <c r="A254" s="12">
        <f t="shared" si="9"/>
        <v>251</v>
      </c>
      <c r="B254" s="4" t="s">
        <v>557</v>
      </c>
      <c r="C254" s="4" t="s">
        <v>558</v>
      </c>
      <c r="D254" s="4" t="s">
        <v>45</v>
      </c>
      <c r="E254" s="14"/>
      <c r="F254" s="14"/>
      <c r="G254" s="14"/>
      <c r="H254" s="14"/>
      <c r="I254" s="5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</row>
    <row r="255" spans="1:86" x14ac:dyDescent="0.25">
      <c r="A255" s="12">
        <f t="shared" si="9"/>
        <v>252</v>
      </c>
      <c r="B255" s="4" t="s">
        <v>559</v>
      </c>
      <c r="C255" s="4" t="s">
        <v>560</v>
      </c>
      <c r="D255" s="4" t="s">
        <v>107</v>
      </c>
      <c r="E255" s="14"/>
      <c r="F255" s="14"/>
      <c r="G255" s="14"/>
      <c r="H255" s="14"/>
      <c r="I255" s="5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</row>
    <row r="256" spans="1:86" x14ac:dyDescent="0.25">
      <c r="A256" s="12">
        <f t="shared" si="9"/>
        <v>253</v>
      </c>
      <c r="B256" s="4" t="s">
        <v>561</v>
      </c>
      <c r="C256" s="4" t="s">
        <v>562</v>
      </c>
      <c r="D256" s="4" t="s">
        <v>768</v>
      </c>
      <c r="E256" s="14"/>
      <c r="F256" s="14"/>
      <c r="G256" s="14"/>
      <c r="H256" s="14"/>
      <c r="I256" s="5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</row>
    <row r="257" spans="1:86" x14ac:dyDescent="0.25">
      <c r="A257" s="12">
        <f t="shared" si="9"/>
        <v>254</v>
      </c>
      <c r="B257" s="4" t="s">
        <v>563</v>
      </c>
      <c r="C257" s="4" t="s">
        <v>564</v>
      </c>
      <c r="D257" s="4" t="s">
        <v>45</v>
      </c>
      <c r="E257" s="14"/>
      <c r="F257" s="14"/>
      <c r="G257" s="14"/>
      <c r="H257" s="14"/>
      <c r="I257" s="5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</row>
    <row r="258" spans="1:86" x14ac:dyDescent="0.25">
      <c r="A258" s="12">
        <f t="shared" si="9"/>
        <v>255</v>
      </c>
      <c r="B258" s="4" t="s">
        <v>565</v>
      </c>
      <c r="C258" s="4" t="s">
        <v>566</v>
      </c>
      <c r="D258" s="4" t="s">
        <v>1126</v>
      </c>
      <c r="E258" s="14"/>
      <c r="F258" s="14"/>
      <c r="G258" s="14"/>
      <c r="H258" s="14"/>
      <c r="I258" s="5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</row>
    <row r="259" spans="1:86" x14ac:dyDescent="0.25">
      <c r="A259" s="12">
        <f t="shared" si="9"/>
        <v>256</v>
      </c>
      <c r="B259" s="4" t="s">
        <v>567</v>
      </c>
      <c r="C259" s="4" t="s">
        <v>568</v>
      </c>
      <c r="D259" s="4" t="s">
        <v>45</v>
      </c>
      <c r="E259" s="14"/>
      <c r="F259" s="14"/>
      <c r="G259" s="14"/>
      <c r="H259" s="14"/>
      <c r="I259" s="5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</row>
    <row r="260" spans="1:86" x14ac:dyDescent="0.25">
      <c r="A260" s="12">
        <f t="shared" si="9"/>
        <v>257</v>
      </c>
      <c r="B260" s="4" t="s">
        <v>569</v>
      </c>
      <c r="C260" s="4" t="s">
        <v>570</v>
      </c>
      <c r="D260" s="4" t="s">
        <v>107</v>
      </c>
      <c r="E260" s="14"/>
      <c r="F260" s="14"/>
      <c r="G260" s="14"/>
      <c r="H260" s="14"/>
      <c r="I260" s="5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</row>
    <row r="261" spans="1:86" x14ac:dyDescent="0.25">
      <c r="A261" s="12">
        <f t="shared" si="9"/>
        <v>258</v>
      </c>
      <c r="B261" s="4" t="s">
        <v>571</v>
      </c>
      <c r="C261" s="4" t="s">
        <v>572</v>
      </c>
      <c r="D261" s="4" t="s">
        <v>45</v>
      </c>
      <c r="E261" s="14"/>
      <c r="F261" s="14"/>
      <c r="G261" s="14"/>
      <c r="H261" s="14"/>
      <c r="I261" s="5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</row>
    <row r="262" spans="1:86" x14ac:dyDescent="0.25">
      <c r="A262" s="12">
        <f t="shared" si="9"/>
        <v>259</v>
      </c>
      <c r="B262" s="4" t="s">
        <v>573</v>
      </c>
      <c r="C262" s="4" t="s">
        <v>574</v>
      </c>
      <c r="D262" s="4" t="s">
        <v>45</v>
      </c>
      <c r="E262" s="14"/>
      <c r="F262" s="14"/>
      <c r="G262" s="14"/>
      <c r="H262" s="14"/>
      <c r="I262" s="5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</row>
    <row r="263" spans="1:86" x14ac:dyDescent="0.25">
      <c r="A263" s="12">
        <f t="shared" si="9"/>
        <v>260</v>
      </c>
      <c r="B263" s="4" t="s">
        <v>575</v>
      </c>
      <c r="C263" s="4" t="s">
        <v>576</v>
      </c>
      <c r="D263" s="4" t="s">
        <v>45</v>
      </c>
      <c r="E263" s="14"/>
      <c r="F263" s="14"/>
      <c r="G263" s="14"/>
      <c r="H263" s="14"/>
      <c r="I263" s="5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</row>
    <row r="264" spans="1:86" x14ac:dyDescent="0.25">
      <c r="A264" s="12">
        <f t="shared" si="9"/>
        <v>261</v>
      </c>
      <c r="B264" s="4" t="s">
        <v>577</v>
      </c>
      <c r="C264" s="4" t="s">
        <v>578</v>
      </c>
      <c r="D264" s="4" t="s">
        <v>45</v>
      </c>
      <c r="E264" s="14"/>
      <c r="F264" s="14"/>
      <c r="G264" s="14"/>
      <c r="H264" s="14"/>
      <c r="I264" s="5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</row>
    <row r="265" spans="1:86" x14ac:dyDescent="0.25">
      <c r="A265" s="12">
        <f t="shared" si="9"/>
        <v>262</v>
      </c>
      <c r="B265" s="4" t="s">
        <v>579</v>
      </c>
      <c r="C265" s="4" t="s">
        <v>580</v>
      </c>
      <c r="D265" s="4" t="s">
        <v>768</v>
      </c>
      <c r="E265" s="14"/>
      <c r="F265" s="14"/>
      <c r="G265" s="14"/>
      <c r="H265" s="14"/>
      <c r="I265" s="5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</row>
    <row r="266" spans="1:86" x14ac:dyDescent="0.25">
      <c r="A266" s="12">
        <f t="shared" ref="A266:A329" si="10">+A265+1</f>
        <v>263</v>
      </c>
      <c r="B266" s="4" t="s">
        <v>581</v>
      </c>
      <c r="C266" s="4" t="s">
        <v>582</v>
      </c>
      <c r="D266" s="4" t="s">
        <v>301</v>
      </c>
      <c r="E266" s="14"/>
      <c r="F266" s="14"/>
      <c r="G266" s="14"/>
      <c r="H266" s="14"/>
      <c r="I266" s="5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</row>
    <row r="267" spans="1:86" x14ac:dyDescent="0.25">
      <c r="A267" s="12">
        <f t="shared" si="10"/>
        <v>264</v>
      </c>
      <c r="B267" s="4" t="s">
        <v>583</v>
      </c>
      <c r="C267" s="4" t="s">
        <v>584</v>
      </c>
      <c r="D267" s="4" t="s">
        <v>45</v>
      </c>
      <c r="E267" s="14"/>
      <c r="F267" s="14"/>
      <c r="G267" s="14"/>
      <c r="H267" s="14"/>
      <c r="I267" s="5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</row>
    <row r="268" spans="1:86" x14ac:dyDescent="0.25">
      <c r="A268" s="12">
        <f t="shared" si="10"/>
        <v>265</v>
      </c>
      <c r="B268" s="4" t="s">
        <v>585</v>
      </c>
      <c r="C268" s="4" t="s">
        <v>586</v>
      </c>
      <c r="D268" s="4" t="s">
        <v>301</v>
      </c>
      <c r="E268" s="14"/>
      <c r="F268" s="14"/>
      <c r="G268" s="14"/>
      <c r="H268" s="14"/>
      <c r="I268" s="5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</row>
    <row r="269" spans="1:86" x14ac:dyDescent="0.25">
      <c r="A269" s="12">
        <f t="shared" si="10"/>
        <v>266</v>
      </c>
      <c r="B269" s="4" t="s">
        <v>587</v>
      </c>
      <c r="C269" s="4" t="s">
        <v>588</v>
      </c>
      <c r="D269" s="4" t="s">
        <v>45</v>
      </c>
      <c r="E269" s="14"/>
      <c r="F269" s="14"/>
      <c r="G269" s="14"/>
      <c r="H269" s="14"/>
      <c r="I269" s="5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</row>
    <row r="270" spans="1:86" x14ac:dyDescent="0.25">
      <c r="A270" s="12">
        <f t="shared" si="10"/>
        <v>267</v>
      </c>
      <c r="B270" s="4" t="s">
        <v>589</v>
      </c>
      <c r="C270" s="4" t="s">
        <v>590</v>
      </c>
      <c r="D270" s="4" t="s">
        <v>45</v>
      </c>
      <c r="E270" s="14"/>
      <c r="F270" s="14"/>
      <c r="G270" s="14"/>
      <c r="H270" s="14"/>
      <c r="I270" s="5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</row>
    <row r="271" spans="1:86" x14ac:dyDescent="0.25">
      <c r="A271" s="12">
        <f t="shared" si="10"/>
        <v>268</v>
      </c>
      <c r="B271" s="4" t="s">
        <v>591</v>
      </c>
      <c r="C271" s="4" t="s">
        <v>592</v>
      </c>
      <c r="D271" s="4" t="s">
        <v>46</v>
      </c>
      <c r="E271" s="14"/>
      <c r="F271" s="14"/>
      <c r="G271" s="14"/>
      <c r="H271" s="14"/>
      <c r="I271" s="5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</row>
    <row r="272" spans="1:86" x14ac:dyDescent="0.25">
      <c r="A272" s="12">
        <f t="shared" si="10"/>
        <v>269</v>
      </c>
      <c r="B272" s="4" t="s">
        <v>593</v>
      </c>
      <c r="C272" s="4" t="s">
        <v>594</v>
      </c>
      <c r="D272" s="4" t="s">
        <v>45</v>
      </c>
      <c r="E272" s="14"/>
      <c r="F272" s="14"/>
      <c r="G272" s="14"/>
      <c r="H272" s="14"/>
      <c r="I272" s="5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</row>
    <row r="273" spans="1:86" x14ac:dyDescent="0.25">
      <c r="A273" s="12">
        <f t="shared" si="10"/>
        <v>270</v>
      </c>
      <c r="B273" s="4" t="s">
        <v>595</v>
      </c>
      <c r="C273" s="4" t="s">
        <v>596</v>
      </c>
      <c r="D273" s="4" t="s">
        <v>398</v>
      </c>
      <c r="E273" s="14"/>
      <c r="F273" s="14"/>
      <c r="G273" s="14"/>
      <c r="H273" s="14"/>
      <c r="I273" s="5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</row>
    <row r="274" spans="1:86" x14ac:dyDescent="0.25">
      <c r="A274" s="12">
        <f t="shared" si="10"/>
        <v>271</v>
      </c>
      <c r="B274" s="4" t="s">
        <v>597</v>
      </c>
      <c r="C274" s="4" t="s">
        <v>598</v>
      </c>
      <c r="D274" s="4" t="s">
        <v>1126</v>
      </c>
      <c r="E274" s="14"/>
      <c r="F274" s="14"/>
      <c r="G274" s="14"/>
      <c r="H274" s="14"/>
      <c r="I274" s="5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</row>
    <row r="275" spans="1:86" x14ac:dyDescent="0.25">
      <c r="A275" s="12">
        <f t="shared" si="10"/>
        <v>272</v>
      </c>
      <c r="B275" s="4" t="s">
        <v>599</v>
      </c>
      <c r="C275" s="4" t="s">
        <v>600</v>
      </c>
      <c r="D275" s="4" t="s">
        <v>601</v>
      </c>
      <c r="E275" s="14"/>
      <c r="F275" s="14"/>
      <c r="G275" s="14"/>
      <c r="H275" s="14"/>
      <c r="I275" s="5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</row>
    <row r="276" spans="1:86" x14ac:dyDescent="0.25">
      <c r="A276" s="12">
        <f t="shared" si="10"/>
        <v>273</v>
      </c>
      <c r="B276" s="4" t="s">
        <v>602</v>
      </c>
      <c r="C276" s="4" t="s">
        <v>603</v>
      </c>
      <c r="D276" s="4" t="s">
        <v>1126</v>
      </c>
      <c r="E276" s="14"/>
      <c r="F276" s="14"/>
      <c r="G276" s="14"/>
      <c r="H276" s="14"/>
      <c r="I276" s="5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</row>
    <row r="277" spans="1:86" x14ac:dyDescent="0.25">
      <c r="A277" s="12">
        <f t="shared" si="10"/>
        <v>274</v>
      </c>
      <c r="B277" s="4" t="s">
        <v>604</v>
      </c>
      <c r="C277" s="4" t="s">
        <v>605</v>
      </c>
      <c r="D277" s="4" t="s">
        <v>173</v>
      </c>
      <c r="E277" s="14"/>
      <c r="F277" s="14"/>
      <c r="G277" s="14"/>
      <c r="H277" s="14"/>
      <c r="I277" s="5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</row>
    <row r="278" spans="1:86" x14ac:dyDescent="0.25">
      <c r="A278" s="12">
        <f t="shared" si="10"/>
        <v>275</v>
      </c>
      <c r="B278" s="4" t="s">
        <v>606</v>
      </c>
      <c r="C278" s="4" t="s">
        <v>607</v>
      </c>
      <c r="D278" s="4" t="s">
        <v>1126</v>
      </c>
      <c r="E278" s="14"/>
      <c r="F278" s="14"/>
      <c r="G278" s="14"/>
      <c r="H278" s="14"/>
      <c r="I278" s="5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</row>
    <row r="279" spans="1:86" x14ac:dyDescent="0.25">
      <c r="A279" s="12">
        <f t="shared" si="10"/>
        <v>276</v>
      </c>
      <c r="B279" s="4" t="s">
        <v>608</v>
      </c>
      <c r="C279" s="4" t="s">
        <v>609</v>
      </c>
      <c r="D279" s="4" t="s">
        <v>610</v>
      </c>
      <c r="E279" s="14"/>
      <c r="F279" s="14"/>
      <c r="G279" s="14"/>
      <c r="H279" s="14"/>
      <c r="I279" s="5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</row>
    <row r="280" spans="1:86" x14ac:dyDescent="0.25">
      <c r="A280" s="12">
        <f t="shared" si="10"/>
        <v>277</v>
      </c>
      <c r="B280" s="4" t="s">
        <v>611</v>
      </c>
      <c r="C280" s="4" t="s">
        <v>612</v>
      </c>
      <c r="D280" s="4" t="s">
        <v>186</v>
      </c>
      <c r="E280" s="14"/>
      <c r="F280" s="14"/>
      <c r="G280" s="14"/>
      <c r="H280" s="14"/>
      <c r="I280" s="5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</row>
    <row r="281" spans="1:86" x14ac:dyDescent="0.25">
      <c r="A281" s="12">
        <f t="shared" si="10"/>
        <v>278</v>
      </c>
      <c r="B281" s="4" t="s">
        <v>613</v>
      </c>
      <c r="C281" s="4" t="s">
        <v>614</v>
      </c>
      <c r="D281" s="4" t="s">
        <v>45</v>
      </c>
      <c r="E281" s="14"/>
      <c r="F281" s="14"/>
      <c r="G281" s="14"/>
      <c r="H281" s="14"/>
      <c r="I281" s="5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</row>
    <row r="282" spans="1:86" x14ac:dyDescent="0.25">
      <c r="A282" s="12">
        <f t="shared" si="10"/>
        <v>279</v>
      </c>
      <c r="B282" s="4" t="s">
        <v>615</v>
      </c>
      <c r="C282" s="4" t="s">
        <v>616</v>
      </c>
      <c r="D282" s="4" t="s">
        <v>536</v>
      </c>
      <c r="E282" s="14"/>
      <c r="F282" s="14"/>
      <c r="G282" s="14"/>
      <c r="H282" s="14"/>
      <c r="I282" s="5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</row>
    <row r="283" spans="1:86" x14ac:dyDescent="0.25">
      <c r="A283" s="12">
        <f t="shared" si="10"/>
        <v>280</v>
      </c>
      <c r="B283" s="4" t="s">
        <v>617</v>
      </c>
      <c r="C283" s="4" t="s">
        <v>618</v>
      </c>
      <c r="D283" s="4" t="s">
        <v>45</v>
      </c>
      <c r="E283" s="14"/>
      <c r="F283" s="14"/>
      <c r="G283" s="14"/>
      <c r="H283" s="14"/>
      <c r="I283" s="5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</row>
    <row r="284" spans="1:86" x14ac:dyDescent="0.25">
      <c r="A284" s="12">
        <f t="shared" si="10"/>
        <v>281</v>
      </c>
      <c r="B284" s="4" t="s">
        <v>620</v>
      </c>
      <c r="C284" s="4" t="s">
        <v>619</v>
      </c>
      <c r="D284" s="4" t="s">
        <v>45</v>
      </c>
      <c r="E284" s="14"/>
      <c r="F284" s="14"/>
      <c r="G284" s="14"/>
      <c r="H284" s="14"/>
      <c r="I284" s="5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</row>
    <row r="285" spans="1:86" x14ac:dyDescent="0.25">
      <c r="A285" s="12">
        <f t="shared" si="10"/>
        <v>282</v>
      </c>
      <c r="B285" s="4" t="s">
        <v>621</v>
      </c>
      <c r="C285" s="4" t="s">
        <v>622</v>
      </c>
      <c r="D285" s="4" t="s">
        <v>623</v>
      </c>
      <c r="E285" s="14"/>
      <c r="F285" s="14"/>
      <c r="G285" s="14"/>
      <c r="H285" s="14"/>
      <c r="I285" s="5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</row>
    <row r="286" spans="1:86" x14ac:dyDescent="0.25">
      <c r="A286" s="12">
        <f t="shared" si="10"/>
        <v>283</v>
      </c>
      <c r="B286" s="4" t="s">
        <v>624</v>
      </c>
      <c r="C286" s="4" t="s">
        <v>625</v>
      </c>
      <c r="D286" s="4" t="s">
        <v>45</v>
      </c>
      <c r="E286" s="14"/>
      <c r="F286" s="14"/>
      <c r="G286" s="14"/>
      <c r="H286" s="14"/>
      <c r="I286" s="5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</row>
    <row r="287" spans="1:86" x14ac:dyDescent="0.25">
      <c r="A287" s="12">
        <f t="shared" si="10"/>
        <v>284</v>
      </c>
      <c r="B287" s="4" t="s">
        <v>627</v>
      </c>
      <c r="C287" s="4" t="s">
        <v>626</v>
      </c>
      <c r="D287" s="4" t="s">
        <v>45</v>
      </c>
      <c r="E287" s="14"/>
      <c r="F287" s="14"/>
      <c r="G287" s="14"/>
      <c r="H287" s="14"/>
      <c r="I287" s="5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</row>
    <row r="288" spans="1:86" x14ac:dyDescent="0.25">
      <c r="A288" s="12">
        <f t="shared" si="10"/>
        <v>285</v>
      </c>
      <c r="B288" s="4" t="s">
        <v>628</v>
      </c>
      <c r="C288" s="4" t="s">
        <v>629</v>
      </c>
      <c r="D288" s="4" t="s">
        <v>245</v>
      </c>
      <c r="E288" s="14"/>
      <c r="F288" s="14"/>
      <c r="G288" s="14"/>
      <c r="H288" s="14"/>
      <c r="I288" s="5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</row>
    <row r="289" spans="1:86" x14ac:dyDescent="0.25">
      <c r="A289" s="12">
        <f t="shared" si="10"/>
        <v>286</v>
      </c>
      <c r="B289" s="4" t="s">
        <v>630</v>
      </c>
      <c r="C289" s="4" t="s">
        <v>631</v>
      </c>
      <c r="D289" s="4" t="s">
        <v>1126</v>
      </c>
      <c r="E289" s="14"/>
      <c r="F289" s="14"/>
      <c r="G289" s="14"/>
      <c r="H289" s="14"/>
      <c r="I289" s="5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</row>
    <row r="290" spans="1:86" x14ac:dyDescent="0.25">
      <c r="A290" s="12">
        <f t="shared" si="10"/>
        <v>287</v>
      </c>
      <c r="B290" s="4" t="s">
        <v>632</v>
      </c>
      <c r="C290" s="4" t="s">
        <v>633</v>
      </c>
      <c r="D290" s="4" t="s">
        <v>245</v>
      </c>
      <c r="E290" s="14"/>
      <c r="F290" s="14"/>
      <c r="G290" s="14"/>
      <c r="H290" s="14"/>
      <c r="I290" s="5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</row>
    <row r="291" spans="1:86" x14ac:dyDescent="0.25">
      <c r="A291" s="12">
        <f t="shared" si="10"/>
        <v>288</v>
      </c>
      <c r="B291" s="4" t="s">
        <v>634</v>
      </c>
      <c r="C291" s="4" t="s">
        <v>635</v>
      </c>
      <c r="D291" s="4" t="s">
        <v>186</v>
      </c>
      <c r="E291" s="14"/>
      <c r="F291" s="14"/>
      <c r="G291" s="14"/>
      <c r="H291" s="14"/>
      <c r="I291" s="5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</row>
    <row r="292" spans="1:86" x14ac:dyDescent="0.25">
      <c r="A292" s="12">
        <f t="shared" si="10"/>
        <v>289</v>
      </c>
      <c r="B292" s="4" t="s">
        <v>636</v>
      </c>
      <c r="C292" s="4" t="s">
        <v>637</v>
      </c>
      <c r="D292" s="4" t="s">
        <v>45</v>
      </c>
      <c r="E292" s="14"/>
      <c r="F292" s="14"/>
      <c r="G292" s="14"/>
      <c r="H292" s="14"/>
      <c r="I292" s="5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</row>
    <row r="293" spans="1:86" x14ac:dyDescent="0.25">
      <c r="A293" s="12">
        <f t="shared" si="10"/>
        <v>290</v>
      </c>
      <c r="B293" s="13" t="s">
        <v>638</v>
      </c>
      <c r="C293" s="4" t="s">
        <v>639</v>
      </c>
      <c r="D293" s="4" t="s">
        <v>45</v>
      </c>
      <c r="E293" s="14">
        <f>+[78]Main!$I$2</f>
        <v>70.8</v>
      </c>
      <c r="F293" s="14">
        <f>+[78]Main!$I$4</f>
        <v>7016.8866144000003</v>
      </c>
      <c r="G293" s="14">
        <f>+[78]Main!$I$6-[78]Main!$I$5</f>
        <v>1566.635</v>
      </c>
      <c r="H293" s="14">
        <f>+F293+G293</f>
        <v>8583.5216144000005</v>
      </c>
      <c r="I293" s="35" t="s">
        <v>2583</v>
      </c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</row>
    <row r="294" spans="1:86" x14ac:dyDescent="0.25">
      <c r="A294" s="12">
        <f t="shared" si="10"/>
        <v>291</v>
      </c>
      <c r="B294" s="4" t="s">
        <v>640</v>
      </c>
      <c r="C294" s="4" t="s">
        <v>641</v>
      </c>
      <c r="D294" s="4" t="s">
        <v>45</v>
      </c>
      <c r="E294" s="14"/>
      <c r="F294" s="14"/>
      <c r="G294" s="14"/>
      <c r="H294" s="14"/>
      <c r="I294" s="5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</row>
    <row r="295" spans="1:86" x14ac:dyDescent="0.25">
      <c r="A295" s="12">
        <f t="shared" si="10"/>
        <v>292</v>
      </c>
      <c r="B295" s="4" t="s">
        <v>642</v>
      </c>
      <c r="C295" s="4" t="s">
        <v>643</v>
      </c>
      <c r="D295" s="4" t="s">
        <v>45</v>
      </c>
      <c r="E295" s="14"/>
      <c r="F295" s="14"/>
      <c r="G295" s="14"/>
      <c r="H295" s="14"/>
      <c r="I295" s="5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</row>
    <row r="296" spans="1:86" x14ac:dyDescent="0.25">
      <c r="A296" s="12">
        <f t="shared" si="10"/>
        <v>293</v>
      </c>
      <c r="B296" s="4" t="s">
        <v>644</v>
      </c>
      <c r="C296" s="4" t="s">
        <v>645</v>
      </c>
      <c r="D296" s="4" t="s">
        <v>768</v>
      </c>
      <c r="E296" s="14"/>
      <c r="F296" s="14"/>
      <c r="G296" s="14"/>
      <c r="H296" s="14"/>
      <c r="I296" s="5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</row>
    <row r="297" spans="1:86" x14ac:dyDescent="0.25">
      <c r="A297" s="12">
        <f t="shared" si="10"/>
        <v>294</v>
      </c>
      <c r="B297" s="4" t="s">
        <v>646</v>
      </c>
      <c r="C297" s="4" t="s">
        <v>647</v>
      </c>
      <c r="D297" s="4" t="s">
        <v>1126</v>
      </c>
      <c r="E297" s="14"/>
      <c r="F297" s="14"/>
      <c r="G297" s="14"/>
      <c r="H297" s="14"/>
      <c r="I297" s="5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</row>
    <row r="298" spans="1:86" x14ac:dyDescent="0.25">
      <c r="A298" s="12">
        <f t="shared" si="10"/>
        <v>295</v>
      </c>
      <c r="B298" s="4" t="s">
        <v>648</v>
      </c>
      <c r="C298" s="4" t="s">
        <v>649</v>
      </c>
      <c r="D298" s="4" t="s">
        <v>45</v>
      </c>
      <c r="E298" s="14"/>
      <c r="F298" s="14"/>
      <c r="G298" s="14"/>
      <c r="H298" s="14"/>
      <c r="I298" s="5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</row>
    <row r="299" spans="1:86" x14ac:dyDescent="0.25">
      <c r="A299" s="12">
        <f t="shared" si="10"/>
        <v>296</v>
      </c>
      <c r="B299" s="4" t="s">
        <v>650</v>
      </c>
      <c r="C299" s="4" t="s">
        <v>651</v>
      </c>
      <c r="D299" s="4" t="s">
        <v>45</v>
      </c>
      <c r="E299" s="14"/>
      <c r="F299" s="14"/>
      <c r="G299" s="14"/>
      <c r="H299" s="14"/>
      <c r="I299" s="5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</row>
    <row r="300" spans="1:86" x14ac:dyDescent="0.25">
      <c r="A300" s="12">
        <f t="shared" si="10"/>
        <v>297</v>
      </c>
      <c r="B300" s="4" t="s">
        <v>653</v>
      </c>
      <c r="C300" s="4" t="s">
        <v>652</v>
      </c>
      <c r="D300" s="4" t="s">
        <v>45</v>
      </c>
      <c r="E300" s="14"/>
      <c r="F300" s="14"/>
      <c r="G300" s="14"/>
      <c r="H300" s="14"/>
      <c r="I300" s="5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</row>
    <row r="301" spans="1:86" x14ac:dyDescent="0.25">
      <c r="A301" s="12">
        <f t="shared" si="10"/>
        <v>298</v>
      </c>
      <c r="B301" s="4" t="s">
        <v>654</v>
      </c>
      <c r="C301" s="4" t="s">
        <v>655</v>
      </c>
      <c r="D301" s="4" t="s">
        <v>45</v>
      </c>
      <c r="E301" s="14"/>
      <c r="F301" s="14"/>
      <c r="G301" s="14"/>
      <c r="H301" s="14"/>
      <c r="I301" s="5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</row>
    <row r="302" spans="1:86" x14ac:dyDescent="0.25">
      <c r="A302" s="12">
        <f t="shared" si="10"/>
        <v>299</v>
      </c>
      <c r="B302" s="4" t="s">
        <v>657</v>
      </c>
      <c r="C302" s="4" t="s">
        <v>656</v>
      </c>
      <c r="D302" s="4" t="s">
        <v>768</v>
      </c>
      <c r="E302" s="14"/>
      <c r="F302" s="14"/>
      <c r="G302" s="14"/>
      <c r="H302" s="14"/>
      <c r="I302" s="5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</row>
    <row r="303" spans="1:86" x14ac:dyDescent="0.25">
      <c r="A303" s="12">
        <f t="shared" si="10"/>
        <v>300</v>
      </c>
      <c r="B303" s="4" t="s">
        <v>658</v>
      </c>
      <c r="C303" s="4" t="s">
        <v>659</v>
      </c>
      <c r="D303" s="4" t="s">
        <v>45</v>
      </c>
      <c r="E303" s="14"/>
      <c r="F303" s="14"/>
      <c r="G303" s="14"/>
      <c r="H303" s="14"/>
      <c r="I303" s="5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</row>
    <row r="304" spans="1:86" x14ac:dyDescent="0.25">
      <c r="A304" s="12">
        <f t="shared" si="10"/>
        <v>301</v>
      </c>
      <c r="B304" s="4" t="s">
        <v>660</v>
      </c>
      <c r="C304" s="4" t="s">
        <v>661</v>
      </c>
      <c r="D304" s="4" t="s">
        <v>45</v>
      </c>
      <c r="E304" s="14"/>
      <c r="F304" s="14"/>
      <c r="G304" s="14"/>
      <c r="H304" s="14"/>
      <c r="I304" s="5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</row>
    <row r="305" spans="1:86" x14ac:dyDescent="0.25">
      <c r="A305" s="12">
        <f t="shared" si="10"/>
        <v>302</v>
      </c>
      <c r="B305" s="4" t="s">
        <v>662</v>
      </c>
      <c r="C305" s="4" t="s">
        <v>663</v>
      </c>
      <c r="D305" s="4" t="s">
        <v>45</v>
      </c>
      <c r="E305" s="14"/>
      <c r="F305" s="14"/>
      <c r="G305" s="14"/>
      <c r="H305" s="14"/>
      <c r="I305" s="5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</row>
    <row r="306" spans="1:86" x14ac:dyDescent="0.25">
      <c r="A306" s="12">
        <f t="shared" si="10"/>
        <v>303</v>
      </c>
      <c r="B306" s="4" t="s">
        <v>664</v>
      </c>
      <c r="C306" s="4" t="s">
        <v>665</v>
      </c>
      <c r="D306" s="4" t="s">
        <v>45</v>
      </c>
      <c r="E306" s="14"/>
      <c r="F306" s="14"/>
      <c r="G306" s="14"/>
      <c r="H306" s="14"/>
      <c r="I306" s="5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</row>
    <row r="307" spans="1:86" x14ac:dyDescent="0.25">
      <c r="A307" s="12">
        <f t="shared" si="10"/>
        <v>304</v>
      </c>
      <c r="B307" s="4" t="s">
        <v>666</v>
      </c>
      <c r="C307" s="4" t="s">
        <v>667</v>
      </c>
      <c r="D307" s="4" t="s">
        <v>245</v>
      </c>
      <c r="E307" s="14"/>
      <c r="F307" s="14"/>
      <c r="G307" s="14"/>
      <c r="H307" s="14"/>
      <c r="I307" s="5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</row>
    <row r="308" spans="1:86" x14ac:dyDescent="0.25">
      <c r="A308" s="12">
        <f t="shared" si="10"/>
        <v>305</v>
      </c>
      <c r="B308" s="4" t="s">
        <v>668</v>
      </c>
      <c r="C308" s="4" t="s">
        <v>669</v>
      </c>
      <c r="D308" s="4" t="s">
        <v>45</v>
      </c>
      <c r="E308" s="14"/>
      <c r="F308" s="14"/>
      <c r="G308" s="14"/>
      <c r="H308" s="14"/>
      <c r="I308" s="5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</row>
    <row r="309" spans="1:86" x14ac:dyDescent="0.25">
      <c r="A309" s="12">
        <f t="shared" si="10"/>
        <v>306</v>
      </c>
      <c r="B309" s="4" t="s">
        <v>670</v>
      </c>
      <c r="C309" s="4" t="s">
        <v>670</v>
      </c>
      <c r="D309" s="4" t="s">
        <v>45</v>
      </c>
      <c r="E309" s="14"/>
      <c r="F309" s="14"/>
      <c r="G309" s="14"/>
      <c r="H309" s="14"/>
      <c r="I309" s="5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</row>
    <row r="310" spans="1:86" x14ac:dyDescent="0.25">
      <c r="A310" s="12">
        <f t="shared" si="10"/>
        <v>307</v>
      </c>
      <c r="B310" s="4" t="s">
        <v>671</v>
      </c>
      <c r="C310" s="4" t="s">
        <v>672</v>
      </c>
      <c r="D310" s="4" t="s">
        <v>45</v>
      </c>
      <c r="E310" s="14"/>
      <c r="F310" s="14"/>
      <c r="G310" s="14"/>
      <c r="H310" s="14"/>
      <c r="I310" s="5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</row>
    <row r="311" spans="1:86" x14ac:dyDescent="0.25">
      <c r="A311" s="12">
        <f t="shared" si="10"/>
        <v>308</v>
      </c>
      <c r="B311" s="4" t="s">
        <v>673</v>
      </c>
      <c r="C311" s="4" t="s">
        <v>674</v>
      </c>
      <c r="D311" s="4" t="s">
        <v>768</v>
      </c>
      <c r="E311" s="14"/>
      <c r="F311" s="14"/>
      <c r="G311" s="14"/>
      <c r="H311" s="14"/>
      <c r="I311" s="5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</row>
    <row r="312" spans="1:86" x14ac:dyDescent="0.25">
      <c r="A312" s="12">
        <f t="shared" si="10"/>
        <v>309</v>
      </c>
      <c r="B312" s="4" t="s">
        <v>675</v>
      </c>
      <c r="C312" s="4" t="s">
        <v>676</v>
      </c>
      <c r="D312" s="4" t="s">
        <v>45</v>
      </c>
      <c r="E312" s="14"/>
      <c r="F312" s="14"/>
      <c r="G312" s="14"/>
      <c r="H312" s="14"/>
      <c r="I312" s="5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</row>
    <row r="313" spans="1:86" x14ac:dyDescent="0.25">
      <c r="A313" s="12">
        <f t="shared" si="10"/>
        <v>310</v>
      </c>
      <c r="B313" s="4" t="s">
        <v>677</v>
      </c>
      <c r="C313" s="4" t="s">
        <v>678</v>
      </c>
      <c r="D313" s="4" t="s">
        <v>45</v>
      </c>
      <c r="E313" s="14"/>
      <c r="F313" s="14"/>
      <c r="G313" s="14"/>
      <c r="H313" s="14"/>
      <c r="I313" s="5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</row>
    <row r="314" spans="1:86" x14ac:dyDescent="0.25">
      <c r="A314" s="12">
        <f t="shared" si="10"/>
        <v>311</v>
      </c>
      <c r="B314" s="4" t="s">
        <v>681</v>
      </c>
      <c r="C314" s="4" t="s">
        <v>682</v>
      </c>
      <c r="D314" s="4" t="s">
        <v>45</v>
      </c>
      <c r="E314" s="14"/>
      <c r="F314" s="14"/>
      <c r="G314" s="14"/>
      <c r="H314" s="14"/>
      <c r="I314" s="5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</row>
    <row r="315" spans="1:86" x14ac:dyDescent="0.25">
      <c r="A315" s="12">
        <f t="shared" si="10"/>
        <v>312</v>
      </c>
      <c r="B315" s="4" t="s">
        <v>683</v>
      </c>
      <c r="C315" s="4" t="s">
        <v>684</v>
      </c>
      <c r="D315" s="4" t="s">
        <v>45</v>
      </c>
      <c r="E315" s="14"/>
      <c r="F315" s="14"/>
      <c r="G315" s="14"/>
      <c r="H315" s="14"/>
      <c r="I315" s="5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</row>
    <row r="316" spans="1:86" x14ac:dyDescent="0.25">
      <c r="A316" s="12">
        <f t="shared" si="10"/>
        <v>313</v>
      </c>
      <c r="B316" s="4" t="s">
        <v>685</v>
      </c>
      <c r="C316" s="4" t="s">
        <v>686</v>
      </c>
      <c r="D316" s="4" t="s">
        <v>45</v>
      </c>
      <c r="E316" s="14"/>
      <c r="F316" s="14"/>
      <c r="G316" s="14"/>
      <c r="H316" s="14"/>
      <c r="I316" s="5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</row>
    <row r="317" spans="1:86" x14ac:dyDescent="0.25">
      <c r="A317" s="12">
        <f t="shared" si="10"/>
        <v>314</v>
      </c>
      <c r="B317" s="4" t="s">
        <v>687</v>
      </c>
      <c r="C317" s="4" t="s">
        <v>688</v>
      </c>
      <c r="D317" s="4" t="s">
        <v>45</v>
      </c>
      <c r="E317" s="14"/>
      <c r="F317" s="14"/>
      <c r="G317" s="14"/>
      <c r="H317" s="14"/>
      <c r="I317" s="5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</row>
    <row r="318" spans="1:86" x14ac:dyDescent="0.25">
      <c r="A318" s="12">
        <f t="shared" si="10"/>
        <v>315</v>
      </c>
      <c r="B318" s="4" t="s">
        <v>689</v>
      </c>
      <c r="C318" s="4" t="s">
        <v>690</v>
      </c>
      <c r="D318" s="4" t="s">
        <v>46</v>
      </c>
      <c r="E318" s="14"/>
      <c r="F318" s="14"/>
      <c r="G318" s="14"/>
      <c r="H318" s="14"/>
      <c r="I318" s="5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</row>
    <row r="319" spans="1:86" x14ac:dyDescent="0.25">
      <c r="A319" s="12">
        <f t="shared" si="10"/>
        <v>316</v>
      </c>
      <c r="B319" s="4" t="s">
        <v>691</v>
      </c>
      <c r="C319" s="4" t="s">
        <v>692</v>
      </c>
      <c r="D319" s="4" t="s">
        <v>87</v>
      </c>
      <c r="E319" s="14"/>
      <c r="F319" s="14"/>
      <c r="G319" s="14"/>
      <c r="H319" s="14"/>
      <c r="I319" s="5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</row>
    <row r="320" spans="1:86" x14ac:dyDescent="0.25">
      <c r="A320" s="12">
        <f t="shared" si="10"/>
        <v>317</v>
      </c>
      <c r="B320" s="4" t="s">
        <v>693</v>
      </c>
      <c r="C320" s="4" t="s">
        <v>694</v>
      </c>
      <c r="D320" s="4" t="s">
        <v>508</v>
      </c>
      <c r="E320" s="14"/>
      <c r="F320" s="14"/>
      <c r="G320" s="14"/>
      <c r="H320" s="14"/>
      <c r="I320" s="5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</row>
    <row r="321" spans="1:86" x14ac:dyDescent="0.25">
      <c r="A321" s="12">
        <f t="shared" si="10"/>
        <v>318</v>
      </c>
      <c r="B321" s="4" t="s">
        <v>695</v>
      </c>
      <c r="C321" s="4" t="s">
        <v>696</v>
      </c>
      <c r="D321" s="4" t="s">
        <v>1126</v>
      </c>
      <c r="E321" s="14"/>
      <c r="F321" s="14"/>
      <c r="G321" s="14"/>
      <c r="H321" s="14"/>
      <c r="I321" s="5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</row>
    <row r="322" spans="1:86" x14ac:dyDescent="0.25">
      <c r="A322" s="12">
        <f t="shared" si="10"/>
        <v>319</v>
      </c>
      <c r="B322" s="13" t="s">
        <v>697</v>
      </c>
      <c r="C322" s="4" t="s">
        <v>698</v>
      </c>
      <c r="D322" s="4" t="s">
        <v>45</v>
      </c>
      <c r="E322" s="14">
        <f>+[79]Main!$J$3</f>
        <v>15.92</v>
      </c>
      <c r="F322" s="14">
        <f>+[79]Main!$J$5</f>
        <v>3056.2842516800001</v>
      </c>
      <c r="G322" s="14">
        <f>+[79]Main!$J$7-[79]Main!$J$6</f>
        <v>162.63800000000003</v>
      </c>
      <c r="H322" s="14">
        <f>+F322+G322</f>
        <v>3218.92225168</v>
      </c>
      <c r="I322" s="5" t="s">
        <v>48</v>
      </c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</row>
    <row r="323" spans="1:86" x14ac:dyDescent="0.25">
      <c r="A323" s="12">
        <f t="shared" si="10"/>
        <v>320</v>
      </c>
      <c r="B323" s="13" t="s">
        <v>699</v>
      </c>
      <c r="C323" s="4" t="s">
        <v>700</v>
      </c>
      <c r="D323" s="4" t="s">
        <v>45</v>
      </c>
      <c r="E323" s="14">
        <f>+[80]Main!$I$2</f>
        <v>7.36</v>
      </c>
      <c r="F323" s="14">
        <f>+[80]Main!$I$4</f>
        <v>1581.06035488</v>
      </c>
      <c r="G323" s="14">
        <f>+[80]Main!$I$6-[80]Main!$I$5</f>
        <v>-73.627598000000006</v>
      </c>
      <c r="H323" s="14">
        <f>+F323+G323</f>
        <v>1507.4327568799999</v>
      </c>
      <c r="I323" s="5" t="s">
        <v>430</v>
      </c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</row>
    <row r="324" spans="1:86" x14ac:dyDescent="0.25">
      <c r="A324" s="12">
        <f t="shared" si="10"/>
        <v>321</v>
      </c>
      <c r="B324" s="4" t="s">
        <v>701</v>
      </c>
      <c r="C324" s="4" t="s">
        <v>702</v>
      </c>
      <c r="D324" s="4" t="s">
        <v>45</v>
      </c>
      <c r="E324" s="14"/>
      <c r="F324" s="14"/>
      <c r="G324" s="14"/>
      <c r="H324" s="14"/>
      <c r="I324" s="5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</row>
    <row r="325" spans="1:86" x14ac:dyDescent="0.25">
      <c r="A325" s="12">
        <f t="shared" si="10"/>
        <v>322</v>
      </c>
      <c r="B325" s="4" t="s">
        <v>703</v>
      </c>
      <c r="C325" s="4" t="s">
        <v>704</v>
      </c>
      <c r="D325" s="4" t="s">
        <v>508</v>
      </c>
      <c r="E325" s="14"/>
      <c r="F325" s="14"/>
      <c r="G325" s="14"/>
      <c r="H325" s="14"/>
      <c r="I325" s="5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</row>
    <row r="326" spans="1:86" x14ac:dyDescent="0.25">
      <c r="A326" s="12">
        <f t="shared" si="10"/>
        <v>323</v>
      </c>
      <c r="B326" s="4" t="s">
        <v>679</v>
      </c>
      <c r="C326" s="4" t="s">
        <v>680</v>
      </c>
      <c r="D326" s="4" t="s">
        <v>45</v>
      </c>
      <c r="E326" s="14"/>
      <c r="F326" s="14"/>
      <c r="G326" s="14"/>
      <c r="H326" s="14"/>
      <c r="I326" s="5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</row>
    <row r="327" spans="1:86" x14ac:dyDescent="0.25">
      <c r="A327" s="12">
        <f t="shared" si="10"/>
        <v>324</v>
      </c>
      <c r="B327" s="4" t="s">
        <v>1132</v>
      </c>
      <c r="C327" s="4" t="s">
        <v>1133</v>
      </c>
      <c r="D327" s="4" t="s">
        <v>128</v>
      </c>
      <c r="E327" s="14"/>
      <c r="F327" s="14"/>
      <c r="G327" s="14"/>
      <c r="H327" s="14"/>
      <c r="I327" s="5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</row>
    <row r="328" spans="1:86" x14ac:dyDescent="0.25">
      <c r="A328" s="12">
        <f t="shared" si="10"/>
        <v>325</v>
      </c>
      <c r="B328" s="4" t="s">
        <v>1134</v>
      </c>
      <c r="C328" s="4" t="s">
        <v>1135</v>
      </c>
      <c r="D328" s="4" t="s">
        <v>45</v>
      </c>
      <c r="E328" s="14"/>
      <c r="F328" s="14"/>
      <c r="G328" s="14"/>
      <c r="H328" s="14"/>
      <c r="I328" s="5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</row>
    <row r="329" spans="1:86" x14ac:dyDescent="0.25">
      <c r="A329" s="12">
        <f t="shared" si="10"/>
        <v>326</v>
      </c>
      <c r="B329" s="4" t="s">
        <v>1136</v>
      </c>
      <c r="C329" s="4" t="s">
        <v>1137</v>
      </c>
      <c r="D329" s="4" t="s">
        <v>1125</v>
      </c>
      <c r="E329" s="14"/>
      <c r="F329" s="14"/>
      <c r="G329" s="14"/>
      <c r="H329" s="14"/>
      <c r="I329" s="5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</row>
    <row r="330" spans="1:86" x14ac:dyDescent="0.25">
      <c r="A330" s="12">
        <f t="shared" ref="A330:A393" si="11">+A329+1</f>
        <v>327</v>
      </c>
      <c r="B330" s="4" t="s">
        <v>859</v>
      </c>
      <c r="C330" s="4" t="s">
        <v>860</v>
      </c>
      <c r="D330" s="4" t="s">
        <v>45</v>
      </c>
      <c r="E330" s="14"/>
      <c r="F330" s="14"/>
      <c r="G330" s="14"/>
      <c r="H330" s="14"/>
      <c r="I330" s="5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</row>
    <row r="331" spans="1:86" x14ac:dyDescent="0.25">
      <c r="A331" s="12">
        <f t="shared" si="11"/>
        <v>328</v>
      </c>
      <c r="B331" s="4" t="s">
        <v>1138</v>
      </c>
      <c r="C331" s="4" t="s">
        <v>1139</v>
      </c>
      <c r="D331" s="4" t="s">
        <v>508</v>
      </c>
      <c r="E331" s="14"/>
      <c r="F331" s="14"/>
      <c r="G331" s="14"/>
      <c r="H331" s="14"/>
      <c r="I331" s="5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</row>
    <row r="332" spans="1:86" x14ac:dyDescent="0.25">
      <c r="A332" s="12">
        <f t="shared" si="11"/>
        <v>329</v>
      </c>
      <c r="B332" s="4" t="s">
        <v>1140</v>
      </c>
      <c r="C332" s="4" t="s">
        <v>1141</v>
      </c>
      <c r="D332" s="4" t="s">
        <v>768</v>
      </c>
      <c r="E332" s="14"/>
      <c r="F332" s="14"/>
      <c r="G332" s="14"/>
      <c r="H332" s="14"/>
      <c r="I332" s="5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</row>
    <row r="333" spans="1:86" x14ac:dyDescent="0.25">
      <c r="A333" s="12">
        <f t="shared" si="11"/>
        <v>330</v>
      </c>
      <c r="B333" s="4" t="s">
        <v>1142</v>
      </c>
      <c r="C333" s="4" t="s">
        <v>1143</v>
      </c>
      <c r="D333" s="4" t="s">
        <v>45</v>
      </c>
      <c r="E333" s="14"/>
      <c r="F333" s="14"/>
      <c r="G333" s="14"/>
      <c r="H333" s="14"/>
      <c r="I333" s="5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</row>
    <row r="334" spans="1:86" x14ac:dyDescent="0.25">
      <c r="A334" s="12">
        <f t="shared" si="11"/>
        <v>331</v>
      </c>
      <c r="B334" s="4" t="s">
        <v>1144</v>
      </c>
      <c r="C334" s="4" t="s">
        <v>1145</v>
      </c>
      <c r="D334" s="4" t="s">
        <v>45</v>
      </c>
      <c r="E334" s="14"/>
      <c r="F334" s="14"/>
      <c r="G334" s="14"/>
      <c r="H334" s="14"/>
      <c r="I334" s="5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</row>
    <row r="335" spans="1:86" x14ac:dyDescent="0.25">
      <c r="A335" s="12">
        <f t="shared" si="11"/>
        <v>332</v>
      </c>
      <c r="B335" s="4" t="s">
        <v>1146</v>
      </c>
      <c r="C335" s="4" t="s">
        <v>1147</v>
      </c>
      <c r="D335" s="4" t="s">
        <v>45</v>
      </c>
      <c r="E335" s="14"/>
      <c r="F335" s="14"/>
      <c r="G335" s="14"/>
      <c r="H335" s="14"/>
      <c r="I335" s="5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</row>
    <row r="336" spans="1:86" x14ac:dyDescent="0.25">
      <c r="A336" s="12">
        <f t="shared" si="11"/>
        <v>333</v>
      </c>
      <c r="B336" s="4" t="s">
        <v>1148</v>
      </c>
      <c r="C336" s="4" t="s">
        <v>1149</v>
      </c>
      <c r="D336" s="4" t="s">
        <v>87</v>
      </c>
      <c r="E336" s="14"/>
      <c r="F336" s="14"/>
      <c r="G336" s="14"/>
      <c r="H336" s="14"/>
      <c r="I336" s="5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</row>
    <row r="337" spans="1:86" x14ac:dyDescent="0.25">
      <c r="A337" s="12">
        <f t="shared" si="11"/>
        <v>334</v>
      </c>
      <c r="B337" s="4" t="s">
        <v>1150</v>
      </c>
      <c r="C337" s="4" t="s">
        <v>1151</v>
      </c>
      <c r="D337" s="4" t="s">
        <v>84</v>
      </c>
      <c r="E337" s="14"/>
      <c r="F337" s="14"/>
      <c r="G337" s="14"/>
      <c r="H337" s="14"/>
      <c r="I337" s="5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</row>
    <row r="338" spans="1:86" x14ac:dyDescent="0.25">
      <c r="A338" s="12">
        <f t="shared" si="11"/>
        <v>335</v>
      </c>
      <c r="B338" s="4" t="s">
        <v>1152</v>
      </c>
      <c r="C338" s="4" t="s">
        <v>1153</v>
      </c>
      <c r="D338" s="4" t="s">
        <v>2569</v>
      </c>
      <c r="E338" s="14"/>
      <c r="F338" s="14"/>
      <c r="G338" s="14"/>
      <c r="H338" s="14"/>
      <c r="I338" s="5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</row>
    <row r="339" spans="1:86" x14ac:dyDescent="0.25">
      <c r="A339" s="12">
        <f t="shared" si="11"/>
        <v>336</v>
      </c>
      <c r="B339" s="4" t="s">
        <v>1154</v>
      </c>
      <c r="C339" s="4" t="s">
        <v>1155</v>
      </c>
      <c r="D339" s="4" t="s">
        <v>1125</v>
      </c>
      <c r="E339" s="14"/>
      <c r="F339" s="14"/>
      <c r="G339" s="14"/>
      <c r="H339" s="14"/>
      <c r="I339" s="5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</row>
    <row r="340" spans="1:86" x14ac:dyDescent="0.25">
      <c r="A340" s="12">
        <f t="shared" si="11"/>
        <v>337</v>
      </c>
      <c r="B340" s="4" t="s">
        <v>852</v>
      </c>
      <c r="C340" s="4" t="s">
        <v>853</v>
      </c>
      <c r="D340" s="4" t="s">
        <v>45</v>
      </c>
      <c r="E340" s="14"/>
      <c r="F340" s="14"/>
      <c r="G340" s="14"/>
      <c r="H340" s="14"/>
      <c r="I340" s="5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</row>
    <row r="341" spans="1:86" x14ac:dyDescent="0.25">
      <c r="A341" s="12">
        <f t="shared" si="11"/>
        <v>338</v>
      </c>
      <c r="B341" s="4" t="s">
        <v>1156</v>
      </c>
      <c r="C341" s="4" t="s">
        <v>1157</v>
      </c>
      <c r="D341" s="4" t="s">
        <v>1130</v>
      </c>
      <c r="E341" s="14"/>
      <c r="F341" s="14"/>
      <c r="G341" s="14"/>
      <c r="H341" s="14"/>
      <c r="I341" s="5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</row>
    <row r="342" spans="1:86" x14ac:dyDescent="0.25">
      <c r="A342" s="12">
        <f t="shared" si="11"/>
        <v>339</v>
      </c>
      <c r="B342" s="4" t="s">
        <v>1158</v>
      </c>
      <c r="C342" s="4" t="s">
        <v>1159</v>
      </c>
      <c r="D342" s="4" t="s">
        <v>45</v>
      </c>
      <c r="E342" s="14"/>
      <c r="F342" s="14"/>
      <c r="G342" s="14"/>
      <c r="H342" s="14"/>
      <c r="I342" s="5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</row>
    <row r="343" spans="1:86" x14ac:dyDescent="0.25">
      <c r="A343" s="12">
        <f t="shared" si="11"/>
        <v>340</v>
      </c>
      <c r="B343" s="4" t="s">
        <v>1160</v>
      </c>
      <c r="C343" s="4" t="s">
        <v>1161</v>
      </c>
      <c r="D343" s="4" t="s">
        <v>770</v>
      </c>
      <c r="E343" s="14"/>
      <c r="F343" s="14"/>
      <c r="G343" s="14"/>
      <c r="H343" s="14"/>
      <c r="I343" s="5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</row>
    <row r="344" spans="1:86" x14ac:dyDescent="0.25">
      <c r="A344" s="12">
        <f t="shared" si="11"/>
        <v>341</v>
      </c>
      <c r="B344" s="4" t="s">
        <v>1162</v>
      </c>
      <c r="C344" s="4" t="s">
        <v>1163</v>
      </c>
      <c r="D344" s="4" t="s">
        <v>87</v>
      </c>
      <c r="E344" s="14"/>
      <c r="F344" s="14"/>
      <c r="G344" s="14"/>
      <c r="H344" s="14"/>
      <c r="I344" s="5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</row>
    <row r="345" spans="1:86" x14ac:dyDescent="0.25">
      <c r="A345" s="12">
        <f t="shared" si="11"/>
        <v>342</v>
      </c>
      <c r="B345" s="4" t="s">
        <v>1164</v>
      </c>
      <c r="C345" s="4" t="s">
        <v>866</v>
      </c>
      <c r="D345" s="4" t="s">
        <v>45</v>
      </c>
      <c r="E345" s="14"/>
      <c r="F345" s="14"/>
      <c r="G345" s="14"/>
      <c r="H345" s="14"/>
      <c r="I345" s="5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</row>
    <row r="346" spans="1:86" x14ac:dyDescent="0.25">
      <c r="A346" s="12">
        <f t="shared" si="11"/>
        <v>343</v>
      </c>
      <c r="B346" s="4" t="s">
        <v>1165</v>
      </c>
      <c r="C346" s="4" t="s">
        <v>1166</v>
      </c>
      <c r="D346" s="4" t="s">
        <v>770</v>
      </c>
      <c r="E346" s="14"/>
      <c r="F346" s="14"/>
      <c r="G346" s="14"/>
      <c r="H346" s="14"/>
      <c r="I346" s="5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</row>
    <row r="347" spans="1:86" x14ac:dyDescent="0.25">
      <c r="A347" s="12">
        <f t="shared" si="11"/>
        <v>344</v>
      </c>
      <c r="B347" s="4" t="s">
        <v>1167</v>
      </c>
      <c r="C347" s="4" t="s">
        <v>1168</v>
      </c>
      <c r="D347" s="4" t="s">
        <v>128</v>
      </c>
      <c r="E347" s="14"/>
      <c r="F347" s="14"/>
      <c r="G347" s="14"/>
      <c r="H347" s="14"/>
      <c r="I347" s="5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</row>
    <row r="348" spans="1:86" x14ac:dyDescent="0.25">
      <c r="A348" s="12">
        <f t="shared" si="11"/>
        <v>345</v>
      </c>
      <c r="B348" s="4" t="s">
        <v>1169</v>
      </c>
      <c r="C348" s="4" t="s">
        <v>1170</v>
      </c>
      <c r="D348" s="4" t="s">
        <v>2572</v>
      </c>
      <c r="E348" s="14"/>
      <c r="F348" s="14"/>
      <c r="G348" s="14"/>
      <c r="H348" s="14"/>
      <c r="I348" s="5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</row>
    <row r="349" spans="1:86" x14ac:dyDescent="0.25">
      <c r="A349" s="12">
        <f t="shared" si="11"/>
        <v>346</v>
      </c>
      <c r="B349" s="4" t="s">
        <v>1171</v>
      </c>
      <c r="C349" s="4" t="s">
        <v>1172</v>
      </c>
      <c r="D349" s="4" t="s">
        <v>1130</v>
      </c>
      <c r="E349" s="14"/>
      <c r="F349" s="14"/>
      <c r="G349" s="14"/>
      <c r="H349" s="14"/>
      <c r="I349" s="5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</row>
    <row r="350" spans="1:86" x14ac:dyDescent="0.25">
      <c r="A350" s="12">
        <f t="shared" si="11"/>
        <v>347</v>
      </c>
      <c r="B350" s="4" t="s">
        <v>1173</v>
      </c>
      <c r="C350" s="4" t="s">
        <v>1174</v>
      </c>
      <c r="D350" s="4" t="s">
        <v>1123</v>
      </c>
      <c r="E350" s="14"/>
      <c r="F350" s="14"/>
      <c r="G350" s="14"/>
      <c r="H350" s="14"/>
      <c r="I350" s="5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</row>
    <row r="351" spans="1:86" x14ac:dyDescent="0.25">
      <c r="A351" s="12">
        <f t="shared" si="11"/>
        <v>348</v>
      </c>
      <c r="B351" s="4" t="s">
        <v>1175</v>
      </c>
      <c r="C351" s="4" t="s">
        <v>872</v>
      </c>
      <c r="D351" s="4" t="s">
        <v>45</v>
      </c>
      <c r="E351" s="14"/>
      <c r="F351" s="14"/>
      <c r="G351" s="14"/>
      <c r="H351" s="14"/>
      <c r="I351" s="5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</row>
    <row r="352" spans="1:86" x14ac:dyDescent="0.25">
      <c r="A352" s="12">
        <f t="shared" si="11"/>
        <v>349</v>
      </c>
      <c r="B352" s="4" t="s">
        <v>1176</v>
      </c>
      <c r="C352" s="4" t="s">
        <v>1177</v>
      </c>
      <c r="D352" s="4" t="s">
        <v>87</v>
      </c>
      <c r="E352" s="14"/>
      <c r="F352" s="14"/>
      <c r="G352" s="14"/>
      <c r="H352" s="14"/>
      <c r="I352" s="5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</row>
    <row r="353" spans="1:86" x14ac:dyDescent="0.25">
      <c r="A353" s="12">
        <f t="shared" si="11"/>
        <v>350</v>
      </c>
      <c r="B353" s="4" t="s">
        <v>1178</v>
      </c>
      <c r="C353" s="4" t="s">
        <v>173</v>
      </c>
      <c r="D353" s="4" t="s">
        <v>45</v>
      </c>
      <c r="E353" s="14"/>
      <c r="F353" s="14"/>
      <c r="G353" s="14"/>
      <c r="H353" s="14"/>
      <c r="I353" s="5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</row>
    <row r="354" spans="1:86" x14ac:dyDescent="0.25">
      <c r="A354" s="12">
        <f t="shared" si="11"/>
        <v>351</v>
      </c>
      <c r="B354" s="4" t="s">
        <v>841</v>
      </c>
      <c r="C354" s="4" t="s">
        <v>842</v>
      </c>
      <c r="D354" s="4" t="s">
        <v>45</v>
      </c>
      <c r="E354" s="14"/>
      <c r="F354" s="14"/>
      <c r="G354" s="14"/>
      <c r="H354" s="14"/>
      <c r="I354" s="5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</row>
    <row r="355" spans="1:86" x14ac:dyDescent="0.25">
      <c r="A355" s="12">
        <f t="shared" si="11"/>
        <v>352</v>
      </c>
      <c r="B355" s="4" t="s">
        <v>1179</v>
      </c>
      <c r="C355" s="4" t="s">
        <v>1180</v>
      </c>
      <c r="D355" s="4" t="s">
        <v>1126</v>
      </c>
      <c r="E355" s="14"/>
      <c r="F355" s="14"/>
      <c r="G355" s="14"/>
      <c r="H355" s="14"/>
      <c r="I355" s="5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</row>
    <row r="356" spans="1:86" x14ac:dyDescent="0.25">
      <c r="A356" s="12">
        <f t="shared" si="11"/>
        <v>353</v>
      </c>
      <c r="B356" s="4" t="s">
        <v>974</v>
      </c>
      <c r="C356" s="4" t="s">
        <v>975</v>
      </c>
      <c r="D356" s="4" t="s">
        <v>84</v>
      </c>
      <c r="E356" s="14"/>
      <c r="F356" s="14"/>
      <c r="G356" s="14"/>
      <c r="H356" s="14"/>
      <c r="I356" s="5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</row>
    <row r="357" spans="1:86" x14ac:dyDescent="0.25">
      <c r="A357" s="12">
        <f t="shared" si="11"/>
        <v>354</v>
      </c>
      <c r="B357" s="4" t="s">
        <v>1181</v>
      </c>
      <c r="C357" s="4" t="s">
        <v>1182</v>
      </c>
      <c r="D357" s="4" t="s">
        <v>45</v>
      </c>
      <c r="E357" s="14"/>
      <c r="F357" s="14"/>
      <c r="G357" s="14"/>
      <c r="H357" s="14"/>
      <c r="I357" s="5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</row>
    <row r="358" spans="1:86" x14ac:dyDescent="0.25">
      <c r="A358" s="12">
        <f t="shared" si="11"/>
        <v>355</v>
      </c>
      <c r="B358" s="4" t="s">
        <v>1183</v>
      </c>
      <c r="C358" s="4" t="s">
        <v>1184</v>
      </c>
      <c r="D358" s="4" t="s">
        <v>768</v>
      </c>
      <c r="E358" s="14"/>
      <c r="F358" s="14"/>
      <c r="G358" s="14"/>
      <c r="H358" s="14"/>
      <c r="I358" s="5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  <c r="CD358" s="4"/>
      <c r="CE358" s="4"/>
      <c r="CF358" s="4"/>
      <c r="CG358" s="4"/>
      <c r="CH358" s="4"/>
    </row>
    <row r="359" spans="1:86" x14ac:dyDescent="0.25">
      <c r="A359" s="12">
        <f t="shared" si="11"/>
        <v>356</v>
      </c>
      <c r="B359" s="4" t="s">
        <v>1185</v>
      </c>
      <c r="C359" s="4" t="s">
        <v>1186</v>
      </c>
      <c r="D359" s="4" t="s">
        <v>768</v>
      </c>
      <c r="E359" s="14"/>
      <c r="F359" s="14"/>
      <c r="G359" s="14"/>
      <c r="H359" s="14"/>
      <c r="I359" s="5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  <c r="CD359" s="4"/>
      <c r="CE359" s="4"/>
      <c r="CF359" s="4"/>
      <c r="CG359" s="4"/>
      <c r="CH359" s="4"/>
    </row>
    <row r="360" spans="1:86" x14ac:dyDescent="0.25">
      <c r="A360" s="12">
        <f t="shared" si="11"/>
        <v>357</v>
      </c>
      <c r="B360" s="4" t="s">
        <v>1187</v>
      </c>
      <c r="C360" s="4" t="s">
        <v>1188</v>
      </c>
      <c r="D360" s="4" t="s">
        <v>768</v>
      </c>
      <c r="E360" s="14"/>
      <c r="F360" s="14"/>
      <c r="G360" s="14"/>
      <c r="H360" s="14"/>
      <c r="I360" s="5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  <c r="CD360" s="4"/>
      <c r="CE360" s="4"/>
      <c r="CF360" s="4"/>
      <c r="CG360" s="4"/>
      <c r="CH360" s="4"/>
    </row>
    <row r="361" spans="1:86" x14ac:dyDescent="0.25">
      <c r="A361" s="12">
        <f t="shared" si="11"/>
        <v>358</v>
      </c>
      <c r="B361" s="4" t="s">
        <v>875</v>
      </c>
      <c r="C361" s="4" t="s">
        <v>876</v>
      </c>
      <c r="D361" s="4" t="s">
        <v>45</v>
      </c>
      <c r="E361" s="14"/>
      <c r="F361" s="14"/>
      <c r="G361" s="14"/>
      <c r="H361" s="14"/>
      <c r="I361" s="5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  <c r="CD361" s="4"/>
      <c r="CE361" s="4"/>
      <c r="CF361" s="4"/>
      <c r="CG361" s="4"/>
      <c r="CH361" s="4"/>
    </row>
    <row r="362" spans="1:86" x14ac:dyDescent="0.25">
      <c r="A362" s="12">
        <f t="shared" si="11"/>
        <v>359</v>
      </c>
      <c r="B362" s="4" t="s">
        <v>1189</v>
      </c>
      <c r="C362" s="4" t="s">
        <v>1190</v>
      </c>
      <c r="D362" s="4" t="s">
        <v>45</v>
      </c>
      <c r="E362" s="14"/>
      <c r="F362" s="14"/>
      <c r="G362" s="14"/>
      <c r="H362" s="14"/>
      <c r="I362" s="5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  <c r="CD362" s="4"/>
      <c r="CE362" s="4"/>
      <c r="CF362" s="4"/>
      <c r="CG362" s="4"/>
      <c r="CH362" s="4"/>
    </row>
    <row r="363" spans="1:86" x14ac:dyDescent="0.25">
      <c r="A363" s="12">
        <f t="shared" si="11"/>
        <v>360</v>
      </c>
      <c r="B363" s="4" t="s">
        <v>1191</v>
      </c>
      <c r="C363" s="4" t="s">
        <v>1192</v>
      </c>
      <c r="D363" s="4" t="s">
        <v>610</v>
      </c>
      <c r="E363" s="14"/>
      <c r="F363" s="14"/>
      <c r="G363" s="14"/>
      <c r="H363" s="14"/>
      <c r="I363" s="5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  <c r="CD363" s="4"/>
      <c r="CE363" s="4"/>
      <c r="CF363" s="4"/>
      <c r="CG363" s="4"/>
      <c r="CH363" s="4"/>
    </row>
    <row r="364" spans="1:86" x14ac:dyDescent="0.25">
      <c r="A364" s="12">
        <f t="shared" si="11"/>
        <v>361</v>
      </c>
      <c r="B364" s="4" t="s">
        <v>1193</v>
      </c>
      <c r="C364" s="4" t="s">
        <v>1194</v>
      </c>
      <c r="D364" s="4" t="s">
        <v>2571</v>
      </c>
      <c r="E364" s="14"/>
      <c r="F364" s="14"/>
      <c r="G364" s="14"/>
      <c r="H364" s="14"/>
      <c r="I364" s="5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  <c r="CD364" s="4"/>
      <c r="CE364" s="4"/>
      <c r="CF364" s="4"/>
      <c r="CG364" s="4"/>
      <c r="CH364" s="4"/>
    </row>
    <row r="365" spans="1:86" x14ac:dyDescent="0.25">
      <c r="A365" s="12">
        <f t="shared" si="11"/>
        <v>362</v>
      </c>
      <c r="B365" s="4" t="s">
        <v>1195</v>
      </c>
      <c r="C365" s="4" t="s">
        <v>1196</v>
      </c>
      <c r="D365" s="4" t="s">
        <v>45</v>
      </c>
      <c r="E365" s="14"/>
      <c r="F365" s="14"/>
      <c r="G365" s="14"/>
      <c r="H365" s="14"/>
      <c r="I365" s="5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  <c r="CD365" s="4"/>
      <c r="CE365" s="4"/>
      <c r="CF365" s="4"/>
      <c r="CG365" s="4"/>
      <c r="CH365" s="4"/>
    </row>
    <row r="366" spans="1:86" x14ac:dyDescent="0.25">
      <c r="A366" s="12">
        <f t="shared" si="11"/>
        <v>363</v>
      </c>
      <c r="B366" s="4" t="s">
        <v>1197</v>
      </c>
      <c r="C366" s="4" t="s">
        <v>1198</v>
      </c>
      <c r="D366" s="4" t="s">
        <v>45</v>
      </c>
      <c r="E366" s="14"/>
      <c r="F366" s="14"/>
      <c r="G366" s="14"/>
      <c r="H366" s="14"/>
      <c r="I366" s="5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  <c r="CD366" s="4"/>
      <c r="CE366" s="4"/>
      <c r="CF366" s="4"/>
      <c r="CG366" s="4"/>
      <c r="CH366" s="4"/>
    </row>
    <row r="367" spans="1:86" x14ac:dyDescent="0.25">
      <c r="A367" s="12">
        <f t="shared" si="11"/>
        <v>364</v>
      </c>
      <c r="B367" s="4" t="s">
        <v>869</v>
      </c>
      <c r="C367" s="4" t="s">
        <v>870</v>
      </c>
      <c r="D367" s="4" t="s">
        <v>45</v>
      </c>
      <c r="E367" s="14"/>
      <c r="F367" s="14"/>
      <c r="G367" s="14"/>
      <c r="H367" s="14"/>
      <c r="I367" s="5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  <c r="CD367" s="4"/>
      <c r="CE367" s="4"/>
      <c r="CF367" s="4"/>
      <c r="CG367" s="4"/>
      <c r="CH367" s="4"/>
    </row>
    <row r="368" spans="1:86" x14ac:dyDescent="0.25">
      <c r="A368" s="12">
        <f t="shared" si="11"/>
        <v>365</v>
      </c>
      <c r="B368" s="4" t="s">
        <v>1199</v>
      </c>
      <c r="C368" s="4" t="s">
        <v>1200</v>
      </c>
      <c r="D368" s="4" t="s">
        <v>45</v>
      </c>
      <c r="E368" s="14"/>
      <c r="F368" s="14"/>
      <c r="G368" s="14"/>
      <c r="H368" s="14"/>
      <c r="I368" s="5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  <c r="CD368" s="4"/>
      <c r="CE368" s="4"/>
      <c r="CF368" s="4"/>
      <c r="CG368" s="4"/>
      <c r="CH368" s="4"/>
    </row>
    <row r="369" spans="1:86" x14ac:dyDescent="0.25">
      <c r="A369" s="12">
        <f t="shared" si="11"/>
        <v>366</v>
      </c>
      <c r="B369" s="4" t="s">
        <v>1201</v>
      </c>
      <c r="C369" s="4" t="s">
        <v>1202</v>
      </c>
      <c r="D369" s="4" t="s">
        <v>45</v>
      </c>
      <c r="E369" s="14"/>
      <c r="F369" s="14"/>
      <c r="G369" s="14"/>
      <c r="H369" s="14"/>
      <c r="I369" s="5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  <c r="CD369" s="4"/>
      <c r="CE369" s="4"/>
      <c r="CF369" s="4"/>
      <c r="CG369" s="4"/>
      <c r="CH369" s="4"/>
    </row>
    <row r="370" spans="1:86" x14ac:dyDescent="0.25">
      <c r="A370" s="12">
        <f t="shared" si="11"/>
        <v>367</v>
      </c>
      <c r="B370" s="4" t="s">
        <v>1203</v>
      </c>
      <c r="C370" s="4" t="s">
        <v>757</v>
      </c>
      <c r="D370" s="4" t="s">
        <v>45</v>
      </c>
      <c r="E370" s="14"/>
      <c r="F370" s="14"/>
      <c r="G370" s="14"/>
      <c r="H370" s="14"/>
      <c r="I370" s="5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  <c r="CD370" s="4"/>
      <c r="CE370" s="4"/>
      <c r="CF370" s="4"/>
      <c r="CG370" s="4"/>
      <c r="CH370" s="4"/>
    </row>
    <row r="371" spans="1:86" x14ac:dyDescent="0.25">
      <c r="A371" s="12">
        <f t="shared" si="11"/>
        <v>368</v>
      </c>
      <c r="B371" s="4" t="s">
        <v>1204</v>
      </c>
      <c r="C371" s="4" t="s">
        <v>1205</v>
      </c>
      <c r="D371" s="4" t="s">
        <v>45</v>
      </c>
      <c r="E371" s="14"/>
      <c r="F371" s="14"/>
      <c r="G371" s="14"/>
      <c r="H371" s="14"/>
      <c r="I371" s="5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  <c r="CD371" s="4"/>
      <c r="CE371" s="4"/>
      <c r="CF371" s="4"/>
      <c r="CG371" s="4"/>
      <c r="CH371" s="4"/>
    </row>
    <row r="372" spans="1:86" x14ac:dyDescent="0.25">
      <c r="A372" s="12">
        <f t="shared" si="11"/>
        <v>369</v>
      </c>
      <c r="B372" s="4" t="s">
        <v>1206</v>
      </c>
      <c r="C372" s="4" t="s">
        <v>1207</v>
      </c>
      <c r="D372" s="4" t="s">
        <v>955</v>
      </c>
      <c r="E372" s="14"/>
      <c r="F372" s="14"/>
      <c r="G372" s="14"/>
      <c r="H372" s="14"/>
      <c r="I372" s="5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  <c r="CD372" s="4"/>
      <c r="CE372" s="4"/>
      <c r="CF372" s="4"/>
      <c r="CG372" s="4"/>
      <c r="CH372" s="4"/>
    </row>
    <row r="373" spans="1:86" x14ac:dyDescent="0.25">
      <c r="A373" s="12">
        <f t="shared" si="11"/>
        <v>370</v>
      </c>
      <c r="B373" s="4" t="s">
        <v>1208</v>
      </c>
      <c r="C373" s="4" t="s">
        <v>1209</v>
      </c>
      <c r="D373" s="4" t="s">
        <v>87</v>
      </c>
      <c r="E373" s="14"/>
      <c r="F373" s="14"/>
      <c r="G373" s="14"/>
      <c r="H373" s="14"/>
      <c r="I373" s="5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  <c r="CD373" s="4"/>
      <c r="CE373" s="4"/>
      <c r="CF373" s="4"/>
      <c r="CG373" s="4"/>
      <c r="CH373" s="4"/>
    </row>
    <row r="374" spans="1:86" x14ac:dyDescent="0.25">
      <c r="A374" s="12">
        <f t="shared" si="11"/>
        <v>371</v>
      </c>
      <c r="B374" s="4" t="s">
        <v>1210</v>
      </c>
      <c r="C374" s="4" t="s">
        <v>1211</v>
      </c>
      <c r="D374" s="4" t="s">
        <v>1124</v>
      </c>
      <c r="E374" s="14"/>
      <c r="F374" s="14"/>
      <c r="G374" s="14"/>
      <c r="H374" s="14"/>
      <c r="I374" s="5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  <c r="CD374" s="4"/>
      <c r="CE374" s="4"/>
      <c r="CF374" s="4"/>
      <c r="CG374" s="4"/>
      <c r="CH374" s="4"/>
    </row>
    <row r="375" spans="1:86" x14ac:dyDescent="0.25">
      <c r="A375" s="12">
        <f t="shared" si="11"/>
        <v>372</v>
      </c>
      <c r="B375" s="4" t="s">
        <v>1212</v>
      </c>
      <c r="C375" s="4" t="s">
        <v>1213</v>
      </c>
      <c r="D375" s="4" t="s">
        <v>536</v>
      </c>
      <c r="E375" s="14"/>
      <c r="F375" s="14"/>
      <c r="G375" s="14"/>
      <c r="H375" s="14"/>
      <c r="I375" s="5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  <c r="CD375" s="4"/>
      <c r="CE375" s="4"/>
      <c r="CF375" s="4"/>
      <c r="CG375" s="4"/>
      <c r="CH375" s="4"/>
    </row>
    <row r="376" spans="1:86" x14ac:dyDescent="0.25">
      <c r="A376" s="12">
        <f t="shared" si="11"/>
        <v>373</v>
      </c>
      <c r="B376" s="4" t="s">
        <v>1214</v>
      </c>
      <c r="C376" s="4" t="s">
        <v>1215</v>
      </c>
      <c r="D376" s="4" t="s">
        <v>45</v>
      </c>
      <c r="E376" s="14"/>
      <c r="F376" s="14"/>
      <c r="G376" s="14"/>
      <c r="H376" s="14"/>
      <c r="I376" s="5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  <c r="CD376" s="4"/>
      <c r="CE376" s="4"/>
      <c r="CF376" s="4"/>
      <c r="CG376" s="4"/>
      <c r="CH376" s="4"/>
    </row>
    <row r="377" spans="1:86" x14ac:dyDescent="0.25">
      <c r="A377" s="12">
        <f t="shared" si="11"/>
        <v>374</v>
      </c>
      <c r="B377" s="4" t="s">
        <v>1216</v>
      </c>
      <c r="C377" s="4" t="s">
        <v>1217</v>
      </c>
      <c r="D377" s="4" t="s">
        <v>45</v>
      </c>
      <c r="E377" s="14"/>
      <c r="F377" s="14"/>
      <c r="G377" s="14"/>
      <c r="H377" s="14"/>
      <c r="I377" s="5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  <c r="CD377" s="4"/>
      <c r="CE377" s="4"/>
      <c r="CF377" s="4"/>
      <c r="CG377" s="4"/>
      <c r="CH377" s="4"/>
    </row>
    <row r="378" spans="1:86" x14ac:dyDescent="0.25">
      <c r="A378" s="12">
        <f t="shared" si="11"/>
        <v>375</v>
      </c>
      <c r="B378" s="4" t="s">
        <v>978</v>
      </c>
      <c r="C378" s="4" t="s">
        <v>979</v>
      </c>
      <c r="D378" s="4" t="s">
        <v>87</v>
      </c>
      <c r="E378" s="14"/>
      <c r="F378" s="14"/>
      <c r="G378" s="14"/>
      <c r="H378" s="14"/>
      <c r="I378" s="5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  <c r="CD378" s="4"/>
      <c r="CE378" s="4"/>
      <c r="CF378" s="4"/>
      <c r="CG378" s="4"/>
      <c r="CH378" s="4"/>
    </row>
    <row r="379" spans="1:86" x14ac:dyDescent="0.25">
      <c r="A379" s="12">
        <f t="shared" si="11"/>
        <v>376</v>
      </c>
      <c r="B379" s="4" t="s">
        <v>933</v>
      </c>
      <c r="C379" s="4" t="s">
        <v>1218</v>
      </c>
      <c r="D379" s="4" t="s">
        <v>45</v>
      </c>
      <c r="E379" s="14"/>
      <c r="F379" s="14"/>
      <c r="G379" s="14"/>
      <c r="H379" s="14"/>
      <c r="I379" s="5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  <c r="CD379" s="4"/>
      <c r="CE379" s="4"/>
      <c r="CF379" s="4"/>
      <c r="CG379" s="4"/>
      <c r="CH379" s="4"/>
    </row>
    <row r="380" spans="1:86" x14ac:dyDescent="0.25">
      <c r="A380" s="12">
        <f t="shared" si="11"/>
        <v>377</v>
      </c>
      <c r="B380" s="4" t="s">
        <v>980</v>
      </c>
      <c r="C380" s="4" t="s">
        <v>981</v>
      </c>
      <c r="D380" s="4" t="s">
        <v>1126</v>
      </c>
      <c r="E380" s="14"/>
      <c r="F380" s="14"/>
      <c r="G380" s="14"/>
      <c r="H380" s="14"/>
      <c r="I380" s="5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  <c r="CD380" s="4"/>
      <c r="CE380" s="4"/>
      <c r="CF380" s="4"/>
      <c r="CG380" s="4"/>
      <c r="CH380" s="4"/>
    </row>
    <row r="381" spans="1:86" x14ac:dyDescent="0.25">
      <c r="A381" s="12">
        <f t="shared" si="11"/>
        <v>378</v>
      </c>
      <c r="B381" s="4" t="s">
        <v>1219</v>
      </c>
      <c r="C381" s="4" t="s">
        <v>1220</v>
      </c>
      <c r="D381" s="4" t="s">
        <v>45</v>
      </c>
      <c r="E381" s="14"/>
      <c r="F381" s="14"/>
      <c r="G381" s="14"/>
      <c r="H381" s="14"/>
      <c r="I381" s="5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  <c r="CD381" s="4"/>
      <c r="CE381" s="4"/>
      <c r="CF381" s="4"/>
      <c r="CG381" s="4"/>
      <c r="CH381" s="4"/>
    </row>
    <row r="382" spans="1:86" x14ac:dyDescent="0.25">
      <c r="A382" s="12">
        <f t="shared" si="11"/>
        <v>379</v>
      </c>
      <c r="B382" s="4" t="s">
        <v>1221</v>
      </c>
      <c r="C382" s="4" t="s">
        <v>1222</v>
      </c>
      <c r="D382" s="4" t="s">
        <v>45</v>
      </c>
      <c r="E382" s="14"/>
      <c r="F382" s="14"/>
      <c r="G382" s="14"/>
      <c r="H382" s="14"/>
      <c r="I382" s="5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  <c r="CD382" s="4"/>
      <c r="CE382" s="4"/>
      <c r="CF382" s="4"/>
      <c r="CG382" s="4"/>
      <c r="CH382" s="4"/>
    </row>
    <row r="383" spans="1:86" x14ac:dyDescent="0.25">
      <c r="A383" s="12">
        <f t="shared" si="11"/>
        <v>380</v>
      </c>
      <c r="B383" s="4" t="s">
        <v>1223</v>
      </c>
      <c r="C383" s="4" t="s">
        <v>752</v>
      </c>
      <c r="D383" s="4" t="s">
        <v>1224</v>
      </c>
      <c r="E383" s="14"/>
      <c r="F383" s="14"/>
      <c r="G383" s="14"/>
      <c r="H383" s="14"/>
      <c r="I383" s="5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  <c r="CD383" s="4"/>
      <c r="CE383" s="4"/>
      <c r="CF383" s="4"/>
      <c r="CG383" s="4"/>
      <c r="CH383" s="4"/>
    </row>
    <row r="384" spans="1:86" x14ac:dyDescent="0.25">
      <c r="A384" s="12">
        <f t="shared" si="11"/>
        <v>381</v>
      </c>
      <c r="B384" s="4" t="s">
        <v>1225</v>
      </c>
      <c r="C384" s="4" t="s">
        <v>1226</v>
      </c>
      <c r="D384" s="4" t="s">
        <v>45</v>
      </c>
      <c r="E384" s="14"/>
      <c r="F384" s="14"/>
      <c r="G384" s="14"/>
      <c r="H384" s="14"/>
      <c r="I384" s="5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  <c r="CD384" s="4"/>
      <c r="CE384" s="4"/>
      <c r="CF384" s="4"/>
      <c r="CG384" s="4"/>
      <c r="CH384" s="4"/>
    </row>
    <row r="385" spans="1:86" x14ac:dyDescent="0.25">
      <c r="A385" s="12">
        <f t="shared" si="11"/>
        <v>382</v>
      </c>
      <c r="B385" s="4" t="s">
        <v>1227</v>
      </c>
      <c r="C385" s="4" t="s">
        <v>1228</v>
      </c>
      <c r="D385" s="4" t="s">
        <v>768</v>
      </c>
      <c r="E385" s="14"/>
      <c r="F385" s="14"/>
      <c r="G385" s="14"/>
      <c r="H385" s="14"/>
      <c r="I385" s="5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  <c r="CD385" s="4"/>
      <c r="CE385" s="4"/>
      <c r="CF385" s="4"/>
      <c r="CG385" s="4"/>
      <c r="CH385" s="4"/>
    </row>
    <row r="386" spans="1:86" x14ac:dyDescent="0.25">
      <c r="A386" s="12">
        <f t="shared" si="11"/>
        <v>383</v>
      </c>
      <c r="B386" s="4" t="s">
        <v>1229</v>
      </c>
      <c r="C386" s="4" t="s">
        <v>1230</v>
      </c>
      <c r="D386" s="4" t="s">
        <v>128</v>
      </c>
      <c r="E386" s="14"/>
      <c r="F386" s="14"/>
      <c r="G386" s="14"/>
      <c r="H386" s="14"/>
      <c r="I386" s="5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  <c r="CD386" s="4"/>
      <c r="CE386" s="4"/>
      <c r="CF386" s="4"/>
      <c r="CG386" s="4"/>
      <c r="CH386" s="4"/>
    </row>
    <row r="387" spans="1:86" x14ac:dyDescent="0.25">
      <c r="A387" s="12">
        <f t="shared" si="11"/>
        <v>384</v>
      </c>
      <c r="B387" s="4" t="s">
        <v>1231</v>
      </c>
      <c r="C387" s="4" t="s">
        <v>1232</v>
      </c>
      <c r="D387" s="4" t="s">
        <v>1124</v>
      </c>
      <c r="E387" s="14"/>
      <c r="F387" s="14"/>
      <c r="G387" s="14"/>
      <c r="H387" s="14"/>
      <c r="I387" s="5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  <c r="CD387" s="4"/>
      <c r="CE387" s="4"/>
      <c r="CF387" s="4"/>
      <c r="CG387" s="4"/>
      <c r="CH387" s="4"/>
    </row>
    <row r="388" spans="1:86" x14ac:dyDescent="0.25">
      <c r="A388" s="12">
        <f t="shared" si="11"/>
        <v>385</v>
      </c>
      <c r="B388" s="4" t="s">
        <v>1233</v>
      </c>
      <c r="C388" s="4" t="s">
        <v>1234</v>
      </c>
      <c r="D388" s="4" t="s">
        <v>45</v>
      </c>
      <c r="E388" s="14"/>
      <c r="F388" s="14"/>
      <c r="G388" s="14"/>
      <c r="H388" s="14"/>
      <c r="I388" s="5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  <c r="CD388" s="4"/>
      <c r="CE388" s="4"/>
      <c r="CF388" s="4"/>
      <c r="CG388" s="4"/>
      <c r="CH388" s="4"/>
    </row>
    <row r="389" spans="1:86" x14ac:dyDescent="0.25">
      <c r="A389" s="12">
        <f t="shared" si="11"/>
        <v>386</v>
      </c>
      <c r="B389" s="4" t="s">
        <v>1235</v>
      </c>
      <c r="C389" s="4" t="s">
        <v>1236</v>
      </c>
      <c r="D389" s="4" t="s">
        <v>45</v>
      </c>
      <c r="E389" s="14"/>
      <c r="F389" s="14"/>
      <c r="G389" s="14"/>
      <c r="H389" s="14"/>
      <c r="I389" s="5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  <c r="CD389" s="4"/>
      <c r="CE389" s="4"/>
      <c r="CF389" s="4"/>
      <c r="CG389" s="4"/>
      <c r="CH389" s="4"/>
    </row>
    <row r="390" spans="1:86" x14ac:dyDescent="0.25">
      <c r="A390" s="12">
        <f t="shared" si="11"/>
        <v>387</v>
      </c>
      <c r="B390" s="4" t="s">
        <v>1237</v>
      </c>
      <c r="C390" s="4" t="s">
        <v>1238</v>
      </c>
      <c r="D390" s="4" t="s">
        <v>1125</v>
      </c>
      <c r="E390" s="14"/>
      <c r="F390" s="14"/>
      <c r="G390" s="14"/>
      <c r="H390" s="14"/>
      <c r="I390" s="5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  <c r="CD390" s="4"/>
      <c r="CE390" s="4"/>
      <c r="CF390" s="4"/>
      <c r="CG390" s="4"/>
      <c r="CH390" s="4"/>
    </row>
    <row r="391" spans="1:86" x14ac:dyDescent="0.25">
      <c r="A391" s="12">
        <f t="shared" si="11"/>
        <v>388</v>
      </c>
      <c r="B391" s="4" t="s">
        <v>1239</v>
      </c>
      <c r="C391" s="4" t="s">
        <v>1240</v>
      </c>
      <c r="D391" s="4" t="s">
        <v>84</v>
      </c>
      <c r="E391" s="14"/>
      <c r="F391" s="14"/>
      <c r="G391" s="14"/>
      <c r="H391" s="14"/>
      <c r="I391" s="5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  <c r="CD391" s="4"/>
      <c r="CE391" s="4"/>
      <c r="CF391" s="4"/>
      <c r="CG391" s="4"/>
      <c r="CH391" s="4"/>
    </row>
    <row r="392" spans="1:86" x14ac:dyDescent="0.25">
      <c r="A392" s="12">
        <f t="shared" si="11"/>
        <v>389</v>
      </c>
      <c r="B392" s="4" t="s">
        <v>1241</v>
      </c>
      <c r="C392" s="4" t="s">
        <v>1242</v>
      </c>
      <c r="D392" s="4" t="s">
        <v>128</v>
      </c>
      <c r="E392" s="14"/>
      <c r="F392" s="14"/>
      <c r="G392" s="14"/>
      <c r="H392" s="14"/>
      <c r="I392" s="5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  <c r="CD392" s="4"/>
      <c r="CE392" s="4"/>
      <c r="CF392" s="4"/>
      <c r="CG392" s="4"/>
      <c r="CH392" s="4"/>
    </row>
    <row r="393" spans="1:86" x14ac:dyDescent="0.25">
      <c r="A393" s="12">
        <f t="shared" si="11"/>
        <v>390</v>
      </c>
      <c r="B393" s="4" t="s">
        <v>1243</v>
      </c>
      <c r="C393" s="4" t="s">
        <v>1244</v>
      </c>
      <c r="D393" s="4" t="s">
        <v>508</v>
      </c>
      <c r="E393" s="14"/>
      <c r="F393" s="14"/>
      <c r="G393" s="14"/>
      <c r="H393" s="14"/>
      <c r="I393" s="5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  <c r="CD393" s="4"/>
      <c r="CE393" s="4"/>
      <c r="CF393" s="4"/>
      <c r="CG393" s="4"/>
      <c r="CH393" s="4"/>
    </row>
    <row r="394" spans="1:86" x14ac:dyDescent="0.25">
      <c r="A394" s="12">
        <f t="shared" ref="A394:A457" si="12">+A393+1</f>
        <v>391</v>
      </c>
      <c r="B394" s="4" t="s">
        <v>1245</v>
      </c>
      <c r="C394" s="4" t="s">
        <v>1246</v>
      </c>
      <c r="D394" s="4" t="s">
        <v>45</v>
      </c>
      <c r="E394" s="4"/>
      <c r="F394" s="14"/>
      <c r="G394" s="14"/>
      <c r="H394" s="14"/>
      <c r="I394" s="5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  <c r="CD394" s="4"/>
      <c r="CE394" s="4"/>
      <c r="CF394" s="4"/>
      <c r="CG394" s="4"/>
      <c r="CH394" s="4"/>
    </row>
    <row r="395" spans="1:86" x14ac:dyDescent="0.25">
      <c r="A395" s="12">
        <f t="shared" si="12"/>
        <v>392</v>
      </c>
      <c r="B395" s="4" t="s">
        <v>1247</v>
      </c>
      <c r="C395" s="4" t="s">
        <v>1248</v>
      </c>
      <c r="D395" s="4" t="s">
        <v>45</v>
      </c>
      <c r="E395" s="4"/>
      <c r="F395" s="14"/>
      <c r="G395" s="14"/>
      <c r="H395" s="14"/>
      <c r="I395" s="5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  <c r="CD395" s="4"/>
      <c r="CE395" s="4"/>
      <c r="CF395" s="4"/>
      <c r="CG395" s="4"/>
      <c r="CH395" s="4"/>
    </row>
    <row r="396" spans="1:86" x14ac:dyDescent="0.25">
      <c r="A396" s="12">
        <f t="shared" si="12"/>
        <v>393</v>
      </c>
      <c r="B396" s="4" t="s">
        <v>1249</v>
      </c>
      <c r="C396" s="4" t="s">
        <v>1250</v>
      </c>
      <c r="D396" s="4" t="s">
        <v>45</v>
      </c>
      <c r="E396" s="4"/>
      <c r="F396" s="14"/>
      <c r="G396" s="14"/>
      <c r="H396" s="14"/>
      <c r="I396" s="5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  <c r="CD396" s="4"/>
      <c r="CE396" s="4"/>
      <c r="CF396" s="4"/>
      <c r="CG396" s="4"/>
      <c r="CH396" s="4"/>
    </row>
    <row r="397" spans="1:86" x14ac:dyDescent="0.25">
      <c r="A397" s="12">
        <f t="shared" si="12"/>
        <v>394</v>
      </c>
      <c r="B397" s="4" t="s">
        <v>1251</v>
      </c>
      <c r="C397" s="4" t="s">
        <v>1252</v>
      </c>
      <c r="D397" s="4" t="s">
        <v>84</v>
      </c>
      <c r="E397" s="4"/>
      <c r="F397" s="14"/>
      <c r="G397" s="14"/>
      <c r="H397" s="14"/>
      <c r="I397" s="5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  <c r="CD397" s="4"/>
      <c r="CE397" s="4"/>
      <c r="CF397" s="4"/>
      <c r="CG397" s="4"/>
      <c r="CH397" s="4"/>
    </row>
    <row r="398" spans="1:86" x14ac:dyDescent="0.25">
      <c r="A398" s="12">
        <f t="shared" si="12"/>
        <v>395</v>
      </c>
      <c r="B398" s="4" t="s">
        <v>1253</v>
      </c>
      <c r="C398" s="4" t="s">
        <v>1254</v>
      </c>
      <c r="D398" s="4" t="s">
        <v>84</v>
      </c>
      <c r="E398" s="4"/>
      <c r="F398" s="14"/>
      <c r="G398" s="14"/>
      <c r="H398" s="14"/>
      <c r="I398" s="5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  <c r="CD398" s="4"/>
      <c r="CE398" s="4"/>
      <c r="CF398" s="4"/>
      <c r="CG398" s="4"/>
      <c r="CH398" s="4"/>
    </row>
    <row r="399" spans="1:86" x14ac:dyDescent="0.25">
      <c r="A399" s="12">
        <f t="shared" si="12"/>
        <v>396</v>
      </c>
      <c r="B399" s="4" t="s">
        <v>1255</v>
      </c>
      <c r="C399" s="4" t="s">
        <v>1256</v>
      </c>
      <c r="D399" s="4" t="s">
        <v>45</v>
      </c>
      <c r="E399" s="4"/>
      <c r="F399" s="14"/>
      <c r="G399" s="14"/>
      <c r="H399" s="14"/>
      <c r="I399" s="5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  <c r="CD399" s="4"/>
      <c r="CE399" s="4"/>
      <c r="CF399" s="4"/>
      <c r="CG399" s="4"/>
      <c r="CH399" s="4"/>
    </row>
    <row r="400" spans="1:86" x14ac:dyDescent="0.25">
      <c r="A400" s="12">
        <f t="shared" si="12"/>
        <v>397</v>
      </c>
      <c r="B400" s="4" t="s">
        <v>1257</v>
      </c>
      <c r="C400" s="4" t="s">
        <v>1258</v>
      </c>
      <c r="D400" s="4" t="s">
        <v>768</v>
      </c>
      <c r="E400" s="4"/>
      <c r="F400" s="14"/>
      <c r="G400" s="14"/>
      <c r="H400" s="14"/>
      <c r="I400" s="5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  <c r="CD400" s="4"/>
      <c r="CE400" s="4"/>
      <c r="CF400" s="4"/>
      <c r="CG400" s="4"/>
      <c r="CH400" s="4"/>
    </row>
    <row r="401" spans="1:86" x14ac:dyDescent="0.25">
      <c r="A401" s="12">
        <f t="shared" si="12"/>
        <v>398</v>
      </c>
      <c r="B401" s="4" t="s">
        <v>1259</v>
      </c>
      <c r="C401" s="4" t="s">
        <v>1260</v>
      </c>
      <c r="D401" s="4" t="s">
        <v>45</v>
      </c>
      <c r="E401" s="4"/>
      <c r="F401" s="14"/>
      <c r="G401" s="14"/>
      <c r="H401" s="14"/>
      <c r="I401" s="5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  <c r="CD401" s="4"/>
      <c r="CE401" s="4"/>
      <c r="CF401" s="4"/>
      <c r="CG401" s="4"/>
      <c r="CH401" s="4"/>
    </row>
    <row r="402" spans="1:86" x14ac:dyDescent="0.25">
      <c r="A402" s="12">
        <f t="shared" si="12"/>
        <v>399</v>
      </c>
      <c r="B402" s="4" t="s">
        <v>1261</v>
      </c>
      <c r="C402" s="4" t="s">
        <v>1262</v>
      </c>
      <c r="D402" s="4" t="s">
        <v>1123</v>
      </c>
      <c r="E402" s="4"/>
      <c r="F402" s="14"/>
      <c r="G402" s="14"/>
      <c r="H402" s="14"/>
      <c r="I402" s="5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  <c r="CD402" s="4"/>
      <c r="CE402" s="4"/>
      <c r="CF402" s="4"/>
      <c r="CG402" s="4"/>
      <c r="CH402" s="4"/>
    </row>
    <row r="403" spans="1:86" x14ac:dyDescent="0.25">
      <c r="A403" s="12">
        <f t="shared" si="12"/>
        <v>400</v>
      </c>
      <c r="B403" s="4" t="s">
        <v>1263</v>
      </c>
      <c r="C403" s="4" t="s">
        <v>1264</v>
      </c>
      <c r="D403" s="4" t="s">
        <v>45</v>
      </c>
      <c r="E403" s="4"/>
      <c r="F403" s="14"/>
      <c r="G403" s="14"/>
      <c r="H403" s="14"/>
      <c r="I403" s="5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  <c r="CD403" s="4"/>
      <c r="CE403" s="4"/>
      <c r="CF403" s="4"/>
      <c r="CG403" s="4"/>
      <c r="CH403" s="4"/>
    </row>
    <row r="404" spans="1:86" x14ac:dyDescent="0.25">
      <c r="A404" s="12">
        <f t="shared" si="12"/>
        <v>401</v>
      </c>
      <c r="B404" s="4" t="s">
        <v>1265</v>
      </c>
      <c r="C404" s="4" t="s">
        <v>1266</v>
      </c>
      <c r="D404" s="4" t="s">
        <v>2576</v>
      </c>
      <c r="E404" s="4"/>
      <c r="F404" s="14"/>
      <c r="G404" s="14"/>
      <c r="H404" s="14"/>
      <c r="I404" s="5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  <c r="CD404" s="4"/>
      <c r="CE404" s="4"/>
      <c r="CF404" s="4"/>
      <c r="CG404" s="4"/>
      <c r="CH404" s="4"/>
    </row>
    <row r="405" spans="1:86" x14ac:dyDescent="0.25">
      <c r="A405" s="12">
        <f t="shared" si="12"/>
        <v>402</v>
      </c>
      <c r="B405" s="4" t="s">
        <v>857</v>
      </c>
      <c r="C405" s="4" t="s">
        <v>1267</v>
      </c>
      <c r="D405" s="4" t="s">
        <v>508</v>
      </c>
      <c r="E405" s="4"/>
      <c r="F405" s="14"/>
      <c r="G405" s="14"/>
      <c r="H405" s="14"/>
      <c r="I405" s="5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  <c r="CD405" s="4"/>
      <c r="CE405" s="4"/>
      <c r="CF405" s="4"/>
      <c r="CG405" s="4"/>
      <c r="CH405" s="4"/>
    </row>
    <row r="406" spans="1:86" x14ac:dyDescent="0.25">
      <c r="A406" s="12">
        <f t="shared" si="12"/>
        <v>403</v>
      </c>
      <c r="B406" s="4" t="s">
        <v>1268</v>
      </c>
      <c r="C406" s="4" t="s">
        <v>1269</v>
      </c>
      <c r="D406" s="4" t="s">
        <v>128</v>
      </c>
      <c r="E406" s="4"/>
      <c r="F406" s="14"/>
      <c r="G406" s="14"/>
      <c r="H406" s="14"/>
      <c r="I406" s="5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  <c r="CD406" s="4"/>
      <c r="CE406" s="4"/>
      <c r="CF406" s="4"/>
      <c r="CG406" s="4"/>
      <c r="CH406" s="4"/>
    </row>
    <row r="407" spans="1:86" x14ac:dyDescent="0.25">
      <c r="A407" s="12">
        <f t="shared" si="12"/>
        <v>404</v>
      </c>
      <c r="B407" s="4" t="s">
        <v>1270</v>
      </c>
      <c r="C407" s="4" t="s">
        <v>1271</v>
      </c>
      <c r="D407" s="4" t="s">
        <v>278</v>
      </c>
      <c r="E407" s="4"/>
      <c r="F407" s="14"/>
      <c r="G407" s="14"/>
      <c r="H407" s="14"/>
      <c r="I407" s="5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  <c r="BP407" s="4"/>
      <c r="BQ407" s="4"/>
      <c r="BR407" s="4"/>
      <c r="BS407" s="4"/>
      <c r="BT407" s="4"/>
      <c r="BU407" s="4"/>
      <c r="BV407" s="4"/>
      <c r="BW407" s="4"/>
      <c r="BX407" s="4"/>
      <c r="BY407" s="4"/>
      <c r="BZ407" s="4"/>
      <c r="CA407" s="4"/>
      <c r="CB407" s="4"/>
      <c r="CC407" s="4"/>
      <c r="CD407" s="4"/>
      <c r="CE407" s="4"/>
      <c r="CF407" s="4"/>
      <c r="CG407" s="4"/>
      <c r="CH407" s="4"/>
    </row>
    <row r="408" spans="1:86" x14ac:dyDescent="0.25">
      <c r="A408" s="12">
        <f t="shared" si="12"/>
        <v>405</v>
      </c>
      <c r="B408" s="4" t="s">
        <v>1272</v>
      </c>
      <c r="C408" s="4" t="s">
        <v>1273</v>
      </c>
      <c r="D408" s="4" t="s">
        <v>45</v>
      </c>
      <c r="E408" s="4"/>
      <c r="F408" s="14"/>
      <c r="G408" s="14"/>
      <c r="H408" s="14"/>
      <c r="I408" s="5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  <c r="BP408" s="4"/>
      <c r="BQ408" s="4"/>
      <c r="BR408" s="4"/>
      <c r="BS408" s="4"/>
      <c r="BT408" s="4"/>
      <c r="BU408" s="4"/>
      <c r="BV408" s="4"/>
      <c r="BW408" s="4"/>
      <c r="BX408" s="4"/>
      <c r="BY408" s="4"/>
      <c r="BZ408" s="4"/>
      <c r="CA408" s="4"/>
      <c r="CB408" s="4"/>
      <c r="CC408" s="4"/>
      <c r="CD408" s="4"/>
      <c r="CE408" s="4"/>
      <c r="CF408" s="4"/>
      <c r="CG408" s="4"/>
      <c r="CH408" s="4"/>
    </row>
    <row r="409" spans="1:86" x14ac:dyDescent="0.25">
      <c r="A409" s="12">
        <f t="shared" si="12"/>
        <v>406</v>
      </c>
      <c r="B409" s="4" t="s">
        <v>1274</v>
      </c>
      <c r="C409" s="4" t="s">
        <v>1275</v>
      </c>
      <c r="D409" s="4" t="s">
        <v>45</v>
      </c>
      <c r="E409" s="4"/>
      <c r="F409" s="14"/>
      <c r="G409" s="14"/>
      <c r="H409" s="14"/>
      <c r="I409" s="5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  <c r="BP409" s="4"/>
      <c r="BQ409" s="4"/>
      <c r="BR409" s="4"/>
      <c r="BS409" s="4"/>
      <c r="BT409" s="4"/>
      <c r="BU409" s="4"/>
      <c r="BV409" s="4"/>
      <c r="BW409" s="4"/>
      <c r="BX409" s="4"/>
      <c r="BY409" s="4"/>
      <c r="BZ409" s="4"/>
      <c r="CA409" s="4"/>
      <c r="CB409" s="4"/>
      <c r="CC409" s="4"/>
      <c r="CD409" s="4"/>
      <c r="CE409" s="4"/>
      <c r="CF409" s="4"/>
      <c r="CG409" s="4"/>
      <c r="CH409" s="4"/>
    </row>
    <row r="410" spans="1:86" x14ac:dyDescent="0.25">
      <c r="A410" s="12">
        <f t="shared" si="12"/>
        <v>407</v>
      </c>
      <c r="B410" s="4" t="s">
        <v>1276</v>
      </c>
      <c r="C410" s="4" t="s">
        <v>1277</v>
      </c>
      <c r="D410" s="4" t="s">
        <v>45</v>
      </c>
      <c r="E410" s="4"/>
      <c r="F410" s="14"/>
      <c r="G410" s="14"/>
      <c r="H410" s="14"/>
      <c r="I410" s="5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  <c r="BP410" s="4"/>
      <c r="BQ410" s="4"/>
      <c r="BR410" s="4"/>
      <c r="BS410" s="4"/>
      <c r="BT410" s="4"/>
      <c r="BU410" s="4"/>
      <c r="BV410" s="4"/>
      <c r="BW410" s="4"/>
      <c r="BX410" s="4"/>
      <c r="BY410" s="4"/>
      <c r="BZ410" s="4"/>
      <c r="CA410" s="4"/>
      <c r="CB410" s="4"/>
      <c r="CC410" s="4"/>
      <c r="CD410" s="4"/>
      <c r="CE410" s="4"/>
      <c r="CF410" s="4"/>
      <c r="CG410" s="4"/>
      <c r="CH410" s="4"/>
    </row>
    <row r="411" spans="1:86" x14ac:dyDescent="0.25">
      <c r="A411" s="12">
        <f t="shared" si="12"/>
        <v>408</v>
      </c>
      <c r="B411" s="4" t="s">
        <v>1278</v>
      </c>
      <c r="C411" s="4" t="s">
        <v>1279</v>
      </c>
      <c r="D411" s="4" t="s">
        <v>45</v>
      </c>
      <c r="E411" s="4"/>
      <c r="F411" s="14"/>
      <c r="G411" s="14"/>
      <c r="H411" s="14"/>
      <c r="I411" s="5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  <c r="BP411" s="4"/>
      <c r="BQ411" s="4"/>
      <c r="BR411" s="4"/>
      <c r="BS411" s="4"/>
      <c r="BT411" s="4"/>
      <c r="BU411" s="4"/>
      <c r="BV411" s="4"/>
      <c r="BW411" s="4"/>
      <c r="BX411" s="4"/>
      <c r="BY411" s="4"/>
      <c r="BZ411" s="4"/>
      <c r="CA411" s="4"/>
      <c r="CB411" s="4"/>
      <c r="CC411" s="4"/>
      <c r="CD411" s="4"/>
      <c r="CE411" s="4"/>
      <c r="CF411" s="4"/>
      <c r="CG411" s="4"/>
      <c r="CH411" s="4"/>
    </row>
    <row r="412" spans="1:86" x14ac:dyDescent="0.25">
      <c r="A412" s="12">
        <f t="shared" si="12"/>
        <v>409</v>
      </c>
      <c r="B412" s="4" t="s">
        <v>1280</v>
      </c>
      <c r="C412" s="4" t="s">
        <v>1281</v>
      </c>
      <c r="D412" s="4" t="s">
        <v>770</v>
      </c>
      <c r="E412" s="4"/>
      <c r="F412" s="14"/>
      <c r="G412" s="14"/>
      <c r="H412" s="14"/>
      <c r="I412" s="5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  <c r="BQ412" s="4"/>
      <c r="BR412" s="4"/>
      <c r="BS412" s="4"/>
      <c r="BT412" s="4"/>
      <c r="BU412" s="4"/>
      <c r="BV412" s="4"/>
      <c r="BW412" s="4"/>
      <c r="BX412" s="4"/>
      <c r="BY412" s="4"/>
      <c r="BZ412" s="4"/>
      <c r="CA412" s="4"/>
      <c r="CB412" s="4"/>
      <c r="CC412" s="4"/>
      <c r="CD412" s="4"/>
      <c r="CE412" s="4"/>
      <c r="CF412" s="4"/>
      <c r="CG412" s="4"/>
      <c r="CH412" s="4"/>
    </row>
    <row r="413" spans="1:86" x14ac:dyDescent="0.25">
      <c r="A413" s="12">
        <f t="shared" si="12"/>
        <v>410</v>
      </c>
      <c r="B413" s="4" t="s">
        <v>1282</v>
      </c>
      <c r="C413" s="4" t="s">
        <v>1283</v>
      </c>
      <c r="D413" s="4" t="s">
        <v>955</v>
      </c>
      <c r="E413" s="4"/>
      <c r="F413" s="14"/>
      <c r="G413" s="14"/>
      <c r="H413" s="14"/>
      <c r="I413" s="5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  <c r="BP413" s="4"/>
      <c r="BQ413" s="4"/>
      <c r="BR413" s="4"/>
      <c r="BS413" s="4"/>
      <c r="BT413" s="4"/>
      <c r="BU413" s="4"/>
      <c r="BV413" s="4"/>
      <c r="BW413" s="4"/>
      <c r="BX413" s="4"/>
      <c r="BY413" s="4"/>
      <c r="BZ413" s="4"/>
      <c r="CA413" s="4"/>
      <c r="CB413" s="4"/>
      <c r="CC413" s="4"/>
      <c r="CD413" s="4"/>
      <c r="CE413" s="4"/>
      <c r="CF413" s="4"/>
      <c r="CG413" s="4"/>
      <c r="CH413" s="4"/>
    </row>
    <row r="414" spans="1:86" x14ac:dyDescent="0.25">
      <c r="A414" s="12">
        <f t="shared" si="12"/>
        <v>411</v>
      </c>
      <c r="B414" s="4" t="s">
        <v>877</v>
      </c>
      <c r="C414" s="4" t="s">
        <v>878</v>
      </c>
      <c r="D414" s="4" t="s">
        <v>45</v>
      </c>
      <c r="E414" s="4"/>
      <c r="F414" s="14"/>
      <c r="G414" s="14"/>
      <c r="H414" s="14"/>
      <c r="I414" s="5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  <c r="BP414" s="4"/>
      <c r="BQ414" s="4"/>
      <c r="BR414" s="4"/>
      <c r="BS414" s="4"/>
      <c r="BT414" s="4"/>
      <c r="BU414" s="4"/>
      <c r="BV414" s="4"/>
      <c r="BW414" s="4"/>
      <c r="BX414" s="4"/>
      <c r="BY414" s="4"/>
      <c r="BZ414" s="4"/>
      <c r="CA414" s="4"/>
      <c r="CB414" s="4"/>
      <c r="CC414" s="4"/>
      <c r="CD414" s="4"/>
      <c r="CE414" s="4"/>
      <c r="CF414" s="4"/>
      <c r="CG414" s="4"/>
      <c r="CH414" s="4"/>
    </row>
    <row r="415" spans="1:86" x14ac:dyDescent="0.25">
      <c r="A415" s="12">
        <f t="shared" si="12"/>
        <v>412</v>
      </c>
      <c r="B415" s="4" t="s">
        <v>1284</v>
      </c>
      <c r="C415" s="4" t="s">
        <v>1285</v>
      </c>
      <c r="D415" s="4" t="s">
        <v>1125</v>
      </c>
      <c r="E415" s="4"/>
      <c r="F415" s="14"/>
      <c r="G415" s="14"/>
      <c r="H415" s="14"/>
      <c r="I415" s="5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  <c r="BP415" s="4"/>
      <c r="BQ415" s="4"/>
      <c r="BR415" s="4"/>
      <c r="BS415" s="4"/>
      <c r="BT415" s="4"/>
      <c r="BU415" s="4"/>
      <c r="BV415" s="4"/>
      <c r="BW415" s="4"/>
      <c r="BX415" s="4"/>
      <c r="BY415" s="4"/>
      <c r="BZ415" s="4"/>
      <c r="CA415" s="4"/>
      <c r="CB415" s="4"/>
      <c r="CC415" s="4"/>
      <c r="CD415" s="4"/>
      <c r="CE415" s="4"/>
      <c r="CF415" s="4"/>
      <c r="CG415" s="4"/>
      <c r="CH415" s="4"/>
    </row>
    <row r="416" spans="1:86" x14ac:dyDescent="0.25">
      <c r="A416" s="12">
        <f t="shared" si="12"/>
        <v>413</v>
      </c>
      <c r="B416" s="4" t="s">
        <v>1286</v>
      </c>
      <c r="C416" s="4" t="s">
        <v>1287</v>
      </c>
      <c r="D416" s="4" t="s">
        <v>1126</v>
      </c>
      <c r="E416" s="4"/>
      <c r="F416" s="14"/>
      <c r="G416" s="14"/>
      <c r="H416" s="14"/>
      <c r="I416" s="5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  <c r="BP416" s="4"/>
      <c r="BQ416" s="4"/>
      <c r="BR416" s="4"/>
      <c r="BS416" s="4"/>
      <c r="BT416" s="4"/>
      <c r="BU416" s="4"/>
      <c r="BV416" s="4"/>
      <c r="BW416" s="4"/>
      <c r="BX416" s="4"/>
      <c r="BY416" s="4"/>
      <c r="BZ416" s="4"/>
      <c r="CA416" s="4"/>
      <c r="CB416" s="4"/>
      <c r="CC416" s="4"/>
      <c r="CD416" s="4"/>
      <c r="CE416" s="4"/>
      <c r="CF416" s="4"/>
      <c r="CG416" s="4"/>
      <c r="CH416" s="4"/>
    </row>
    <row r="417" spans="1:86" x14ac:dyDescent="0.25">
      <c r="A417" s="12">
        <f t="shared" si="12"/>
        <v>414</v>
      </c>
      <c r="B417" s="4" t="s">
        <v>1288</v>
      </c>
      <c r="C417" s="4" t="s">
        <v>1289</v>
      </c>
      <c r="D417" s="4" t="s">
        <v>45</v>
      </c>
      <c r="E417" s="4"/>
      <c r="F417" s="14"/>
      <c r="G417" s="14"/>
      <c r="H417" s="14"/>
      <c r="I417" s="5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  <c r="BP417" s="4"/>
      <c r="BQ417" s="4"/>
      <c r="BR417" s="4"/>
      <c r="BS417" s="4"/>
      <c r="BT417" s="4"/>
      <c r="BU417" s="4"/>
      <c r="BV417" s="4"/>
      <c r="BW417" s="4"/>
      <c r="BX417" s="4"/>
      <c r="BY417" s="4"/>
      <c r="BZ417" s="4"/>
      <c r="CA417" s="4"/>
      <c r="CB417" s="4"/>
      <c r="CC417" s="4"/>
      <c r="CD417" s="4"/>
      <c r="CE417" s="4"/>
      <c r="CF417" s="4"/>
      <c r="CG417" s="4"/>
      <c r="CH417" s="4"/>
    </row>
    <row r="418" spans="1:86" x14ac:dyDescent="0.25">
      <c r="A418" s="12">
        <f t="shared" si="12"/>
        <v>415</v>
      </c>
      <c r="B418" s="4" t="s">
        <v>1290</v>
      </c>
      <c r="C418" s="4" t="s">
        <v>1291</v>
      </c>
      <c r="D418" s="4" t="s">
        <v>1130</v>
      </c>
      <c r="E418" s="4"/>
      <c r="F418" s="14"/>
      <c r="G418" s="14"/>
      <c r="H418" s="14"/>
      <c r="I418" s="5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  <c r="BP418" s="4"/>
      <c r="BQ418" s="4"/>
      <c r="BR418" s="4"/>
      <c r="BS418" s="4"/>
      <c r="BT418" s="4"/>
      <c r="BU418" s="4"/>
      <c r="BV418" s="4"/>
      <c r="BW418" s="4"/>
      <c r="BX418" s="4"/>
      <c r="BY418" s="4"/>
      <c r="BZ418" s="4"/>
      <c r="CA418" s="4"/>
      <c r="CB418" s="4"/>
      <c r="CC418" s="4"/>
      <c r="CD418" s="4"/>
      <c r="CE418" s="4"/>
      <c r="CF418" s="4"/>
      <c r="CG418" s="4"/>
      <c r="CH418" s="4"/>
    </row>
    <row r="419" spans="1:86" x14ac:dyDescent="0.25">
      <c r="A419" s="12">
        <f t="shared" si="12"/>
        <v>416</v>
      </c>
      <c r="B419" s="4" t="s">
        <v>821</v>
      </c>
      <c r="C419" s="4" t="s">
        <v>822</v>
      </c>
      <c r="D419" s="4" t="s">
        <v>45</v>
      </c>
      <c r="E419" s="4"/>
      <c r="F419" s="14"/>
      <c r="G419" s="14"/>
      <c r="H419" s="14"/>
      <c r="I419" s="5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  <c r="BP419" s="4"/>
      <c r="BQ419" s="4"/>
      <c r="BR419" s="4"/>
      <c r="BS419" s="4"/>
      <c r="BT419" s="4"/>
      <c r="BU419" s="4"/>
      <c r="BV419" s="4"/>
      <c r="BW419" s="4"/>
      <c r="BX419" s="4"/>
      <c r="BY419" s="4"/>
      <c r="BZ419" s="4"/>
      <c r="CA419" s="4"/>
      <c r="CB419" s="4"/>
      <c r="CC419" s="4"/>
      <c r="CD419" s="4"/>
      <c r="CE419" s="4"/>
      <c r="CF419" s="4"/>
      <c r="CG419" s="4"/>
      <c r="CH419" s="4"/>
    </row>
    <row r="420" spans="1:86" x14ac:dyDescent="0.25">
      <c r="A420" s="12">
        <f t="shared" si="12"/>
        <v>417</v>
      </c>
      <c r="B420" s="4" t="s">
        <v>1292</v>
      </c>
      <c r="C420" s="4" t="s">
        <v>1293</v>
      </c>
      <c r="D420" s="4" t="s">
        <v>1127</v>
      </c>
      <c r="E420" s="4"/>
      <c r="F420" s="14"/>
      <c r="G420" s="14"/>
      <c r="H420" s="14"/>
      <c r="I420" s="5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  <c r="BP420" s="4"/>
      <c r="BQ420" s="4"/>
      <c r="BR420" s="4"/>
      <c r="BS420" s="4"/>
      <c r="BT420" s="4"/>
      <c r="BU420" s="4"/>
      <c r="BV420" s="4"/>
      <c r="BW420" s="4"/>
      <c r="BX420" s="4"/>
      <c r="BY420" s="4"/>
      <c r="BZ420" s="4"/>
      <c r="CA420" s="4"/>
      <c r="CB420" s="4"/>
      <c r="CC420" s="4"/>
      <c r="CD420" s="4"/>
      <c r="CE420" s="4"/>
      <c r="CF420" s="4"/>
      <c r="CG420" s="4"/>
      <c r="CH420" s="4"/>
    </row>
    <row r="421" spans="1:86" x14ac:dyDescent="0.25">
      <c r="A421" s="12">
        <f t="shared" si="12"/>
        <v>418</v>
      </c>
      <c r="B421" s="4" t="s">
        <v>1294</v>
      </c>
      <c r="C421" s="4" t="s">
        <v>1295</v>
      </c>
      <c r="D421" s="4" t="s">
        <v>45</v>
      </c>
      <c r="E421" s="4"/>
      <c r="F421" s="14"/>
      <c r="G421" s="14"/>
      <c r="H421" s="14"/>
      <c r="I421" s="5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  <c r="BP421" s="4"/>
      <c r="BQ421" s="4"/>
      <c r="BR421" s="4"/>
      <c r="BS421" s="4"/>
      <c r="BT421" s="4"/>
      <c r="BU421" s="4"/>
      <c r="BV421" s="4"/>
      <c r="BW421" s="4"/>
      <c r="BX421" s="4"/>
      <c r="BY421" s="4"/>
      <c r="BZ421" s="4"/>
      <c r="CA421" s="4"/>
      <c r="CB421" s="4"/>
      <c r="CC421" s="4"/>
      <c r="CD421" s="4"/>
      <c r="CE421" s="4"/>
      <c r="CF421" s="4"/>
      <c r="CG421" s="4"/>
      <c r="CH421" s="4"/>
    </row>
    <row r="422" spans="1:86" x14ac:dyDescent="0.25">
      <c r="A422" s="12">
        <f t="shared" si="12"/>
        <v>419</v>
      </c>
      <c r="B422" s="4" t="s">
        <v>1296</v>
      </c>
      <c r="C422" s="4" t="s">
        <v>1297</v>
      </c>
      <c r="D422" s="4" t="s">
        <v>278</v>
      </c>
      <c r="E422" s="4"/>
      <c r="F422" s="14"/>
      <c r="G422" s="14"/>
      <c r="H422" s="14"/>
      <c r="I422" s="5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  <c r="BP422" s="4"/>
      <c r="BQ422" s="4"/>
      <c r="BR422" s="4"/>
      <c r="BS422" s="4"/>
      <c r="BT422" s="4"/>
      <c r="BU422" s="4"/>
      <c r="BV422" s="4"/>
      <c r="BW422" s="4"/>
      <c r="BX422" s="4"/>
      <c r="BY422" s="4"/>
      <c r="BZ422" s="4"/>
      <c r="CA422" s="4"/>
      <c r="CB422" s="4"/>
      <c r="CC422" s="4"/>
      <c r="CD422" s="4"/>
      <c r="CE422" s="4"/>
      <c r="CF422" s="4"/>
      <c r="CG422" s="4"/>
      <c r="CH422" s="4"/>
    </row>
    <row r="423" spans="1:86" x14ac:dyDescent="0.25">
      <c r="A423" s="12">
        <f t="shared" si="12"/>
        <v>420</v>
      </c>
      <c r="B423" s="4" t="s">
        <v>1298</v>
      </c>
      <c r="C423" s="4" t="s">
        <v>1299</v>
      </c>
      <c r="D423" s="4" t="s">
        <v>87</v>
      </c>
      <c r="E423" s="4"/>
      <c r="F423" s="14"/>
      <c r="G423" s="14"/>
      <c r="H423" s="14"/>
      <c r="I423" s="5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  <c r="BP423" s="4"/>
      <c r="BQ423" s="4"/>
      <c r="BR423" s="4"/>
      <c r="BS423" s="4"/>
      <c r="BT423" s="4"/>
      <c r="BU423" s="4"/>
      <c r="BV423" s="4"/>
      <c r="BW423" s="4"/>
      <c r="BX423" s="4"/>
      <c r="BY423" s="4"/>
      <c r="BZ423" s="4"/>
      <c r="CA423" s="4"/>
      <c r="CB423" s="4"/>
      <c r="CC423" s="4"/>
      <c r="CD423" s="4"/>
      <c r="CE423" s="4"/>
      <c r="CF423" s="4"/>
      <c r="CG423" s="4"/>
      <c r="CH423" s="4"/>
    </row>
    <row r="424" spans="1:86" x14ac:dyDescent="0.25">
      <c r="A424" s="12">
        <f t="shared" si="12"/>
        <v>421</v>
      </c>
      <c r="B424" s="4" t="s">
        <v>901</v>
      </c>
      <c r="C424" s="4" t="s">
        <v>902</v>
      </c>
      <c r="D424" s="4" t="s">
        <v>768</v>
      </c>
      <c r="E424" s="4"/>
      <c r="F424" s="14"/>
      <c r="G424" s="14"/>
      <c r="H424" s="14"/>
      <c r="I424" s="5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  <c r="BP424" s="4"/>
      <c r="BQ424" s="4"/>
      <c r="BR424" s="4"/>
      <c r="BS424" s="4"/>
      <c r="BT424" s="4"/>
      <c r="BU424" s="4"/>
      <c r="BV424" s="4"/>
      <c r="BW424" s="4"/>
      <c r="BX424" s="4"/>
      <c r="BY424" s="4"/>
      <c r="BZ424" s="4"/>
      <c r="CA424" s="4"/>
      <c r="CB424" s="4"/>
      <c r="CC424" s="4"/>
      <c r="CD424" s="4"/>
      <c r="CE424" s="4"/>
      <c r="CF424" s="4"/>
      <c r="CG424" s="4"/>
      <c r="CH424" s="4"/>
    </row>
    <row r="425" spans="1:86" x14ac:dyDescent="0.25">
      <c r="A425" s="12">
        <f t="shared" si="12"/>
        <v>422</v>
      </c>
      <c r="B425" s="4" t="s">
        <v>1300</v>
      </c>
      <c r="C425" s="4" t="s">
        <v>1301</v>
      </c>
      <c r="D425" s="4" t="s">
        <v>45</v>
      </c>
      <c r="E425" s="4"/>
      <c r="F425" s="14"/>
      <c r="G425" s="14"/>
      <c r="H425" s="14"/>
      <c r="I425" s="5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  <c r="BP425" s="4"/>
      <c r="BQ425" s="4"/>
      <c r="BR425" s="4"/>
      <c r="BS425" s="4"/>
      <c r="BT425" s="4"/>
      <c r="BU425" s="4"/>
      <c r="BV425" s="4"/>
      <c r="BW425" s="4"/>
      <c r="BX425" s="4"/>
      <c r="BY425" s="4"/>
      <c r="BZ425" s="4"/>
      <c r="CA425" s="4"/>
      <c r="CB425" s="4"/>
      <c r="CC425" s="4"/>
      <c r="CD425" s="4"/>
      <c r="CE425" s="4"/>
      <c r="CF425" s="4"/>
      <c r="CG425" s="4"/>
      <c r="CH425" s="4"/>
    </row>
    <row r="426" spans="1:86" x14ac:dyDescent="0.25">
      <c r="A426" s="12">
        <f t="shared" si="12"/>
        <v>423</v>
      </c>
      <c r="B426" s="4" t="s">
        <v>1302</v>
      </c>
      <c r="C426" s="4" t="s">
        <v>1303</v>
      </c>
      <c r="D426" s="4" t="s">
        <v>1130</v>
      </c>
      <c r="E426" s="4"/>
      <c r="F426" s="14"/>
      <c r="G426" s="14"/>
      <c r="H426" s="14"/>
      <c r="I426" s="5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  <c r="BP426" s="4"/>
      <c r="BQ426" s="4"/>
      <c r="BR426" s="4"/>
      <c r="BS426" s="4"/>
      <c r="BT426" s="4"/>
      <c r="BU426" s="4"/>
      <c r="BV426" s="4"/>
      <c r="BW426" s="4"/>
      <c r="BX426" s="4"/>
      <c r="BY426" s="4"/>
      <c r="BZ426" s="4"/>
      <c r="CA426" s="4"/>
      <c r="CB426" s="4"/>
      <c r="CC426" s="4"/>
      <c r="CD426" s="4"/>
      <c r="CE426" s="4"/>
      <c r="CF426" s="4"/>
      <c r="CG426" s="4"/>
      <c r="CH426" s="4"/>
    </row>
    <row r="427" spans="1:86" x14ac:dyDescent="0.25">
      <c r="A427" s="12">
        <f t="shared" si="12"/>
        <v>424</v>
      </c>
      <c r="B427" s="4" t="s">
        <v>1304</v>
      </c>
      <c r="C427" s="4" t="s">
        <v>1305</v>
      </c>
      <c r="D427" s="4" t="s">
        <v>45</v>
      </c>
      <c r="E427" s="4"/>
      <c r="F427" s="14"/>
      <c r="G427" s="14"/>
      <c r="H427" s="14"/>
      <c r="I427" s="5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  <c r="BP427" s="4"/>
      <c r="BQ427" s="4"/>
      <c r="BR427" s="4"/>
      <c r="BS427" s="4"/>
      <c r="BT427" s="4"/>
      <c r="BU427" s="4"/>
      <c r="BV427" s="4"/>
      <c r="BW427" s="4"/>
      <c r="BX427" s="4"/>
      <c r="BY427" s="4"/>
      <c r="BZ427" s="4"/>
      <c r="CA427" s="4"/>
      <c r="CB427" s="4"/>
      <c r="CC427" s="4"/>
      <c r="CD427" s="4"/>
      <c r="CE427" s="4"/>
      <c r="CF427" s="4"/>
      <c r="CG427" s="4"/>
      <c r="CH427" s="4"/>
    </row>
    <row r="428" spans="1:86" x14ac:dyDescent="0.25">
      <c r="A428" s="12">
        <f t="shared" si="12"/>
        <v>425</v>
      </c>
      <c r="B428" s="4" t="s">
        <v>1306</v>
      </c>
      <c r="C428" s="4" t="s">
        <v>1307</v>
      </c>
      <c r="D428" s="4" t="s">
        <v>1123</v>
      </c>
      <c r="E428" s="4"/>
      <c r="F428" s="14"/>
      <c r="G428" s="14"/>
      <c r="H428" s="14"/>
      <c r="I428" s="5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  <c r="BP428" s="4"/>
      <c r="BQ428" s="4"/>
      <c r="BR428" s="4"/>
      <c r="BS428" s="4"/>
      <c r="BT428" s="4"/>
      <c r="BU428" s="4"/>
      <c r="BV428" s="4"/>
      <c r="BW428" s="4"/>
      <c r="BX428" s="4"/>
      <c r="BY428" s="4"/>
      <c r="BZ428" s="4"/>
      <c r="CA428" s="4"/>
      <c r="CB428" s="4"/>
      <c r="CC428" s="4"/>
      <c r="CD428" s="4"/>
      <c r="CE428" s="4"/>
      <c r="CF428" s="4"/>
      <c r="CG428" s="4"/>
      <c r="CH428" s="4"/>
    </row>
    <row r="429" spans="1:86" x14ac:dyDescent="0.25">
      <c r="A429" s="12">
        <f t="shared" si="12"/>
        <v>426</v>
      </c>
      <c r="B429" s="4" t="s">
        <v>1308</v>
      </c>
      <c r="C429" s="4" t="s">
        <v>1309</v>
      </c>
      <c r="D429" s="4" t="s">
        <v>1124</v>
      </c>
      <c r="E429" s="4"/>
      <c r="F429" s="14"/>
      <c r="G429" s="14"/>
      <c r="H429" s="14"/>
      <c r="I429" s="5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  <c r="BP429" s="4"/>
      <c r="BQ429" s="4"/>
      <c r="BR429" s="4"/>
      <c r="BS429" s="4"/>
      <c r="BT429" s="4"/>
      <c r="BU429" s="4"/>
      <c r="BV429" s="4"/>
      <c r="BW429" s="4"/>
      <c r="BX429" s="4"/>
      <c r="BY429" s="4"/>
      <c r="BZ429" s="4"/>
      <c r="CA429" s="4"/>
      <c r="CB429" s="4"/>
      <c r="CC429" s="4"/>
      <c r="CD429" s="4"/>
      <c r="CE429" s="4"/>
      <c r="CF429" s="4"/>
      <c r="CG429" s="4"/>
      <c r="CH429" s="4"/>
    </row>
    <row r="430" spans="1:86" x14ac:dyDescent="0.25">
      <c r="A430" s="12">
        <f t="shared" si="12"/>
        <v>427</v>
      </c>
      <c r="B430" s="4" t="s">
        <v>1310</v>
      </c>
      <c r="C430" s="4" t="s">
        <v>1311</v>
      </c>
      <c r="D430" s="4" t="s">
        <v>45</v>
      </c>
      <c r="E430" s="4"/>
      <c r="F430" s="14"/>
      <c r="G430" s="14"/>
      <c r="H430" s="14"/>
      <c r="I430" s="5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  <c r="BP430" s="4"/>
      <c r="BQ430" s="4"/>
      <c r="BR430" s="4"/>
      <c r="BS430" s="4"/>
      <c r="BT430" s="4"/>
      <c r="BU430" s="4"/>
      <c r="BV430" s="4"/>
      <c r="BW430" s="4"/>
      <c r="BX430" s="4"/>
      <c r="BY430" s="4"/>
      <c r="BZ430" s="4"/>
      <c r="CA430" s="4"/>
      <c r="CB430" s="4"/>
      <c r="CC430" s="4"/>
      <c r="CD430" s="4"/>
      <c r="CE430" s="4"/>
      <c r="CF430" s="4"/>
      <c r="CG430" s="4"/>
      <c r="CH430" s="4"/>
    </row>
    <row r="431" spans="1:86" x14ac:dyDescent="0.25">
      <c r="A431" s="12">
        <f t="shared" si="12"/>
        <v>428</v>
      </c>
      <c r="B431" s="4" t="s">
        <v>1312</v>
      </c>
      <c r="C431" s="4" t="s">
        <v>1313</v>
      </c>
      <c r="D431" s="4" t="s">
        <v>1125</v>
      </c>
      <c r="E431" s="4"/>
      <c r="F431" s="14"/>
      <c r="G431" s="14"/>
      <c r="H431" s="14"/>
      <c r="I431" s="5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  <c r="BQ431" s="4"/>
      <c r="BR431" s="4"/>
      <c r="BS431" s="4"/>
      <c r="BT431" s="4"/>
      <c r="BU431" s="4"/>
      <c r="BV431" s="4"/>
      <c r="BW431" s="4"/>
      <c r="BX431" s="4"/>
      <c r="BY431" s="4"/>
      <c r="BZ431" s="4"/>
      <c r="CA431" s="4"/>
      <c r="CB431" s="4"/>
      <c r="CC431" s="4"/>
      <c r="CD431" s="4"/>
      <c r="CE431" s="4"/>
      <c r="CF431" s="4"/>
      <c r="CG431" s="4"/>
      <c r="CH431" s="4"/>
    </row>
    <row r="432" spans="1:86" x14ac:dyDescent="0.25">
      <c r="A432" s="12">
        <f t="shared" si="12"/>
        <v>429</v>
      </c>
      <c r="B432" s="4" t="s">
        <v>1314</v>
      </c>
      <c r="C432" s="4" t="s">
        <v>1315</v>
      </c>
      <c r="D432" s="4" t="s">
        <v>398</v>
      </c>
      <c r="E432" s="4"/>
      <c r="F432" s="14"/>
      <c r="G432" s="14"/>
      <c r="H432" s="14"/>
      <c r="I432" s="5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  <c r="BQ432" s="4"/>
      <c r="BR432" s="4"/>
      <c r="BS432" s="4"/>
      <c r="BT432" s="4"/>
      <c r="BU432" s="4"/>
      <c r="BV432" s="4"/>
      <c r="BW432" s="4"/>
      <c r="BX432" s="4"/>
      <c r="BY432" s="4"/>
      <c r="BZ432" s="4"/>
      <c r="CA432" s="4"/>
      <c r="CB432" s="4"/>
      <c r="CC432" s="4"/>
      <c r="CD432" s="4"/>
      <c r="CE432" s="4"/>
      <c r="CF432" s="4"/>
      <c r="CG432" s="4"/>
      <c r="CH432" s="4"/>
    </row>
    <row r="433" spans="1:86" x14ac:dyDescent="0.25">
      <c r="A433" s="12">
        <f t="shared" si="12"/>
        <v>430</v>
      </c>
      <c r="B433" s="4" t="s">
        <v>1316</v>
      </c>
      <c r="C433" s="4" t="s">
        <v>1317</v>
      </c>
      <c r="D433" s="4" t="s">
        <v>1126</v>
      </c>
      <c r="E433" s="4"/>
      <c r="F433" s="14"/>
      <c r="G433" s="14"/>
      <c r="H433" s="14"/>
      <c r="I433" s="5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  <c r="BQ433" s="4"/>
      <c r="BR433" s="4"/>
      <c r="BS433" s="4"/>
      <c r="BT433" s="4"/>
      <c r="BU433" s="4"/>
      <c r="BV433" s="4"/>
      <c r="BW433" s="4"/>
      <c r="BX433" s="4"/>
      <c r="BY433" s="4"/>
      <c r="BZ433" s="4"/>
      <c r="CA433" s="4"/>
      <c r="CB433" s="4"/>
      <c r="CC433" s="4"/>
      <c r="CD433" s="4"/>
      <c r="CE433" s="4"/>
      <c r="CF433" s="4"/>
      <c r="CG433" s="4"/>
      <c r="CH433" s="4"/>
    </row>
    <row r="434" spans="1:86" x14ac:dyDescent="0.25">
      <c r="A434" s="12">
        <f t="shared" si="12"/>
        <v>431</v>
      </c>
      <c r="B434" s="4" t="s">
        <v>1318</v>
      </c>
      <c r="C434" s="4" t="s">
        <v>1319</v>
      </c>
      <c r="D434" s="4" t="s">
        <v>45</v>
      </c>
      <c r="E434" s="4"/>
      <c r="F434" s="14"/>
      <c r="G434" s="14"/>
      <c r="H434" s="14"/>
      <c r="I434" s="5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  <c r="BQ434" s="4"/>
      <c r="BR434" s="4"/>
      <c r="BS434" s="4"/>
      <c r="BT434" s="4"/>
      <c r="BU434" s="4"/>
      <c r="BV434" s="4"/>
      <c r="BW434" s="4"/>
      <c r="BX434" s="4"/>
      <c r="BY434" s="4"/>
      <c r="BZ434" s="4"/>
      <c r="CA434" s="4"/>
      <c r="CB434" s="4"/>
      <c r="CC434" s="4"/>
      <c r="CD434" s="4"/>
      <c r="CE434" s="4"/>
      <c r="CF434" s="4"/>
      <c r="CG434" s="4"/>
      <c r="CH434" s="4"/>
    </row>
    <row r="435" spans="1:86" x14ac:dyDescent="0.25">
      <c r="A435" s="12">
        <f t="shared" si="12"/>
        <v>432</v>
      </c>
      <c r="B435" s="4" t="s">
        <v>1320</v>
      </c>
      <c r="C435" s="4" t="s">
        <v>1321</v>
      </c>
      <c r="D435" s="4" t="s">
        <v>128</v>
      </c>
      <c r="E435" s="4"/>
      <c r="F435" s="14"/>
      <c r="G435" s="14"/>
      <c r="H435" s="14"/>
      <c r="I435" s="5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  <c r="BQ435" s="4"/>
      <c r="BR435" s="4"/>
      <c r="BS435" s="4"/>
      <c r="BT435" s="4"/>
      <c r="BU435" s="4"/>
      <c r="BV435" s="4"/>
      <c r="BW435" s="4"/>
      <c r="BX435" s="4"/>
      <c r="BY435" s="4"/>
      <c r="BZ435" s="4"/>
      <c r="CA435" s="4"/>
      <c r="CB435" s="4"/>
      <c r="CC435" s="4"/>
      <c r="CD435" s="4"/>
      <c r="CE435" s="4"/>
      <c r="CF435" s="4"/>
      <c r="CG435" s="4"/>
      <c r="CH435" s="4"/>
    </row>
    <row r="436" spans="1:86" x14ac:dyDescent="0.25">
      <c r="A436" s="12">
        <f t="shared" si="12"/>
        <v>433</v>
      </c>
      <c r="B436" s="4" t="s">
        <v>1322</v>
      </c>
      <c r="C436" s="4" t="s">
        <v>1323</v>
      </c>
      <c r="D436" s="4" t="s">
        <v>45</v>
      </c>
      <c r="E436" s="4"/>
      <c r="F436" s="14"/>
      <c r="G436" s="14"/>
      <c r="H436" s="14"/>
      <c r="I436" s="5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  <c r="BQ436" s="4"/>
      <c r="BR436" s="4"/>
      <c r="BS436" s="4"/>
      <c r="BT436" s="4"/>
      <c r="BU436" s="4"/>
      <c r="BV436" s="4"/>
      <c r="BW436" s="4"/>
      <c r="BX436" s="4"/>
      <c r="BY436" s="4"/>
      <c r="BZ436" s="4"/>
      <c r="CA436" s="4"/>
      <c r="CB436" s="4"/>
      <c r="CC436" s="4"/>
      <c r="CD436" s="4"/>
      <c r="CE436" s="4"/>
      <c r="CF436" s="4"/>
      <c r="CG436" s="4"/>
      <c r="CH436" s="4"/>
    </row>
    <row r="437" spans="1:86" x14ac:dyDescent="0.25">
      <c r="A437" s="12">
        <f t="shared" si="12"/>
        <v>434</v>
      </c>
      <c r="B437" s="4" t="s">
        <v>1324</v>
      </c>
      <c r="C437" s="4" t="s">
        <v>1325</v>
      </c>
      <c r="D437" s="4" t="s">
        <v>1130</v>
      </c>
      <c r="E437" s="4"/>
      <c r="F437" s="14"/>
      <c r="G437" s="14"/>
      <c r="H437" s="14"/>
      <c r="I437" s="5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  <c r="BQ437" s="4"/>
      <c r="BR437" s="4"/>
      <c r="BS437" s="4"/>
      <c r="BT437" s="4"/>
      <c r="BU437" s="4"/>
      <c r="BV437" s="4"/>
      <c r="BW437" s="4"/>
      <c r="BX437" s="4"/>
      <c r="BY437" s="4"/>
      <c r="BZ437" s="4"/>
      <c r="CA437" s="4"/>
      <c r="CB437" s="4"/>
      <c r="CC437" s="4"/>
      <c r="CD437" s="4"/>
      <c r="CE437" s="4"/>
      <c r="CF437" s="4"/>
      <c r="CG437" s="4"/>
      <c r="CH437" s="4"/>
    </row>
    <row r="438" spans="1:86" x14ac:dyDescent="0.25">
      <c r="A438" s="12">
        <f t="shared" si="12"/>
        <v>435</v>
      </c>
      <c r="B438" s="4" t="s">
        <v>1326</v>
      </c>
      <c r="C438" s="4" t="s">
        <v>1327</v>
      </c>
      <c r="D438" s="4" t="s">
        <v>1126</v>
      </c>
      <c r="E438" s="4"/>
      <c r="F438" s="14"/>
      <c r="G438" s="14"/>
      <c r="H438" s="14"/>
      <c r="I438" s="5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  <c r="BQ438" s="4"/>
      <c r="BR438" s="4"/>
      <c r="BS438" s="4"/>
      <c r="BT438" s="4"/>
      <c r="BU438" s="4"/>
      <c r="BV438" s="4"/>
      <c r="BW438" s="4"/>
      <c r="BX438" s="4"/>
      <c r="BY438" s="4"/>
      <c r="BZ438" s="4"/>
      <c r="CA438" s="4"/>
      <c r="CB438" s="4"/>
      <c r="CC438" s="4"/>
      <c r="CD438" s="4"/>
      <c r="CE438" s="4"/>
      <c r="CF438" s="4"/>
      <c r="CG438" s="4"/>
      <c r="CH438" s="4"/>
    </row>
    <row r="439" spans="1:86" x14ac:dyDescent="0.25">
      <c r="A439" s="12">
        <f t="shared" si="12"/>
        <v>436</v>
      </c>
      <c r="B439" s="4" t="s">
        <v>844</v>
      </c>
      <c r="C439" s="4" t="s">
        <v>845</v>
      </c>
      <c r="D439" s="4" t="s">
        <v>45</v>
      </c>
      <c r="E439" s="4"/>
      <c r="F439" s="14"/>
      <c r="G439" s="14"/>
      <c r="H439" s="14"/>
      <c r="I439" s="5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  <c r="BQ439" s="4"/>
      <c r="BR439" s="4"/>
      <c r="BS439" s="4"/>
      <c r="BT439" s="4"/>
      <c r="BU439" s="4"/>
      <c r="BV439" s="4"/>
      <c r="BW439" s="4"/>
      <c r="BX439" s="4"/>
      <c r="BY439" s="4"/>
      <c r="BZ439" s="4"/>
      <c r="CA439" s="4"/>
      <c r="CB439" s="4"/>
      <c r="CC439" s="4"/>
      <c r="CD439" s="4"/>
      <c r="CE439" s="4"/>
      <c r="CF439" s="4"/>
      <c r="CG439" s="4"/>
      <c r="CH439" s="4"/>
    </row>
    <row r="440" spans="1:86" x14ac:dyDescent="0.25">
      <c r="A440" s="12">
        <f t="shared" si="12"/>
        <v>437</v>
      </c>
      <c r="B440" s="4" t="s">
        <v>1328</v>
      </c>
      <c r="C440" s="4" t="s">
        <v>1329</v>
      </c>
      <c r="D440" s="4" t="s">
        <v>1130</v>
      </c>
      <c r="E440" s="4"/>
      <c r="F440" s="14"/>
      <c r="G440" s="14"/>
      <c r="H440" s="14"/>
      <c r="I440" s="5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  <c r="BQ440" s="4"/>
      <c r="BR440" s="4"/>
      <c r="BS440" s="4"/>
      <c r="BT440" s="4"/>
      <c r="BU440" s="4"/>
      <c r="BV440" s="4"/>
      <c r="BW440" s="4"/>
      <c r="BX440" s="4"/>
      <c r="BY440" s="4"/>
      <c r="BZ440" s="4"/>
      <c r="CA440" s="4"/>
      <c r="CB440" s="4"/>
      <c r="CC440" s="4"/>
      <c r="CD440" s="4"/>
      <c r="CE440" s="4"/>
      <c r="CF440" s="4"/>
      <c r="CG440" s="4"/>
      <c r="CH440" s="4"/>
    </row>
    <row r="441" spans="1:86" x14ac:dyDescent="0.25">
      <c r="A441" s="12">
        <f t="shared" si="12"/>
        <v>438</v>
      </c>
      <c r="B441" s="4" t="s">
        <v>1330</v>
      </c>
      <c r="C441" s="4" t="s">
        <v>1331</v>
      </c>
      <c r="D441" s="4" t="s">
        <v>45</v>
      </c>
      <c r="E441" s="4"/>
      <c r="F441" s="14"/>
      <c r="G441" s="14"/>
      <c r="H441" s="14"/>
      <c r="I441" s="5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  <c r="BQ441" s="4"/>
      <c r="BR441" s="4"/>
      <c r="BS441" s="4"/>
      <c r="BT441" s="4"/>
      <c r="BU441" s="4"/>
      <c r="BV441" s="4"/>
      <c r="BW441" s="4"/>
      <c r="BX441" s="4"/>
      <c r="BY441" s="4"/>
      <c r="BZ441" s="4"/>
      <c r="CA441" s="4"/>
      <c r="CB441" s="4"/>
      <c r="CC441" s="4"/>
      <c r="CD441" s="4"/>
      <c r="CE441" s="4"/>
      <c r="CF441" s="4"/>
      <c r="CG441" s="4"/>
      <c r="CH441" s="4"/>
    </row>
    <row r="442" spans="1:86" x14ac:dyDescent="0.25">
      <c r="A442" s="12">
        <f t="shared" si="12"/>
        <v>439</v>
      </c>
      <c r="B442" s="4" t="s">
        <v>1332</v>
      </c>
      <c r="C442" s="4" t="s">
        <v>1333</v>
      </c>
      <c r="D442" s="4" t="s">
        <v>45</v>
      </c>
      <c r="E442" s="4"/>
      <c r="F442" s="14"/>
      <c r="G442" s="14"/>
      <c r="H442" s="14"/>
      <c r="I442" s="5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  <c r="BQ442" s="4"/>
      <c r="BR442" s="4"/>
      <c r="BS442" s="4"/>
      <c r="BT442" s="4"/>
      <c r="BU442" s="4"/>
      <c r="BV442" s="4"/>
      <c r="BW442" s="4"/>
      <c r="BX442" s="4"/>
      <c r="BY442" s="4"/>
      <c r="BZ442" s="4"/>
      <c r="CA442" s="4"/>
      <c r="CB442" s="4"/>
      <c r="CC442" s="4"/>
      <c r="CD442" s="4"/>
      <c r="CE442" s="4"/>
      <c r="CF442" s="4"/>
      <c r="CG442" s="4"/>
      <c r="CH442" s="4"/>
    </row>
    <row r="443" spans="1:86" x14ac:dyDescent="0.25">
      <c r="A443" s="12">
        <f t="shared" si="12"/>
        <v>440</v>
      </c>
      <c r="B443" s="4" t="s">
        <v>1334</v>
      </c>
      <c r="C443" s="4" t="s">
        <v>1335</v>
      </c>
      <c r="D443" s="4" t="s">
        <v>1130</v>
      </c>
      <c r="E443" s="4"/>
      <c r="F443" s="14"/>
      <c r="G443" s="14"/>
      <c r="H443" s="14"/>
      <c r="I443" s="5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  <c r="BQ443" s="4"/>
      <c r="BR443" s="4"/>
      <c r="BS443" s="4"/>
      <c r="BT443" s="4"/>
      <c r="BU443" s="4"/>
      <c r="BV443" s="4"/>
      <c r="BW443" s="4"/>
      <c r="BX443" s="4"/>
      <c r="BY443" s="4"/>
      <c r="BZ443" s="4"/>
      <c r="CA443" s="4"/>
      <c r="CB443" s="4"/>
      <c r="CC443" s="4"/>
      <c r="CD443" s="4"/>
      <c r="CE443" s="4"/>
      <c r="CF443" s="4"/>
      <c r="CG443" s="4"/>
      <c r="CH443" s="4"/>
    </row>
    <row r="444" spans="1:86" x14ac:dyDescent="0.25">
      <c r="A444" s="12">
        <f t="shared" si="12"/>
        <v>441</v>
      </c>
      <c r="B444" s="4" t="s">
        <v>1336</v>
      </c>
      <c r="C444" s="4" t="s">
        <v>1337</v>
      </c>
      <c r="D444" s="4" t="s">
        <v>508</v>
      </c>
      <c r="E444" s="4"/>
      <c r="F444" s="14"/>
      <c r="G444" s="14"/>
      <c r="H444" s="14"/>
      <c r="I444" s="5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  <c r="BQ444" s="4"/>
      <c r="BR444" s="4"/>
      <c r="BS444" s="4"/>
      <c r="BT444" s="4"/>
      <c r="BU444" s="4"/>
      <c r="BV444" s="4"/>
      <c r="BW444" s="4"/>
      <c r="BX444" s="4"/>
      <c r="BY444" s="4"/>
      <c r="BZ444" s="4"/>
      <c r="CA444" s="4"/>
      <c r="CB444" s="4"/>
      <c r="CC444" s="4"/>
      <c r="CD444" s="4"/>
      <c r="CE444" s="4"/>
      <c r="CF444" s="4"/>
      <c r="CG444" s="4"/>
      <c r="CH444" s="4"/>
    </row>
    <row r="445" spans="1:86" x14ac:dyDescent="0.25">
      <c r="A445" s="12">
        <f t="shared" si="12"/>
        <v>442</v>
      </c>
      <c r="B445" s="4" t="s">
        <v>1338</v>
      </c>
      <c r="C445" s="4" t="s">
        <v>1339</v>
      </c>
      <c r="D445" s="4" t="s">
        <v>45</v>
      </c>
      <c r="E445" s="4"/>
      <c r="F445" s="14"/>
      <c r="G445" s="14"/>
      <c r="H445" s="14"/>
      <c r="I445" s="5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  <c r="BQ445" s="4"/>
      <c r="BR445" s="4"/>
      <c r="BS445" s="4"/>
      <c r="BT445" s="4"/>
      <c r="BU445" s="4"/>
      <c r="BV445" s="4"/>
      <c r="BW445" s="4"/>
      <c r="BX445" s="4"/>
      <c r="BY445" s="4"/>
      <c r="BZ445" s="4"/>
      <c r="CA445" s="4"/>
      <c r="CB445" s="4"/>
      <c r="CC445" s="4"/>
      <c r="CD445" s="4"/>
      <c r="CE445" s="4"/>
      <c r="CF445" s="4"/>
      <c r="CG445" s="4"/>
      <c r="CH445" s="4"/>
    </row>
    <row r="446" spans="1:86" x14ac:dyDescent="0.25">
      <c r="A446" s="12">
        <f t="shared" si="12"/>
        <v>443</v>
      </c>
      <c r="B446" s="4" t="s">
        <v>1340</v>
      </c>
      <c r="C446" s="4" t="s">
        <v>1341</v>
      </c>
      <c r="D446" s="4" t="s">
        <v>45</v>
      </c>
      <c r="E446" s="4"/>
      <c r="F446" s="14"/>
      <c r="G446" s="14"/>
      <c r="H446" s="14"/>
      <c r="I446" s="5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  <c r="BQ446" s="4"/>
      <c r="BR446" s="4"/>
      <c r="BS446" s="4"/>
      <c r="BT446" s="4"/>
      <c r="BU446" s="4"/>
      <c r="BV446" s="4"/>
      <c r="BW446" s="4"/>
      <c r="BX446" s="4"/>
      <c r="BY446" s="4"/>
      <c r="BZ446" s="4"/>
      <c r="CA446" s="4"/>
      <c r="CB446" s="4"/>
      <c r="CC446" s="4"/>
      <c r="CD446" s="4"/>
      <c r="CE446" s="4"/>
      <c r="CF446" s="4"/>
      <c r="CG446" s="4"/>
      <c r="CH446" s="4"/>
    </row>
    <row r="447" spans="1:86" x14ac:dyDescent="0.25">
      <c r="A447" s="12">
        <f t="shared" si="12"/>
        <v>444</v>
      </c>
      <c r="B447" s="4" t="s">
        <v>1342</v>
      </c>
      <c r="C447" s="4" t="s">
        <v>1343</v>
      </c>
      <c r="D447" s="4" t="s">
        <v>1126</v>
      </c>
      <c r="E447" s="4"/>
      <c r="F447" s="14"/>
      <c r="G447" s="14"/>
      <c r="H447" s="14"/>
      <c r="I447" s="5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  <c r="BQ447" s="4"/>
      <c r="BR447" s="4"/>
      <c r="BS447" s="4"/>
      <c r="BT447" s="4"/>
      <c r="BU447" s="4"/>
      <c r="BV447" s="4"/>
      <c r="BW447" s="4"/>
      <c r="BX447" s="4"/>
      <c r="BY447" s="4"/>
      <c r="BZ447" s="4"/>
      <c r="CA447" s="4"/>
      <c r="CB447" s="4"/>
      <c r="CC447" s="4"/>
      <c r="CD447" s="4"/>
      <c r="CE447" s="4"/>
      <c r="CF447" s="4"/>
      <c r="CG447" s="4"/>
      <c r="CH447" s="4"/>
    </row>
    <row r="448" spans="1:86" x14ac:dyDescent="0.25">
      <c r="A448" s="12">
        <f t="shared" si="12"/>
        <v>445</v>
      </c>
      <c r="B448" s="4" t="s">
        <v>1344</v>
      </c>
      <c r="C448" s="4" t="s">
        <v>1345</v>
      </c>
      <c r="D448" s="4" t="s">
        <v>768</v>
      </c>
      <c r="E448" s="4"/>
      <c r="F448" s="14"/>
      <c r="G448" s="14"/>
      <c r="H448" s="14"/>
      <c r="I448" s="5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  <c r="BQ448" s="4"/>
      <c r="BR448" s="4"/>
      <c r="BS448" s="4"/>
      <c r="BT448" s="4"/>
      <c r="BU448" s="4"/>
      <c r="BV448" s="4"/>
      <c r="BW448" s="4"/>
      <c r="BX448" s="4"/>
      <c r="BY448" s="4"/>
      <c r="BZ448" s="4"/>
      <c r="CA448" s="4"/>
      <c r="CB448" s="4"/>
      <c r="CC448" s="4"/>
      <c r="CD448" s="4"/>
      <c r="CE448" s="4"/>
      <c r="CF448" s="4"/>
      <c r="CG448" s="4"/>
      <c r="CH448" s="4"/>
    </row>
    <row r="449" spans="1:86" x14ac:dyDescent="0.25">
      <c r="A449" s="12">
        <f t="shared" si="12"/>
        <v>446</v>
      </c>
      <c r="B449" s="4" t="s">
        <v>1346</v>
      </c>
      <c r="C449" s="4" t="s">
        <v>1347</v>
      </c>
      <c r="D449" s="4" t="s">
        <v>2571</v>
      </c>
      <c r="E449" s="4"/>
      <c r="F449" s="14"/>
      <c r="G449" s="14"/>
      <c r="H449" s="14"/>
      <c r="I449" s="5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  <c r="BQ449" s="4"/>
      <c r="BR449" s="4"/>
      <c r="BS449" s="4"/>
      <c r="BT449" s="4"/>
      <c r="BU449" s="4"/>
      <c r="BV449" s="4"/>
      <c r="BW449" s="4"/>
      <c r="BX449" s="4"/>
      <c r="BY449" s="4"/>
      <c r="BZ449" s="4"/>
      <c r="CA449" s="4"/>
      <c r="CB449" s="4"/>
      <c r="CC449" s="4"/>
      <c r="CD449" s="4"/>
      <c r="CE449" s="4"/>
      <c r="CF449" s="4"/>
      <c r="CG449" s="4"/>
      <c r="CH449" s="4"/>
    </row>
    <row r="450" spans="1:86" x14ac:dyDescent="0.25">
      <c r="A450" s="12">
        <f t="shared" si="12"/>
        <v>447</v>
      </c>
      <c r="B450" s="4" t="s">
        <v>1348</v>
      </c>
      <c r="C450" s="4" t="s">
        <v>1349</v>
      </c>
      <c r="D450" s="4" t="s">
        <v>45</v>
      </c>
      <c r="E450" s="4"/>
      <c r="F450" s="14"/>
      <c r="G450" s="14"/>
      <c r="H450" s="14"/>
      <c r="I450" s="5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  <c r="BQ450" s="4"/>
      <c r="BR450" s="4"/>
      <c r="BS450" s="4"/>
      <c r="BT450" s="4"/>
      <c r="BU450" s="4"/>
      <c r="BV450" s="4"/>
      <c r="BW450" s="4"/>
      <c r="BX450" s="4"/>
      <c r="BY450" s="4"/>
      <c r="BZ450" s="4"/>
      <c r="CA450" s="4"/>
      <c r="CB450" s="4"/>
      <c r="CC450" s="4"/>
      <c r="CD450" s="4"/>
      <c r="CE450" s="4"/>
      <c r="CF450" s="4"/>
      <c r="CG450" s="4"/>
      <c r="CH450" s="4"/>
    </row>
    <row r="451" spans="1:86" x14ac:dyDescent="0.25">
      <c r="A451" s="12">
        <f t="shared" si="12"/>
        <v>448</v>
      </c>
      <c r="B451" s="4" t="s">
        <v>1350</v>
      </c>
      <c r="C451" s="4" t="s">
        <v>1351</v>
      </c>
      <c r="D451" s="4" t="s">
        <v>45</v>
      </c>
      <c r="E451" s="4"/>
      <c r="F451" s="14"/>
      <c r="G451" s="14"/>
      <c r="H451" s="14"/>
      <c r="I451" s="5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  <c r="BQ451" s="4"/>
      <c r="BR451" s="4"/>
      <c r="BS451" s="4"/>
      <c r="BT451" s="4"/>
      <c r="BU451" s="4"/>
      <c r="BV451" s="4"/>
      <c r="BW451" s="4"/>
      <c r="BX451" s="4"/>
      <c r="BY451" s="4"/>
      <c r="BZ451" s="4"/>
      <c r="CA451" s="4"/>
      <c r="CB451" s="4"/>
      <c r="CC451" s="4"/>
      <c r="CD451" s="4"/>
      <c r="CE451" s="4"/>
      <c r="CF451" s="4"/>
      <c r="CG451" s="4"/>
      <c r="CH451" s="4"/>
    </row>
    <row r="452" spans="1:86" x14ac:dyDescent="0.25">
      <c r="A452" s="12">
        <f t="shared" si="12"/>
        <v>449</v>
      </c>
      <c r="B452" s="4" t="s">
        <v>1352</v>
      </c>
      <c r="C452" s="4" t="s">
        <v>1353</v>
      </c>
      <c r="D452" s="4" t="s">
        <v>2577</v>
      </c>
      <c r="E452" s="4"/>
      <c r="F452" s="14"/>
      <c r="G452" s="14"/>
      <c r="H452" s="14"/>
      <c r="I452" s="5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  <c r="BQ452" s="4"/>
      <c r="BR452" s="4"/>
      <c r="BS452" s="4"/>
      <c r="BT452" s="4"/>
      <c r="BU452" s="4"/>
      <c r="BV452" s="4"/>
      <c r="BW452" s="4"/>
      <c r="BX452" s="4"/>
      <c r="BY452" s="4"/>
      <c r="BZ452" s="4"/>
      <c r="CA452" s="4"/>
      <c r="CB452" s="4"/>
      <c r="CC452" s="4"/>
      <c r="CD452" s="4"/>
      <c r="CE452" s="4"/>
      <c r="CF452" s="4"/>
      <c r="CG452" s="4"/>
      <c r="CH452" s="4"/>
    </row>
    <row r="453" spans="1:86" x14ac:dyDescent="0.25">
      <c r="A453" s="12">
        <f t="shared" si="12"/>
        <v>450</v>
      </c>
      <c r="B453" s="4" t="s">
        <v>1354</v>
      </c>
      <c r="C453" s="4" t="s">
        <v>1355</v>
      </c>
      <c r="D453" s="4" t="s">
        <v>768</v>
      </c>
      <c r="E453" s="4"/>
      <c r="F453" s="14"/>
      <c r="G453" s="14"/>
      <c r="H453" s="14"/>
      <c r="I453" s="5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  <c r="BQ453" s="4"/>
      <c r="BR453" s="4"/>
      <c r="BS453" s="4"/>
      <c r="BT453" s="4"/>
      <c r="BU453" s="4"/>
      <c r="BV453" s="4"/>
      <c r="BW453" s="4"/>
      <c r="BX453" s="4"/>
      <c r="BY453" s="4"/>
      <c r="BZ453" s="4"/>
      <c r="CA453" s="4"/>
      <c r="CB453" s="4"/>
      <c r="CC453" s="4"/>
      <c r="CD453" s="4"/>
      <c r="CE453" s="4"/>
      <c r="CF453" s="4"/>
      <c r="CG453" s="4"/>
      <c r="CH453" s="4"/>
    </row>
    <row r="454" spans="1:86" x14ac:dyDescent="0.25">
      <c r="A454" s="12">
        <f t="shared" si="12"/>
        <v>451</v>
      </c>
      <c r="B454" s="4" t="s">
        <v>1356</v>
      </c>
      <c r="C454" s="4" t="s">
        <v>1357</v>
      </c>
      <c r="D454" s="4" t="s">
        <v>278</v>
      </c>
      <c r="E454" s="4"/>
      <c r="F454" s="14"/>
      <c r="G454" s="14"/>
      <c r="H454" s="14"/>
      <c r="I454" s="5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  <c r="BQ454" s="4"/>
      <c r="BR454" s="4"/>
      <c r="BS454" s="4"/>
      <c r="BT454" s="4"/>
      <c r="BU454" s="4"/>
      <c r="BV454" s="4"/>
      <c r="BW454" s="4"/>
      <c r="BX454" s="4"/>
      <c r="BY454" s="4"/>
      <c r="BZ454" s="4"/>
      <c r="CA454" s="4"/>
      <c r="CB454" s="4"/>
      <c r="CC454" s="4"/>
      <c r="CD454" s="4"/>
      <c r="CE454" s="4"/>
      <c r="CF454" s="4"/>
      <c r="CG454" s="4"/>
      <c r="CH454" s="4"/>
    </row>
    <row r="455" spans="1:86" x14ac:dyDescent="0.25">
      <c r="A455" s="12">
        <f t="shared" si="12"/>
        <v>452</v>
      </c>
      <c r="B455" s="4" t="s">
        <v>1358</v>
      </c>
      <c r="C455" s="4" t="s">
        <v>1359</v>
      </c>
      <c r="D455" s="4" t="s">
        <v>101</v>
      </c>
      <c r="E455" s="4"/>
      <c r="F455" s="14"/>
      <c r="G455" s="14"/>
      <c r="H455" s="14"/>
      <c r="I455" s="5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  <c r="BQ455" s="4"/>
      <c r="BR455" s="4"/>
      <c r="BS455" s="4"/>
      <c r="BT455" s="4"/>
      <c r="BU455" s="4"/>
      <c r="BV455" s="4"/>
      <c r="BW455" s="4"/>
      <c r="BX455" s="4"/>
      <c r="BY455" s="4"/>
      <c r="BZ455" s="4"/>
      <c r="CA455" s="4"/>
      <c r="CB455" s="4"/>
      <c r="CC455" s="4"/>
      <c r="CD455" s="4"/>
      <c r="CE455" s="4"/>
      <c r="CF455" s="4"/>
      <c r="CG455" s="4"/>
      <c r="CH455" s="4"/>
    </row>
    <row r="456" spans="1:86" x14ac:dyDescent="0.25">
      <c r="A456" s="12">
        <f t="shared" si="12"/>
        <v>453</v>
      </c>
      <c r="B456" s="4" t="s">
        <v>1360</v>
      </c>
      <c r="C456" s="4" t="s">
        <v>1361</v>
      </c>
      <c r="D456" s="4" t="s">
        <v>1129</v>
      </c>
      <c r="E456" s="4"/>
      <c r="F456" s="14"/>
      <c r="G456" s="14"/>
      <c r="H456" s="14"/>
      <c r="I456" s="5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  <c r="BQ456" s="4"/>
      <c r="BR456" s="4"/>
      <c r="BS456" s="4"/>
      <c r="BT456" s="4"/>
      <c r="BU456" s="4"/>
      <c r="BV456" s="4"/>
      <c r="BW456" s="4"/>
      <c r="BX456" s="4"/>
      <c r="BY456" s="4"/>
      <c r="BZ456" s="4"/>
      <c r="CA456" s="4"/>
      <c r="CB456" s="4"/>
      <c r="CC456" s="4"/>
      <c r="CD456" s="4"/>
      <c r="CE456" s="4"/>
      <c r="CF456" s="4"/>
      <c r="CG456" s="4"/>
      <c r="CH456" s="4"/>
    </row>
    <row r="457" spans="1:86" x14ac:dyDescent="0.25">
      <c r="A457" s="12">
        <f t="shared" si="12"/>
        <v>454</v>
      </c>
      <c r="B457" s="4" t="s">
        <v>1362</v>
      </c>
      <c r="C457" s="4" t="s">
        <v>1363</v>
      </c>
      <c r="D457" s="4" t="s">
        <v>1130</v>
      </c>
      <c r="E457" s="4"/>
      <c r="F457" s="14"/>
      <c r="G457" s="14"/>
      <c r="H457" s="14"/>
      <c r="I457" s="5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  <c r="BQ457" s="4"/>
      <c r="BR457" s="4"/>
      <c r="BS457" s="4"/>
      <c r="BT457" s="4"/>
      <c r="BU457" s="4"/>
      <c r="BV457" s="4"/>
      <c r="BW457" s="4"/>
      <c r="BX457" s="4"/>
      <c r="BY457" s="4"/>
      <c r="BZ457" s="4"/>
      <c r="CA457" s="4"/>
      <c r="CB457" s="4"/>
      <c r="CC457" s="4"/>
      <c r="CD457" s="4"/>
      <c r="CE457" s="4"/>
      <c r="CF457" s="4"/>
      <c r="CG457" s="4"/>
      <c r="CH457" s="4"/>
    </row>
    <row r="458" spans="1:86" x14ac:dyDescent="0.25">
      <c r="A458" s="12">
        <f t="shared" ref="A458:A521" si="13">+A457+1</f>
        <v>455</v>
      </c>
      <c r="B458" s="4" t="s">
        <v>1364</v>
      </c>
      <c r="C458" s="4" t="s">
        <v>1365</v>
      </c>
      <c r="D458" s="4" t="s">
        <v>161</v>
      </c>
      <c r="E458" s="4"/>
      <c r="F458" s="14"/>
      <c r="G458" s="14"/>
      <c r="H458" s="14"/>
      <c r="I458" s="5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  <c r="BQ458" s="4"/>
      <c r="BR458" s="4"/>
      <c r="BS458" s="4"/>
      <c r="BT458" s="4"/>
      <c r="BU458" s="4"/>
      <c r="BV458" s="4"/>
      <c r="BW458" s="4"/>
      <c r="BX458" s="4"/>
      <c r="BY458" s="4"/>
      <c r="BZ458" s="4"/>
      <c r="CA458" s="4"/>
      <c r="CB458" s="4"/>
      <c r="CC458" s="4"/>
      <c r="CD458" s="4"/>
      <c r="CE458" s="4"/>
      <c r="CF458" s="4"/>
      <c r="CG458" s="4"/>
      <c r="CH458" s="4"/>
    </row>
    <row r="459" spans="1:86" x14ac:dyDescent="0.25">
      <c r="A459" s="12">
        <f t="shared" si="13"/>
        <v>456</v>
      </c>
      <c r="B459" s="4" t="s">
        <v>1366</v>
      </c>
      <c r="C459" s="4" t="s">
        <v>1367</v>
      </c>
      <c r="D459" s="4" t="s">
        <v>45</v>
      </c>
      <c r="E459" s="4"/>
      <c r="F459" s="14"/>
      <c r="G459" s="14"/>
      <c r="H459" s="14"/>
      <c r="I459" s="5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  <c r="BQ459" s="4"/>
      <c r="BR459" s="4"/>
      <c r="BS459" s="4"/>
      <c r="BT459" s="4"/>
      <c r="BU459" s="4"/>
      <c r="BV459" s="4"/>
      <c r="BW459" s="4"/>
      <c r="BX459" s="4"/>
      <c r="BY459" s="4"/>
      <c r="BZ459" s="4"/>
      <c r="CA459" s="4"/>
      <c r="CB459" s="4"/>
      <c r="CC459" s="4"/>
      <c r="CD459" s="4"/>
      <c r="CE459" s="4"/>
      <c r="CF459" s="4"/>
      <c r="CG459" s="4"/>
      <c r="CH459" s="4"/>
    </row>
    <row r="460" spans="1:86" x14ac:dyDescent="0.25">
      <c r="A460" s="12">
        <f t="shared" si="13"/>
        <v>457</v>
      </c>
      <c r="B460" s="4" t="s">
        <v>1368</v>
      </c>
      <c r="C460" s="4" t="s">
        <v>1369</v>
      </c>
      <c r="D460" s="4" t="s">
        <v>45</v>
      </c>
      <c r="E460" s="4"/>
      <c r="F460" s="14"/>
      <c r="G460" s="14"/>
      <c r="H460" s="14"/>
      <c r="I460" s="5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  <c r="BQ460" s="4"/>
      <c r="BR460" s="4"/>
      <c r="BS460" s="4"/>
      <c r="BT460" s="4"/>
      <c r="BU460" s="4"/>
      <c r="BV460" s="4"/>
      <c r="BW460" s="4"/>
      <c r="BX460" s="4"/>
      <c r="BY460" s="4"/>
      <c r="BZ460" s="4"/>
      <c r="CA460" s="4"/>
      <c r="CB460" s="4"/>
      <c r="CC460" s="4"/>
      <c r="CD460" s="4"/>
      <c r="CE460" s="4"/>
      <c r="CF460" s="4"/>
      <c r="CG460" s="4"/>
      <c r="CH460" s="4"/>
    </row>
    <row r="461" spans="1:86" x14ac:dyDescent="0.25">
      <c r="A461" s="12">
        <f t="shared" si="13"/>
        <v>458</v>
      </c>
      <c r="B461" s="4" t="s">
        <v>1370</v>
      </c>
      <c r="C461" s="4" t="s">
        <v>1371</v>
      </c>
      <c r="D461" s="4" t="s">
        <v>87</v>
      </c>
      <c r="E461" s="4"/>
      <c r="F461" s="14"/>
      <c r="G461" s="14"/>
      <c r="H461" s="14"/>
      <c r="I461" s="5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  <c r="BQ461" s="4"/>
      <c r="BR461" s="4"/>
      <c r="BS461" s="4"/>
      <c r="BT461" s="4"/>
      <c r="BU461" s="4"/>
      <c r="BV461" s="4"/>
      <c r="BW461" s="4"/>
      <c r="BX461" s="4"/>
      <c r="BY461" s="4"/>
      <c r="BZ461" s="4"/>
      <c r="CA461" s="4"/>
      <c r="CB461" s="4"/>
      <c r="CC461" s="4"/>
      <c r="CD461" s="4"/>
      <c r="CE461" s="4"/>
      <c r="CF461" s="4"/>
      <c r="CG461" s="4"/>
      <c r="CH461" s="4"/>
    </row>
    <row r="462" spans="1:86" x14ac:dyDescent="0.25">
      <c r="A462" s="12">
        <f t="shared" si="13"/>
        <v>459</v>
      </c>
      <c r="B462" s="4" t="s">
        <v>1372</v>
      </c>
      <c r="C462" s="4" t="s">
        <v>1373</v>
      </c>
      <c r="D462" s="4" t="s">
        <v>45</v>
      </c>
      <c r="E462" s="4"/>
      <c r="F462" s="14"/>
      <c r="G462" s="14"/>
      <c r="H462" s="14"/>
      <c r="I462" s="5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  <c r="BQ462" s="4"/>
      <c r="BR462" s="4"/>
      <c r="BS462" s="4"/>
      <c r="BT462" s="4"/>
      <c r="BU462" s="4"/>
      <c r="BV462" s="4"/>
      <c r="BW462" s="4"/>
      <c r="BX462" s="4"/>
      <c r="BY462" s="4"/>
      <c r="BZ462" s="4"/>
      <c r="CA462" s="4"/>
      <c r="CB462" s="4"/>
      <c r="CC462" s="4"/>
      <c r="CD462" s="4"/>
      <c r="CE462" s="4"/>
      <c r="CF462" s="4"/>
      <c r="CG462" s="4"/>
      <c r="CH462" s="4"/>
    </row>
    <row r="463" spans="1:86" x14ac:dyDescent="0.25">
      <c r="A463" s="12">
        <f t="shared" si="13"/>
        <v>460</v>
      </c>
      <c r="B463" s="4" t="s">
        <v>1374</v>
      </c>
      <c r="C463" s="4" t="s">
        <v>1375</v>
      </c>
      <c r="D463" s="4" t="s">
        <v>45</v>
      </c>
      <c r="E463" s="4"/>
      <c r="F463" s="14"/>
      <c r="G463" s="14"/>
      <c r="H463" s="14"/>
      <c r="I463" s="5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  <c r="BQ463" s="4"/>
      <c r="BR463" s="4"/>
      <c r="BS463" s="4"/>
      <c r="BT463" s="4"/>
      <c r="BU463" s="4"/>
      <c r="BV463" s="4"/>
      <c r="BW463" s="4"/>
      <c r="BX463" s="4"/>
      <c r="BY463" s="4"/>
      <c r="BZ463" s="4"/>
      <c r="CA463" s="4"/>
      <c r="CB463" s="4"/>
      <c r="CC463" s="4"/>
      <c r="CD463" s="4"/>
      <c r="CE463" s="4"/>
      <c r="CF463" s="4"/>
      <c r="CG463" s="4"/>
      <c r="CH463" s="4"/>
    </row>
    <row r="464" spans="1:86" x14ac:dyDescent="0.25">
      <c r="A464" s="12">
        <f t="shared" si="13"/>
        <v>461</v>
      </c>
      <c r="B464" s="4" t="s">
        <v>1376</v>
      </c>
      <c r="C464" s="4" t="s">
        <v>1377</v>
      </c>
      <c r="D464" s="4" t="s">
        <v>45</v>
      </c>
      <c r="E464" s="4"/>
      <c r="F464" s="14"/>
      <c r="G464" s="14"/>
      <c r="H464" s="14"/>
      <c r="I464" s="5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  <c r="BQ464" s="4"/>
      <c r="BR464" s="4"/>
      <c r="BS464" s="4"/>
      <c r="BT464" s="4"/>
      <c r="BU464" s="4"/>
      <c r="BV464" s="4"/>
      <c r="BW464" s="4"/>
      <c r="BX464" s="4"/>
      <c r="BY464" s="4"/>
      <c r="BZ464" s="4"/>
      <c r="CA464" s="4"/>
      <c r="CB464" s="4"/>
      <c r="CC464" s="4"/>
      <c r="CD464" s="4"/>
      <c r="CE464" s="4"/>
      <c r="CF464" s="4"/>
      <c r="CG464" s="4"/>
      <c r="CH464" s="4"/>
    </row>
    <row r="465" spans="1:86" x14ac:dyDescent="0.25">
      <c r="A465" s="12">
        <f t="shared" si="13"/>
        <v>462</v>
      </c>
      <c r="B465" s="4" t="s">
        <v>1378</v>
      </c>
      <c r="C465" s="4" t="s">
        <v>1379</v>
      </c>
      <c r="D465" s="4" t="s">
        <v>45</v>
      </c>
      <c r="E465" s="4"/>
      <c r="F465" s="14"/>
      <c r="G465" s="14"/>
      <c r="H465" s="14"/>
      <c r="I465" s="5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  <c r="BQ465" s="4"/>
      <c r="BR465" s="4"/>
      <c r="BS465" s="4"/>
      <c r="BT465" s="4"/>
      <c r="BU465" s="4"/>
      <c r="BV465" s="4"/>
      <c r="BW465" s="4"/>
      <c r="BX465" s="4"/>
      <c r="BY465" s="4"/>
      <c r="BZ465" s="4"/>
      <c r="CA465" s="4"/>
      <c r="CB465" s="4"/>
      <c r="CC465" s="4"/>
      <c r="CD465" s="4"/>
      <c r="CE465" s="4"/>
      <c r="CF465" s="4"/>
      <c r="CG465" s="4"/>
      <c r="CH465" s="4"/>
    </row>
    <row r="466" spans="1:86" x14ac:dyDescent="0.25">
      <c r="A466" s="12">
        <f t="shared" si="13"/>
        <v>463</v>
      </c>
      <c r="B466" s="4" t="s">
        <v>1380</v>
      </c>
      <c r="C466" s="4" t="s">
        <v>1381</v>
      </c>
      <c r="D466" s="4" t="s">
        <v>84</v>
      </c>
      <c r="E466" s="4"/>
      <c r="F466" s="14"/>
      <c r="G466" s="14"/>
      <c r="H466" s="14"/>
      <c r="I466" s="5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  <c r="BQ466" s="4"/>
      <c r="BR466" s="4"/>
      <c r="BS466" s="4"/>
      <c r="BT466" s="4"/>
      <c r="BU466" s="4"/>
      <c r="BV466" s="4"/>
      <c r="BW466" s="4"/>
      <c r="BX466" s="4"/>
      <c r="BY466" s="4"/>
      <c r="BZ466" s="4"/>
      <c r="CA466" s="4"/>
      <c r="CB466" s="4"/>
      <c r="CC466" s="4"/>
      <c r="CD466" s="4"/>
      <c r="CE466" s="4"/>
      <c r="CF466" s="4"/>
      <c r="CG466" s="4"/>
      <c r="CH466" s="4"/>
    </row>
    <row r="467" spans="1:86" x14ac:dyDescent="0.25">
      <c r="A467" s="12">
        <f t="shared" si="13"/>
        <v>464</v>
      </c>
      <c r="B467" s="4" t="s">
        <v>1382</v>
      </c>
      <c r="C467" s="4" t="s">
        <v>1383</v>
      </c>
      <c r="D467" s="4" t="s">
        <v>87</v>
      </c>
      <c r="E467" s="4"/>
      <c r="F467" s="14"/>
      <c r="G467" s="14"/>
      <c r="H467" s="14"/>
      <c r="I467" s="5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  <c r="BQ467" s="4"/>
      <c r="BR467" s="4"/>
      <c r="BS467" s="4"/>
      <c r="BT467" s="4"/>
      <c r="BU467" s="4"/>
      <c r="BV467" s="4"/>
      <c r="BW467" s="4"/>
      <c r="BX467" s="4"/>
      <c r="BY467" s="4"/>
      <c r="BZ467" s="4"/>
      <c r="CA467" s="4"/>
      <c r="CB467" s="4"/>
      <c r="CC467" s="4"/>
      <c r="CD467" s="4"/>
      <c r="CE467" s="4"/>
      <c r="CF467" s="4"/>
      <c r="CG467" s="4"/>
      <c r="CH467" s="4"/>
    </row>
    <row r="468" spans="1:86" x14ac:dyDescent="0.25">
      <c r="A468" s="12">
        <f t="shared" si="13"/>
        <v>465</v>
      </c>
      <c r="B468" s="4" t="s">
        <v>1384</v>
      </c>
      <c r="C468" s="4" t="s">
        <v>1385</v>
      </c>
      <c r="D468" s="4" t="s">
        <v>87</v>
      </c>
      <c r="E468" s="4"/>
      <c r="F468" s="14"/>
      <c r="G468" s="14"/>
      <c r="H468" s="14"/>
      <c r="I468" s="5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  <c r="BQ468" s="4"/>
      <c r="BR468" s="4"/>
      <c r="BS468" s="4"/>
      <c r="BT468" s="4"/>
      <c r="BU468" s="4"/>
      <c r="BV468" s="4"/>
      <c r="BW468" s="4"/>
      <c r="BX468" s="4"/>
      <c r="BY468" s="4"/>
      <c r="BZ468" s="4"/>
      <c r="CA468" s="4"/>
      <c r="CB468" s="4"/>
      <c r="CC468" s="4"/>
      <c r="CD468" s="4"/>
      <c r="CE468" s="4"/>
      <c r="CF468" s="4"/>
      <c r="CG468" s="4"/>
      <c r="CH468" s="4"/>
    </row>
    <row r="469" spans="1:86" x14ac:dyDescent="0.25">
      <c r="A469" s="12">
        <f t="shared" si="13"/>
        <v>466</v>
      </c>
      <c r="B469" s="4" t="s">
        <v>1386</v>
      </c>
      <c r="C469" s="4" t="s">
        <v>1387</v>
      </c>
      <c r="D469" s="4" t="s">
        <v>84</v>
      </c>
      <c r="E469" s="4"/>
      <c r="F469" s="14"/>
      <c r="G469" s="14"/>
      <c r="H469" s="14"/>
      <c r="I469" s="5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  <c r="BQ469" s="4"/>
      <c r="BR469" s="4"/>
      <c r="BS469" s="4"/>
      <c r="BT469" s="4"/>
      <c r="BU469" s="4"/>
      <c r="BV469" s="4"/>
      <c r="BW469" s="4"/>
      <c r="BX469" s="4"/>
      <c r="BY469" s="4"/>
      <c r="BZ469" s="4"/>
      <c r="CA469" s="4"/>
      <c r="CB469" s="4"/>
      <c r="CC469" s="4"/>
      <c r="CD469" s="4"/>
      <c r="CE469" s="4"/>
      <c r="CF469" s="4"/>
      <c r="CG469" s="4"/>
      <c r="CH469" s="4"/>
    </row>
    <row r="470" spans="1:86" x14ac:dyDescent="0.25">
      <c r="A470" s="12">
        <f t="shared" si="13"/>
        <v>467</v>
      </c>
      <c r="B470" s="4" t="s">
        <v>1388</v>
      </c>
      <c r="C470" s="4" t="s">
        <v>1389</v>
      </c>
      <c r="D470" s="4" t="s">
        <v>128</v>
      </c>
      <c r="E470" s="4"/>
      <c r="F470" s="14"/>
      <c r="G470" s="14"/>
      <c r="H470" s="14"/>
      <c r="I470" s="5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  <c r="BQ470" s="4"/>
      <c r="BR470" s="4"/>
      <c r="BS470" s="4"/>
      <c r="BT470" s="4"/>
      <c r="BU470" s="4"/>
      <c r="BV470" s="4"/>
      <c r="BW470" s="4"/>
      <c r="BX470" s="4"/>
      <c r="BY470" s="4"/>
      <c r="BZ470" s="4"/>
      <c r="CA470" s="4"/>
      <c r="CB470" s="4"/>
      <c r="CC470" s="4"/>
      <c r="CD470" s="4"/>
      <c r="CE470" s="4"/>
      <c r="CF470" s="4"/>
      <c r="CG470" s="4"/>
      <c r="CH470" s="4"/>
    </row>
    <row r="471" spans="1:86" x14ac:dyDescent="0.25">
      <c r="A471" s="12">
        <f t="shared" si="13"/>
        <v>468</v>
      </c>
      <c r="B471" s="4" t="s">
        <v>1390</v>
      </c>
      <c r="C471" s="4" t="s">
        <v>1391</v>
      </c>
      <c r="D471" s="4" t="s">
        <v>87</v>
      </c>
      <c r="E471" s="4"/>
      <c r="F471" s="14"/>
      <c r="G471" s="14"/>
      <c r="H471" s="14"/>
      <c r="I471" s="5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  <c r="BQ471" s="4"/>
      <c r="BR471" s="4"/>
      <c r="BS471" s="4"/>
      <c r="BT471" s="4"/>
      <c r="BU471" s="4"/>
      <c r="BV471" s="4"/>
      <c r="BW471" s="4"/>
      <c r="BX471" s="4"/>
      <c r="BY471" s="4"/>
      <c r="BZ471" s="4"/>
      <c r="CA471" s="4"/>
      <c r="CB471" s="4"/>
      <c r="CC471" s="4"/>
      <c r="CD471" s="4"/>
      <c r="CE471" s="4"/>
      <c r="CF471" s="4"/>
      <c r="CG471" s="4"/>
      <c r="CH471" s="4"/>
    </row>
    <row r="472" spans="1:86" x14ac:dyDescent="0.25">
      <c r="A472" s="12">
        <f t="shared" si="13"/>
        <v>469</v>
      </c>
      <c r="B472" s="4" t="s">
        <v>1392</v>
      </c>
      <c r="C472" s="4" t="s">
        <v>1393</v>
      </c>
      <c r="D472" s="4" t="s">
        <v>161</v>
      </c>
      <c r="E472" s="4"/>
      <c r="F472" s="14"/>
      <c r="G472" s="14"/>
      <c r="H472" s="14"/>
      <c r="I472" s="5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  <c r="BQ472" s="4"/>
      <c r="BR472" s="4"/>
      <c r="BS472" s="4"/>
      <c r="BT472" s="4"/>
      <c r="BU472" s="4"/>
      <c r="BV472" s="4"/>
      <c r="BW472" s="4"/>
      <c r="BX472" s="4"/>
      <c r="BY472" s="4"/>
      <c r="BZ472" s="4"/>
      <c r="CA472" s="4"/>
      <c r="CB472" s="4"/>
      <c r="CC472" s="4"/>
      <c r="CD472" s="4"/>
      <c r="CE472" s="4"/>
      <c r="CF472" s="4"/>
      <c r="CG472" s="4"/>
      <c r="CH472" s="4"/>
    </row>
    <row r="473" spans="1:86" x14ac:dyDescent="0.25">
      <c r="A473" s="12">
        <f t="shared" si="13"/>
        <v>470</v>
      </c>
      <c r="B473" s="4" t="s">
        <v>982</v>
      </c>
      <c r="C473" s="4" t="s">
        <v>983</v>
      </c>
      <c r="D473" s="4" t="s">
        <v>770</v>
      </c>
      <c r="E473" s="4"/>
      <c r="F473" s="14"/>
      <c r="G473" s="14"/>
      <c r="H473" s="14"/>
      <c r="I473" s="5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  <c r="BQ473" s="4"/>
      <c r="BR473" s="4"/>
      <c r="BS473" s="4"/>
      <c r="BT473" s="4"/>
      <c r="BU473" s="4"/>
      <c r="BV473" s="4"/>
      <c r="BW473" s="4"/>
      <c r="BX473" s="4"/>
      <c r="BY473" s="4"/>
      <c r="BZ473" s="4"/>
      <c r="CA473" s="4"/>
      <c r="CB473" s="4"/>
      <c r="CC473" s="4"/>
      <c r="CD473" s="4"/>
      <c r="CE473" s="4"/>
      <c r="CF473" s="4"/>
      <c r="CG473" s="4"/>
      <c r="CH473" s="4"/>
    </row>
    <row r="474" spans="1:86" x14ac:dyDescent="0.25">
      <c r="A474" s="12">
        <f t="shared" si="13"/>
        <v>471</v>
      </c>
      <c r="B474" s="4" t="s">
        <v>1394</v>
      </c>
      <c r="C474" s="4" t="s">
        <v>1395</v>
      </c>
      <c r="D474" s="4" t="s">
        <v>45</v>
      </c>
      <c r="E474" s="4"/>
      <c r="F474" s="14"/>
      <c r="G474" s="14"/>
      <c r="H474" s="14"/>
      <c r="I474" s="5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  <c r="BQ474" s="4"/>
      <c r="BR474" s="4"/>
      <c r="BS474" s="4"/>
      <c r="BT474" s="4"/>
      <c r="BU474" s="4"/>
      <c r="BV474" s="4"/>
      <c r="BW474" s="4"/>
      <c r="BX474" s="4"/>
      <c r="BY474" s="4"/>
      <c r="BZ474" s="4"/>
      <c r="CA474" s="4"/>
      <c r="CB474" s="4"/>
      <c r="CC474" s="4"/>
      <c r="CD474" s="4"/>
      <c r="CE474" s="4"/>
      <c r="CF474" s="4"/>
      <c r="CG474" s="4"/>
      <c r="CH474" s="4"/>
    </row>
    <row r="475" spans="1:86" x14ac:dyDescent="0.25">
      <c r="A475" s="12">
        <f t="shared" si="13"/>
        <v>472</v>
      </c>
      <c r="B475" s="4" t="s">
        <v>1396</v>
      </c>
      <c r="C475" s="4" t="s">
        <v>1397</v>
      </c>
      <c r="D475" s="4" t="s">
        <v>45</v>
      </c>
      <c r="E475" s="4"/>
      <c r="F475" s="14"/>
      <c r="G475" s="14"/>
      <c r="H475" s="14"/>
      <c r="I475" s="5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  <c r="BP475" s="4"/>
      <c r="BQ475" s="4"/>
      <c r="BR475" s="4"/>
      <c r="BS475" s="4"/>
      <c r="BT475" s="4"/>
      <c r="BU475" s="4"/>
      <c r="BV475" s="4"/>
      <c r="BW475" s="4"/>
      <c r="BX475" s="4"/>
      <c r="BY475" s="4"/>
      <c r="BZ475" s="4"/>
      <c r="CA475" s="4"/>
      <c r="CB475" s="4"/>
      <c r="CC475" s="4"/>
      <c r="CD475" s="4"/>
      <c r="CE475" s="4"/>
      <c r="CF475" s="4"/>
      <c r="CG475" s="4"/>
      <c r="CH475" s="4"/>
    </row>
    <row r="476" spans="1:86" x14ac:dyDescent="0.25">
      <c r="A476" s="12">
        <f t="shared" si="13"/>
        <v>473</v>
      </c>
      <c r="B476" s="4" t="s">
        <v>1398</v>
      </c>
      <c r="C476" s="4" t="s">
        <v>1399</v>
      </c>
      <c r="D476" s="4" t="s">
        <v>45</v>
      </c>
      <c r="E476" s="4"/>
      <c r="F476" s="14"/>
      <c r="G476" s="14"/>
      <c r="H476" s="14"/>
      <c r="I476" s="5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  <c r="BP476" s="4"/>
      <c r="BQ476" s="4"/>
      <c r="BR476" s="4"/>
      <c r="BS476" s="4"/>
      <c r="BT476" s="4"/>
      <c r="BU476" s="4"/>
      <c r="BV476" s="4"/>
      <c r="BW476" s="4"/>
      <c r="BX476" s="4"/>
      <c r="BY476" s="4"/>
      <c r="BZ476" s="4"/>
      <c r="CA476" s="4"/>
      <c r="CB476" s="4"/>
      <c r="CC476" s="4"/>
      <c r="CD476" s="4"/>
      <c r="CE476" s="4"/>
      <c r="CF476" s="4"/>
      <c r="CG476" s="4"/>
      <c r="CH476" s="4"/>
    </row>
    <row r="477" spans="1:86" x14ac:dyDescent="0.25">
      <c r="A477" s="12">
        <f t="shared" si="13"/>
        <v>474</v>
      </c>
      <c r="B477" s="4" t="s">
        <v>1400</v>
      </c>
      <c r="C477" s="4" t="s">
        <v>1401</v>
      </c>
      <c r="D477" s="4" t="s">
        <v>1125</v>
      </c>
      <c r="E477" s="4"/>
      <c r="F477" s="14"/>
      <c r="G477" s="14"/>
      <c r="H477" s="14"/>
      <c r="I477" s="5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  <c r="BP477" s="4"/>
      <c r="BQ477" s="4"/>
      <c r="BR477" s="4"/>
      <c r="BS477" s="4"/>
      <c r="BT477" s="4"/>
      <c r="BU477" s="4"/>
      <c r="BV477" s="4"/>
      <c r="BW477" s="4"/>
      <c r="BX477" s="4"/>
      <c r="BY477" s="4"/>
      <c r="BZ477" s="4"/>
      <c r="CA477" s="4"/>
      <c r="CB477" s="4"/>
      <c r="CC477" s="4"/>
      <c r="CD477" s="4"/>
      <c r="CE477" s="4"/>
      <c r="CF477" s="4"/>
      <c r="CG477" s="4"/>
      <c r="CH477" s="4"/>
    </row>
    <row r="478" spans="1:86" x14ac:dyDescent="0.25">
      <c r="A478" s="12">
        <f t="shared" si="13"/>
        <v>475</v>
      </c>
      <c r="B478" s="4" t="s">
        <v>1402</v>
      </c>
      <c r="C478" s="4" t="s">
        <v>1403</v>
      </c>
      <c r="D478" s="4" t="s">
        <v>45</v>
      </c>
      <c r="E478" s="4"/>
      <c r="F478" s="14"/>
      <c r="G478" s="14"/>
      <c r="H478" s="14"/>
      <c r="I478" s="5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  <c r="BP478" s="4"/>
      <c r="BQ478" s="4"/>
      <c r="BR478" s="4"/>
      <c r="BS478" s="4"/>
      <c r="BT478" s="4"/>
      <c r="BU478" s="4"/>
      <c r="BV478" s="4"/>
      <c r="BW478" s="4"/>
      <c r="BX478" s="4"/>
      <c r="BY478" s="4"/>
      <c r="BZ478" s="4"/>
      <c r="CA478" s="4"/>
      <c r="CB478" s="4"/>
      <c r="CC478" s="4"/>
      <c r="CD478" s="4"/>
      <c r="CE478" s="4"/>
      <c r="CF478" s="4"/>
      <c r="CG478" s="4"/>
      <c r="CH478" s="4"/>
    </row>
    <row r="479" spans="1:86" x14ac:dyDescent="0.25">
      <c r="A479" s="12">
        <f t="shared" si="13"/>
        <v>476</v>
      </c>
      <c r="B479" s="4" t="s">
        <v>1404</v>
      </c>
      <c r="C479" s="4" t="s">
        <v>1405</v>
      </c>
      <c r="D479" s="4" t="s">
        <v>45</v>
      </c>
      <c r="E479" s="4"/>
      <c r="F479" s="14"/>
      <c r="G479" s="14"/>
      <c r="H479" s="14"/>
      <c r="I479" s="5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  <c r="BP479" s="4"/>
      <c r="BQ479" s="4"/>
      <c r="BR479" s="4"/>
      <c r="BS479" s="4"/>
      <c r="BT479" s="4"/>
      <c r="BU479" s="4"/>
      <c r="BV479" s="4"/>
      <c r="BW479" s="4"/>
      <c r="BX479" s="4"/>
      <c r="BY479" s="4"/>
      <c r="BZ479" s="4"/>
      <c r="CA479" s="4"/>
      <c r="CB479" s="4"/>
      <c r="CC479" s="4"/>
      <c r="CD479" s="4"/>
      <c r="CE479" s="4"/>
      <c r="CF479" s="4"/>
      <c r="CG479" s="4"/>
      <c r="CH479" s="4"/>
    </row>
    <row r="480" spans="1:86" x14ac:dyDescent="0.25">
      <c r="A480" s="12">
        <f t="shared" si="13"/>
        <v>477</v>
      </c>
      <c r="B480" s="4" t="s">
        <v>984</v>
      </c>
      <c r="C480" s="4" t="s">
        <v>985</v>
      </c>
      <c r="D480" s="4" t="s">
        <v>45</v>
      </c>
      <c r="E480" s="4"/>
      <c r="F480" s="14"/>
      <c r="G480" s="14"/>
      <c r="H480" s="14"/>
      <c r="I480" s="5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  <c r="BP480" s="4"/>
      <c r="BQ480" s="4"/>
      <c r="BR480" s="4"/>
      <c r="BS480" s="4"/>
      <c r="BT480" s="4"/>
      <c r="BU480" s="4"/>
      <c r="BV480" s="4"/>
      <c r="BW480" s="4"/>
      <c r="BX480" s="4"/>
      <c r="BY480" s="4"/>
      <c r="BZ480" s="4"/>
      <c r="CA480" s="4"/>
      <c r="CB480" s="4"/>
      <c r="CC480" s="4"/>
      <c r="CD480" s="4"/>
      <c r="CE480" s="4"/>
      <c r="CF480" s="4"/>
      <c r="CG480" s="4"/>
      <c r="CH480" s="4"/>
    </row>
    <row r="481" spans="1:86" x14ac:dyDescent="0.25">
      <c r="A481" s="12">
        <f t="shared" si="13"/>
        <v>478</v>
      </c>
      <c r="B481" s="4" t="s">
        <v>1406</v>
      </c>
      <c r="C481" s="4" t="s">
        <v>1407</v>
      </c>
      <c r="D481" s="4" t="s">
        <v>186</v>
      </c>
      <c r="E481" s="4"/>
      <c r="F481" s="14"/>
      <c r="G481" s="14"/>
      <c r="H481" s="14"/>
      <c r="I481" s="5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  <c r="BP481" s="4"/>
      <c r="BQ481" s="4"/>
      <c r="BR481" s="4"/>
      <c r="BS481" s="4"/>
      <c r="BT481" s="4"/>
      <c r="BU481" s="4"/>
      <c r="BV481" s="4"/>
      <c r="BW481" s="4"/>
      <c r="BX481" s="4"/>
      <c r="BY481" s="4"/>
      <c r="BZ481" s="4"/>
      <c r="CA481" s="4"/>
      <c r="CB481" s="4"/>
      <c r="CC481" s="4"/>
      <c r="CD481" s="4"/>
      <c r="CE481" s="4"/>
      <c r="CF481" s="4"/>
      <c r="CG481" s="4"/>
      <c r="CH481" s="4"/>
    </row>
    <row r="482" spans="1:86" x14ac:dyDescent="0.25">
      <c r="A482" s="12">
        <f t="shared" si="13"/>
        <v>479</v>
      </c>
      <c r="B482" s="4" t="s">
        <v>1408</v>
      </c>
      <c r="C482" s="4" t="s">
        <v>1409</v>
      </c>
      <c r="D482" s="4" t="s">
        <v>45</v>
      </c>
      <c r="E482" s="4"/>
      <c r="F482" s="14"/>
      <c r="G482" s="14"/>
      <c r="H482" s="14"/>
      <c r="I482" s="5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  <c r="BP482" s="4"/>
      <c r="BQ482" s="4"/>
      <c r="BR482" s="4"/>
      <c r="BS482" s="4"/>
      <c r="BT482" s="4"/>
      <c r="BU482" s="4"/>
      <c r="BV482" s="4"/>
      <c r="BW482" s="4"/>
      <c r="BX482" s="4"/>
      <c r="BY482" s="4"/>
      <c r="BZ482" s="4"/>
      <c r="CA482" s="4"/>
      <c r="CB482" s="4"/>
      <c r="CC482" s="4"/>
      <c r="CD482" s="4"/>
      <c r="CE482" s="4"/>
      <c r="CF482" s="4"/>
      <c r="CG482" s="4"/>
      <c r="CH482" s="4"/>
    </row>
    <row r="483" spans="1:86" x14ac:dyDescent="0.25">
      <c r="A483" s="12">
        <f t="shared" si="13"/>
        <v>480</v>
      </c>
      <c r="B483" s="4" t="s">
        <v>1410</v>
      </c>
      <c r="C483" s="4" t="s">
        <v>1411</v>
      </c>
      <c r="D483" s="4" t="s">
        <v>161</v>
      </c>
      <c r="E483" s="4"/>
      <c r="F483" s="14"/>
      <c r="G483" s="14"/>
      <c r="H483" s="14"/>
      <c r="I483" s="5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  <c r="BP483" s="4"/>
      <c r="BQ483" s="4"/>
      <c r="BR483" s="4"/>
      <c r="BS483" s="4"/>
      <c r="BT483" s="4"/>
      <c r="BU483" s="4"/>
      <c r="BV483" s="4"/>
      <c r="BW483" s="4"/>
      <c r="BX483" s="4"/>
      <c r="BY483" s="4"/>
      <c r="BZ483" s="4"/>
      <c r="CA483" s="4"/>
      <c r="CB483" s="4"/>
      <c r="CC483" s="4"/>
      <c r="CD483" s="4"/>
      <c r="CE483" s="4"/>
      <c r="CF483" s="4"/>
      <c r="CG483" s="4"/>
      <c r="CH483" s="4"/>
    </row>
    <row r="484" spans="1:86" x14ac:dyDescent="0.25">
      <c r="A484" s="12">
        <f t="shared" si="13"/>
        <v>481</v>
      </c>
      <c r="B484" s="4" t="s">
        <v>1412</v>
      </c>
      <c r="C484" s="4" t="s">
        <v>1413</v>
      </c>
      <c r="D484" s="4" t="s">
        <v>45</v>
      </c>
      <c r="E484" s="4"/>
      <c r="F484" s="14"/>
      <c r="G484" s="14"/>
      <c r="H484" s="14"/>
      <c r="I484" s="5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  <c r="BP484" s="4"/>
      <c r="BQ484" s="4"/>
      <c r="BR484" s="4"/>
      <c r="BS484" s="4"/>
      <c r="BT484" s="4"/>
      <c r="BU484" s="4"/>
      <c r="BV484" s="4"/>
      <c r="BW484" s="4"/>
      <c r="BX484" s="4"/>
      <c r="BY484" s="4"/>
      <c r="BZ484" s="4"/>
      <c r="CA484" s="4"/>
      <c r="CB484" s="4"/>
      <c r="CC484" s="4"/>
      <c r="CD484" s="4"/>
      <c r="CE484" s="4"/>
      <c r="CF484" s="4"/>
      <c r="CG484" s="4"/>
      <c r="CH484" s="4"/>
    </row>
    <row r="485" spans="1:86" x14ac:dyDescent="0.25">
      <c r="A485" s="12">
        <f t="shared" si="13"/>
        <v>482</v>
      </c>
      <c r="B485" s="4" t="s">
        <v>1414</v>
      </c>
      <c r="C485" s="4" t="s">
        <v>1415</v>
      </c>
      <c r="D485" s="4" t="s">
        <v>45</v>
      </c>
      <c r="E485" s="4"/>
      <c r="F485" s="14"/>
      <c r="G485" s="14"/>
      <c r="H485" s="14"/>
      <c r="I485" s="5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  <c r="BP485" s="4"/>
      <c r="BQ485" s="4"/>
      <c r="BR485" s="4"/>
      <c r="BS485" s="4"/>
      <c r="BT485" s="4"/>
      <c r="BU485" s="4"/>
      <c r="BV485" s="4"/>
      <c r="BW485" s="4"/>
      <c r="BX485" s="4"/>
      <c r="BY485" s="4"/>
      <c r="BZ485" s="4"/>
      <c r="CA485" s="4"/>
      <c r="CB485" s="4"/>
      <c r="CC485" s="4"/>
      <c r="CD485" s="4"/>
      <c r="CE485" s="4"/>
      <c r="CF485" s="4"/>
      <c r="CG485" s="4"/>
      <c r="CH485" s="4"/>
    </row>
    <row r="486" spans="1:86" x14ac:dyDescent="0.25">
      <c r="A486" s="12">
        <f t="shared" si="13"/>
        <v>483</v>
      </c>
      <c r="B486" s="4" t="s">
        <v>1416</v>
      </c>
      <c r="C486" s="4" t="s">
        <v>1417</v>
      </c>
      <c r="D486" s="4" t="s">
        <v>45</v>
      </c>
      <c r="E486" s="4"/>
      <c r="F486" s="14"/>
      <c r="G486" s="14"/>
      <c r="H486" s="14"/>
      <c r="I486" s="5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  <c r="BP486" s="4"/>
      <c r="BQ486" s="4"/>
      <c r="BR486" s="4"/>
      <c r="BS486" s="4"/>
      <c r="BT486" s="4"/>
      <c r="BU486" s="4"/>
      <c r="BV486" s="4"/>
      <c r="BW486" s="4"/>
      <c r="BX486" s="4"/>
      <c r="BY486" s="4"/>
      <c r="BZ486" s="4"/>
      <c r="CA486" s="4"/>
      <c r="CB486" s="4"/>
      <c r="CC486" s="4"/>
      <c r="CD486" s="4"/>
      <c r="CE486" s="4"/>
      <c r="CF486" s="4"/>
      <c r="CG486" s="4"/>
      <c r="CH486" s="4"/>
    </row>
    <row r="487" spans="1:86" x14ac:dyDescent="0.25">
      <c r="A487" s="12">
        <f t="shared" si="13"/>
        <v>484</v>
      </c>
      <c r="B487" s="4" t="s">
        <v>1418</v>
      </c>
      <c r="C487" s="4" t="s">
        <v>1419</v>
      </c>
      <c r="D487" s="4" t="s">
        <v>1130</v>
      </c>
      <c r="E487" s="4"/>
      <c r="F487" s="14"/>
      <c r="G487" s="14"/>
      <c r="H487" s="14"/>
      <c r="I487" s="5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  <c r="BP487" s="4"/>
      <c r="BQ487" s="4"/>
      <c r="BR487" s="4"/>
      <c r="BS487" s="4"/>
      <c r="BT487" s="4"/>
      <c r="BU487" s="4"/>
      <c r="BV487" s="4"/>
      <c r="BW487" s="4"/>
      <c r="BX487" s="4"/>
      <c r="BY487" s="4"/>
      <c r="BZ487" s="4"/>
      <c r="CA487" s="4"/>
      <c r="CB487" s="4"/>
      <c r="CC487" s="4"/>
      <c r="CD487" s="4"/>
      <c r="CE487" s="4"/>
      <c r="CF487" s="4"/>
      <c r="CG487" s="4"/>
      <c r="CH487" s="4"/>
    </row>
    <row r="488" spans="1:86" x14ac:dyDescent="0.25">
      <c r="A488" s="12">
        <f t="shared" si="13"/>
        <v>485</v>
      </c>
      <c r="B488" s="4" t="s">
        <v>1420</v>
      </c>
      <c r="C488" s="4" t="s">
        <v>1421</v>
      </c>
      <c r="D488" s="4" t="s">
        <v>508</v>
      </c>
      <c r="E488" s="4"/>
      <c r="F488" s="14"/>
      <c r="G488" s="14"/>
      <c r="H488" s="14"/>
      <c r="I488" s="5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  <c r="BP488" s="4"/>
      <c r="BQ488" s="4"/>
      <c r="BR488" s="4"/>
      <c r="BS488" s="4"/>
      <c r="BT488" s="4"/>
      <c r="BU488" s="4"/>
      <c r="BV488" s="4"/>
      <c r="BW488" s="4"/>
      <c r="BX488" s="4"/>
      <c r="BY488" s="4"/>
      <c r="BZ488" s="4"/>
      <c r="CA488" s="4"/>
      <c r="CB488" s="4"/>
      <c r="CC488" s="4"/>
      <c r="CD488" s="4"/>
      <c r="CE488" s="4"/>
      <c r="CF488" s="4"/>
      <c r="CG488" s="4"/>
      <c r="CH488" s="4"/>
    </row>
    <row r="489" spans="1:86" x14ac:dyDescent="0.25">
      <c r="A489" s="12">
        <f t="shared" si="13"/>
        <v>486</v>
      </c>
      <c r="B489" s="4" t="s">
        <v>1422</v>
      </c>
      <c r="C489" s="4" t="s">
        <v>1423</v>
      </c>
      <c r="D489" s="4" t="s">
        <v>955</v>
      </c>
      <c r="E489" s="4"/>
      <c r="F489" s="14"/>
      <c r="G489" s="14"/>
      <c r="H489" s="14"/>
      <c r="I489" s="5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  <c r="BP489" s="4"/>
      <c r="BQ489" s="4"/>
      <c r="BR489" s="4"/>
      <c r="BS489" s="4"/>
      <c r="BT489" s="4"/>
      <c r="BU489" s="4"/>
      <c r="BV489" s="4"/>
      <c r="BW489" s="4"/>
      <c r="BX489" s="4"/>
      <c r="BY489" s="4"/>
      <c r="BZ489" s="4"/>
      <c r="CA489" s="4"/>
      <c r="CB489" s="4"/>
      <c r="CC489" s="4"/>
      <c r="CD489" s="4"/>
      <c r="CE489" s="4"/>
      <c r="CF489" s="4"/>
      <c r="CG489" s="4"/>
      <c r="CH489" s="4"/>
    </row>
    <row r="490" spans="1:86" x14ac:dyDescent="0.25">
      <c r="A490" s="12">
        <f t="shared" si="13"/>
        <v>487</v>
      </c>
      <c r="B490" s="4" t="s">
        <v>1424</v>
      </c>
      <c r="C490" s="4" t="s">
        <v>1425</v>
      </c>
      <c r="D490" s="4" t="s">
        <v>768</v>
      </c>
      <c r="E490" s="4"/>
      <c r="F490" s="14"/>
      <c r="G490" s="14"/>
      <c r="H490" s="14"/>
      <c r="I490" s="5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  <c r="BP490" s="4"/>
      <c r="BQ490" s="4"/>
      <c r="BR490" s="4"/>
      <c r="BS490" s="4"/>
      <c r="BT490" s="4"/>
      <c r="BU490" s="4"/>
      <c r="BV490" s="4"/>
      <c r="BW490" s="4"/>
      <c r="BX490" s="4"/>
      <c r="BY490" s="4"/>
      <c r="BZ490" s="4"/>
      <c r="CA490" s="4"/>
      <c r="CB490" s="4"/>
      <c r="CC490" s="4"/>
      <c r="CD490" s="4"/>
      <c r="CE490" s="4"/>
      <c r="CF490" s="4"/>
      <c r="CG490" s="4"/>
      <c r="CH490" s="4"/>
    </row>
    <row r="491" spans="1:86" x14ac:dyDescent="0.25">
      <c r="A491" s="12">
        <f t="shared" si="13"/>
        <v>488</v>
      </c>
      <c r="B491" s="4" t="s">
        <v>1426</v>
      </c>
      <c r="C491" s="4" t="s">
        <v>1427</v>
      </c>
      <c r="D491" s="4" t="s">
        <v>1124</v>
      </c>
      <c r="E491" s="4"/>
      <c r="F491" s="14"/>
      <c r="G491" s="14"/>
      <c r="H491" s="14"/>
      <c r="I491" s="5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  <c r="BP491" s="4"/>
      <c r="BQ491" s="4"/>
      <c r="BR491" s="4"/>
      <c r="BS491" s="4"/>
      <c r="BT491" s="4"/>
      <c r="BU491" s="4"/>
      <c r="BV491" s="4"/>
      <c r="BW491" s="4"/>
      <c r="BX491" s="4"/>
      <c r="BY491" s="4"/>
      <c r="BZ491" s="4"/>
      <c r="CA491" s="4"/>
      <c r="CB491" s="4"/>
      <c r="CC491" s="4"/>
      <c r="CD491" s="4"/>
      <c r="CE491" s="4"/>
      <c r="CF491" s="4"/>
      <c r="CG491" s="4"/>
      <c r="CH491" s="4"/>
    </row>
    <row r="492" spans="1:86" x14ac:dyDescent="0.25">
      <c r="A492" s="12">
        <f t="shared" si="13"/>
        <v>489</v>
      </c>
      <c r="B492" s="4" t="s">
        <v>1428</v>
      </c>
      <c r="C492" s="4" t="s">
        <v>1429</v>
      </c>
      <c r="D492" s="4" t="s">
        <v>1125</v>
      </c>
      <c r="E492" s="4"/>
      <c r="F492" s="14"/>
      <c r="G492" s="14"/>
      <c r="H492" s="14"/>
      <c r="I492" s="5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  <c r="BP492" s="4"/>
      <c r="BQ492" s="4"/>
      <c r="BR492" s="4"/>
      <c r="BS492" s="4"/>
      <c r="BT492" s="4"/>
      <c r="BU492" s="4"/>
      <c r="BV492" s="4"/>
      <c r="BW492" s="4"/>
      <c r="BX492" s="4"/>
      <c r="BY492" s="4"/>
      <c r="BZ492" s="4"/>
      <c r="CA492" s="4"/>
      <c r="CB492" s="4"/>
      <c r="CC492" s="4"/>
      <c r="CD492" s="4"/>
      <c r="CE492" s="4"/>
      <c r="CF492" s="4"/>
      <c r="CG492" s="4"/>
      <c r="CH492" s="4"/>
    </row>
    <row r="493" spans="1:86" x14ac:dyDescent="0.25">
      <c r="A493" s="12">
        <f t="shared" si="13"/>
        <v>490</v>
      </c>
      <c r="B493" s="4" t="s">
        <v>1430</v>
      </c>
      <c r="C493" s="4" t="s">
        <v>1431</v>
      </c>
      <c r="D493" s="4" t="s">
        <v>508</v>
      </c>
      <c r="E493" s="4"/>
      <c r="F493" s="14"/>
      <c r="G493" s="14"/>
      <c r="H493" s="14"/>
      <c r="I493" s="5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  <c r="BP493" s="4"/>
      <c r="BQ493" s="4"/>
      <c r="BR493" s="4"/>
      <c r="BS493" s="4"/>
      <c r="BT493" s="4"/>
      <c r="BU493" s="4"/>
      <c r="BV493" s="4"/>
      <c r="BW493" s="4"/>
      <c r="BX493" s="4"/>
      <c r="BY493" s="4"/>
      <c r="BZ493" s="4"/>
      <c r="CA493" s="4"/>
      <c r="CB493" s="4"/>
      <c r="CC493" s="4"/>
      <c r="CD493" s="4"/>
      <c r="CE493" s="4"/>
      <c r="CF493" s="4"/>
      <c r="CG493" s="4"/>
      <c r="CH493" s="4"/>
    </row>
    <row r="494" spans="1:86" x14ac:dyDescent="0.25">
      <c r="A494" s="12">
        <f t="shared" si="13"/>
        <v>491</v>
      </c>
      <c r="B494" s="4" t="s">
        <v>1432</v>
      </c>
      <c r="C494" s="4" t="s">
        <v>1433</v>
      </c>
      <c r="D494" s="4" t="s">
        <v>508</v>
      </c>
      <c r="E494" s="4"/>
      <c r="F494" s="14"/>
      <c r="G494" s="14"/>
      <c r="H494" s="14"/>
      <c r="I494" s="5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  <c r="BP494" s="4"/>
      <c r="BQ494" s="4"/>
      <c r="BR494" s="4"/>
      <c r="BS494" s="4"/>
      <c r="BT494" s="4"/>
      <c r="BU494" s="4"/>
      <c r="BV494" s="4"/>
      <c r="BW494" s="4"/>
      <c r="BX494" s="4"/>
      <c r="BY494" s="4"/>
      <c r="BZ494" s="4"/>
      <c r="CA494" s="4"/>
      <c r="CB494" s="4"/>
      <c r="CC494" s="4"/>
      <c r="CD494" s="4"/>
      <c r="CE494" s="4"/>
      <c r="CF494" s="4"/>
      <c r="CG494" s="4"/>
      <c r="CH494" s="4"/>
    </row>
    <row r="495" spans="1:86" x14ac:dyDescent="0.25">
      <c r="A495" s="12">
        <f t="shared" si="13"/>
        <v>492</v>
      </c>
      <c r="B495" s="4" t="s">
        <v>1434</v>
      </c>
      <c r="C495" s="4" t="s">
        <v>1435</v>
      </c>
      <c r="D495" s="4" t="s">
        <v>508</v>
      </c>
      <c r="E495" s="4"/>
      <c r="F495" s="14"/>
      <c r="G495" s="14"/>
      <c r="H495" s="14"/>
      <c r="I495" s="5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  <c r="BP495" s="4"/>
      <c r="BQ495" s="4"/>
      <c r="BR495" s="4"/>
      <c r="BS495" s="4"/>
      <c r="BT495" s="4"/>
      <c r="BU495" s="4"/>
      <c r="BV495" s="4"/>
      <c r="BW495" s="4"/>
      <c r="BX495" s="4"/>
      <c r="BY495" s="4"/>
      <c r="BZ495" s="4"/>
      <c r="CA495" s="4"/>
      <c r="CB495" s="4"/>
      <c r="CC495" s="4"/>
      <c r="CD495" s="4"/>
      <c r="CE495" s="4"/>
      <c r="CF495" s="4"/>
      <c r="CG495" s="4"/>
      <c r="CH495" s="4"/>
    </row>
    <row r="496" spans="1:86" x14ac:dyDescent="0.25">
      <c r="A496" s="12">
        <f t="shared" si="13"/>
        <v>493</v>
      </c>
      <c r="B496" s="4" t="s">
        <v>1436</v>
      </c>
      <c r="C496" s="4" t="s">
        <v>1437</v>
      </c>
      <c r="D496" s="4" t="s">
        <v>398</v>
      </c>
      <c r="E496" s="4"/>
      <c r="F496" s="14"/>
      <c r="G496" s="14"/>
      <c r="H496" s="14"/>
      <c r="I496" s="5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  <c r="BP496" s="4"/>
      <c r="BQ496" s="4"/>
      <c r="BR496" s="4"/>
      <c r="BS496" s="4"/>
      <c r="BT496" s="4"/>
      <c r="BU496" s="4"/>
      <c r="BV496" s="4"/>
      <c r="BW496" s="4"/>
      <c r="BX496" s="4"/>
      <c r="BY496" s="4"/>
      <c r="BZ496" s="4"/>
      <c r="CA496" s="4"/>
      <c r="CB496" s="4"/>
      <c r="CC496" s="4"/>
      <c r="CD496" s="4"/>
      <c r="CE496" s="4"/>
      <c r="CF496" s="4"/>
      <c r="CG496" s="4"/>
      <c r="CH496" s="4"/>
    </row>
    <row r="497" spans="1:86" x14ac:dyDescent="0.25">
      <c r="A497" s="12">
        <f t="shared" si="13"/>
        <v>494</v>
      </c>
      <c r="B497" s="4" t="s">
        <v>1438</v>
      </c>
      <c r="C497" s="4" t="s">
        <v>1439</v>
      </c>
      <c r="D497" s="4" t="s">
        <v>84</v>
      </c>
      <c r="E497" s="4"/>
      <c r="F497" s="14"/>
      <c r="G497" s="14"/>
      <c r="H497" s="14"/>
      <c r="I497" s="5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  <c r="BP497" s="4"/>
      <c r="BQ497" s="4"/>
      <c r="BR497" s="4"/>
      <c r="BS497" s="4"/>
      <c r="BT497" s="4"/>
      <c r="BU497" s="4"/>
      <c r="BV497" s="4"/>
      <c r="BW497" s="4"/>
      <c r="BX497" s="4"/>
      <c r="BY497" s="4"/>
      <c r="BZ497" s="4"/>
      <c r="CA497" s="4"/>
      <c r="CB497" s="4"/>
      <c r="CC497" s="4"/>
      <c r="CD497" s="4"/>
      <c r="CE497" s="4"/>
      <c r="CF497" s="4"/>
      <c r="CG497" s="4"/>
      <c r="CH497" s="4"/>
    </row>
    <row r="498" spans="1:86" x14ac:dyDescent="0.25">
      <c r="A498" s="12">
        <f t="shared" si="13"/>
        <v>495</v>
      </c>
      <c r="B498" s="4" t="s">
        <v>988</v>
      </c>
      <c r="C498" s="4" t="s">
        <v>989</v>
      </c>
      <c r="D498" s="4" t="s">
        <v>1123</v>
      </c>
      <c r="E498" s="4"/>
      <c r="F498" s="14"/>
      <c r="G498" s="14"/>
      <c r="H498" s="14"/>
      <c r="I498" s="5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  <c r="BP498" s="4"/>
      <c r="BQ498" s="4"/>
      <c r="BR498" s="4"/>
      <c r="BS498" s="4"/>
      <c r="BT498" s="4"/>
      <c r="BU498" s="4"/>
      <c r="BV498" s="4"/>
      <c r="BW498" s="4"/>
      <c r="BX498" s="4"/>
      <c r="BY498" s="4"/>
      <c r="BZ498" s="4"/>
      <c r="CA498" s="4"/>
      <c r="CB498" s="4"/>
      <c r="CC498" s="4"/>
      <c r="CD498" s="4"/>
      <c r="CE498" s="4"/>
      <c r="CF498" s="4"/>
      <c r="CG498" s="4"/>
      <c r="CH498" s="4"/>
    </row>
    <row r="499" spans="1:86" x14ac:dyDescent="0.25">
      <c r="A499" s="12">
        <f t="shared" si="13"/>
        <v>496</v>
      </c>
      <c r="B499" s="4" t="s">
        <v>1440</v>
      </c>
      <c r="C499" s="4" t="s">
        <v>1441</v>
      </c>
      <c r="D499" s="4" t="s">
        <v>45</v>
      </c>
      <c r="E499" s="4"/>
      <c r="F499" s="14"/>
      <c r="G499" s="14"/>
      <c r="H499" s="14"/>
      <c r="I499" s="5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  <c r="BP499" s="4"/>
      <c r="BQ499" s="4"/>
      <c r="BR499" s="4"/>
      <c r="BS499" s="4"/>
      <c r="BT499" s="4"/>
      <c r="BU499" s="4"/>
      <c r="BV499" s="4"/>
      <c r="BW499" s="4"/>
      <c r="BX499" s="4"/>
      <c r="BY499" s="4"/>
      <c r="BZ499" s="4"/>
      <c r="CA499" s="4"/>
      <c r="CB499" s="4"/>
      <c r="CC499" s="4"/>
      <c r="CD499" s="4"/>
      <c r="CE499" s="4"/>
      <c r="CF499" s="4"/>
      <c r="CG499" s="4"/>
      <c r="CH499" s="4"/>
    </row>
    <row r="500" spans="1:86" x14ac:dyDescent="0.25">
      <c r="A500" s="12">
        <f t="shared" si="13"/>
        <v>497</v>
      </c>
      <c r="B500" s="4" t="s">
        <v>1442</v>
      </c>
      <c r="C500" s="4" t="s">
        <v>1443</v>
      </c>
      <c r="D500" s="4" t="s">
        <v>45</v>
      </c>
      <c r="E500" s="4"/>
      <c r="F500" s="14"/>
      <c r="G500" s="14"/>
      <c r="H500" s="14"/>
      <c r="I500" s="5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  <c r="BP500" s="4"/>
      <c r="BQ500" s="4"/>
      <c r="BR500" s="4"/>
      <c r="BS500" s="4"/>
      <c r="BT500" s="4"/>
      <c r="BU500" s="4"/>
      <c r="BV500" s="4"/>
      <c r="BW500" s="4"/>
      <c r="BX500" s="4"/>
      <c r="BY500" s="4"/>
      <c r="BZ500" s="4"/>
      <c r="CA500" s="4"/>
      <c r="CB500" s="4"/>
      <c r="CC500" s="4"/>
      <c r="CD500" s="4"/>
      <c r="CE500" s="4"/>
      <c r="CF500" s="4"/>
      <c r="CG500" s="4"/>
      <c r="CH500" s="4"/>
    </row>
    <row r="501" spans="1:86" x14ac:dyDescent="0.25">
      <c r="A501" s="12">
        <f t="shared" si="13"/>
        <v>498</v>
      </c>
      <c r="B501" s="4" t="s">
        <v>1444</v>
      </c>
      <c r="C501" s="4" t="s">
        <v>1445</v>
      </c>
      <c r="D501" s="4" t="s">
        <v>45</v>
      </c>
      <c r="E501" s="4"/>
      <c r="F501" s="14"/>
      <c r="G501" s="14"/>
      <c r="H501" s="14"/>
      <c r="I501" s="5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  <c r="BP501" s="4"/>
      <c r="BQ501" s="4"/>
      <c r="BR501" s="4"/>
      <c r="BS501" s="4"/>
      <c r="BT501" s="4"/>
      <c r="BU501" s="4"/>
      <c r="BV501" s="4"/>
      <c r="BW501" s="4"/>
      <c r="BX501" s="4"/>
      <c r="BY501" s="4"/>
      <c r="BZ501" s="4"/>
      <c r="CA501" s="4"/>
      <c r="CB501" s="4"/>
      <c r="CC501" s="4"/>
      <c r="CD501" s="4"/>
      <c r="CE501" s="4"/>
      <c r="CF501" s="4"/>
      <c r="CG501" s="4"/>
      <c r="CH501" s="4"/>
    </row>
    <row r="502" spans="1:86" x14ac:dyDescent="0.25">
      <c r="A502" s="12">
        <f t="shared" si="13"/>
        <v>499</v>
      </c>
      <c r="B502" s="4" t="s">
        <v>1446</v>
      </c>
      <c r="C502" s="4" t="s">
        <v>1447</v>
      </c>
      <c r="D502" s="4" t="s">
        <v>1129</v>
      </c>
      <c r="E502" s="4"/>
      <c r="F502" s="14"/>
      <c r="G502" s="14"/>
      <c r="H502" s="14"/>
      <c r="I502" s="5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  <c r="BP502" s="4"/>
      <c r="BQ502" s="4"/>
      <c r="BR502" s="4"/>
      <c r="BS502" s="4"/>
      <c r="BT502" s="4"/>
      <c r="BU502" s="4"/>
      <c r="BV502" s="4"/>
      <c r="BW502" s="4"/>
      <c r="BX502" s="4"/>
      <c r="BY502" s="4"/>
      <c r="BZ502" s="4"/>
      <c r="CA502" s="4"/>
      <c r="CB502" s="4"/>
      <c r="CC502" s="4"/>
      <c r="CD502" s="4"/>
      <c r="CE502" s="4"/>
      <c r="CF502" s="4"/>
      <c r="CG502" s="4"/>
      <c r="CH502" s="4"/>
    </row>
    <row r="503" spans="1:86" x14ac:dyDescent="0.25">
      <c r="A503" s="12">
        <f t="shared" si="13"/>
        <v>500</v>
      </c>
      <c r="B503" s="4" t="s">
        <v>1448</v>
      </c>
      <c r="C503" s="4" t="s">
        <v>1449</v>
      </c>
      <c r="D503" s="4" t="s">
        <v>45</v>
      </c>
      <c r="E503" s="4"/>
      <c r="F503" s="14"/>
      <c r="G503" s="14"/>
      <c r="H503" s="14"/>
      <c r="I503" s="5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  <c r="BP503" s="4"/>
      <c r="BQ503" s="4"/>
      <c r="BR503" s="4"/>
      <c r="BS503" s="4"/>
      <c r="BT503" s="4"/>
      <c r="BU503" s="4"/>
      <c r="BV503" s="4"/>
      <c r="BW503" s="4"/>
      <c r="BX503" s="4"/>
      <c r="BY503" s="4"/>
      <c r="BZ503" s="4"/>
      <c r="CA503" s="4"/>
      <c r="CB503" s="4"/>
      <c r="CC503" s="4"/>
      <c r="CD503" s="4"/>
      <c r="CE503" s="4"/>
      <c r="CF503" s="4"/>
      <c r="CG503" s="4"/>
      <c r="CH503" s="4"/>
    </row>
    <row r="504" spans="1:86" x14ac:dyDescent="0.25">
      <c r="A504" s="12">
        <f t="shared" si="13"/>
        <v>501</v>
      </c>
      <c r="B504" s="4" t="s">
        <v>1450</v>
      </c>
      <c r="C504" s="4" t="s">
        <v>1451</v>
      </c>
      <c r="D504" s="4" t="s">
        <v>508</v>
      </c>
      <c r="E504" s="4"/>
      <c r="F504" s="14"/>
      <c r="G504" s="14"/>
      <c r="H504" s="14"/>
      <c r="I504" s="5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  <c r="BP504" s="4"/>
      <c r="BQ504" s="4"/>
      <c r="BR504" s="4"/>
      <c r="BS504" s="4"/>
      <c r="BT504" s="4"/>
      <c r="BU504" s="4"/>
      <c r="BV504" s="4"/>
      <c r="BW504" s="4"/>
      <c r="BX504" s="4"/>
      <c r="BY504" s="4"/>
      <c r="BZ504" s="4"/>
      <c r="CA504" s="4"/>
      <c r="CB504" s="4"/>
      <c r="CC504" s="4"/>
      <c r="CD504" s="4"/>
      <c r="CE504" s="4"/>
      <c r="CF504" s="4"/>
      <c r="CG504" s="4"/>
      <c r="CH504" s="4"/>
    </row>
    <row r="505" spans="1:86" x14ac:dyDescent="0.25">
      <c r="A505" s="12">
        <f t="shared" si="13"/>
        <v>502</v>
      </c>
      <c r="B505" s="4" t="s">
        <v>1452</v>
      </c>
      <c r="C505" s="4" t="s">
        <v>1453</v>
      </c>
      <c r="D505" s="4" t="s">
        <v>45</v>
      </c>
      <c r="E505" s="4"/>
      <c r="F505" s="14"/>
      <c r="G505" s="14"/>
      <c r="H505" s="14"/>
      <c r="I505" s="5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  <c r="BP505" s="4"/>
      <c r="BQ505" s="4"/>
      <c r="BR505" s="4"/>
      <c r="BS505" s="4"/>
      <c r="BT505" s="4"/>
      <c r="BU505" s="4"/>
      <c r="BV505" s="4"/>
      <c r="BW505" s="4"/>
      <c r="BX505" s="4"/>
      <c r="BY505" s="4"/>
      <c r="BZ505" s="4"/>
      <c r="CA505" s="4"/>
      <c r="CB505" s="4"/>
      <c r="CC505" s="4"/>
      <c r="CD505" s="4"/>
      <c r="CE505" s="4"/>
      <c r="CF505" s="4"/>
      <c r="CG505" s="4"/>
      <c r="CH505" s="4"/>
    </row>
    <row r="506" spans="1:86" x14ac:dyDescent="0.25">
      <c r="A506" s="12">
        <f t="shared" si="13"/>
        <v>503</v>
      </c>
      <c r="B506" s="4" t="s">
        <v>1454</v>
      </c>
      <c r="C506" s="4" t="s">
        <v>1455</v>
      </c>
      <c r="D506" s="4" t="s">
        <v>2571</v>
      </c>
      <c r="E506" s="4"/>
      <c r="F506" s="14"/>
      <c r="G506" s="14"/>
      <c r="H506" s="14"/>
      <c r="I506" s="5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  <c r="BP506" s="4"/>
      <c r="BQ506" s="4"/>
      <c r="BR506" s="4"/>
      <c r="BS506" s="4"/>
      <c r="BT506" s="4"/>
      <c r="BU506" s="4"/>
      <c r="BV506" s="4"/>
      <c r="BW506" s="4"/>
      <c r="BX506" s="4"/>
      <c r="BY506" s="4"/>
      <c r="BZ506" s="4"/>
      <c r="CA506" s="4"/>
      <c r="CB506" s="4"/>
      <c r="CC506" s="4"/>
      <c r="CD506" s="4"/>
      <c r="CE506" s="4"/>
      <c r="CF506" s="4"/>
      <c r="CG506" s="4"/>
      <c r="CH506" s="4"/>
    </row>
    <row r="507" spans="1:86" x14ac:dyDescent="0.25">
      <c r="A507" s="12">
        <f t="shared" si="13"/>
        <v>504</v>
      </c>
      <c r="B507" s="4" t="s">
        <v>1456</v>
      </c>
      <c r="C507" s="4" t="s">
        <v>1457</v>
      </c>
      <c r="D507" s="4" t="s">
        <v>45</v>
      </c>
      <c r="E507" s="4"/>
      <c r="F507" s="14"/>
      <c r="G507" s="14"/>
      <c r="H507" s="14"/>
      <c r="I507" s="5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  <c r="BP507" s="4"/>
      <c r="BQ507" s="4"/>
      <c r="BR507" s="4"/>
      <c r="BS507" s="4"/>
      <c r="BT507" s="4"/>
      <c r="BU507" s="4"/>
      <c r="BV507" s="4"/>
      <c r="BW507" s="4"/>
      <c r="BX507" s="4"/>
      <c r="BY507" s="4"/>
      <c r="BZ507" s="4"/>
      <c r="CA507" s="4"/>
      <c r="CB507" s="4"/>
      <c r="CC507" s="4"/>
      <c r="CD507" s="4"/>
      <c r="CE507" s="4"/>
      <c r="CF507" s="4"/>
      <c r="CG507" s="4"/>
      <c r="CH507" s="4"/>
    </row>
    <row r="508" spans="1:86" x14ac:dyDescent="0.25">
      <c r="A508" s="12">
        <f t="shared" si="13"/>
        <v>505</v>
      </c>
      <c r="B508" s="4" t="s">
        <v>1458</v>
      </c>
      <c r="C508" s="4" t="s">
        <v>1459</v>
      </c>
      <c r="D508" s="4" t="s">
        <v>161</v>
      </c>
      <c r="E508" s="4"/>
      <c r="F508" s="14"/>
      <c r="G508" s="14"/>
      <c r="H508" s="14"/>
      <c r="I508" s="5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  <c r="BP508" s="4"/>
      <c r="BQ508" s="4"/>
      <c r="BR508" s="4"/>
      <c r="BS508" s="4"/>
      <c r="BT508" s="4"/>
      <c r="BU508" s="4"/>
      <c r="BV508" s="4"/>
      <c r="BW508" s="4"/>
      <c r="BX508" s="4"/>
      <c r="BY508" s="4"/>
      <c r="BZ508" s="4"/>
      <c r="CA508" s="4"/>
      <c r="CB508" s="4"/>
      <c r="CC508" s="4"/>
      <c r="CD508" s="4"/>
      <c r="CE508" s="4"/>
      <c r="CF508" s="4"/>
      <c r="CG508" s="4"/>
      <c r="CH508" s="4"/>
    </row>
    <row r="509" spans="1:86" x14ac:dyDescent="0.25">
      <c r="A509" s="12">
        <f t="shared" si="13"/>
        <v>506</v>
      </c>
      <c r="B509" s="4" t="s">
        <v>1460</v>
      </c>
      <c r="C509" s="4" t="s">
        <v>1461</v>
      </c>
      <c r="D509" s="4" t="s">
        <v>508</v>
      </c>
      <c r="E509" s="4"/>
      <c r="F509" s="14"/>
      <c r="G509" s="14"/>
      <c r="H509" s="14"/>
      <c r="I509" s="5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  <c r="BP509" s="4"/>
      <c r="BQ509" s="4"/>
      <c r="BR509" s="4"/>
      <c r="BS509" s="4"/>
      <c r="BT509" s="4"/>
      <c r="BU509" s="4"/>
      <c r="BV509" s="4"/>
      <c r="BW509" s="4"/>
      <c r="BX509" s="4"/>
      <c r="BY509" s="4"/>
      <c r="BZ509" s="4"/>
      <c r="CA509" s="4"/>
      <c r="CB509" s="4"/>
      <c r="CC509" s="4"/>
      <c r="CD509" s="4"/>
      <c r="CE509" s="4"/>
      <c r="CF509" s="4"/>
      <c r="CG509" s="4"/>
      <c r="CH509" s="4"/>
    </row>
    <row r="510" spans="1:86" x14ac:dyDescent="0.25">
      <c r="A510" s="12">
        <f t="shared" si="13"/>
        <v>507</v>
      </c>
      <c r="B510" s="4" t="s">
        <v>1462</v>
      </c>
      <c r="C510" s="4" t="s">
        <v>1463</v>
      </c>
      <c r="D510" s="4" t="s">
        <v>1129</v>
      </c>
      <c r="E510" s="4"/>
      <c r="F510" s="14"/>
      <c r="G510" s="14"/>
      <c r="H510" s="14"/>
      <c r="I510" s="5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  <c r="BP510" s="4"/>
      <c r="BQ510" s="4"/>
      <c r="BR510" s="4"/>
      <c r="BS510" s="4"/>
      <c r="BT510" s="4"/>
      <c r="BU510" s="4"/>
      <c r="BV510" s="4"/>
      <c r="BW510" s="4"/>
      <c r="BX510" s="4"/>
      <c r="BY510" s="4"/>
      <c r="BZ510" s="4"/>
      <c r="CA510" s="4"/>
      <c r="CB510" s="4"/>
      <c r="CC510" s="4"/>
      <c r="CD510" s="4"/>
      <c r="CE510" s="4"/>
      <c r="CF510" s="4"/>
      <c r="CG510" s="4"/>
      <c r="CH510" s="4"/>
    </row>
    <row r="511" spans="1:86" x14ac:dyDescent="0.25">
      <c r="A511" s="12">
        <f t="shared" si="13"/>
        <v>508</v>
      </c>
      <c r="B511" s="4" t="s">
        <v>1464</v>
      </c>
      <c r="C511" s="4" t="s">
        <v>1465</v>
      </c>
      <c r="D511" s="4" t="s">
        <v>1123</v>
      </c>
      <c r="E511" s="4"/>
      <c r="F511" s="14"/>
      <c r="G511" s="14"/>
      <c r="H511" s="14"/>
      <c r="I511" s="5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  <c r="BP511" s="4"/>
      <c r="BQ511" s="4"/>
      <c r="BR511" s="4"/>
      <c r="BS511" s="4"/>
      <c r="BT511" s="4"/>
      <c r="BU511" s="4"/>
      <c r="BV511" s="4"/>
      <c r="BW511" s="4"/>
      <c r="BX511" s="4"/>
      <c r="BY511" s="4"/>
      <c r="BZ511" s="4"/>
      <c r="CA511" s="4"/>
      <c r="CB511" s="4"/>
      <c r="CC511" s="4"/>
      <c r="CD511" s="4"/>
      <c r="CE511" s="4"/>
      <c r="CF511" s="4"/>
      <c r="CG511" s="4"/>
      <c r="CH511" s="4"/>
    </row>
    <row r="512" spans="1:86" x14ac:dyDescent="0.25">
      <c r="A512" s="12">
        <f t="shared" si="13"/>
        <v>509</v>
      </c>
      <c r="B512" s="4" t="s">
        <v>1466</v>
      </c>
      <c r="C512" s="4" t="s">
        <v>1467</v>
      </c>
      <c r="D512" s="4" t="s">
        <v>1129</v>
      </c>
      <c r="E512" s="4"/>
      <c r="F512" s="14"/>
      <c r="G512" s="14"/>
      <c r="H512" s="14"/>
      <c r="I512" s="5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  <c r="BP512" s="4"/>
      <c r="BQ512" s="4"/>
      <c r="BR512" s="4"/>
      <c r="BS512" s="4"/>
      <c r="BT512" s="4"/>
      <c r="BU512" s="4"/>
      <c r="BV512" s="4"/>
      <c r="BW512" s="4"/>
      <c r="BX512" s="4"/>
      <c r="BY512" s="4"/>
      <c r="BZ512" s="4"/>
      <c r="CA512" s="4"/>
      <c r="CB512" s="4"/>
      <c r="CC512" s="4"/>
      <c r="CD512" s="4"/>
      <c r="CE512" s="4"/>
      <c r="CF512" s="4"/>
      <c r="CG512" s="4"/>
      <c r="CH512" s="4"/>
    </row>
    <row r="513" spans="1:86" x14ac:dyDescent="0.25">
      <c r="A513" s="12">
        <f t="shared" si="13"/>
        <v>510</v>
      </c>
      <c r="B513" s="4" t="s">
        <v>1468</v>
      </c>
      <c r="C513" s="4" t="s">
        <v>1469</v>
      </c>
      <c r="D513" s="4" t="s">
        <v>768</v>
      </c>
      <c r="E513" s="4"/>
      <c r="F513" s="14"/>
      <c r="G513" s="14"/>
      <c r="H513" s="14"/>
      <c r="I513" s="5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  <c r="BP513" s="4"/>
      <c r="BQ513" s="4"/>
      <c r="BR513" s="4"/>
      <c r="BS513" s="4"/>
      <c r="BT513" s="4"/>
      <c r="BU513" s="4"/>
      <c r="BV513" s="4"/>
      <c r="BW513" s="4"/>
      <c r="BX513" s="4"/>
      <c r="BY513" s="4"/>
      <c r="BZ513" s="4"/>
      <c r="CA513" s="4"/>
      <c r="CB513" s="4"/>
      <c r="CC513" s="4"/>
      <c r="CD513" s="4"/>
      <c r="CE513" s="4"/>
      <c r="CF513" s="4"/>
      <c r="CG513" s="4"/>
      <c r="CH513" s="4"/>
    </row>
    <row r="514" spans="1:86" x14ac:dyDescent="0.25">
      <c r="A514" s="12">
        <f t="shared" si="13"/>
        <v>511</v>
      </c>
      <c r="B514" s="4" t="s">
        <v>1470</v>
      </c>
      <c r="C514" s="4" t="s">
        <v>1471</v>
      </c>
      <c r="D514" s="4" t="s">
        <v>45</v>
      </c>
      <c r="E514" s="4"/>
      <c r="F514" s="14"/>
      <c r="G514" s="14"/>
      <c r="H514" s="14"/>
      <c r="I514" s="5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  <c r="BP514" s="4"/>
      <c r="BQ514" s="4"/>
      <c r="BR514" s="4"/>
      <c r="BS514" s="4"/>
      <c r="BT514" s="4"/>
      <c r="BU514" s="4"/>
      <c r="BV514" s="4"/>
      <c r="BW514" s="4"/>
      <c r="BX514" s="4"/>
      <c r="BY514" s="4"/>
      <c r="BZ514" s="4"/>
      <c r="CA514" s="4"/>
      <c r="CB514" s="4"/>
      <c r="CC514" s="4"/>
      <c r="CD514" s="4"/>
      <c r="CE514" s="4"/>
      <c r="CF514" s="4"/>
      <c r="CG514" s="4"/>
      <c r="CH514" s="4"/>
    </row>
    <row r="515" spans="1:86" x14ac:dyDescent="0.25">
      <c r="A515" s="12">
        <f t="shared" si="13"/>
        <v>512</v>
      </c>
      <c r="B515" s="4" t="s">
        <v>1472</v>
      </c>
      <c r="C515" s="4" t="s">
        <v>1473</v>
      </c>
      <c r="D515" s="4" t="s">
        <v>45</v>
      </c>
      <c r="E515" s="4"/>
      <c r="F515" s="14"/>
      <c r="G515" s="14"/>
      <c r="H515" s="14"/>
      <c r="I515" s="5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  <c r="BP515" s="4"/>
      <c r="BQ515" s="4"/>
      <c r="BR515" s="4"/>
      <c r="BS515" s="4"/>
      <c r="BT515" s="4"/>
      <c r="BU515" s="4"/>
      <c r="BV515" s="4"/>
      <c r="BW515" s="4"/>
      <c r="BX515" s="4"/>
      <c r="BY515" s="4"/>
      <c r="BZ515" s="4"/>
      <c r="CA515" s="4"/>
      <c r="CB515" s="4"/>
      <c r="CC515" s="4"/>
      <c r="CD515" s="4"/>
      <c r="CE515" s="4"/>
      <c r="CF515" s="4"/>
      <c r="CG515" s="4"/>
      <c r="CH515" s="4"/>
    </row>
    <row r="516" spans="1:86" x14ac:dyDescent="0.25">
      <c r="A516" s="12">
        <f t="shared" si="13"/>
        <v>513</v>
      </c>
      <c r="B516" s="4" t="s">
        <v>1474</v>
      </c>
      <c r="C516" s="4" t="s">
        <v>1475</v>
      </c>
      <c r="D516" s="4" t="s">
        <v>45</v>
      </c>
      <c r="E516" s="4"/>
      <c r="F516" s="14"/>
      <c r="G516" s="14"/>
      <c r="H516" s="14"/>
      <c r="I516" s="5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  <c r="BP516" s="4"/>
      <c r="BQ516" s="4"/>
      <c r="BR516" s="4"/>
      <c r="BS516" s="4"/>
      <c r="BT516" s="4"/>
      <c r="BU516" s="4"/>
      <c r="BV516" s="4"/>
      <c r="BW516" s="4"/>
      <c r="BX516" s="4"/>
      <c r="BY516" s="4"/>
      <c r="BZ516" s="4"/>
      <c r="CA516" s="4"/>
      <c r="CB516" s="4"/>
      <c r="CC516" s="4"/>
      <c r="CD516" s="4"/>
      <c r="CE516" s="4"/>
      <c r="CF516" s="4"/>
      <c r="CG516" s="4"/>
      <c r="CH516" s="4"/>
    </row>
    <row r="517" spans="1:86" x14ac:dyDescent="0.25">
      <c r="A517" s="12">
        <f t="shared" si="13"/>
        <v>514</v>
      </c>
      <c r="B517" s="4" t="s">
        <v>1476</v>
      </c>
      <c r="C517" s="4" t="s">
        <v>1477</v>
      </c>
      <c r="D517" s="4" t="s">
        <v>508</v>
      </c>
      <c r="E517" s="4"/>
      <c r="F517" s="14"/>
      <c r="G517" s="14"/>
      <c r="H517" s="14"/>
      <c r="I517" s="5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  <c r="BP517" s="4"/>
      <c r="BQ517" s="4"/>
      <c r="BR517" s="4"/>
      <c r="BS517" s="4"/>
      <c r="BT517" s="4"/>
      <c r="BU517" s="4"/>
      <c r="BV517" s="4"/>
      <c r="BW517" s="4"/>
      <c r="BX517" s="4"/>
      <c r="BY517" s="4"/>
      <c r="BZ517" s="4"/>
      <c r="CA517" s="4"/>
      <c r="CB517" s="4"/>
      <c r="CC517" s="4"/>
      <c r="CD517" s="4"/>
      <c r="CE517" s="4"/>
      <c r="CF517" s="4"/>
      <c r="CG517" s="4"/>
      <c r="CH517" s="4"/>
    </row>
    <row r="518" spans="1:86" x14ac:dyDescent="0.25">
      <c r="A518" s="12">
        <f t="shared" si="13"/>
        <v>515</v>
      </c>
      <c r="B518" s="4" t="s">
        <v>1478</v>
      </c>
      <c r="C518" s="4" t="s">
        <v>1479</v>
      </c>
      <c r="D518" s="4" t="s">
        <v>45</v>
      </c>
      <c r="E518" s="4"/>
      <c r="F518" s="14"/>
      <c r="G518" s="14"/>
      <c r="H518" s="14"/>
      <c r="I518" s="5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  <c r="BP518" s="4"/>
      <c r="BQ518" s="4"/>
      <c r="BR518" s="4"/>
      <c r="BS518" s="4"/>
      <c r="BT518" s="4"/>
      <c r="BU518" s="4"/>
      <c r="BV518" s="4"/>
      <c r="BW518" s="4"/>
      <c r="BX518" s="4"/>
      <c r="BY518" s="4"/>
      <c r="BZ518" s="4"/>
      <c r="CA518" s="4"/>
      <c r="CB518" s="4"/>
      <c r="CC518" s="4"/>
      <c r="CD518" s="4"/>
      <c r="CE518" s="4"/>
      <c r="CF518" s="4"/>
      <c r="CG518" s="4"/>
      <c r="CH518" s="4"/>
    </row>
    <row r="519" spans="1:86" x14ac:dyDescent="0.25">
      <c r="A519" s="12">
        <f t="shared" si="13"/>
        <v>516</v>
      </c>
      <c r="B519" s="4" t="s">
        <v>1480</v>
      </c>
      <c r="C519" s="4" t="s">
        <v>1481</v>
      </c>
      <c r="D519" s="4" t="s">
        <v>45</v>
      </c>
      <c r="E519" s="4"/>
      <c r="F519" s="14"/>
      <c r="G519" s="14"/>
      <c r="H519" s="14"/>
      <c r="I519" s="5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  <c r="BQ519" s="4"/>
      <c r="BR519" s="4"/>
      <c r="BS519" s="4"/>
      <c r="BT519" s="4"/>
      <c r="BU519" s="4"/>
      <c r="BV519" s="4"/>
      <c r="BW519" s="4"/>
      <c r="BX519" s="4"/>
      <c r="BY519" s="4"/>
      <c r="BZ519" s="4"/>
      <c r="CA519" s="4"/>
      <c r="CB519" s="4"/>
      <c r="CC519" s="4"/>
      <c r="CD519" s="4"/>
      <c r="CE519" s="4"/>
      <c r="CF519" s="4"/>
      <c r="CG519" s="4"/>
      <c r="CH519" s="4"/>
    </row>
    <row r="520" spans="1:86" x14ac:dyDescent="0.25">
      <c r="A520" s="12">
        <f t="shared" si="13"/>
        <v>517</v>
      </c>
      <c r="B520" s="4" t="s">
        <v>1482</v>
      </c>
      <c r="C520" s="4" t="s">
        <v>1483</v>
      </c>
      <c r="D520" s="4" t="s">
        <v>45</v>
      </c>
      <c r="E520" s="4"/>
      <c r="F520" s="14"/>
      <c r="G520" s="14"/>
      <c r="H520" s="14"/>
      <c r="I520" s="5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  <c r="BP520" s="4"/>
      <c r="BQ520" s="4"/>
      <c r="BR520" s="4"/>
      <c r="BS520" s="4"/>
      <c r="BT520" s="4"/>
      <c r="BU520" s="4"/>
      <c r="BV520" s="4"/>
      <c r="BW520" s="4"/>
      <c r="BX520" s="4"/>
      <c r="BY520" s="4"/>
      <c r="BZ520" s="4"/>
      <c r="CA520" s="4"/>
      <c r="CB520" s="4"/>
      <c r="CC520" s="4"/>
      <c r="CD520" s="4"/>
      <c r="CE520" s="4"/>
      <c r="CF520" s="4"/>
      <c r="CG520" s="4"/>
      <c r="CH520" s="4"/>
    </row>
    <row r="521" spans="1:86" x14ac:dyDescent="0.25">
      <c r="A521" s="12">
        <f t="shared" si="13"/>
        <v>518</v>
      </c>
      <c r="B521" s="4" t="s">
        <v>1484</v>
      </c>
      <c r="C521" s="4" t="s">
        <v>1485</v>
      </c>
      <c r="D521" s="4" t="s">
        <v>45</v>
      </c>
      <c r="E521" s="4"/>
      <c r="F521" s="14"/>
      <c r="G521" s="14"/>
      <c r="H521" s="14"/>
      <c r="I521" s="5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/>
      <c r="BP521" s="4"/>
      <c r="BQ521" s="4"/>
      <c r="BR521" s="4"/>
      <c r="BS521" s="4"/>
      <c r="BT521" s="4"/>
      <c r="BU521" s="4"/>
      <c r="BV521" s="4"/>
      <c r="BW521" s="4"/>
      <c r="BX521" s="4"/>
      <c r="BY521" s="4"/>
      <c r="BZ521" s="4"/>
      <c r="CA521" s="4"/>
      <c r="CB521" s="4"/>
      <c r="CC521" s="4"/>
      <c r="CD521" s="4"/>
      <c r="CE521" s="4"/>
      <c r="CF521" s="4"/>
      <c r="CG521" s="4"/>
      <c r="CH521" s="4"/>
    </row>
    <row r="522" spans="1:86" x14ac:dyDescent="0.25">
      <c r="A522" s="12">
        <f t="shared" ref="A522:A585" si="14">+A521+1</f>
        <v>519</v>
      </c>
      <c r="B522" s="4" t="s">
        <v>1486</v>
      </c>
      <c r="C522" s="4" t="s">
        <v>1487</v>
      </c>
      <c r="D522" s="4" t="s">
        <v>45</v>
      </c>
      <c r="E522" s="4"/>
      <c r="F522" s="14"/>
      <c r="G522" s="14"/>
      <c r="H522" s="14"/>
      <c r="I522" s="5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  <c r="BP522" s="4"/>
      <c r="BQ522" s="4"/>
      <c r="BR522" s="4"/>
      <c r="BS522" s="4"/>
      <c r="BT522" s="4"/>
      <c r="BU522" s="4"/>
      <c r="BV522" s="4"/>
      <c r="BW522" s="4"/>
      <c r="BX522" s="4"/>
      <c r="BY522" s="4"/>
      <c r="BZ522" s="4"/>
      <c r="CA522" s="4"/>
      <c r="CB522" s="4"/>
      <c r="CC522" s="4"/>
      <c r="CD522" s="4"/>
      <c r="CE522" s="4"/>
      <c r="CF522" s="4"/>
      <c r="CG522" s="4"/>
      <c r="CH522" s="4"/>
    </row>
    <row r="523" spans="1:86" x14ac:dyDescent="0.25">
      <c r="A523" s="12">
        <f t="shared" si="14"/>
        <v>520</v>
      </c>
      <c r="B523" s="4" t="s">
        <v>1488</v>
      </c>
      <c r="C523" s="4" t="s">
        <v>1489</v>
      </c>
      <c r="D523" s="4" t="s">
        <v>45</v>
      </c>
      <c r="E523" s="4"/>
      <c r="F523" s="14"/>
      <c r="G523" s="14"/>
      <c r="H523" s="14"/>
      <c r="I523" s="5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  <c r="BP523" s="4"/>
      <c r="BQ523" s="4"/>
      <c r="BR523" s="4"/>
      <c r="BS523" s="4"/>
      <c r="BT523" s="4"/>
      <c r="BU523" s="4"/>
      <c r="BV523" s="4"/>
      <c r="BW523" s="4"/>
      <c r="BX523" s="4"/>
      <c r="BY523" s="4"/>
      <c r="BZ523" s="4"/>
      <c r="CA523" s="4"/>
      <c r="CB523" s="4"/>
      <c r="CC523" s="4"/>
      <c r="CD523" s="4"/>
      <c r="CE523" s="4"/>
      <c r="CF523" s="4"/>
      <c r="CG523" s="4"/>
      <c r="CH523" s="4"/>
    </row>
    <row r="524" spans="1:86" x14ac:dyDescent="0.25">
      <c r="A524" s="12">
        <f t="shared" si="14"/>
        <v>521</v>
      </c>
      <c r="B524" s="4" t="s">
        <v>1490</v>
      </c>
      <c r="C524" s="4" t="s">
        <v>1491</v>
      </c>
      <c r="D524" s="4" t="s">
        <v>47</v>
      </c>
      <c r="E524" s="4"/>
      <c r="F524" s="14"/>
      <c r="G524" s="14"/>
      <c r="H524" s="14"/>
      <c r="I524" s="5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  <c r="BP524" s="4"/>
      <c r="BQ524" s="4"/>
      <c r="BR524" s="4"/>
      <c r="BS524" s="4"/>
      <c r="BT524" s="4"/>
      <c r="BU524" s="4"/>
      <c r="BV524" s="4"/>
      <c r="BW524" s="4"/>
      <c r="BX524" s="4"/>
      <c r="BY524" s="4"/>
      <c r="BZ524" s="4"/>
      <c r="CA524" s="4"/>
      <c r="CB524" s="4"/>
      <c r="CC524" s="4"/>
      <c r="CD524" s="4"/>
      <c r="CE524" s="4"/>
      <c r="CF524" s="4"/>
      <c r="CG524" s="4"/>
      <c r="CH524" s="4"/>
    </row>
    <row r="525" spans="1:86" x14ac:dyDescent="0.25">
      <c r="A525" s="12">
        <f t="shared" si="14"/>
        <v>522</v>
      </c>
      <c r="B525" s="4" t="s">
        <v>1492</v>
      </c>
      <c r="C525" s="4" t="s">
        <v>1493</v>
      </c>
      <c r="D525" s="4" t="s">
        <v>1130</v>
      </c>
      <c r="E525" s="4"/>
      <c r="F525" s="14"/>
      <c r="G525" s="14"/>
      <c r="H525" s="14"/>
      <c r="I525" s="5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/>
      <c r="BL525" s="4"/>
      <c r="BM525" s="4"/>
      <c r="BN525" s="4"/>
      <c r="BO525" s="4"/>
      <c r="BP525" s="4"/>
      <c r="BQ525" s="4"/>
      <c r="BR525" s="4"/>
      <c r="BS525" s="4"/>
      <c r="BT525" s="4"/>
      <c r="BU525" s="4"/>
      <c r="BV525" s="4"/>
      <c r="BW525" s="4"/>
      <c r="BX525" s="4"/>
      <c r="BY525" s="4"/>
      <c r="BZ525" s="4"/>
      <c r="CA525" s="4"/>
      <c r="CB525" s="4"/>
      <c r="CC525" s="4"/>
      <c r="CD525" s="4"/>
      <c r="CE525" s="4"/>
      <c r="CF525" s="4"/>
      <c r="CG525" s="4"/>
      <c r="CH525" s="4"/>
    </row>
    <row r="526" spans="1:86" x14ac:dyDescent="0.25">
      <c r="A526" s="12">
        <f t="shared" si="14"/>
        <v>523</v>
      </c>
      <c r="B526" s="4" t="s">
        <v>1494</v>
      </c>
      <c r="C526" s="4" t="s">
        <v>1495</v>
      </c>
      <c r="D526" s="4" t="s">
        <v>84</v>
      </c>
      <c r="E526" s="4"/>
      <c r="F526" s="14"/>
      <c r="G526" s="14"/>
      <c r="H526" s="14"/>
      <c r="I526" s="5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/>
      <c r="BL526" s="4"/>
      <c r="BM526" s="4"/>
      <c r="BN526" s="4"/>
      <c r="BO526" s="4"/>
      <c r="BP526" s="4"/>
      <c r="BQ526" s="4"/>
      <c r="BR526" s="4"/>
      <c r="BS526" s="4"/>
      <c r="BT526" s="4"/>
      <c r="BU526" s="4"/>
      <c r="BV526" s="4"/>
      <c r="BW526" s="4"/>
      <c r="BX526" s="4"/>
      <c r="BY526" s="4"/>
      <c r="BZ526" s="4"/>
      <c r="CA526" s="4"/>
      <c r="CB526" s="4"/>
      <c r="CC526" s="4"/>
      <c r="CD526" s="4"/>
      <c r="CE526" s="4"/>
      <c r="CF526" s="4"/>
      <c r="CG526" s="4"/>
      <c r="CH526" s="4"/>
    </row>
    <row r="527" spans="1:86" x14ac:dyDescent="0.25">
      <c r="A527" s="12">
        <f t="shared" si="14"/>
        <v>524</v>
      </c>
      <c r="B527" s="4" t="s">
        <v>1496</v>
      </c>
      <c r="C527" s="4" t="s">
        <v>761</v>
      </c>
      <c r="D527" s="4" t="s">
        <v>45</v>
      </c>
      <c r="E527" s="4"/>
      <c r="F527" s="14"/>
      <c r="G527" s="14"/>
      <c r="H527" s="14"/>
      <c r="I527" s="5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  <c r="BK527" s="4"/>
      <c r="BL527" s="4"/>
      <c r="BM527" s="4"/>
      <c r="BN527" s="4"/>
      <c r="BO527" s="4"/>
      <c r="BP527" s="4"/>
      <c r="BQ527" s="4"/>
      <c r="BR527" s="4"/>
      <c r="BS527" s="4"/>
      <c r="BT527" s="4"/>
      <c r="BU527" s="4"/>
      <c r="BV527" s="4"/>
      <c r="BW527" s="4"/>
      <c r="BX527" s="4"/>
      <c r="BY527" s="4"/>
      <c r="BZ527" s="4"/>
      <c r="CA527" s="4"/>
      <c r="CB527" s="4"/>
      <c r="CC527" s="4"/>
      <c r="CD527" s="4"/>
      <c r="CE527" s="4"/>
      <c r="CF527" s="4"/>
      <c r="CG527" s="4"/>
      <c r="CH527" s="4"/>
    </row>
    <row r="528" spans="1:86" x14ac:dyDescent="0.25">
      <c r="A528" s="12">
        <f t="shared" si="14"/>
        <v>525</v>
      </c>
      <c r="B528" s="4" t="s">
        <v>1497</v>
      </c>
      <c r="C528" s="4" t="s">
        <v>1498</v>
      </c>
      <c r="D528" s="4" t="s">
        <v>1126</v>
      </c>
      <c r="E528" s="4"/>
      <c r="F528" s="14"/>
      <c r="G528" s="14"/>
      <c r="H528" s="14"/>
      <c r="I528" s="5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  <c r="BK528" s="4"/>
      <c r="BL528" s="4"/>
      <c r="BM528" s="4"/>
      <c r="BN528" s="4"/>
      <c r="BO528" s="4"/>
      <c r="BP528" s="4"/>
      <c r="BQ528" s="4"/>
      <c r="BR528" s="4"/>
      <c r="BS528" s="4"/>
      <c r="BT528" s="4"/>
      <c r="BU528" s="4"/>
      <c r="BV528" s="4"/>
      <c r="BW528" s="4"/>
      <c r="BX528" s="4"/>
      <c r="BY528" s="4"/>
      <c r="BZ528" s="4"/>
      <c r="CA528" s="4"/>
      <c r="CB528" s="4"/>
      <c r="CC528" s="4"/>
      <c r="CD528" s="4"/>
      <c r="CE528" s="4"/>
      <c r="CF528" s="4"/>
      <c r="CG528" s="4"/>
      <c r="CH528" s="4"/>
    </row>
    <row r="529" spans="1:86" x14ac:dyDescent="0.25">
      <c r="A529" s="12">
        <f t="shared" si="14"/>
        <v>526</v>
      </c>
      <c r="B529" s="4" t="s">
        <v>1499</v>
      </c>
      <c r="C529" s="4" t="s">
        <v>1500</v>
      </c>
      <c r="D529" s="4" t="s">
        <v>770</v>
      </c>
      <c r="E529" s="4"/>
      <c r="F529" s="14"/>
      <c r="G529" s="14"/>
      <c r="H529" s="14"/>
      <c r="I529" s="5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  <c r="BK529" s="4"/>
      <c r="BL529" s="4"/>
      <c r="BM529" s="4"/>
      <c r="BN529" s="4"/>
      <c r="BO529" s="4"/>
      <c r="BP529" s="4"/>
      <c r="BQ529" s="4"/>
      <c r="BR529" s="4"/>
      <c r="BS529" s="4"/>
      <c r="BT529" s="4"/>
      <c r="BU529" s="4"/>
      <c r="BV529" s="4"/>
      <c r="BW529" s="4"/>
      <c r="BX529" s="4"/>
      <c r="BY529" s="4"/>
      <c r="BZ529" s="4"/>
      <c r="CA529" s="4"/>
      <c r="CB529" s="4"/>
      <c r="CC529" s="4"/>
      <c r="CD529" s="4"/>
      <c r="CE529" s="4"/>
      <c r="CF529" s="4"/>
      <c r="CG529" s="4"/>
      <c r="CH529" s="4"/>
    </row>
    <row r="530" spans="1:86" x14ac:dyDescent="0.25">
      <c r="A530" s="12">
        <f t="shared" si="14"/>
        <v>527</v>
      </c>
      <c r="B530" s="4" t="s">
        <v>1501</v>
      </c>
      <c r="C530" s="4" t="s">
        <v>1502</v>
      </c>
      <c r="D530" s="4" t="s">
        <v>45</v>
      </c>
      <c r="E530" s="4"/>
      <c r="F530" s="14"/>
      <c r="G530" s="14"/>
      <c r="H530" s="14"/>
      <c r="I530" s="5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  <c r="BK530" s="4"/>
      <c r="BL530" s="4"/>
      <c r="BM530" s="4"/>
      <c r="BN530" s="4"/>
      <c r="BO530" s="4"/>
      <c r="BP530" s="4"/>
      <c r="BQ530" s="4"/>
      <c r="BR530" s="4"/>
      <c r="BS530" s="4"/>
      <c r="BT530" s="4"/>
      <c r="BU530" s="4"/>
      <c r="BV530" s="4"/>
      <c r="BW530" s="4"/>
      <c r="BX530" s="4"/>
      <c r="BY530" s="4"/>
      <c r="BZ530" s="4"/>
      <c r="CA530" s="4"/>
      <c r="CB530" s="4"/>
      <c r="CC530" s="4"/>
      <c r="CD530" s="4"/>
      <c r="CE530" s="4"/>
      <c r="CF530" s="4"/>
      <c r="CG530" s="4"/>
      <c r="CH530" s="4"/>
    </row>
    <row r="531" spans="1:86" x14ac:dyDescent="0.25">
      <c r="A531" s="12">
        <f t="shared" si="14"/>
        <v>528</v>
      </c>
      <c r="B531" s="4" t="s">
        <v>990</v>
      </c>
      <c r="C531" s="4" t="s">
        <v>991</v>
      </c>
      <c r="D531" s="4" t="s">
        <v>282</v>
      </c>
      <c r="E531" s="4"/>
      <c r="F531" s="14"/>
      <c r="G531" s="14"/>
      <c r="H531" s="14"/>
      <c r="I531" s="5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  <c r="BK531" s="4"/>
      <c r="BL531" s="4"/>
      <c r="BM531" s="4"/>
      <c r="BN531" s="4"/>
      <c r="BO531" s="4"/>
      <c r="BP531" s="4"/>
      <c r="BQ531" s="4"/>
      <c r="BR531" s="4"/>
      <c r="BS531" s="4"/>
      <c r="BT531" s="4"/>
      <c r="BU531" s="4"/>
      <c r="BV531" s="4"/>
      <c r="BW531" s="4"/>
      <c r="BX531" s="4"/>
      <c r="BY531" s="4"/>
      <c r="BZ531" s="4"/>
      <c r="CA531" s="4"/>
      <c r="CB531" s="4"/>
      <c r="CC531" s="4"/>
      <c r="CD531" s="4"/>
      <c r="CE531" s="4"/>
      <c r="CF531" s="4"/>
      <c r="CG531" s="4"/>
      <c r="CH531" s="4"/>
    </row>
    <row r="532" spans="1:86" x14ac:dyDescent="0.25">
      <c r="A532" s="12">
        <f t="shared" si="14"/>
        <v>529</v>
      </c>
      <c r="B532" s="4" t="s">
        <v>1505</v>
      </c>
      <c r="C532" s="4" t="s">
        <v>1506</v>
      </c>
      <c r="D532" s="4" t="s">
        <v>87</v>
      </c>
      <c r="E532" s="4"/>
      <c r="F532" s="14"/>
      <c r="G532" s="14"/>
      <c r="H532" s="14"/>
      <c r="I532" s="5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  <c r="BK532" s="4"/>
      <c r="BL532" s="4"/>
      <c r="BM532" s="4"/>
      <c r="BN532" s="4"/>
      <c r="BO532" s="4"/>
      <c r="BP532" s="4"/>
      <c r="BQ532" s="4"/>
      <c r="BR532" s="4"/>
      <c r="BS532" s="4"/>
      <c r="BT532" s="4"/>
      <c r="BU532" s="4"/>
      <c r="BV532" s="4"/>
      <c r="BW532" s="4"/>
      <c r="BX532" s="4"/>
      <c r="BY532" s="4"/>
      <c r="BZ532" s="4"/>
      <c r="CA532" s="4"/>
      <c r="CB532" s="4"/>
      <c r="CC532" s="4"/>
      <c r="CD532" s="4"/>
      <c r="CE532" s="4"/>
      <c r="CF532" s="4"/>
      <c r="CG532" s="4"/>
      <c r="CH532" s="4"/>
    </row>
    <row r="533" spans="1:86" x14ac:dyDescent="0.25">
      <c r="A533" s="12">
        <f t="shared" si="14"/>
        <v>530</v>
      </c>
      <c r="B533" s="4" t="s">
        <v>1507</v>
      </c>
      <c r="C533" s="4" t="s">
        <v>1508</v>
      </c>
      <c r="D533" s="4" t="s">
        <v>84</v>
      </c>
      <c r="E533" s="4"/>
      <c r="F533" s="14"/>
      <c r="G533" s="14"/>
      <c r="H533" s="14"/>
      <c r="I533" s="5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  <c r="BK533" s="4"/>
      <c r="BL533" s="4"/>
      <c r="BM533" s="4"/>
      <c r="BN533" s="4"/>
      <c r="BO533" s="4"/>
      <c r="BP533" s="4"/>
      <c r="BQ533" s="4"/>
      <c r="BR533" s="4"/>
      <c r="BS533" s="4"/>
      <c r="BT533" s="4"/>
      <c r="BU533" s="4"/>
      <c r="BV533" s="4"/>
      <c r="BW533" s="4"/>
      <c r="BX533" s="4"/>
      <c r="BY533" s="4"/>
      <c r="BZ533" s="4"/>
      <c r="CA533" s="4"/>
      <c r="CB533" s="4"/>
      <c r="CC533" s="4"/>
      <c r="CD533" s="4"/>
      <c r="CE533" s="4"/>
      <c r="CF533" s="4"/>
      <c r="CG533" s="4"/>
      <c r="CH533" s="4"/>
    </row>
    <row r="534" spans="1:86" x14ac:dyDescent="0.25">
      <c r="A534" s="12">
        <f t="shared" si="14"/>
        <v>531</v>
      </c>
      <c r="B534" s="4" t="s">
        <v>1509</v>
      </c>
      <c r="C534" s="4" t="s">
        <v>1510</v>
      </c>
      <c r="D534" s="4" t="s">
        <v>45</v>
      </c>
      <c r="E534" s="4"/>
      <c r="F534" s="14"/>
      <c r="G534" s="14"/>
      <c r="H534" s="14"/>
      <c r="I534" s="5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  <c r="BK534" s="4"/>
      <c r="BL534" s="4"/>
      <c r="BM534" s="4"/>
      <c r="BN534" s="4"/>
      <c r="BO534" s="4"/>
      <c r="BP534" s="4"/>
      <c r="BQ534" s="4"/>
      <c r="BR534" s="4"/>
      <c r="BS534" s="4"/>
      <c r="BT534" s="4"/>
      <c r="BU534" s="4"/>
      <c r="BV534" s="4"/>
      <c r="BW534" s="4"/>
      <c r="BX534" s="4"/>
      <c r="BY534" s="4"/>
      <c r="BZ534" s="4"/>
      <c r="CA534" s="4"/>
      <c r="CB534" s="4"/>
      <c r="CC534" s="4"/>
      <c r="CD534" s="4"/>
      <c r="CE534" s="4"/>
      <c r="CF534" s="4"/>
      <c r="CG534" s="4"/>
      <c r="CH534" s="4"/>
    </row>
    <row r="535" spans="1:86" x14ac:dyDescent="0.25">
      <c r="A535" s="12">
        <f t="shared" si="14"/>
        <v>532</v>
      </c>
      <c r="B535" s="4" t="s">
        <v>1511</v>
      </c>
      <c r="C535" s="4" t="s">
        <v>1512</v>
      </c>
      <c r="D535" s="4" t="s">
        <v>508</v>
      </c>
      <c r="E535" s="4"/>
      <c r="F535" s="14"/>
      <c r="G535" s="14"/>
      <c r="H535" s="14"/>
      <c r="I535" s="5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  <c r="BK535" s="4"/>
      <c r="BL535" s="4"/>
      <c r="BM535" s="4"/>
      <c r="BN535" s="4"/>
      <c r="BO535" s="4"/>
      <c r="BP535" s="4"/>
      <c r="BQ535" s="4"/>
      <c r="BR535" s="4"/>
      <c r="BS535" s="4"/>
      <c r="BT535" s="4"/>
      <c r="BU535" s="4"/>
      <c r="BV535" s="4"/>
      <c r="BW535" s="4"/>
      <c r="BX535" s="4"/>
      <c r="BY535" s="4"/>
      <c r="BZ535" s="4"/>
      <c r="CA535" s="4"/>
      <c r="CB535" s="4"/>
      <c r="CC535" s="4"/>
      <c r="CD535" s="4"/>
      <c r="CE535" s="4"/>
      <c r="CF535" s="4"/>
      <c r="CG535" s="4"/>
      <c r="CH535" s="4"/>
    </row>
    <row r="536" spans="1:86" x14ac:dyDescent="0.25">
      <c r="A536" s="12">
        <f t="shared" si="14"/>
        <v>533</v>
      </c>
      <c r="B536" s="4" t="s">
        <v>1513</v>
      </c>
      <c r="C536" s="4" t="s">
        <v>1514</v>
      </c>
      <c r="D536" s="4" t="s">
        <v>45</v>
      </c>
      <c r="E536" s="4"/>
      <c r="F536" s="14"/>
      <c r="G536" s="14"/>
      <c r="H536" s="14"/>
      <c r="I536" s="5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  <c r="BK536" s="4"/>
      <c r="BL536" s="4"/>
      <c r="BM536" s="4"/>
      <c r="BN536" s="4"/>
      <c r="BO536" s="4"/>
      <c r="BP536" s="4"/>
      <c r="BQ536" s="4"/>
      <c r="BR536" s="4"/>
      <c r="BS536" s="4"/>
      <c r="BT536" s="4"/>
      <c r="BU536" s="4"/>
      <c r="BV536" s="4"/>
      <c r="BW536" s="4"/>
      <c r="BX536" s="4"/>
      <c r="BY536" s="4"/>
      <c r="BZ536" s="4"/>
      <c r="CA536" s="4"/>
      <c r="CB536" s="4"/>
      <c r="CC536" s="4"/>
      <c r="CD536" s="4"/>
      <c r="CE536" s="4"/>
      <c r="CF536" s="4"/>
      <c r="CG536" s="4"/>
      <c r="CH536" s="4"/>
    </row>
    <row r="537" spans="1:86" x14ac:dyDescent="0.25">
      <c r="A537" s="12">
        <f t="shared" si="14"/>
        <v>534</v>
      </c>
      <c r="B537" s="4" t="s">
        <v>1515</v>
      </c>
      <c r="C537" s="4" t="s">
        <v>1516</v>
      </c>
      <c r="D537" s="4" t="s">
        <v>45</v>
      </c>
      <c r="E537" s="4"/>
      <c r="F537" s="14"/>
      <c r="G537" s="14"/>
      <c r="H537" s="14"/>
      <c r="I537" s="5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  <c r="BK537" s="4"/>
      <c r="BL537" s="4"/>
      <c r="BM537" s="4"/>
      <c r="BN537" s="4"/>
      <c r="BO537" s="4"/>
      <c r="BP537" s="4"/>
      <c r="BQ537" s="4"/>
      <c r="BR537" s="4"/>
      <c r="BS537" s="4"/>
      <c r="BT537" s="4"/>
      <c r="BU537" s="4"/>
      <c r="BV537" s="4"/>
      <c r="BW537" s="4"/>
      <c r="BX537" s="4"/>
      <c r="BY537" s="4"/>
      <c r="BZ537" s="4"/>
      <c r="CA537" s="4"/>
      <c r="CB537" s="4"/>
      <c r="CC537" s="4"/>
      <c r="CD537" s="4"/>
      <c r="CE537" s="4"/>
      <c r="CF537" s="4"/>
      <c r="CG537" s="4"/>
      <c r="CH537" s="4"/>
    </row>
    <row r="538" spans="1:86" x14ac:dyDescent="0.25">
      <c r="A538" s="12">
        <f t="shared" si="14"/>
        <v>535</v>
      </c>
      <c r="B538" s="4" t="s">
        <v>1517</v>
      </c>
      <c r="C538" s="4" t="s">
        <v>1518</v>
      </c>
      <c r="D538" s="4" t="s">
        <v>84</v>
      </c>
      <c r="E538" s="4"/>
      <c r="F538" s="14"/>
      <c r="G538" s="14"/>
      <c r="H538" s="14"/>
      <c r="I538" s="5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/>
      <c r="BL538" s="4"/>
      <c r="BM538" s="4"/>
      <c r="BN538" s="4"/>
      <c r="BO538" s="4"/>
      <c r="BP538" s="4"/>
      <c r="BQ538" s="4"/>
      <c r="BR538" s="4"/>
      <c r="BS538" s="4"/>
      <c r="BT538" s="4"/>
      <c r="BU538" s="4"/>
      <c r="BV538" s="4"/>
      <c r="BW538" s="4"/>
      <c r="BX538" s="4"/>
      <c r="BY538" s="4"/>
      <c r="BZ538" s="4"/>
      <c r="CA538" s="4"/>
      <c r="CB538" s="4"/>
      <c r="CC538" s="4"/>
      <c r="CD538" s="4"/>
      <c r="CE538" s="4"/>
      <c r="CF538" s="4"/>
      <c r="CG538" s="4"/>
      <c r="CH538" s="4"/>
    </row>
    <row r="539" spans="1:86" x14ac:dyDescent="0.25">
      <c r="A539" s="12">
        <f t="shared" si="14"/>
        <v>536</v>
      </c>
      <c r="B539" s="4" t="s">
        <v>1519</v>
      </c>
      <c r="C539" s="4" t="s">
        <v>1520</v>
      </c>
      <c r="D539" s="4" t="s">
        <v>1126</v>
      </c>
      <c r="E539" s="4"/>
      <c r="F539" s="14"/>
      <c r="G539" s="14"/>
      <c r="H539" s="14"/>
      <c r="I539" s="5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  <c r="BP539" s="4"/>
      <c r="BQ539" s="4"/>
      <c r="BR539" s="4"/>
      <c r="BS539" s="4"/>
      <c r="BT539" s="4"/>
      <c r="BU539" s="4"/>
      <c r="BV539" s="4"/>
      <c r="BW539" s="4"/>
      <c r="BX539" s="4"/>
      <c r="BY539" s="4"/>
      <c r="BZ539" s="4"/>
      <c r="CA539" s="4"/>
      <c r="CB539" s="4"/>
      <c r="CC539" s="4"/>
      <c r="CD539" s="4"/>
      <c r="CE539" s="4"/>
      <c r="CF539" s="4"/>
      <c r="CG539" s="4"/>
      <c r="CH539" s="4"/>
    </row>
    <row r="540" spans="1:86" x14ac:dyDescent="0.25">
      <c r="A540" s="12">
        <f t="shared" si="14"/>
        <v>537</v>
      </c>
      <c r="B540" s="4" t="s">
        <v>1521</v>
      </c>
      <c r="C540" s="4" t="s">
        <v>1522</v>
      </c>
      <c r="D540" s="4" t="s">
        <v>45</v>
      </c>
      <c r="E540" s="4"/>
      <c r="F540" s="14"/>
      <c r="G540" s="14"/>
      <c r="H540" s="14"/>
      <c r="I540" s="5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/>
      <c r="BL540" s="4"/>
      <c r="BM540" s="4"/>
      <c r="BN540" s="4"/>
      <c r="BO540" s="4"/>
      <c r="BP540" s="4"/>
      <c r="BQ540" s="4"/>
      <c r="BR540" s="4"/>
      <c r="BS540" s="4"/>
      <c r="BT540" s="4"/>
      <c r="BU540" s="4"/>
      <c r="BV540" s="4"/>
      <c r="BW540" s="4"/>
      <c r="BX540" s="4"/>
      <c r="BY540" s="4"/>
      <c r="BZ540" s="4"/>
      <c r="CA540" s="4"/>
      <c r="CB540" s="4"/>
      <c r="CC540" s="4"/>
      <c r="CD540" s="4"/>
      <c r="CE540" s="4"/>
      <c r="CF540" s="4"/>
      <c r="CG540" s="4"/>
      <c r="CH540" s="4"/>
    </row>
    <row r="541" spans="1:86" x14ac:dyDescent="0.25">
      <c r="A541" s="12">
        <f t="shared" si="14"/>
        <v>538</v>
      </c>
      <c r="B541" s="4" t="s">
        <v>1523</v>
      </c>
      <c r="C541" s="4" t="s">
        <v>1524</v>
      </c>
      <c r="D541" s="4" t="s">
        <v>45</v>
      </c>
      <c r="E541" s="4"/>
      <c r="F541" s="14"/>
      <c r="G541" s="14"/>
      <c r="H541" s="14"/>
      <c r="I541" s="5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  <c r="BK541" s="4"/>
      <c r="BL541" s="4"/>
      <c r="BM541" s="4"/>
      <c r="BN541" s="4"/>
      <c r="BO541" s="4"/>
      <c r="BP541" s="4"/>
      <c r="BQ541" s="4"/>
      <c r="BR541" s="4"/>
      <c r="BS541" s="4"/>
      <c r="BT541" s="4"/>
      <c r="BU541" s="4"/>
      <c r="BV541" s="4"/>
      <c r="BW541" s="4"/>
      <c r="BX541" s="4"/>
      <c r="BY541" s="4"/>
      <c r="BZ541" s="4"/>
      <c r="CA541" s="4"/>
      <c r="CB541" s="4"/>
      <c r="CC541" s="4"/>
      <c r="CD541" s="4"/>
      <c r="CE541" s="4"/>
      <c r="CF541" s="4"/>
      <c r="CG541" s="4"/>
      <c r="CH541" s="4"/>
    </row>
    <row r="542" spans="1:86" x14ac:dyDescent="0.25">
      <c r="A542" s="12">
        <f t="shared" si="14"/>
        <v>539</v>
      </c>
      <c r="B542" s="4" t="s">
        <v>1525</v>
      </c>
      <c r="C542" s="4" t="s">
        <v>1526</v>
      </c>
      <c r="D542" s="4" t="s">
        <v>508</v>
      </c>
      <c r="E542" s="4"/>
      <c r="F542" s="14"/>
      <c r="G542" s="14"/>
      <c r="H542" s="14"/>
      <c r="I542" s="5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  <c r="BK542" s="4"/>
      <c r="BL542" s="4"/>
      <c r="BM542" s="4"/>
      <c r="BN542" s="4"/>
      <c r="BO542" s="4"/>
      <c r="BP542" s="4"/>
      <c r="BQ542" s="4"/>
      <c r="BR542" s="4"/>
      <c r="BS542" s="4"/>
      <c r="BT542" s="4"/>
      <c r="BU542" s="4"/>
      <c r="BV542" s="4"/>
      <c r="BW542" s="4"/>
      <c r="BX542" s="4"/>
      <c r="BY542" s="4"/>
      <c r="BZ542" s="4"/>
      <c r="CA542" s="4"/>
      <c r="CB542" s="4"/>
      <c r="CC542" s="4"/>
      <c r="CD542" s="4"/>
      <c r="CE542" s="4"/>
      <c r="CF542" s="4"/>
      <c r="CG542" s="4"/>
      <c r="CH542" s="4"/>
    </row>
    <row r="543" spans="1:86" x14ac:dyDescent="0.25">
      <c r="A543" s="12">
        <f t="shared" si="14"/>
        <v>540</v>
      </c>
      <c r="B543" s="4" t="s">
        <v>1527</v>
      </c>
      <c r="C543" s="4" t="s">
        <v>1528</v>
      </c>
      <c r="D543" s="4" t="s">
        <v>84</v>
      </c>
      <c r="E543" s="4"/>
      <c r="F543" s="14"/>
      <c r="G543" s="14"/>
      <c r="H543" s="14"/>
      <c r="I543" s="5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  <c r="BK543" s="4"/>
      <c r="BL543" s="4"/>
      <c r="BM543" s="4"/>
      <c r="BN543" s="4"/>
      <c r="BO543" s="4"/>
      <c r="BP543" s="4"/>
      <c r="BQ543" s="4"/>
      <c r="BR543" s="4"/>
      <c r="BS543" s="4"/>
      <c r="BT543" s="4"/>
      <c r="BU543" s="4"/>
      <c r="BV543" s="4"/>
      <c r="BW543" s="4"/>
      <c r="BX543" s="4"/>
      <c r="BY543" s="4"/>
      <c r="BZ543" s="4"/>
      <c r="CA543" s="4"/>
      <c r="CB543" s="4"/>
      <c r="CC543" s="4"/>
      <c r="CD543" s="4"/>
      <c r="CE543" s="4"/>
      <c r="CF543" s="4"/>
      <c r="CG543" s="4"/>
      <c r="CH543" s="4"/>
    </row>
    <row r="544" spans="1:86" x14ac:dyDescent="0.25">
      <c r="A544" s="12">
        <f t="shared" si="14"/>
        <v>541</v>
      </c>
      <c r="B544" s="4" t="s">
        <v>1529</v>
      </c>
      <c r="C544" s="4" t="s">
        <v>1530</v>
      </c>
      <c r="D544" s="4" t="s">
        <v>45</v>
      </c>
      <c r="E544" s="4"/>
      <c r="F544" s="14"/>
      <c r="G544" s="14"/>
      <c r="H544" s="14"/>
      <c r="I544" s="5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  <c r="BK544" s="4"/>
      <c r="BL544" s="4"/>
      <c r="BM544" s="4"/>
      <c r="BN544" s="4"/>
      <c r="BO544" s="4"/>
      <c r="BP544" s="4"/>
      <c r="BQ544" s="4"/>
      <c r="BR544" s="4"/>
      <c r="BS544" s="4"/>
      <c r="BT544" s="4"/>
      <c r="BU544" s="4"/>
      <c r="BV544" s="4"/>
      <c r="BW544" s="4"/>
      <c r="BX544" s="4"/>
      <c r="BY544" s="4"/>
      <c r="BZ544" s="4"/>
      <c r="CA544" s="4"/>
      <c r="CB544" s="4"/>
      <c r="CC544" s="4"/>
      <c r="CD544" s="4"/>
      <c r="CE544" s="4"/>
      <c r="CF544" s="4"/>
      <c r="CG544" s="4"/>
      <c r="CH544" s="4"/>
    </row>
    <row r="545" spans="1:86" x14ac:dyDescent="0.25">
      <c r="A545" s="12">
        <f t="shared" si="14"/>
        <v>542</v>
      </c>
      <c r="B545" s="4" t="s">
        <v>1531</v>
      </c>
      <c r="C545" s="4" t="s">
        <v>1532</v>
      </c>
      <c r="D545" s="4" t="s">
        <v>1129</v>
      </c>
      <c r="E545" s="4"/>
      <c r="F545" s="14"/>
      <c r="G545" s="14"/>
      <c r="H545" s="14"/>
      <c r="I545" s="5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  <c r="BK545" s="4"/>
      <c r="BL545" s="4"/>
      <c r="BM545" s="4"/>
      <c r="BN545" s="4"/>
      <c r="BO545" s="4"/>
      <c r="BP545" s="4"/>
      <c r="BQ545" s="4"/>
      <c r="BR545" s="4"/>
      <c r="BS545" s="4"/>
      <c r="BT545" s="4"/>
      <c r="BU545" s="4"/>
      <c r="BV545" s="4"/>
      <c r="BW545" s="4"/>
      <c r="BX545" s="4"/>
      <c r="BY545" s="4"/>
      <c r="BZ545" s="4"/>
      <c r="CA545" s="4"/>
      <c r="CB545" s="4"/>
      <c r="CC545" s="4"/>
      <c r="CD545" s="4"/>
      <c r="CE545" s="4"/>
      <c r="CF545" s="4"/>
      <c r="CG545" s="4"/>
      <c r="CH545" s="4"/>
    </row>
    <row r="546" spans="1:86" x14ac:dyDescent="0.25">
      <c r="A546" s="12">
        <f t="shared" si="14"/>
        <v>543</v>
      </c>
      <c r="B546" s="4" t="s">
        <v>1533</v>
      </c>
      <c r="C546" s="4" t="s">
        <v>1534</v>
      </c>
      <c r="D546" s="4" t="s">
        <v>1129</v>
      </c>
      <c r="E546" s="4"/>
      <c r="F546" s="14"/>
      <c r="G546" s="14"/>
      <c r="H546" s="14"/>
      <c r="I546" s="5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  <c r="BK546" s="4"/>
      <c r="BL546" s="4"/>
      <c r="BM546" s="4"/>
      <c r="BN546" s="4"/>
      <c r="BO546" s="4"/>
      <c r="BP546" s="4"/>
      <c r="BQ546" s="4"/>
      <c r="BR546" s="4"/>
      <c r="BS546" s="4"/>
      <c r="BT546" s="4"/>
      <c r="BU546" s="4"/>
      <c r="BV546" s="4"/>
      <c r="BW546" s="4"/>
      <c r="BX546" s="4"/>
      <c r="BY546" s="4"/>
      <c r="BZ546" s="4"/>
      <c r="CA546" s="4"/>
      <c r="CB546" s="4"/>
      <c r="CC546" s="4"/>
      <c r="CD546" s="4"/>
      <c r="CE546" s="4"/>
      <c r="CF546" s="4"/>
      <c r="CG546" s="4"/>
      <c r="CH546" s="4"/>
    </row>
    <row r="547" spans="1:86" x14ac:dyDescent="0.25">
      <c r="A547" s="12">
        <f t="shared" si="14"/>
        <v>544</v>
      </c>
      <c r="B547" s="4" t="s">
        <v>1535</v>
      </c>
      <c r="C547" s="4" t="s">
        <v>1536</v>
      </c>
      <c r="D547" s="4" t="s">
        <v>87</v>
      </c>
      <c r="E547" s="4"/>
      <c r="F547" s="14"/>
      <c r="G547" s="14"/>
      <c r="H547" s="14"/>
      <c r="I547" s="5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  <c r="BK547" s="4"/>
      <c r="BL547" s="4"/>
      <c r="BM547" s="4"/>
      <c r="BN547" s="4"/>
      <c r="BO547" s="4"/>
      <c r="BP547" s="4"/>
      <c r="BQ547" s="4"/>
      <c r="BR547" s="4"/>
      <c r="BS547" s="4"/>
      <c r="BT547" s="4"/>
      <c r="BU547" s="4"/>
      <c r="BV547" s="4"/>
      <c r="BW547" s="4"/>
      <c r="BX547" s="4"/>
      <c r="BY547" s="4"/>
      <c r="BZ547" s="4"/>
      <c r="CA547" s="4"/>
      <c r="CB547" s="4"/>
      <c r="CC547" s="4"/>
      <c r="CD547" s="4"/>
      <c r="CE547" s="4"/>
      <c r="CF547" s="4"/>
      <c r="CG547" s="4"/>
      <c r="CH547" s="4"/>
    </row>
    <row r="548" spans="1:86" x14ac:dyDescent="0.25">
      <c r="A548" s="12">
        <f t="shared" si="14"/>
        <v>545</v>
      </c>
      <c r="B548" s="4" t="s">
        <v>1537</v>
      </c>
      <c r="C548" s="4" t="s">
        <v>1538</v>
      </c>
      <c r="D548" s="4" t="s">
        <v>45</v>
      </c>
      <c r="E548" s="4"/>
      <c r="F548" s="14"/>
      <c r="G548" s="14"/>
      <c r="H548" s="14"/>
      <c r="I548" s="5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  <c r="BK548" s="4"/>
      <c r="BL548" s="4"/>
      <c r="BM548" s="4"/>
      <c r="BN548" s="4"/>
      <c r="BO548" s="4"/>
      <c r="BP548" s="4"/>
      <c r="BQ548" s="4"/>
      <c r="BR548" s="4"/>
      <c r="BS548" s="4"/>
      <c r="BT548" s="4"/>
      <c r="BU548" s="4"/>
      <c r="BV548" s="4"/>
      <c r="BW548" s="4"/>
      <c r="BX548" s="4"/>
      <c r="BY548" s="4"/>
      <c r="BZ548" s="4"/>
      <c r="CA548" s="4"/>
      <c r="CB548" s="4"/>
      <c r="CC548" s="4"/>
      <c r="CD548" s="4"/>
      <c r="CE548" s="4"/>
      <c r="CF548" s="4"/>
      <c r="CG548" s="4"/>
      <c r="CH548" s="4"/>
    </row>
    <row r="549" spans="1:86" x14ac:dyDescent="0.25">
      <c r="A549" s="12">
        <f t="shared" si="14"/>
        <v>546</v>
      </c>
      <c r="B549" s="4" t="s">
        <v>1539</v>
      </c>
      <c r="C549" s="4" t="s">
        <v>1540</v>
      </c>
      <c r="D549" s="4" t="s">
        <v>508</v>
      </c>
      <c r="E549" s="4"/>
      <c r="F549" s="14"/>
      <c r="G549" s="14"/>
      <c r="H549" s="14"/>
      <c r="I549" s="5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  <c r="BK549" s="4"/>
      <c r="BL549" s="4"/>
      <c r="BM549" s="4"/>
      <c r="BN549" s="4"/>
      <c r="BO549" s="4"/>
      <c r="BP549" s="4"/>
      <c r="BQ549" s="4"/>
      <c r="BR549" s="4"/>
      <c r="BS549" s="4"/>
      <c r="BT549" s="4"/>
      <c r="BU549" s="4"/>
      <c r="BV549" s="4"/>
      <c r="BW549" s="4"/>
      <c r="BX549" s="4"/>
      <c r="BY549" s="4"/>
      <c r="BZ549" s="4"/>
      <c r="CA549" s="4"/>
      <c r="CB549" s="4"/>
      <c r="CC549" s="4"/>
      <c r="CD549" s="4"/>
      <c r="CE549" s="4"/>
      <c r="CF549" s="4"/>
      <c r="CG549" s="4"/>
      <c r="CH549" s="4"/>
    </row>
    <row r="550" spans="1:86" x14ac:dyDescent="0.25">
      <c r="A550" s="12">
        <f t="shared" si="14"/>
        <v>547</v>
      </c>
      <c r="B550" s="4" t="s">
        <v>992</v>
      </c>
      <c r="C550" s="4" t="s">
        <v>993</v>
      </c>
      <c r="D550" s="4" t="s">
        <v>84</v>
      </c>
      <c r="E550" s="4"/>
      <c r="F550" s="14"/>
      <c r="G550" s="14"/>
      <c r="H550" s="14"/>
      <c r="I550" s="5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  <c r="BK550" s="4"/>
      <c r="BL550" s="4"/>
      <c r="BM550" s="4"/>
      <c r="BN550" s="4"/>
      <c r="BO550" s="4"/>
      <c r="BP550" s="4"/>
      <c r="BQ550" s="4"/>
      <c r="BR550" s="4"/>
      <c r="BS550" s="4"/>
      <c r="BT550" s="4"/>
      <c r="BU550" s="4"/>
      <c r="BV550" s="4"/>
      <c r="BW550" s="4"/>
      <c r="BX550" s="4"/>
      <c r="BY550" s="4"/>
      <c r="BZ550" s="4"/>
      <c r="CA550" s="4"/>
      <c r="CB550" s="4"/>
      <c r="CC550" s="4"/>
      <c r="CD550" s="4"/>
      <c r="CE550" s="4"/>
      <c r="CF550" s="4"/>
      <c r="CG550" s="4"/>
      <c r="CH550" s="4"/>
    </row>
    <row r="551" spans="1:86" x14ac:dyDescent="0.25">
      <c r="A551" s="12">
        <f t="shared" si="14"/>
        <v>548</v>
      </c>
      <c r="B551" s="4" t="s">
        <v>1541</v>
      </c>
      <c r="C551" s="4" t="s">
        <v>1542</v>
      </c>
      <c r="D551" s="4" t="s">
        <v>45</v>
      </c>
      <c r="E551" s="4"/>
      <c r="F551" s="14"/>
      <c r="G551" s="14"/>
      <c r="H551" s="14"/>
      <c r="I551" s="5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  <c r="BK551" s="4"/>
      <c r="BL551" s="4"/>
      <c r="BM551" s="4"/>
      <c r="BN551" s="4"/>
      <c r="BO551" s="4"/>
      <c r="BP551" s="4"/>
      <c r="BQ551" s="4"/>
      <c r="BR551" s="4"/>
      <c r="BS551" s="4"/>
      <c r="BT551" s="4"/>
      <c r="BU551" s="4"/>
      <c r="BV551" s="4"/>
      <c r="BW551" s="4"/>
      <c r="BX551" s="4"/>
      <c r="BY551" s="4"/>
      <c r="BZ551" s="4"/>
      <c r="CA551" s="4"/>
      <c r="CB551" s="4"/>
      <c r="CC551" s="4"/>
      <c r="CD551" s="4"/>
      <c r="CE551" s="4"/>
      <c r="CF551" s="4"/>
      <c r="CG551" s="4"/>
      <c r="CH551" s="4"/>
    </row>
    <row r="552" spans="1:86" x14ac:dyDescent="0.25">
      <c r="A552" s="12">
        <f t="shared" si="14"/>
        <v>549</v>
      </c>
      <c r="B552" s="4" t="s">
        <v>1543</v>
      </c>
      <c r="C552" s="4" t="s">
        <v>1544</v>
      </c>
      <c r="D552" s="4" t="s">
        <v>1123</v>
      </c>
      <c r="E552" s="4"/>
      <c r="F552" s="14"/>
      <c r="G552" s="14"/>
      <c r="H552" s="14"/>
      <c r="I552" s="5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  <c r="BK552" s="4"/>
      <c r="BL552" s="4"/>
      <c r="BM552" s="4"/>
      <c r="BN552" s="4"/>
      <c r="BO552" s="4"/>
      <c r="BP552" s="4"/>
      <c r="BQ552" s="4"/>
      <c r="BR552" s="4"/>
      <c r="BS552" s="4"/>
      <c r="BT552" s="4"/>
      <c r="BU552" s="4"/>
      <c r="BV552" s="4"/>
      <c r="BW552" s="4"/>
      <c r="BX552" s="4"/>
      <c r="BY552" s="4"/>
      <c r="BZ552" s="4"/>
      <c r="CA552" s="4"/>
      <c r="CB552" s="4"/>
      <c r="CC552" s="4"/>
      <c r="CD552" s="4"/>
      <c r="CE552" s="4"/>
      <c r="CF552" s="4"/>
      <c r="CG552" s="4"/>
      <c r="CH552" s="4"/>
    </row>
    <row r="553" spans="1:86" x14ac:dyDescent="0.25">
      <c r="A553" s="12">
        <f t="shared" si="14"/>
        <v>550</v>
      </c>
      <c r="B553" s="4" t="s">
        <v>1545</v>
      </c>
      <c r="C553" s="4" t="s">
        <v>1546</v>
      </c>
      <c r="D553" s="4" t="s">
        <v>45</v>
      </c>
      <c r="E553" s="4"/>
      <c r="F553" s="14"/>
      <c r="G553" s="14"/>
      <c r="H553" s="14"/>
      <c r="I553" s="5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  <c r="BK553" s="4"/>
      <c r="BL553" s="4"/>
      <c r="BM553" s="4"/>
      <c r="BN553" s="4"/>
      <c r="BO553" s="4"/>
      <c r="BP553" s="4"/>
      <c r="BQ553" s="4"/>
      <c r="BR553" s="4"/>
      <c r="BS553" s="4"/>
      <c r="BT553" s="4"/>
      <c r="BU553" s="4"/>
      <c r="BV553" s="4"/>
      <c r="BW553" s="4"/>
      <c r="BX553" s="4"/>
      <c r="BY553" s="4"/>
      <c r="BZ553" s="4"/>
      <c r="CA553" s="4"/>
      <c r="CB553" s="4"/>
      <c r="CC553" s="4"/>
      <c r="CD553" s="4"/>
      <c r="CE553" s="4"/>
      <c r="CF553" s="4"/>
      <c r="CG553" s="4"/>
      <c r="CH553" s="4"/>
    </row>
    <row r="554" spans="1:86" x14ac:dyDescent="0.25">
      <c r="A554" s="12">
        <f t="shared" si="14"/>
        <v>551</v>
      </c>
      <c r="B554" s="4" t="s">
        <v>1547</v>
      </c>
      <c r="C554" s="4" t="s">
        <v>1548</v>
      </c>
      <c r="D554" s="4" t="s">
        <v>398</v>
      </c>
      <c r="E554" s="4"/>
      <c r="F554" s="14"/>
      <c r="G554" s="14"/>
      <c r="H554" s="14"/>
      <c r="I554" s="5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  <c r="BK554" s="4"/>
      <c r="BL554" s="4"/>
      <c r="BM554" s="4"/>
      <c r="BN554" s="4"/>
      <c r="BO554" s="4"/>
      <c r="BP554" s="4"/>
      <c r="BQ554" s="4"/>
      <c r="BR554" s="4"/>
      <c r="BS554" s="4"/>
      <c r="BT554" s="4"/>
      <c r="BU554" s="4"/>
      <c r="BV554" s="4"/>
      <c r="BW554" s="4"/>
      <c r="BX554" s="4"/>
      <c r="BY554" s="4"/>
      <c r="BZ554" s="4"/>
      <c r="CA554" s="4"/>
      <c r="CB554" s="4"/>
      <c r="CC554" s="4"/>
      <c r="CD554" s="4"/>
      <c r="CE554" s="4"/>
      <c r="CF554" s="4"/>
      <c r="CG554" s="4"/>
      <c r="CH554" s="4"/>
    </row>
    <row r="555" spans="1:86" x14ac:dyDescent="0.25">
      <c r="A555" s="12">
        <f t="shared" si="14"/>
        <v>552</v>
      </c>
      <c r="B555" s="4" t="s">
        <v>994</v>
      </c>
      <c r="C555" s="4" t="s">
        <v>995</v>
      </c>
      <c r="D555" s="4" t="s">
        <v>45</v>
      </c>
      <c r="E555" s="4"/>
      <c r="F555" s="14"/>
      <c r="G555" s="14"/>
      <c r="H555" s="14"/>
      <c r="I555" s="5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/>
      <c r="BP555" s="4"/>
      <c r="BQ555" s="4"/>
      <c r="BR555" s="4"/>
      <c r="BS555" s="4"/>
      <c r="BT555" s="4"/>
      <c r="BU555" s="4"/>
      <c r="BV555" s="4"/>
      <c r="BW555" s="4"/>
      <c r="BX555" s="4"/>
      <c r="BY555" s="4"/>
      <c r="BZ555" s="4"/>
      <c r="CA555" s="4"/>
      <c r="CB555" s="4"/>
      <c r="CC555" s="4"/>
      <c r="CD555" s="4"/>
      <c r="CE555" s="4"/>
      <c r="CF555" s="4"/>
      <c r="CG555" s="4"/>
      <c r="CH555" s="4"/>
    </row>
    <row r="556" spans="1:86" x14ac:dyDescent="0.25">
      <c r="A556" s="12">
        <f t="shared" si="14"/>
        <v>553</v>
      </c>
      <c r="B556" s="4" t="s">
        <v>1549</v>
      </c>
      <c r="C556" s="4" t="s">
        <v>1550</v>
      </c>
      <c r="D556" s="4" t="s">
        <v>45</v>
      </c>
      <c r="E556" s="4"/>
      <c r="F556" s="14"/>
      <c r="G556" s="14"/>
      <c r="H556" s="14"/>
      <c r="I556" s="5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/>
      <c r="BP556" s="4"/>
      <c r="BQ556" s="4"/>
      <c r="BR556" s="4"/>
      <c r="BS556" s="4"/>
      <c r="BT556" s="4"/>
      <c r="BU556" s="4"/>
      <c r="BV556" s="4"/>
      <c r="BW556" s="4"/>
      <c r="BX556" s="4"/>
      <c r="BY556" s="4"/>
      <c r="BZ556" s="4"/>
      <c r="CA556" s="4"/>
      <c r="CB556" s="4"/>
      <c r="CC556" s="4"/>
      <c r="CD556" s="4"/>
      <c r="CE556" s="4"/>
      <c r="CF556" s="4"/>
      <c r="CG556" s="4"/>
      <c r="CH556" s="4"/>
    </row>
    <row r="557" spans="1:86" x14ac:dyDescent="0.25">
      <c r="A557" s="12">
        <f t="shared" si="14"/>
        <v>554</v>
      </c>
      <c r="B557" s="4" t="s">
        <v>1551</v>
      </c>
      <c r="C557" s="4" t="s">
        <v>1552</v>
      </c>
      <c r="D557" s="4" t="s">
        <v>45</v>
      </c>
      <c r="E557" s="4"/>
      <c r="F557" s="14"/>
      <c r="G557" s="14"/>
      <c r="H557" s="14"/>
      <c r="I557" s="5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  <c r="BK557" s="4"/>
      <c r="BL557" s="4"/>
      <c r="BM557" s="4"/>
      <c r="BN557" s="4"/>
      <c r="BO557" s="4"/>
      <c r="BP557" s="4"/>
      <c r="BQ557" s="4"/>
      <c r="BR557" s="4"/>
      <c r="BS557" s="4"/>
      <c r="BT557" s="4"/>
      <c r="BU557" s="4"/>
      <c r="BV557" s="4"/>
      <c r="BW557" s="4"/>
      <c r="BX557" s="4"/>
      <c r="BY557" s="4"/>
      <c r="BZ557" s="4"/>
      <c r="CA557" s="4"/>
      <c r="CB557" s="4"/>
      <c r="CC557" s="4"/>
      <c r="CD557" s="4"/>
      <c r="CE557" s="4"/>
      <c r="CF557" s="4"/>
      <c r="CG557" s="4"/>
      <c r="CH557" s="4"/>
    </row>
    <row r="558" spans="1:86" x14ac:dyDescent="0.25">
      <c r="A558" s="12">
        <f t="shared" si="14"/>
        <v>555</v>
      </c>
      <c r="B558" s="4" t="s">
        <v>1553</v>
      </c>
      <c r="C558" s="4" t="s">
        <v>1554</v>
      </c>
      <c r="D558" s="4" t="s">
        <v>45</v>
      </c>
      <c r="E558" s="4"/>
      <c r="F558" s="14"/>
      <c r="G558" s="14"/>
      <c r="H558" s="14"/>
      <c r="I558" s="5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  <c r="BK558" s="4"/>
      <c r="BL558" s="4"/>
      <c r="BM558" s="4"/>
      <c r="BN558" s="4"/>
      <c r="BO558" s="4"/>
      <c r="BP558" s="4"/>
      <c r="BQ558" s="4"/>
      <c r="BR558" s="4"/>
      <c r="BS558" s="4"/>
      <c r="BT558" s="4"/>
      <c r="BU558" s="4"/>
      <c r="BV558" s="4"/>
      <c r="BW558" s="4"/>
      <c r="BX558" s="4"/>
      <c r="BY558" s="4"/>
      <c r="BZ558" s="4"/>
      <c r="CA558" s="4"/>
      <c r="CB558" s="4"/>
      <c r="CC558" s="4"/>
      <c r="CD558" s="4"/>
      <c r="CE558" s="4"/>
      <c r="CF558" s="4"/>
      <c r="CG558" s="4"/>
      <c r="CH558" s="4"/>
    </row>
    <row r="559" spans="1:86" x14ac:dyDescent="0.25">
      <c r="A559" s="12">
        <f t="shared" si="14"/>
        <v>556</v>
      </c>
      <c r="B559" s="4" t="s">
        <v>1555</v>
      </c>
      <c r="C559" s="4" t="s">
        <v>1556</v>
      </c>
      <c r="D559" s="4" t="s">
        <v>87</v>
      </c>
      <c r="E559" s="4"/>
      <c r="F559" s="14"/>
      <c r="G559" s="14"/>
      <c r="H559" s="14"/>
      <c r="I559" s="5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  <c r="BK559" s="4"/>
      <c r="BL559" s="4"/>
      <c r="BM559" s="4"/>
      <c r="BN559" s="4"/>
      <c r="BO559" s="4"/>
      <c r="BP559" s="4"/>
      <c r="BQ559" s="4"/>
      <c r="BR559" s="4"/>
      <c r="BS559" s="4"/>
      <c r="BT559" s="4"/>
      <c r="BU559" s="4"/>
      <c r="BV559" s="4"/>
      <c r="BW559" s="4"/>
      <c r="BX559" s="4"/>
      <c r="BY559" s="4"/>
      <c r="BZ559" s="4"/>
      <c r="CA559" s="4"/>
      <c r="CB559" s="4"/>
      <c r="CC559" s="4"/>
      <c r="CD559" s="4"/>
      <c r="CE559" s="4"/>
      <c r="CF559" s="4"/>
      <c r="CG559" s="4"/>
      <c r="CH559" s="4"/>
    </row>
    <row r="560" spans="1:86" x14ac:dyDescent="0.25">
      <c r="A560" s="12">
        <f t="shared" si="14"/>
        <v>557</v>
      </c>
      <c r="B560" s="4" t="s">
        <v>1557</v>
      </c>
      <c r="C560" s="4" t="s">
        <v>1558</v>
      </c>
      <c r="D560" s="4" t="s">
        <v>45</v>
      </c>
      <c r="E560" s="4"/>
      <c r="F560" s="14"/>
      <c r="G560" s="14"/>
      <c r="H560" s="14"/>
      <c r="I560" s="5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  <c r="BK560" s="4"/>
      <c r="BL560" s="4"/>
      <c r="BM560" s="4"/>
      <c r="BN560" s="4"/>
      <c r="BO560" s="4"/>
      <c r="BP560" s="4"/>
      <c r="BQ560" s="4"/>
      <c r="BR560" s="4"/>
      <c r="BS560" s="4"/>
      <c r="BT560" s="4"/>
      <c r="BU560" s="4"/>
      <c r="BV560" s="4"/>
      <c r="BW560" s="4"/>
      <c r="BX560" s="4"/>
      <c r="BY560" s="4"/>
      <c r="BZ560" s="4"/>
      <c r="CA560" s="4"/>
      <c r="CB560" s="4"/>
      <c r="CC560" s="4"/>
      <c r="CD560" s="4"/>
      <c r="CE560" s="4"/>
      <c r="CF560" s="4"/>
      <c r="CG560" s="4"/>
      <c r="CH560" s="4"/>
    </row>
    <row r="561" spans="1:86" x14ac:dyDescent="0.25">
      <c r="A561" s="12">
        <f t="shared" si="14"/>
        <v>558</v>
      </c>
      <c r="B561" s="4" t="s">
        <v>1559</v>
      </c>
      <c r="C561" s="4" t="s">
        <v>1560</v>
      </c>
      <c r="D561" s="4" t="s">
        <v>1123</v>
      </c>
      <c r="E561" s="4"/>
      <c r="F561" s="14"/>
      <c r="G561" s="14"/>
      <c r="H561" s="14"/>
      <c r="I561" s="5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  <c r="BK561" s="4"/>
      <c r="BL561" s="4"/>
      <c r="BM561" s="4"/>
      <c r="BN561" s="4"/>
      <c r="BO561" s="4"/>
      <c r="BP561" s="4"/>
      <c r="BQ561" s="4"/>
      <c r="BR561" s="4"/>
      <c r="BS561" s="4"/>
      <c r="BT561" s="4"/>
      <c r="BU561" s="4"/>
      <c r="BV561" s="4"/>
      <c r="BW561" s="4"/>
      <c r="BX561" s="4"/>
      <c r="BY561" s="4"/>
      <c r="BZ561" s="4"/>
      <c r="CA561" s="4"/>
      <c r="CB561" s="4"/>
      <c r="CC561" s="4"/>
      <c r="CD561" s="4"/>
      <c r="CE561" s="4"/>
      <c r="CF561" s="4"/>
      <c r="CG561" s="4"/>
      <c r="CH561" s="4"/>
    </row>
    <row r="562" spans="1:86" x14ac:dyDescent="0.25">
      <c r="A562" s="12">
        <f t="shared" si="14"/>
        <v>559</v>
      </c>
      <c r="B562" s="4" t="s">
        <v>1561</v>
      </c>
      <c r="C562" s="4" t="s">
        <v>1562</v>
      </c>
      <c r="D562" s="4" t="s">
        <v>1127</v>
      </c>
      <c r="E562" s="4"/>
      <c r="F562" s="14"/>
      <c r="G562" s="14"/>
      <c r="H562" s="14"/>
      <c r="I562" s="5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  <c r="BK562" s="4"/>
      <c r="BL562" s="4"/>
      <c r="BM562" s="4"/>
      <c r="BN562" s="4"/>
      <c r="BO562" s="4"/>
      <c r="BP562" s="4"/>
      <c r="BQ562" s="4"/>
      <c r="BR562" s="4"/>
      <c r="BS562" s="4"/>
      <c r="BT562" s="4"/>
      <c r="BU562" s="4"/>
      <c r="BV562" s="4"/>
      <c r="BW562" s="4"/>
      <c r="BX562" s="4"/>
      <c r="BY562" s="4"/>
      <c r="BZ562" s="4"/>
      <c r="CA562" s="4"/>
      <c r="CB562" s="4"/>
      <c r="CC562" s="4"/>
      <c r="CD562" s="4"/>
      <c r="CE562" s="4"/>
      <c r="CF562" s="4"/>
      <c r="CG562" s="4"/>
      <c r="CH562" s="4"/>
    </row>
    <row r="563" spans="1:86" x14ac:dyDescent="0.25">
      <c r="A563" s="12">
        <f t="shared" si="14"/>
        <v>560</v>
      </c>
      <c r="B563" s="4" t="s">
        <v>1563</v>
      </c>
      <c r="C563" s="4" t="s">
        <v>1564</v>
      </c>
      <c r="D563" s="4" t="s">
        <v>1129</v>
      </c>
      <c r="E563" s="4"/>
      <c r="F563" s="14"/>
      <c r="G563" s="14"/>
      <c r="H563" s="14"/>
      <c r="I563" s="5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  <c r="BK563" s="4"/>
      <c r="BL563" s="4"/>
      <c r="BM563" s="4"/>
      <c r="BN563" s="4"/>
      <c r="BO563" s="4"/>
      <c r="BP563" s="4"/>
      <c r="BQ563" s="4"/>
      <c r="BR563" s="4"/>
      <c r="BS563" s="4"/>
      <c r="BT563" s="4"/>
      <c r="BU563" s="4"/>
      <c r="BV563" s="4"/>
      <c r="BW563" s="4"/>
      <c r="BX563" s="4"/>
      <c r="BY563" s="4"/>
      <c r="BZ563" s="4"/>
      <c r="CA563" s="4"/>
      <c r="CB563" s="4"/>
      <c r="CC563" s="4"/>
      <c r="CD563" s="4"/>
      <c r="CE563" s="4"/>
      <c r="CF563" s="4"/>
      <c r="CG563" s="4"/>
      <c r="CH563" s="4"/>
    </row>
    <row r="564" spans="1:86" x14ac:dyDescent="0.25">
      <c r="A564" s="12">
        <f t="shared" si="14"/>
        <v>561</v>
      </c>
      <c r="B564" s="4" t="s">
        <v>1565</v>
      </c>
      <c r="C564" s="4" t="s">
        <v>1566</v>
      </c>
      <c r="D564" s="4" t="s">
        <v>1125</v>
      </c>
      <c r="E564" s="4"/>
      <c r="F564" s="14"/>
      <c r="G564" s="14"/>
      <c r="H564" s="14"/>
      <c r="I564" s="5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  <c r="BK564" s="4"/>
      <c r="BL564" s="4"/>
      <c r="BM564" s="4"/>
      <c r="BN564" s="4"/>
      <c r="BO564" s="4"/>
      <c r="BP564" s="4"/>
      <c r="BQ564" s="4"/>
      <c r="BR564" s="4"/>
      <c r="BS564" s="4"/>
      <c r="BT564" s="4"/>
      <c r="BU564" s="4"/>
      <c r="BV564" s="4"/>
      <c r="BW564" s="4"/>
      <c r="BX564" s="4"/>
      <c r="BY564" s="4"/>
      <c r="BZ564" s="4"/>
      <c r="CA564" s="4"/>
      <c r="CB564" s="4"/>
      <c r="CC564" s="4"/>
      <c r="CD564" s="4"/>
      <c r="CE564" s="4"/>
      <c r="CF564" s="4"/>
      <c r="CG564" s="4"/>
      <c r="CH564" s="4"/>
    </row>
    <row r="565" spans="1:86" x14ac:dyDescent="0.25">
      <c r="A565" s="12">
        <f t="shared" si="14"/>
        <v>562</v>
      </c>
      <c r="B565" s="4" t="s">
        <v>1567</v>
      </c>
      <c r="C565" s="4" t="s">
        <v>1568</v>
      </c>
      <c r="D565" s="4" t="s">
        <v>45</v>
      </c>
      <c r="E565" s="4"/>
      <c r="F565" s="14"/>
      <c r="G565" s="14"/>
      <c r="H565" s="14"/>
      <c r="I565" s="5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  <c r="BK565" s="4"/>
      <c r="BL565" s="4"/>
      <c r="BM565" s="4"/>
      <c r="BN565" s="4"/>
      <c r="BO565" s="4"/>
      <c r="BP565" s="4"/>
      <c r="BQ565" s="4"/>
      <c r="BR565" s="4"/>
      <c r="BS565" s="4"/>
      <c r="BT565" s="4"/>
      <c r="BU565" s="4"/>
      <c r="BV565" s="4"/>
      <c r="BW565" s="4"/>
      <c r="BX565" s="4"/>
      <c r="BY565" s="4"/>
      <c r="BZ565" s="4"/>
      <c r="CA565" s="4"/>
      <c r="CB565" s="4"/>
      <c r="CC565" s="4"/>
      <c r="CD565" s="4"/>
      <c r="CE565" s="4"/>
      <c r="CF565" s="4"/>
      <c r="CG565" s="4"/>
      <c r="CH565" s="4"/>
    </row>
    <row r="566" spans="1:86" x14ac:dyDescent="0.25">
      <c r="A566" s="12">
        <f t="shared" si="14"/>
        <v>563</v>
      </c>
      <c r="B566" s="4" t="s">
        <v>1569</v>
      </c>
      <c r="C566" s="4" t="s">
        <v>1570</v>
      </c>
      <c r="D566" s="4" t="s">
        <v>45</v>
      </c>
      <c r="E566" s="4"/>
      <c r="F566" s="14"/>
      <c r="G566" s="14"/>
      <c r="H566" s="14"/>
      <c r="I566" s="5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  <c r="BK566" s="4"/>
      <c r="BL566" s="4"/>
      <c r="BM566" s="4"/>
      <c r="BN566" s="4"/>
      <c r="BO566" s="4"/>
      <c r="BP566" s="4"/>
      <c r="BQ566" s="4"/>
      <c r="BR566" s="4"/>
      <c r="BS566" s="4"/>
      <c r="BT566" s="4"/>
      <c r="BU566" s="4"/>
      <c r="BV566" s="4"/>
      <c r="BW566" s="4"/>
      <c r="BX566" s="4"/>
      <c r="BY566" s="4"/>
      <c r="BZ566" s="4"/>
      <c r="CA566" s="4"/>
      <c r="CB566" s="4"/>
      <c r="CC566" s="4"/>
      <c r="CD566" s="4"/>
      <c r="CE566" s="4"/>
      <c r="CF566" s="4"/>
      <c r="CG566" s="4"/>
      <c r="CH566" s="4"/>
    </row>
    <row r="567" spans="1:86" x14ac:dyDescent="0.25">
      <c r="A567" s="12">
        <f t="shared" si="14"/>
        <v>564</v>
      </c>
      <c r="B567" s="4" t="s">
        <v>996</v>
      </c>
      <c r="C567" s="4" t="s">
        <v>996</v>
      </c>
      <c r="D567" s="4" t="s">
        <v>84</v>
      </c>
      <c r="E567" s="4"/>
      <c r="F567" s="14"/>
      <c r="G567" s="14"/>
      <c r="H567" s="14"/>
      <c r="I567" s="5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  <c r="BK567" s="4"/>
      <c r="BL567" s="4"/>
      <c r="BM567" s="4"/>
      <c r="BN567" s="4"/>
      <c r="BO567" s="4"/>
      <c r="BP567" s="4"/>
      <c r="BQ567" s="4"/>
      <c r="BR567" s="4"/>
      <c r="BS567" s="4"/>
      <c r="BT567" s="4"/>
      <c r="BU567" s="4"/>
      <c r="BV567" s="4"/>
      <c r="BW567" s="4"/>
      <c r="BX567" s="4"/>
      <c r="BY567" s="4"/>
      <c r="BZ567" s="4"/>
      <c r="CA567" s="4"/>
      <c r="CB567" s="4"/>
      <c r="CC567" s="4"/>
      <c r="CD567" s="4"/>
      <c r="CE567" s="4"/>
      <c r="CF567" s="4"/>
      <c r="CG567" s="4"/>
      <c r="CH567" s="4"/>
    </row>
    <row r="568" spans="1:86" x14ac:dyDescent="0.25">
      <c r="A568" s="12">
        <f t="shared" si="14"/>
        <v>565</v>
      </c>
      <c r="B568" s="4" t="s">
        <v>1571</v>
      </c>
      <c r="C568" s="4" t="s">
        <v>1572</v>
      </c>
      <c r="D568" s="4" t="s">
        <v>45</v>
      </c>
      <c r="E568" s="4"/>
      <c r="F568" s="14"/>
      <c r="G568" s="14"/>
      <c r="H568" s="14"/>
      <c r="I568" s="5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  <c r="BK568" s="4"/>
      <c r="BL568" s="4"/>
      <c r="BM568" s="4"/>
      <c r="BN568" s="4"/>
      <c r="BO568" s="4"/>
      <c r="BP568" s="4"/>
      <c r="BQ568" s="4"/>
      <c r="BR568" s="4"/>
      <c r="BS568" s="4"/>
      <c r="BT568" s="4"/>
      <c r="BU568" s="4"/>
      <c r="BV568" s="4"/>
      <c r="BW568" s="4"/>
      <c r="BX568" s="4"/>
      <c r="BY568" s="4"/>
      <c r="BZ568" s="4"/>
      <c r="CA568" s="4"/>
      <c r="CB568" s="4"/>
      <c r="CC568" s="4"/>
      <c r="CD568" s="4"/>
      <c r="CE568" s="4"/>
      <c r="CF568" s="4"/>
      <c r="CG568" s="4"/>
      <c r="CH568" s="4"/>
    </row>
    <row r="569" spans="1:86" x14ac:dyDescent="0.25">
      <c r="A569" s="12">
        <f t="shared" si="14"/>
        <v>566</v>
      </c>
      <c r="B569" s="4" t="s">
        <v>1573</v>
      </c>
      <c r="C569" s="4" t="s">
        <v>1574</v>
      </c>
      <c r="D569" s="4" t="s">
        <v>1126</v>
      </c>
      <c r="E569" s="4"/>
      <c r="F569" s="14"/>
      <c r="G569" s="14"/>
      <c r="H569" s="14"/>
      <c r="I569" s="5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  <c r="BK569" s="4"/>
      <c r="BL569" s="4"/>
      <c r="BM569" s="4"/>
      <c r="BN569" s="4"/>
      <c r="BO569" s="4"/>
      <c r="BP569" s="4"/>
      <c r="BQ569" s="4"/>
      <c r="BR569" s="4"/>
      <c r="BS569" s="4"/>
      <c r="BT569" s="4"/>
      <c r="BU569" s="4"/>
      <c r="BV569" s="4"/>
      <c r="BW569" s="4"/>
      <c r="BX569" s="4"/>
      <c r="BY569" s="4"/>
      <c r="BZ569" s="4"/>
      <c r="CA569" s="4"/>
      <c r="CB569" s="4"/>
      <c r="CC569" s="4"/>
      <c r="CD569" s="4"/>
      <c r="CE569" s="4"/>
      <c r="CF569" s="4"/>
      <c r="CG569" s="4"/>
      <c r="CH569" s="4"/>
    </row>
    <row r="570" spans="1:86" x14ac:dyDescent="0.25">
      <c r="A570" s="12">
        <f t="shared" si="14"/>
        <v>567</v>
      </c>
      <c r="B570" s="4" t="s">
        <v>1575</v>
      </c>
      <c r="C570" s="4" t="s">
        <v>1576</v>
      </c>
      <c r="D570" s="4" t="s">
        <v>45</v>
      </c>
      <c r="E570" s="4"/>
      <c r="F570" s="14"/>
      <c r="G570" s="14"/>
      <c r="H570" s="14"/>
      <c r="I570" s="5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  <c r="BK570" s="4"/>
      <c r="BL570" s="4"/>
      <c r="BM570" s="4"/>
      <c r="BN570" s="4"/>
      <c r="BO570" s="4"/>
      <c r="BP570" s="4"/>
      <c r="BQ570" s="4"/>
      <c r="BR570" s="4"/>
      <c r="BS570" s="4"/>
      <c r="BT570" s="4"/>
      <c r="BU570" s="4"/>
      <c r="BV570" s="4"/>
      <c r="BW570" s="4"/>
      <c r="BX570" s="4"/>
      <c r="BY570" s="4"/>
      <c r="BZ570" s="4"/>
      <c r="CA570" s="4"/>
      <c r="CB570" s="4"/>
      <c r="CC570" s="4"/>
      <c r="CD570" s="4"/>
      <c r="CE570" s="4"/>
      <c r="CF570" s="4"/>
      <c r="CG570" s="4"/>
      <c r="CH570" s="4"/>
    </row>
    <row r="571" spans="1:86" x14ac:dyDescent="0.25">
      <c r="A571" s="12">
        <f t="shared" si="14"/>
        <v>568</v>
      </c>
      <c r="B571" s="4" t="s">
        <v>1577</v>
      </c>
      <c r="C571" s="4" t="s">
        <v>1578</v>
      </c>
      <c r="D571" s="4" t="s">
        <v>45</v>
      </c>
      <c r="E571" s="4"/>
      <c r="F571" s="14"/>
      <c r="G571" s="14"/>
      <c r="H571" s="14"/>
      <c r="I571" s="5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  <c r="BK571" s="4"/>
      <c r="BL571" s="4"/>
      <c r="BM571" s="4"/>
      <c r="BN571" s="4"/>
      <c r="BO571" s="4"/>
      <c r="BP571" s="4"/>
      <c r="BQ571" s="4"/>
      <c r="BR571" s="4"/>
      <c r="BS571" s="4"/>
      <c r="BT571" s="4"/>
      <c r="BU571" s="4"/>
      <c r="BV571" s="4"/>
      <c r="BW571" s="4"/>
      <c r="BX571" s="4"/>
      <c r="BY571" s="4"/>
      <c r="BZ571" s="4"/>
      <c r="CA571" s="4"/>
      <c r="CB571" s="4"/>
      <c r="CC571" s="4"/>
      <c r="CD571" s="4"/>
      <c r="CE571" s="4"/>
      <c r="CF571" s="4"/>
      <c r="CG571" s="4"/>
      <c r="CH571" s="4"/>
    </row>
    <row r="572" spans="1:86" x14ac:dyDescent="0.25">
      <c r="A572" s="12">
        <f t="shared" si="14"/>
        <v>569</v>
      </c>
      <c r="B572" s="4" t="s">
        <v>1579</v>
      </c>
      <c r="C572" s="4" t="s">
        <v>913</v>
      </c>
      <c r="D572" s="4" t="s">
        <v>2571</v>
      </c>
      <c r="E572" s="4"/>
      <c r="F572" s="14"/>
      <c r="G572" s="14"/>
      <c r="H572" s="14"/>
      <c r="I572" s="5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  <c r="BK572" s="4"/>
      <c r="BL572" s="4"/>
      <c r="BM572" s="4"/>
      <c r="BN572" s="4"/>
      <c r="BO572" s="4"/>
      <c r="BP572" s="4"/>
      <c r="BQ572" s="4"/>
      <c r="BR572" s="4"/>
      <c r="BS572" s="4"/>
      <c r="BT572" s="4"/>
      <c r="BU572" s="4"/>
      <c r="BV572" s="4"/>
      <c r="BW572" s="4"/>
      <c r="BX572" s="4"/>
      <c r="BY572" s="4"/>
      <c r="BZ572" s="4"/>
      <c r="CA572" s="4"/>
      <c r="CB572" s="4"/>
      <c r="CC572" s="4"/>
      <c r="CD572" s="4"/>
      <c r="CE572" s="4"/>
      <c r="CF572" s="4"/>
      <c r="CG572" s="4"/>
      <c r="CH572" s="4"/>
    </row>
    <row r="573" spans="1:86" x14ac:dyDescent="0.25">
      <c r="A573" s="12">
        <f t="shared" si="14"/>
        <v>570</v>
      </c>
      <c r="B573" s="4" t="s">
        <v>1580</v>
      </c>
      <c r="C573" s="4" t="s">
        <v>1581</v>
      </c>
      <c r="D573" s="4" t="s">
        <v>45</v>
      </c>
      <c r="E573" s="4"/>
      <c r="F573" s="14"/>
      <c r="G573" s="14"/>
      <c r="H573" s="14"/>
      <c r="I573" s="5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  <c r="BK573" s="4"/>
      <c r="BL573" s="4"/>
      <c r="BM573" s="4"/>
      <c r="BN573" s="4"/>
      <c r="BO573" s="4"/>
      <c r="BP573" s="4"/>
      <c r="BQ573" s="4"/>
      <c r="BR573" s="4"/>
      <c r="BS573" s="4"/>
      <c r="BT573" s="4"/>
      <c r="BU573" s="4"/>
      <c r="BV573" s="4"/>
      <c r="BW573" s="4"/>
      <c r="BX573" s="4"/>
      <c r="BY573" s="4"/>
      <c r="BZ573" s="4"/>
      <c r="CA573" s="4"/>
      <c r="CB573" s="4"/>
      <c r="CC573" s="4"/>
      <c r="CD573" s="4"/>
      <c r="CE573" s="4"/>
      <c r="CF573" s="4"/>
      <c r="CG573" s="4"/>
      <c r="CH573" s="4"/>
    </row>
    <row r="574" spans="1:86" x14ac:dyDescent="0.25">
      <c r="A574" s="12">
        <f t="shared" si="14"/>
        <v>571</v>
      </c>
      <c r="B574" s="4" t="s">
        <v>1582</v>
      </c>
      <c r="C574" s="4" t="s">
        <v>1583</v>
      </c>
      <c r="D574" s="4" t="s">
        <v>45</v>
      </c>
      <c r="E574" s="4"/>
      <c r="F574" s="14"/>
      <c r="G574" s="14"/>
      <c r="H574" s="14"/>
      <c r="I574" s="5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  <c r="BK574" s="4"/>
      <c r="BL574" s="4"/>
      <c r="BM574" s="4"/>
      <c r="BN574" s="4"/>
      <c r="BO574" s="4"/>
      <c r="BP574" s="4"/>
      <c r="BQ574" s="4"/>
      <c r="BR574" s="4"/>
      <c r="BS574" s="4"/>
      <c r="BT574" s="4"/>
      <c r="BU574" s="4"/>
      <c r="BV574" s="4"/>
      <c r="BW574" s="4"/>
      <c r="BX574" s="4"/>
      <c r="BY574" s="4"/>
      <c r="BZ574" s="4"/>
      <c r="CA574" s="4"/>
      <c r="CB574" s="4"/>
      <c r="CC574" s="4"/>
      <c r="CD574" s="4"/>
      <c r="CE574" s="4"/>
      <c r="CF574" s="4"/>
      <c r="CG574" s="4"/>
      <c r="CH574" s="4"/>
    </row>
    <row r="575" spans="1:86" x14ac:dyDescent="0.25">
      <c r="A575" s="12">
        <f t="shared" si="14"/>
        <v>572</v>
      </c>
      <c r="B575" s="4" t="s">
        <v>1584</v>
      </c>
      <c r="C575" s="4" t="s">
        <v>1585</v>
      </c>
      <c r="D575" s="4" t="s">
        <v>84</v>
      </c>
      <c r="E575" s="4"/>
      <c r="F575" s="14"/>
      <c r="G575" s="14"/>
      <c r="H575" s="14"/>
      <c r="I575" s="5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  <c r="BK575" s="4"/>
      <c r="BL575" s="4"/>
      <c r="BM575" s="4"/>
      <c r="BN575" s="4"/>
      <c r="BO575" s="4"/>
      <c r="BP575" s="4"/>
      <c r="BQ575" s="4"/>
      <c r="BR575" s="4"/>
      <c r="BS575" s="4"/>
      <c r="BT575" s="4"/>
      <c r="BU575" s="4"/>
      <c r="BV575" s="4"/>
      <c r="BW575" s="4"/>
      <c r="BX575" s="4"/>
      <c r="BY575" s="4"/>
      <c r="BZ575" s="4"/>
      <c r="CA575" s="4"/>
      <c r="CB575" s="4"/>
      <c r="CC575" s="4"/>
      <c r="CD575" s="4"/>
      <c r="CE575" s="4"/>
      <c r="CF575" s="4"/>
      <c r="CG575" s="4"/>
      <c r="CH575" s="4"/>
    </row>
    <row r="576" spans="1:86" x14ac:dyDescent="0.25">
      <c r="A576" s="12">
        <f t="shared" si="14"/>
        <v>573</v>
      </c>
      <c r="B576" s="4" t="s">
        <v>1586</v>
      </c>
      <c r="C576" s="4" t="s">
        <v>1587</v>
      </c>
      <c r="D576" s="4" t="s">
        <v>45</v>
      </c>
      <c r="E576" s="4"/>
      <c r="F576" s="14"/>
      <c r="G576" s="14"/>
      <c r="H576" s="14"/>
      <c r="I576" s="5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  <c r="BK576" s="4"/>
      <c r="BL576" s="4"/>
      <c r="BM576" s="4"/>
      <c r="BN576" s="4"/>
      <c r="BO576" s="4"/>
      <c r="BP576" s="4"/>
      <c r="BQ576" s="4"/>
      <c r="BR576" s="4"/>
      <c r="BS576" s="4"/>
      <c r="BT576" s="4"/>
      <c r="BU576" s="4"/>
      <c r="BV576" s="4"/>
      <c r="BW576" s="4"/>
      <c r="BX576" s="4"/>
      <c r="BY576" s="4"/>
      <c r="BZ576" s="4"/>
      <c r="CA576" s="4"/>
      <c r="CB576" s="4"/>
      <c r="CC576" s="4"/>
      <c r="CD576" s="4"/>
      <c r="CE576" s="4"/>
      <c r="CF576" s="4"/>
      <c r="CG576" s="4"/>
      <c r="CH576" s="4"/>
    </row>
    <row r="577" spans="1:86" x14ac:dyDescent="0.25">
      <c r="A577" s="12">
        <f t="shared" si="14"/>
        <v>574</v>
      </c>
      <c r="B577" s="4" t="s">
        <v>1588</v>
      </c>
      <c r="C577" s="4" t="s">
        <v>1589</v>
      </c>
      <c r="D577" s="4" t="s">
        <v>770</v>
      </c>
      <c r="E577" s="4"/>
      <c r="F577" s="14"/>
      <c r="G577" s="14"/>
      <c r="H577" s="14"/>
      <c r="I577" s="5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  <c r="BK577" s="4"/>
      <c r="BL577" s="4"/>
      <c r="BM577" s="4"/>
      <c r="BN577" s="4"/>
      <c r="BO577" s="4"/>
      <c r="BP577" s="4"/>
      <c r="BQ577" s="4"/>
      <c r="BR577" s="4"/>
      <c r="BS577" s="4"/>
      <c r="BT577" s="4"/>
      <c r="BU577" s="4"/>
      <c r="BV577" s="4"/>
      <c r="BW577" s="4"/>
      <c r="BX577" s="4"/>
      <c r="BY577" s="4"/>
      <c r="BZ577" s="4"/>
      <c r="CA577" s="4"/>
      <c r="CB577" s="4"/>
      <c r="CC577" s="4"/>
      <c r="CD577" s="4"/>
      <c r="CE577" s="4"/>
      <c r="CF577" s="4"/>
      <c r="CG577" s="4"/>
      <c r="CH577" s="4"/>
    </row>
    <row r="578" spans="1:86" x14ac:dyDescent="0.25">
      <c r="A578" s="12">
        <f t="shared" si="14"/>
        <v>575</v>
      </c>
      <c r="B578" s="4" t="s">
        <v>1590</v>
      </c>
      <c r="C578" s="4" t="s">
        <v>1591</v>
      </c>
      <c r="D578" s="4" t="s">
        <v>768</v>
      </c>
      <c r="E578" s="4"/>
      <c r="F578" s="14"/>
      <c r="G578" s="14"/>
      <c r="H578" s="14"/>
      <c r="I578" s="5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  <c r="BK578" s="4"/>
      <c r="BL578" s="4"/>
      <c r="BM578" s="4"/>
      <c r="BN578" s="4"/>
      <c r="BO578" s="4"/>
      <c r="BP578" s="4"/>
      <c r="BQ578" s="4"/>
      <c r="BR578" s="4"/>
      <c r="BS578" s="4"/>
      <c r="BT578" s="4"/>
      <c r="BU578" s="4"/>
      <c r="BV578" s="4"/>
      <c r="BW578" s="4"/>
      <c r="BX578" s="4"/>
      <c r="BY578" s="4"/>
      <c r="BZ578" s="4"/>
      <c r="CA578" s="4"/>
      <c r="CB578" s="4"/>
      <c r="CC578" s="4"/>
      <c r="CD578" s="4"/>
      <c r="CE578" s="4"/>
      <c r="CF578" s="4"/>
      <c r="CG578" s="4"/>
      <c r="CH578" s="4"/>
    </row>
    <row r="579" spans="1:86" x14ac:dyDescent="0.25">
      <c r="A579" s="12">
        <f t="shared" si="14"/>
        <v>576</v>
      </c>
      <c r="B579" s="4" t="s">
        <v>1592</v>
      </c>
      <c r="C579" s="4" t="s">
        <v>1593</v>
      </c>
      <c r="D579" s="4" t="s">
        <v>45</v>
      </c>
      <c r="E579" s="4"/>
      <c r="F579" s="14"/>
      <c r="G579" s="14"/>
      <c r="H579" s="14"/>
      <c r="I579" s="5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  <c r="BK579" s="4"/>
      <c r="BL579" s="4"/>
      <c r="BM579" s="4"/>
      <c r="BN579" s="4"/>
      <c r="BO579" s="4"/>
      <c r="BP579" s="4"/>
      <c r="BQ579" s="4"/>
      <c r="BR579" s="4"/>
      <c r="BS579" s="4"/>
      <c r="BT579" s="4"/>
      <c r="BU579" s="4"/>
      <c r="BV579" s="4"/>
      <c r="BW579" s="4"/>
      <c r="BX579" s="4"/>
      <c r="BY579" s="4"/>
      <c r="BZ579" s="4"/>
      <c r="CA579" s="4"/>
      <c r="CB579" s="4"/>
      <c r="CC579" s="4"/>
      <c r="CD579" s="4"/>
      <c r="CE579" s="4"/>
      <c r="CF579" s="4"/>
      <c r="CG579" s="4"/>
      <c r="CH579" s="4"/>
    </row>
    <row r="580" spans="1:86" x14ac:dyDescent="0.25">
      <c r="A580" s="12">
        <f t="shared" si="14"/>
        <v>577</v>
      </c>
      <c r="B580" s="4" t="s">
        <v>1594</v>
      </c>
      <c r="C580" s="4" t="s">
        <v>1595</v>
      </c>
      <c r="D580" s="4" t="s">
        <v>45</v>
      </c>
      <c r="E580" s="4"/>
      <c r="F580" s="14"/>
      <c r="G580" s="14"/>
      <c r="H580" s="14"/>
      <c r="I580" s="5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  <c r="BK580" s="4"/>
      <c r="BL580" s="4"/>
      <c r="BM580" s="4"/>
      <c r="BN580" s="4"/>
      <c r="BO580" s="4"/>
      <c r="BP580" s="4"/>
      <c r="BQ580" s="4"/>
      <c r="BR580" s="4"/>
      <c r="BS580" s="4"/>
      <c r="BT580" s="4"/>
      <c r="BU580" s="4"/>
      <c r="BV580" s="4"/>
      <c r="BW580" s="4"/>
      <c r="BX580" s="4"/>
      <c r="BY580" s="4"/>
      <c r="BZ580" s="4"/>
      <c r="CA580" s="4"/>
      <c r="CB580" s="4"/>
      <c r="CC580" s="4"/>
      <c r="CD580" s="4"/>
      <c r="CE580" s="4"/>
      <c r="CF580" s="4"/>
      <c r="CG580" s="4"/>
      <c r="CH580" s="4"/>
    </row>
    <row r="581" spans="1:86" x14ac:dyDescent="0.25">
      <c r="A581" s="12">
        <f t="shared" si="14"/>
        <v>578</v>
      </c>
      <c r="B581" s="4" t="s">
        <v>1596</v>
      </c>
      <c r="C581" s="4" t="s">
        <v>1597</v>
      </c>
      <c r="D581" s="4" t="s">
        <v>45</v>
      </c>
      <c r="E581" s="4"/>
      <c r="F581" s="14"/>
      <c r="G581" s="14"/>
      <c r="H581" s="14"/>
      <c r="I581" s="5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  <c r="BK581" s="4"/>
      <c r="BL581" s="4"/>
      <c r="BM581" s="4"/>
      <c r="BN581" s="4"/>
      <c r="BO581" s="4"/>
      <c r="BP581" s="4"/>
      <c r="BQ581" s="4"/>
      <c r="BR581" s="4"/>
      <c r="BS581" s="4"/>
      <c r="BT581" s="4"/>
      <c r="BU581" s="4"/>
      <c r="BV581" s="4"/>
      <c r="BW581" s="4"/>
      <c r="BX581" s="4"/>
      <c r="BY581" s="4"/>
      <c r="BZ581" s="4"/>
      <c r="CA581" s="4"/>
      <c r="CB581" s="4"/>
      <c r="CC581" s="4"/>
      <c r="CD581" s="4"/>
      <c r="CE581" s="4"/>
      <c r="CF581" s="4"/>
      <c r="CG581" s="4"/>
      <c r="CH581" s="4"/>
    </row>
    <row r="582" spans="1:86" x14ac:dyDescent="0.25">
      <c r="A582" s="12">
        <f t="shared" si="14"/>
        <v>579</v>
      </c>
      <c r="B582" s="4" t="s">
        <v>1598</v>
      </c>
      <c r="C582" s="4" t="s">
        <v>1599</v>
      </c>
      <c r="D582" s="4" t="s">
        <v>45</v>
      </c>
      <c r="E582" s="4"/>
      <c r="F582" s="14"/>
      <c r="G582" s="14"/>
      <c r="H582" s="14"/>
      <c r="I582" s="5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  <c r="BK582" s="4"/>
      <c r="BL582" s="4"/>
      <c r="BM582" s="4"/>
      <c r="BN582" s="4"/>
      <c r="BO582" s="4"/>
      <c r="BP582" s="4"/>
      <c r="BQ582" s="4"/>
      <c r="BR582" s="4"/>
      <c r="BS582" s="4"/>
      <c r="BT582" s="4"/>
      <c r="BU582" s="4"/>
      <c r="BV582" s="4"/>
      <c r="BW582" s="4"/>
      <c r="BX582" s="4"/>
      <c r="BY582" s="4"/>
      <c r="BZ582" s="4"/>
      <c r="CA582" s="4"/>
      <c r="CB582" s="4"/>
      <c r="CC582" s="4"/>
      <c r="CD582" s="4"/>
      <c r="CE582" s="4"/>
      <c r="CF582" s="4"/>
      <c r="CG582" s="4"/>
      <c r="CH582" s="4"/>
    </row>
    <row r="583" spans="1:86" x14ac:dyDescent="0.25">
      <c r="A583" s="12">
        <f t="shared" si="14"/>
        <v>580</v>
      </c>
      <c r="B583" s="4" t="s">
        <v>997</v>
      </c>
      <c r="C583" s="4" t="s">
        <v>998</v>
      </c>
      <c r="D583" s="4" t="s">
        <v>245</v>
      </c>
      <c r="E583" s="4"/>
      <c r="F583" s="14"/>
      <c r="G583" s="14"/>
      <c r="H583" s="14"/>
      <c r="I583" s="5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  <c r="BK583" s="4"/>
      <c r="BL583" s="4"/>
      <c r="BM583" s="4"/>
      <c r="BN583" s="4"/>
      <c r="BO583" s="4"/>
      <c r="BP583" s="4"/>
      <c r="BQ583" s="4"/>
      <c r="BR583" s="4"/>
      <c r="BS583" s="4"/>
      <c r="BT583" s="4"/>
      <c r="BU583" s="4"/>
      <c r="BV583" s="4"/>
      <c r="BW583" s="4"/>
      <c r="BX583" s="4"/>
      <c r="BY583" s="4"/>
      <c r="BZ583" s="4"/>
      <c r="CA583" s="4"/>
      <c r="CB583" s="4"/>
      <c r="CC583" s="4"/>
      <c r="CD583" s="4"/>
      <c r="CE583" s="4"/>
      <c r="CF583" s="4"/>
      <c r="CG583" s="4"/>
      <c r="CH583" s="4"/>
    </row>
    <row r="584" spans="1:86" x14ac:dyDescent="0.25">
      <c r="A584" s="12">
        <f t="shared" si="14"/>
        <v>581</v>
      </c>
      <c r="B584" s="4" t="s">
        <v>1600</v>
      </c>
      <c r="C584" s="4" t="s">
        <v>1601</v>
      </c>
      <c r="D584" s="4" t="s">
        <v>1130</v>
      </c>
      <c r="E584" s="4"/>
      <c r="F584" s="14"/>
      <c r="G584" s="14"/>
      <c r="H584" s="14"/>
      <c r="I584" s="5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  <c r="BK584" s="4"/>
      <c r="BL584" s="4"/>
      <c r="BM584" s="4"/>
      <c r="BN584" s="4"/>
      <c r="BO584" s="4"/>
      <c r="BP584" s="4"/>
      <c r="BQ584" s="4"/>
      <c r="BR584" s="4"/>
      <c r="BS584" s="4"/>
      <c r="BT584" s="4"/>
      <c r="BU584" s="4"/>
      <c r="BV584" s="4"/>
      <c r="BW584" s="4"/>
      <c r="BX584" s="4"/>
      <c r="BY584" s="4"/>
      <c r="BZ584" s="4"/>
      <c r="CA584" s="4"/>
      <c r="CB584" s="4"/>
      <c r="CC584" s="4"/>
      <c r="CD584" s="4"/>
      <c r="CE584" s="4"/>
      <c r="CF584" s="4"/>
      <c r="CG584" s="4"/>
      <c r="CH584" s="4"/>
    </row>
    <row r="585" spans="1:86" x14ac:dyDescent="0.25">
      <c r="A585" s="12">
        <f t="shared" si="14"/>
        <v>582</v>
      </c>
      <c r="B585" s="4" t="s">
        <v>1602</v>
      </c>
      <c r="C585" s="4" t="s">
        <v>1603</v>
      </c>
      <c r="D585" s="4" t="s">
        <v>84</v>
      </c>
      <c r="E585" s="4"/>
      <c r="F585" s="14"/>
      <c r="G585" s="14"/>
      <c r="H585" s="14"/>
      <c r="I585" s="5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  <c r="BK585" s="4"/>
      <c r="BL585" s="4"/>
      <c r="BM585" s="4"/>
      <c r="BN585" s="4"/>
      <c r="BO585" s="4"/>
      <c r="BP585" s="4"/>
      <c r="BQ585" s="4"/>
      <c r="BR585" s="4"/>
      <c r="BS585" s="4"/>
      <c r="BT585" s="4"/>
      <c r="BU585" s="4"/>
      <c r="BV585" s="4"/>
      <c r="BW585" s="4"/>
      <c r="BX585" s="4"/>
      <c r="BY585" s="4"/>
      <c r="BZ585" s="4"/>
      <c r="CA585" s="4"/>
      <c r="CB585" s="4"/>
      <c r="CC585" s="4"/>
      <c r="CD585" s="4"/>
      <c r="CE585" s="4"/>
      <c r="CF585" s="4"/>
      <c r="CG585" s="4"/>
      <c r="CH585" s="4"/>
    </row>
    <row r="586" spans="1:86" x14ac:dyDescent="0.25">
      <c r="A586" s="12">
        <f t="shared" ref="A586:A649" si="15">+A585+1</f>
        <v>583</v>
      </c>
      <c r="B586" s="4" t="s">
        <v>1604</v>
      </c>
      <c r="C586" s="4" t="s">
        <v>1605</v>
      </c>
      <c r="D586" s="4" t="s">
        <v>45</v>
      </c>
      <c r="E586" s="4"/>
      <c r="F586" s="14"/>
      <c r="G586" s="14"/>
      <c r="H586" s="14"/>
      <c r="I586" s="5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  <c r="BK586" s="4"/>
      <c r="BL586" s="4"/>
      <c r="BM586" s="4"/>
      <c r="BN586" s="4"/>
      <c r="BO586" s="4"/>
      <c r="BP586" s="4"/>
      <c r="BQ586" s="4"/>
      <c r="BR586" s="4"/>
      <c r="BS586" s="4"/>
      <c r="BT586" s="4"/>
      <c r="BU586" s="4"/>
      <c r="BV586" s="4"/>
      <c r="BW586" s="4"/>
      <c r="BX586" s="4"/>
      <c r="BY586" s="4"/>
      <c r="BZ586" s="4"/>
      <c r="CA586" s="4"/>
      <c r="CB586" s="4"/>
      <c r="CC586" s="4"/>
      <c r="CD586" s="4"/>
      <c r="CE586" s="4"/>
      <c r="CF586" s="4"/>
      <c r="CG586" s="4"/>
      <c r="CH586" s="4"/>
    </row>
    <row r="587" spans="1:86" x14ac:dyDescent="0.25">
      <c r="A587" s="12">
        <f t="shared" si="15"/>
        <v>584</v>
      </c>
      <c r="B587" s="4" t="s">
        <v>1606</v>
      </c>
      <c r="C587" s="4" t="s">
        <v>1607</v>
      </c>
      <c r="D587" s="4" t="s">
        <v>770</v>
      </c>
      <c r="E587" s="4"/>
      <c r="F587" s="14"/>
      <c r="G587" s="14"/>
      <c r="H587" s="14"/>
      <c r="I587" s="5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  <c r="BK587" s="4"/>
      <c r="BL587" s="4"/>
      <c r="BM587" s="4"/>
      <c r="BN587" s="4"/>
      <c r="BO587" s="4"/>
      <c r="BP587" s="4"/>
      <c r="BQ587" s="4"/>
      <c r="BR587" s="4"/>
      <c r="BS587" s="4"/>
      <c r="BT587" s="4"/>
      <c r="BU587" s="4"/>
      <c r="BV587" s="4"/>
      <c r="BW587" s="4"/>
      <c r="BX587" s="4"/>
      <c r="BY587" s="4"/>
      <c r="BZ587" s="4"/>
      <c r="CA587" s="4"/>
      <c r="CB587" s="4"/>
      <c r="CC587" s="4"/>
      <c r="CD587" s="4"/>
      <c r="CE587" s="4"/>
      <c r="CF587" s="4"/>
      <c r="CG587" s="4"/>
      <c r="CH587" s="4"/>
    </row>
    <row r="588" spans="1:86" x14ac:dyDescent="0.25">
      <c r="A588" s="12">
        <f t="shared" si="15"/>
        <v>585</v>
      </c>
      <c r="B588" s="4" t="s">
        <v>1608</v>
      </c>
      <c r="C588" s="4" t="s">
        <v>1609</v>
      </c>
      <c r="D588" s="4" t="s">
        <v>45</v>
      </c>
      <c r="E588" s="4"/>
      <c r="F588" s="14"/>
      <c r="G588" s="14"/>
      <c r="H588" s="14"/>
      <c r="I588" s="5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  <c r="BK588" s="4"/>
      <c r="BL588" s="4"/>
      <c r="BM588" s="4"/>
      <c r="BN588" s="4"/>
      <c r="BO588" s="4"/>
      <c r="BP588" s="4"/>
      <c r="BQ588" s="4"/>
      <c r="BR588" s="4"/>
      <c r="BS588" s="4"/>
      <c r="BT588" s="4"/>
      <c r="BU588" s="4"/>
      <c r="BV588" s="4"/>
      <c r="BW588" s="4"/>
      <c r="BX588" s="4"/>
      <c r="BY588" s="4"/>
      <c r="BZ588" s="4"/>
      <c r="CA588" s="4"/>
      <c r="CB588" s="4"/>
      <c r="CC588" s="4"/>
      <c r="CD588" s="4"/>
      <c r="CE588" s="4"/>
      <c r="CF588" s="4"/>
      <c r="CG588" s="4"/>
      <c r="CH588" s="4"/>
    </row>
    <row r="589" spans="1:86" x14ac:dyDescent="0.25">
      <c r="A589" s="12">
        <f t="shared" si="15"/>
        <v>586</v>
      </c>
      <c r="B589" s="4" t="s">
        <v>1610</v>
      </c>
      <c r="C589" s="4" t="s">
        <v>1611</v>
      </c>
      <c r="D589" s="4" t="s">
        <v>45</v>
      </c>
      <c r="E589" s="4"/>
      <c r="F589" s="14"/>
      <c r="G589" s="14"/>
      <c r="H589" s="14"/>
      <c r="I589" s="5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N589" s="4"/>
      <c r="BO589" s="4"/>
      <c r="BP589" s="4"/>
      <c r="BQ589" s="4"/>
      <c r="BR589" s="4"/>
      <c r="BS589" s="4"/>
      <c r="BT589" s="4"/>
      <c r="BU589" s="4"/>
      <c r="BV589" s="4"/>
      <c r="BW589" s="4"/>
      <c r="BX589" s="4"/>
      <c r="BY589" s="4"/>
      <c r="BZ589" s="4"/>
      <c r="CA589" s="4"/>
      <c r="CB589" s="4"/>
      <c r="CC589" s="4"/>
      <c r="CD589" s="4"/>
      <c r="CE589" s="4"/>
      <c r="CF589" s="4"/>
      <c r="CG589" s="4"/>
      <c r="CH589" s="4"/>
    </row>
    <row r="590" spans="1:86" x14ac:dyDescent="0.25">
      <c r="A590" s="12">
        <f t="shared" si="15"/>
        <v>587</v>
      </c>
      <c r="B590" s="4" t="s">
        <v>846</v>
      </c>
      <c r="C590" s="4" t="s">
        <v>847</v>
      </c>
      <c r="D590" s="4" t="s">
        <v>45</v>
      </c>
      <c r="E590" s="4"/>
      <c r="F590" s="14"/>
      <c r="G590" s="14"/>
      <c r="H590" s="14"/>
      <c r="I590" s="5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  <c r="BK590" s="4"/>
      <c r="BL590" s="4"/>
      <c r="BM590" s="4"/>
      <c r="BN590" s="4"/>
      <c r="BO590" s="4"/>
      <c r="BP590" s="4"/>
      <c r="BQ590" s="4"/>
      <c r="BR590" s="4"/>
      <c r="BS590" s="4"/>
      <c r="BT590" s="4"/>
      <c r="BU590" s="4"/>
      <c r="BV590" s="4"/>
      <c r="BW590" s="4"/>
      <c r="BX590" s="4"/>
      <c r="BY590" s="4"/>
      <c r="BZ590" s="4"/>
      <c r="CA590" s="4"/>
      <c r="CB590" s="4"/>
      <c r="CC590" s="4"/>
      <c r="CD590" s="4"/>
      <c r="CE590" s="4"/>
      <c r="CF590" s="4"/>
      <c r="CG590" s="4"/>
      <c r="CH590" s="4"/>
    </row>
    <row r="591" spans="1:86" x14ac:dyDescent="0.25">
      <c r="A591" s="12">
        <f t="shared" si="15"/>
        <v>588</v>
      </c>
      <c r="B591" s="4" t="s">
        <v>1612</v>
      </c>
      <c r="C591" s="4" t="s">
        <v>1613</v>
      </c>
      <c r="D591" s="4" t="s">
        <v>770</v>
      </c>
      <c r="E591" s="4"/>
      <c r="F591" s="14"/>
      <c r="G591" s="14"/>
      <c r="H591" s="14"/>
      <c r="I591" s="5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  <c r="BK591" s="4"/>
      <c r="BL591" s="4"/>
      <c r="BM591" s="4"/>
      <c r="BN591" s="4"/>
      <c r="BO591" s="4"/>
      <c r="BP591" s="4"/>
      <c r="BQ591" s="4"/>
      <c r="BR591" s="4"/>
      <c r="BS591" s="4"/>
      <c r="BT591" s="4"/>
      <c r="BU591" s="4"/>
      <c r="BV591" s="4"/>
      <c r="BW591" s="4"/>
      <c r="BX591" s="4"/>
      <c r="BY591" s="4"/>
      <c r="BZ591" s="4"/>
      <c r="CA591" s="4"/>
      <c r="CB591" s="4"/>
      <c r="CC591" s="4"/>
      <c r="CD591" s="4"/>
      <c r="CE591" s="4"/>
      <c r="CF591" s="4"/>
      <c r="CG591" s="4"/>
      <c r="CH591" s="4"/>
    </row>
    <row r="592" spans="1:86" x14ac:dyDescent="0.25">
      <c r="A592" s="12">
        <f t="shared" si="15"/>
        <v>589</v>
      </c>
      <c r="B592" s="4" t="s">
        <v>1614</v>
      </c>
      <c r="C592" s="4" t="s">
        <v>1615</v>
      </c>
      <c r="D592" s="4" t="s">
        <v>45</v>
      </c>
      <c r="E592" s="4"/>
      <c r="F592" s="14"/>
      <c r="G592" s="14"/>
      <c r="H592" s="14"/>
      <c r="I592" s="5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  <c r="BK592" s="4"/>
      <c r="BL592" s="4"/>
      <c r="BM592" s="4"/>
      <c r="BN592" s="4"/>
      <c r="BO592" s="4"/>
      <c r="BP592" s="4"/>
      <c r="BQ592" s="4"/>
      <c r="BR592" s="4"/>
      <c r="BS592" s="4"/>
      <c r="BT592" s="4"/>
      <c r="BU592" s="4"/>
      <c r="BV592" s="4"/>
      <c r="BW592" s="4"/>
      <c r="BX592" s="4"/>
      <c r="BY592" s="4"/>
      <c r="BZ592" s="4"/>
      <c r="CA592" s="4"/>
      <c r="CB592" s="4"/>
      <c r="CC592" s="4"/>
      <c r="CD592" s="4"/>
      <c r="CE592" s="4"/>
      <c r="CF592" s="4"/>
      <c r="CG592" s="4"/>
      <c r="CH592" s="4"/>
    </row>
    <row r="593" spans="1:86" x14ac:dyDescent="0.25">
      <c r="A593" s="12">
        <f t="shared" si="15"/>
        <v>590</v>
      </c>
      <c r="B593" s="4" t="s">
        <v>1616</v>
      </c>
      <c r="C593" s="4" t="s">
        <v>1617</v>
      </c>
      <c r="D593" s="4" t="s">
        <v>45</v>
      </c>
      <c r="E593" s="4"/>
      <c r="F593" s="14"/>
      <c r="G593" s="14"/>
      <c r="H593" s="14"/>
      <c r="I593" s="5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  <c r="BK593" s="4"/>
      <c r="BL593" s="4"/>
      <c r="BM593" s="4"/>
      <c r="BN593" s="4"/>
      <c r="BO593" s="4"/>
      <c r="BP593" s="4"/>
      <c r="BQ593" s="4"/>
      <c r="BR593" s="4"/>
      <c r="BS593" s="4"/>
      <c r="BT593" s="4"/>
      <c r="BU593" s="4"/>
      <c r="BV593" s="4"/>
      <c r="BW593" s="4"/>
      <c r="BX593" s="4"/>
      <c r="BY593" s="4"/>
      <c r="BZ593" s="4"/>
      <c r="CA593" s="4"/>
      <c r="CB593" s="4"/>
      <c r="CC593" s="4"/>
      <c r="CD593" s="4"/>
      <c r="CE593" s="4"/>
      <c r="CF593" s="4"/>
      <c r="CG593" s="4"/>
      <c r="CH593" s="4"/>
    </row>
    <row r="594" spans="1:86" x14ac:dyDescent="0.25">
      <c r="A594" s="12">
        <f t="shared" si="15"/>
        <v>591</v>
      </c>
      <c r="B594" s="4" t="s">
        <v>1618</v>
      </c>
      <c r="C594" s="4" t="s">
        <v>1619</v>
      </c>
      <c r="D594" s="4" t="s">
        <v>45</v>
      </c>
      <c r="E594" s="4"/>
      <c r="F594" s="14"/>
      <c r="G594" s="14"/>
      <c r="H594" s="14"/>
      <c r="I594" s="5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  <c r="BK594" s="4"/>
      <c r="BL594" s="4"/>
      <c r="BM594" s="4"/>
      <c r="BN594" s="4"/>
      <c r="BO594" s="4"/>
      <c r="BP594" s="4"/>
      <c r="BQ594" s="4"/>
      <c r="BR594" s="4"/>
      <c r="BS594" s="4"/>
      <c r="BT594" s="4"/>
      <c r="BU594" s="4"/>
      <c r="BV594" s="4"/>
      <c r="BW594" s="4"/>
      <c r="BX594" s="4"/>
      <c r="BY594" s="4"/>
      <c r="BZ594" s="4"/>
      <c r="CA594" s="4"/>
      <c r="CB594" s="4"/>
      <c r="CC594" s="4"/>
      <c r="CD594" s="4"/>
      <c r="CE594" s="4"/>
      <c r="CF594" s="4"/>
      <c r="CG594" s="4"/>
      <c r="CH594" s="4"/>
    </row>
    <row r="595" spans="1:86" x14ac:dyDescent="0.25">
      <c r="A595" s="12">
        <f t="shared" si="15"/>
        <v>592</v>
      </c>
      <c r="B595" s="4" t="s">
        <v>1001</v>
      </c>
      <c r="C595" s="4" t="s">
        <v>1002</v>
      </c>
      <c r="D595" s="4" t="s">
        <v>45</v>
      </c>
      <c r="E595" s="4"/>
      <c r="F595" s="14"/>
      <c r="G595" s="14"/>
      <c r="H595" s="14"/>
      <c r="I595" s="5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  <c r="BK595" s="4"/>
      <c r="BL595" s="4"/>
      <c r="BM595" s="4"/>
      <c r="BN595" s="4"/>
      <c r="BO595" s="4"/>
      <c r="BP595" s="4"/>
      <c r="BQ595" s="4"/>
      <c r="BR595" s="4"/>
      <c r="BS595" s="4"/>
      <c r="BT595" s="4"/>
      <c r="BU595" s="4"/>
      <c r="BV595" s="4"/>
      <c r="BW595" s="4"/>
      <c r="BX595" s="4"/>
      <c r="BY595" s="4"/>
      <c r="BZ595" s="4"/>
      <c r="CA595" s="4"/>
      <c r="CB595" s="4"/>
      <c r="CC595" s="4"/>
      <c r="CD595" s="4"/>
      <c r="CE595" s="4"/>
      <c r="CF595" s="4"/>
      <c r="CG595" s="4"/>
      <c r="CH595" s="4"/>
    </row>
    <row r="596" spans="1:86" x14ac:dyDescent="0.25">
      <c r="A596" s="12">
        <f t="shared" si="15"/>
        <v>593</v>
      </c>
      <c r="B596" s="4" t="s">
        <v>1620</v>
      </c>
      <c r="C596" s="4" t="s">
        <v>1621</v>
      </c>
      <c r="D596" s="4" t="s">
        <v>1125</v>
      </c>
      <c r="E596" s="4"/>
      <c r="F596" s="14"/>
      <c r="G596" s="14"/>
      <c r="H596" s="14"/>
      <c r="I596" s="5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  <c r="BK596" s="4"/>
      <c r="BL596" s="4"/>
      <c r="BM596" s="4"/>
      <c r="BN596" s="4"/>
      <c r="BO596" s="4"/>
      <c r="BP596" s="4"/>
      <c r="BQ596" s="4"/>
      <c r="BR596" s="4"/>
      <c r="BS596" s="4"/>
      <c r="BT596" s="4"/>
      <c r="BU596" s="4"/>
      <c r="BV596" s="4"/>
      <c r="BW596" s="4"/>
      <c r="BX596" s="4"/>
      <c r="BY596" s="4"/>
      <c r="BZ596" s="4"/>
      <c r="CA596" s="4"/>
      <c r="CB596" s="4"/>
      <c r="CC596" s="4"/>
      <c r="CD596" s="4"/>
      <c r="CE596" s="4"/>
      <c r="CF596" s="4"/>
      <c r="CG596" s="4"/>
      <c r="CH596" s="4"/>
    </row>
    <row r="597" spans="1:86" x14ac:dyDescent="0.25">
      <c r="A597" s="12">
        <f t="shared" si="15"/>
        <v>594</v>
      </c>
      <c r="B597" s="4" t="s">
        <v>1622</v>
      </c>
      <c r="C597" s="4" t="s">
        <v>1623</v>
      </c>
      <c r="D597" s="4" t="s">
        <v>955</v>
      </c>
      <c r="E597" s="4"/>
      <c r="F597" s="14"/>
      <c r="G597" s="14"/>
      <c r="H597" s="14"/>
      <c r="I597" s="5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  <c r="BK597" s="4"/>
      <c r="BL597" s="4"/>
      <c r="BM597" s="4"/>
      <c r="BN597" s="4"/>
      <c r="BO597" s="4"/>
      <c r="BP597" s="4"/>
      <c r="BQ597" s="4"/>
      <c r="BR597" s="4"/>
      <c r="BS597" s="4"/>
      <c r="BT597" s="4"/>
      <c r="BU597" s="4"/>
      <c r="BV597" s="4"/>
      <c r="BW597" s="4"/>
      <c r="BX597" s="4"/>
      <c r="BY597" s="4"/>
      <c r="BZ597" s="4"/>
      <c r="CA597" s="4"/>
      <c r="CB597" s="4"/>
      <c r="CC597" s="4"/>
      <c r="CD597" s="4"/>
      <c r="CE597" s="4"/>
      <c r="CF597" s="4"/>
      <c r="CG597" s="4"/>
      <c r="CH597" s="4"/>
    </row>
    <row r="598" spans="1:86" x14ac:dyDescent="0.25">
      <c r="A598" s="12">
        <f t="shared" si="15"/>
        <v>595</v>
      </c>
      <c r="B598" s="4" t="s">
        <v>1624</v>
      </c>
      <c r="C598" s="4" t="s">
        <v>1625</v>
      </c>
      <c r="D598" s="4" t="s">
        <v>87</v>
      </c>
      <c r="E598" s="4"/>
      <c r="F598" s="14"/>
      <c r="G598" s="14"/>
      <c r="H598" s="14"/>
      <c r="I598" s="5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  <c r="BK598" s="4"/>
      <c r="BL598" s="4"/>
      <c r="BM598" s="4"/>
      <c r="BN598" s="4"/>
      <c r="BO598" s="4"/>
      <c r="BP598" s="4"/>
      <c r="BQ598" s="4"/>
      <c r="BR598" s="4"/>
      <c r="BS598" s="4"/>
      <c r="BT598" s="4"/>
      <c r="BU598" s="4"/>
      <c r="BV598" s="4"/>
      <c r="BW598" s="4"/>
      <c r="BX598" s="4"/>
      <c r="BY598" s="4"/>
      <c r="BZ598" s="4"/>
      <c r="CA598" s="4"/>
      <c r="CB598" s="4"/>
      <c r="CC598" s="4"/>
      <c r="CD598" s="4"/>
      <c r="CE598" s="4"/>
      <c r="CF598" s="4"/>
      <c r="CG598" s="4"/>
      <c r="CH598" s="4"/>
    </row>
    <row r="599" spans="1:86" x14ac:dyDescent="0.25">
      <c r="A599" s="12">
        <f t="shared" si="15"/>
        <v>596</v>
      </c>
      <c r="B599" s="4" t="s">
        <v>1626</v>
      </c>
      <c r="C599" s="4" t="s">
        <v>1627</v>
      </c>
      <c r="D599" s="4" t="s">
        <v>1125</v>
      </c>
      <c r="E599" s="4"/>
      <c r="F599" s="14"/>
      <c r="G599" s="14"/>
      <c r="H599" s="14"/>
      <c r="I599" s="5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  <c r="BK599" s="4"/>
      <c r="BL599" s="4"/>
      <c r="BM599" s="4"/>
      <c r="BN599" s="4"/>
      <c r="BO599" s="4"/>
      <c r="BP599" s="4"/>
      <c r="BQ599" s="4"/>
      <c r="BR599" s="4"/>
      <c r="BS599" s="4"/>
      <c r="BT599" s="4"/>
      <c r="BU599" s="4"/>
      <c r="BV599" s="4"/>
      <c r="BW599" s="4"/>
      <c r="BX599" s="4"/>
      <c r="BY599" s="4"/>
      <c r="BZ599" s="4"/>
      <c r="CA599" s="4"/>
      <c r="CB599" s="4"/>
      <c r="CC599" s="4"/>
      <c r="CD599" s="4"/>
      <c r="CE599" s="4"/>
      <c r="CF599" s="4"/>
      <c r="CG599" s="4"/>
      <c r="CH599" s="4"/>
    </row>
    <row r="600" spans="1:86" x14ac:dyDescent="0.25">
      <c r="A600" s="12">
        <f t="shared" si="15"/>
        <v>597</v>
      </c>
      <c r="B600" s="4" t="s">
        <v>1628</v>
      </c>
      <c r="C600" s="4" t="s">
        <v>1629</v>
      </c>
      <c r="D600" s="4" t="s">
        <v>87</v>
      </c>
      <c r="E600" s="4"/>
      <c r="F600" s="14"/>
      <c r="G600" s="14"/>
      <c r="H600" s="14"/>
      <c r="I600" s="5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  <c r="BK600" s="4"/>
      <c r="BL600" s="4"/>
      <c r="BM600" s="4"/>
      <c r="BN600" s="4"/>
      <c r="BO600" s="4"/>
      <c r="BP600" s="4"/>
      <c r="BQ600" s="4"/>
      <c r="BR600" s="4"/>
      <c r="BS600" s="4"/>
      <c r="BT600" s="4"/>
      <c r="BU600" s="4"/>
      <c r="BV600" s="4"/>
      <c r="BW600" s="4"/>
      <c r="BX600" s="4"/>
      <c r="BY600" s="4"/>
      <c r="BZ600" s="4"/>
      <c r="CA600" s="4"/>
      <c r="CB600" s="4"/>
      <c r="CC600" s="4"/>
      <c r="CD600" s="4"/>
      <c r="CE600" s="4"/>
      <c r="CF600" s="4"/>
      <c r="CG600" s="4"/>
      <c r="CH600" s="4"/>
    </row>
    <row r="601" spans="1:86" x14ac:dyDescent="0.25">
      <c r="A601" s="12">
        <f t="shared" si="15"/>
        <v>598</v>
      </c>
      <c r="B601" s="4" t="s">
        <v>1003</v>
      </c>
      <c r="C601" s="4" t="s">
        <v>1004</v>
      </c>
      <c r="D601" s="4" t="s">
        <v>536</v>
      </c>
      <c r="E601" s="4"/>
      <c r="F601" s="14"/>
      <c r="G601" s="14"/>
      <c r="H601" s="14"/>
      <c r="I601" s="5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  <c r="BK601" s="4"/>
      <c r="BL601" s="4"/>
      <c r="BM601" s="4"/>
      <c r="BN601" s="4"/>
      <c r="BO601" s="4"/>
      <c r="BP601" s="4"/>
      <c r="BQ601" s="4"/>
      <c r="BR601" s="4"/>
      <c r="BS601" s="4"/>
      <c r="BT601" s="4"/>
      <c r="BU601" s="4"/>
      <c r="BV601" s="4"/>
      <c r="BW601" s="4"/>
      <c r="BX601" s="4"/>
      <c r="BY601" s="4"/>
      <c r="BZ601" s="4"/>
      <c r="CA601" s="4"/>
      <c r="CB601" s="4"/>
      <c r="CC601" s="4"/>
      <c r="CD601" s="4"/>
      <c r="CE601" s="4"/>
      <c r="CF601" s="4"/>
      <c r="CG601" s="4"/>
      <c r="CH601" s="4"/>
    </row>
    <row r="602" spans="1:86" x14ac:dyDescent="0.25">
      <c r="A602" s="12">
        <f t="shared" si="15"/>
        <v>599</v>
      </c>
      <c r="B602" s="4" t="s">
        <v>1630</v>
      </c>
      <c r="C602" s="4" t="s">
        <v>1631</v>
      </c>
      <c r="D602" s="4" t="s">
        <v>45</v>
      </c>
      <c r="E602" s="4"/>
      <c r="F602" s="14"/>
      <c r="G602" s="14"/>
      <c r="H602" s="14"/>
      <c r="I602" s="5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  <c r="BK602" s="4"/>
      <c r="BL602" s="4"/>
      <c r="BM602" s="4"/>
      <c r="BN602" s="4"/>
      <c r="BO602" s="4"/>
      <c r="BP602" s="4"/>
      <c r="BQ602" s="4"/>
      <c r="BR602" s="4"/>
      <c r="BS602" s="4"/>
      <c r="BT602" s="4"/>
      <c r="BU602" s="4"/>
      <c r="BV602" s="4"/>
      <c r="BW602" s="4"/>
      <c r="BX602" s="4"/>
      <c r="BY602" s="4"/>
      <c r="BZ602" s="4"/>
      <c r="CA602" s="4"/>
      <c r="CB602" s="4"/>
      <c r="CC602" s="4"/>
      <c r="CD602" s="4"/>
      <c r="CE602" s="4"/>
      <c r="CF602" s="4"/>
      <c r="CG602" s="4"/>
      <c r="CH602" s="4"/>
    </row>
    <row r="603" spans="1:86" x14ac:dyDescent="0.25">
      <c r="A603" s="12">
        <f t="shared" si="15"/>
        <v>600</v>
      </c>
      <c r="B603" s="4" t="s">
        <v>1632</v>
      </c>
      <c r="C603" s="4" t="s">
        <v>1633</v>
      </c>
      <c r="D603" s="4" t="s">
        <v>768</v>
      </c>
      <c r="E603" s="4"/>
      <c r="F603" s="14"/>
      <c r="G603" s="14"/>
      <c r="H603" s="14"/>
      <c r="I603" s="5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  <c r="BK603" s="4"/>
      <c r="BL603" s="4"/>
      <c r="BM603" s="4"/>
      <c r="BN603" s="4"/>
      <c r="BO603" s="4"/>
      <c r="BP603" s="4"/>
      <c r="BQ603" s="4"/>
      <c r="BR603" s="4"/>
      <c r="BS603" s="4"/>
      <c r="BT603" s="4"/>
      <c r="BU603" s="4"/>
      <c r="BV603" s="4"/>
      <c r="BW603" s="4"/>
      <c r="BX603" s="4"/>
      <c r="BY603" s="4"/>
      <c r="BZ603" s="4"/>
      <c r="CA603" s="4"/>
      <c r="CB603" s="4"/>
      <c r="CC603" s="4"/>
      <c r="CD603" s="4"/>
      <c r="CE603" s="4"/>
      <c r="CF603" s="4"/>
      <c r="CG603" s="4"/>
      <c r="CH603" s="4"/>
    </row>
    <row r="604" spans="1:86" x14ac:dyDescent="0.25">
      <c r="A604" s="12">
        <f t="shared" si="15"/>
        <v>601</v>
      </c>
      <c r="B604" s="4" t="s">
        <v>1634</v>
      </c>
      <c r="C604" s="4" t="s">
        <v>1635</v>
      </c>
      <c r="D604" s="4" t="s">
        <v>161</v>
      </c>
      <c r="E604" s="4"/>
      <c r="F604" s="14"/>
      <c r="G604" s="14"/>
      <c r="H604" s="14"/>
      <c r="I604" s="5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  <c r="BK604" s="4"/>
      <c r="BL604" s="4"/>
      <c r="BM604" s="4"/>
      <c r="BN604" s="4"/>
      <c r="BO604" s="4"/>
      <c r="BP604" s="4"/>
      <c r="BQ604" s="4"/>
      <c r="BR604" s="4"/>
      <c r="BS604" s="4"/>
      <c r="BT604" s="4"/>
      <c r="BU604" s="4"/>
      <c r="BV604" s="4"/>
      <c r="BW604" s="4"/>
      <c r="BX604" s="4"/>
      <c r="BY604" s="4"/>
      <c r="BZ604" s="4"/>
      <c r="CA604" s="4"/>
      <c r="CB604" s="4"/>
      <c r="CC604" s="4"/>
      <c r="CD604" s="4"/>
      <c r="CE604" s="4"/>
      <c r="CF604" s="4"/>
      <c r="CG604" s="4"/>
      <c r="CH604" s="4"/>
    </row>
    <row r="605" spans="1:86" x14ac:dyDescent="0.25">
      <c r="A605" s="12">
        <f t="shared" si="15"/>
        <v>602</v>
      </c>
      <c r="B605" s="4" t="s">
        <v>1636</v>
      </c>
      <c r="C605" s="4" t="s">
        <v>1637</v>
      </c>
      <c r="D605" s="4" t="s">
        <v>1638</v>
      </c>
      <c r="E605" s="4"/>
      <c r="F605" s="14"/>
      <c r="G605" s="14"/>
      <c r="H605" s="14"/>
      <c r="I605" s="5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  <c r="BK605" s="4"/>
      <c r="BL605" s="4"/>
      <c r="BM605" s="4"/>
      <c r="BN605" s="4"/>
      <c r="BO605" s="4"/>
      <c r="BP605" s="4"/>
      <c r="BQ605" s="4"/>
      <c r="BR605" s="4"/>
      <c r="BS605" s="4"/>
      <c r="BT605" s="4"/>
      <c r="BU605" s="4"/>
      <c r="BV605" s="4"/>
      <c r="BW605" s="4"/>
      <c r="BX605" s="4"/>
      <c r="BY605" s="4"/>
      <c r="BZ605" s="4"/>
      <c r="CA605" s="4"/>
      <c r="CB605" s="4"/>
      <c r="CC605" s="4"/>
      <c r="CD605" s="4"/>
      <c r="CE605" s="4"/>
      <c r="CF605" s="4"/>
      <c r="CG605" s="4"/>
      <c r="CH605" s="4"/>
    </row>
    <row r="606" spans="1:86" x14ac:dyDescent="0.25">
      <c r="A606" s="12">
        <f t="shared" si="15"/>
        <v>603</v>
      </c>
      <c r="B606" s="4" t="s">
        <v>1639</v>
      </c>
      <c r="C606" s="4" t="s">
        <v>1640</v>
      </c>
      <c r="D606" s="4" t="s">
        <v>1123</v>
      </c>
      <c r="E606" s="4"/>
      <c r="F606" s="14"/>
      <c r="G606" s="14"/>
      <c r="H606" s="14"/>
      <c r="I606" s="5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  <c r="BK606" s="4"/>
      <c r="BL606" s="4"/>
      <c r="BM606" s="4"/>
      <c r="BN606" s="4"/>
      <c r="BO606" s="4"/>
      <c r="BP606" s="4"/>
      <c r="BQ606" s="4"/>
      <c r="BR606" s="4"/>
      <c r="BS606" s="4"/>
      <c r="BT606" s="4"/>
      <c r="BU606" s="4"/>
      <c r="BV606" s="4"/>
      <c r="BW606" s="4"/>
      <c r="BX606" s="4"/>
      <c r="BY606" s="4"/>
      <c r="BZ606" s="4"/>
      <c r="CA606" s="4"/>
      <c r="CB606" s="4"/>
      <c r="CC606" s="4"/>
      <c r="CD606" s="4"/>
      <c r="CE606" s="4"/>
      <c r="CF606" s="4"/>
      <c r="CG606" s="4"/>
      <c r="CH606" s="4"/>
    </row>
    <row r="607" spans="1:86" x14ac:dyDescent="0.25">
      <c r="A607" s="12">
        <f t="shared" si="15"/>
        <v>604</v>
      </c>
      <c r="B607" s="4" t="s">
        <v>1641</v>
      </c>
      <c r="C607" s="4" t="s">
        <v>1642</v>
      </c>
      <c r="D607" s="4" t="s">
        <v>1123</v>
      </c>
      <c r="E607" s="4"/>
      <c r="F607" s="14"/>
      <c r="G607" s="14"/>
      <c r="H607" s="14"/>
      <c r="I607" s="5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  <c r="BK607" s="4"/>
      <c r="BL607" s="4"/>
      <c r="BM607" s="4"/>
      <c r="BN607" s="4"/>
      <c r="BO607" s="4"/>
      <c r="BP607" s="4"/>
      <c r="BQ607" s="4"/>
      <c r="BR607" s="4"/>
      <c r="BS607" s="4"/>
      <c r="BT607" s="4"/>
      <c r="BU607" s="4"/>
      <c r="BV607" s="4"/>
      <c r="BW607" s="4"/>
      <c r="BX607" s="4"/>
      <c r="BY607" s="4"/>
      <c r="BZ607" s="4"/>
      <c r="CA607" s="4"/>
      <c r="CB607" s="4"/>
      <c r="CC607" s="4"/>
      <c r="CD607" s="4"/>
      <c r="CE607" s="4"/>
      <c r="CF607" s="4"/>
      <c r="CG607" s="4"/>
      <c r="CH607" s="4"/>
    </row>
    <row r="608" spans="1:86" x14ac:dyDescent="0.25">
      <c r="A608" s="12">
        <f t="shared" si="15"/>
        <v>605</v>
      </c>
      <c r="B608" s="4" t="s">
        <v>1005</v>
      </c>
      <c r="C608" s="4" t="s">
        <v>1006</v>
      </c>
      <c r="D608" s="4" t="s">
        <v>508</v>
      </c>
      <c r="E608" s="4"/>
      <c r="F608" s="14"/>
      <c r="G608" s="14"/>
      <c r="H608" s="14"/>
      <c r="I608" s="5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  <c r="BK608" s="4"/>
      <c r="BL608" s="4"/>
      <c r="BM608" s="4"/>
      <c r="BN608" s="4"/>
      <c r="BO608" s="4"/>
      <c r="BP608" s="4"/>
      <c r="BQ608" s="4"/>
      <c r="BR608" s="4"/>
      <c r="BS608" s="4"/>
      <c r="BT608" s="4"/>
      <c r="BU608" s="4"/>
      <c r="BV608" s="4"/>
      <c r="BW608" s="4"/>
      <c r="BX608" s="4"/>
      <c r="BY608" s="4"/>
      <c r="BZ608" s="4"/>
      <c r="CA608" s="4"/>
      <c r="CB608" s="4"/>
      <c r="CC608" s="4"/>
      <c r="CD608" s="4"/>
      <c r="CE608" s="4"/>
      <c r="CF608" s="4"/>
      <c r="CG608" s="4"/>
      <c r="CH608" s="4"/>
    </row>
    <row r="609" spans="1:86" x14ac:dyDescent="0.25">
      <c r="A609" s="12">
        <f t="shared" si="15"/>
        <v>606</v>
      </c>
      <c r="B609" s="4" t="s">
        <v>1643</v>
      </c>
      <c r="C609" s="4" t="s">
        <v>1644</v>
      </c>
      <c r="D609" s="4" t="s">
        <v>1125</v>
      </c>
      <c r="E609" s="4"/>
      <c r="F609" s="14"/>
      <c r="G609" s="14"/>
      <c r="H609" s="14"/>
      <c r="I609" s="5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  <c r="BK609" s="4"/>
      <c r="BL609" s="4"/>
      <c r="BM609" s="4"/>
      <c r="BN609" s="4"/>
      <c r="BO609" s="4"/>
      <c r="BP609" s="4"/>
      <c r="BQ609" s="4"/>
      <c r="BR609" s="4"/>
      <c r="BS609" s="4"/>
      <c r="BT609" s="4"/>
      <c r="BU609" s="4"/>
      <c r="BV609" s="4"/>
      <c r="BW609" s="4"/>
      <c r="BX609" s="4"/>
      <c r="BY609" s="4"/>
      <c r="BZ609" s="4"/>
      <c r="CA609" s="4"/>
      <c r="CB609" s="4"/>
      <c r="CC609" s="4"/>
      <c r="CD609" s="4"/>
      <c r="CE609" s="4"/>
      <c r="CF609" s="4"/>
      <c r="CG609" s="4"/>
      <c r="CH609" s="4"/>
    </row>
    <row r="610" spans="1:86" x14ac:dyDescent="0.25">
      <c r="A610" s="12">
        <f t="shared" si="15"/>
        <v>607</v>
      </c>
      <c r="B610" s="4" t="s">
        <v>1645</v>
      </c>
      <c r="C610" s="4" t="s">
        <v>1646</v>
      </c>
      <c r="D610" s="4" t="s">
        <v>45</v>
      </c>
      <c r="E610" s="4"/>
      <c r="F610" s="14"/>
      <c r="G610" s="14"/>
      <c r="H610" s="14"/>
      <c r="I610" s="5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  <c r="BK610" s="4"/>
      <c r="BL610" s="4"/>
      <c r="BM610" s="4"/>
      <c r="BN610" s="4"/>
      <c r="BO610" s="4"/>
      <c r="BP610" s="4"/>
      <c r="BQ610" s="4"/>
      <c r="BR610" s="4"/>
      <c r="BS610" s="4"/>
      <c r="BT610" s="4"/>
      <c r="BU610" s="4"/>
      <c r="BV610" s="4"/>
      <c r="BW610" s="4"/>
      <c r="BX610" s="4"/>
      <c r="BY610" s="4"/>
      <c r="BZ610" s="4"/>
      <c r="CA610" s="4"/>
      <c r="CB610" s="4"/>
      <c r="CC610" s="4"/>
      <c r="CD610" s="4"/>
      <c r="CE610" s="4"/>
      <c r="CF610" s="4"/>
      <c r="CG610" s="4"/>
      <c r="CH610" s="4"/>
    </row>
    <row r="611" spans="1:86" x14ac:dyDescent="0.25">
      <c r="A611" s="12">
        <f t="shared" si="15"/>
        <v>608</v>
      </c>
      <c r="B611" s="4" t="s">
        <v>1647</v>
      </c>
      <c r="C611" s="4" t="s">
        <v>1648</v>
      </c>
      <c r="D611" s="4" t="s">
        <v>508</v>
      </c>
      <c r="E611" s="4"/>
      <c r="F611" s="14"/>
      <c r="G611" s="14"/>
      <c r="H611" s="14"/>
      <c r="I611" s="5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  <c r="BK611" s="4"/>
      <c r="BL611" s="4"/>
      <c r="BM611" s="4"/>
      <c r="BN611" s="4"/>
      <c r="BO611" s="4"/>
      <c r="BP611" s="4"/>
      <c r="BQ611" s="4"/>
      <c r="BR611" s="4"/>
      <c r="BS611" s="4"/>
      <c r="BT611" s="4"/>
      <c r="BU611" s="4"/>
      <c r="BV611" s="4"/>
      <c r="BW611" s="4"/>
      <c r="BX611" s="4"/>
      <c r="BY611" s="4"/>
      <c r="BZ611" s="4"/>
      <c r="CA611" s="4"/>
      <c r="CB611" s="4"/>
      <c r="CC611" s="4"/>
      <c r="CD611" s="4"/>
      <c r="CE611" s="4"/>
      <c r="CF611" s="4"/>
      <c r="CG611" s="4"/>
      <c r="CH611" s="4"/>
    </row>
    <row r="612" spans="1:86" x14ac:dyDescent="0.25">
      <c r="A612" s="12">
        <f t="shared" si="15"/>
        <v>609</v>
      </c>
      <c r="B612" s="4" t="s">
        <v>1649</v>
      </c>
      <c r="C612" s="4" t="s">
        <v>1650</v>
      </c>
      <c r="D612" s="4" t="s">
        <v>2575</v>
      </c>
      <c r="E612" s="4"/>
      <c r="F612" s="14"/>
      <c r="G612" s="14"/>
      <c r="H612" s="14"/>
      <c r="I612" s="5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  <c r="BK612" s="4"/>
      <c r="BL612" s="4"/>
      <c r="BM612" s="4"/>
      <c r="BN612" s="4"/>
      <c r="BO612" s="4"/>
      <c r="BP612" s="4"/>
      <c r="BQ612" s="4"/>
      <c r="BR612" s="4"/>
      <c r="BS612" s="4"/>
      <c r="BT612" s="4"/>
      <c r="BU612" s="4"/>
      <c r="BV612" s="4"/>
      <c r="BW612" s="4"/>
      <c r="BX612" s="4"/>
      <c r="BY612" s="4"/>
      <c r="BZ612" s="4"/>
      <c r="CA612" s="4"/>
      <c r="CB612" s="4"/>
      <c r="CC612" s="4"/>
      <c r="CD612" s="4"/>
      <c r="CE612" s="4"/>
      <c r="CF612" s="4"/>
      <c r="CG612" s="4"/>
      <c r="CH612" s="4"/>
    </row>
    <row r="613" spans="1:86" x14ac:dyDescent="0.25">
      <c r="A613" s="12">
        <f t="shared" si="15"/>
        <v>610</v>
      </c>
      <c r="B613" s="4" t="s">
        <v>1651</v>
      </c>
      <c r="C613" s="4" t="s">
        <v>1652</v>
      </c>
      <c r="D613" s="4" t="s">
        <v>1125</v>
      </c>
      <c r="E613" s="4"/>
      <c r="F613" s="14"/>
      <c r="G613" s="14"/>
      <c r="H613" s="14"/>
      <c r="I613" s="5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  <c r="BK613" s="4"/>
      <c r="BL613" s="4"/>
      <c r="BM613" s="4"/>
      <c r="BN613" s="4"/>
      <c r="BO613" s="4"/>
      <c r="BP613" s="4"/>
      <c r="BQ613" s="4"/>
      <c r="BR613" s="4"/>
      <c r="BS613" s="4"/>
      <c r="BT613" s="4"/>
      <c r="BU613" s="4"/>
      <c r="BV613" s="4"/>
      <c r="BW613" s="4"/>
      <c r="BX613" s="4"/>
      <c r="BY613" s="4"/>
      <c r="BZ613" s="4"/>
      <c r="CA613" s="4"/>
      <c r="CB613" s="4"/>
      <c r="CC613" s="4"/>
      <c r="CD613" s="4"/>
      <c r="CE613" s="4"/>
      <c r="CF613" s="4"/>
      <c r="CG613" s="4"/>
      <c r="CH613" s="4"/>
    </row>
    <row r="614" spans="1:86" x14ac:dyDescent="0.25">
      <c r="A614" s="12">
        <f t="shared" si="15"/>
        <v>611</v>
      </c>
      <c r="B614" s="4" t="s">
        <v>1653</v>
      </c>
      <c r="C614" s="4" t="s">
        <v>1654</v>
      </c>
      <c r="D614" s="4" t="s">
        <v>1129</v>
      </c>
      <c r="E614" s="4"/>
      <c r="F614" s="14"/>
      <c r="G614" s="14"/>
      <c r="H614" s="14"/>
      <c r="I614" s="5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  <c r="BK614" s="4"/>
      <c r="BL614" s="4"/>
      <c r="BM614" s="4"/>
      <c r="BN614" s="4"/>
      <c r="BO614" s="4"/>
      <c r="BP614" s="4"/>
      <c r="BQ614" s="4"/>
      <c r="BR614" s="4"/>
      <c r="BS614" s="4"/>
      <c r="BT614" s="4"/>
      <c r="BU614" s="4"/>
      <c r="BV614" s="4"/>
      <c r="BW614" s="4"/>
      <c r="BX614" s="4"/>
      <c r="BY614" s="4"/>
      <c r="BZ614" s="4"/>
      <c r="CA614" s="4"/>
      <c r="CB614" s="4"/>
      <c r="CC614" s="4"/>
      <c r="CD614" s="4"/>
      <c r="CE614" s="4"/>
      <c r="CF614" s="4"/>
      <c r="CG614" s="4"/>
      <c r="CH614" s="4"/>
    </row>
    <row r="615" spans="1:86" x14ac:dyDescent="0.25">
      <c r="A615" s="12">
        <f t="shared" si="15"/>
        <v>612</v>
      </c>
      <c r="B615" s="4" t="s">
        <v>1655</v>
      </c>
      <c r="C615" s="4" t="s">
        <v>1656</v>
      </c>
      <c r="D615" s="4" t="s">
        <v>45</v>
      </c>
      <c r="E615" s="4"/>
      <c r="F615" s="14"/>
      <c r="G615" s="14"/>
      <c r="H615" s="14"/>
      <c r="I615" s="5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  <c r="BK615" s="4"/>
      <c r="BL615" s="4"/>
      <c r="BM615" s="4"/>
      <c r="BN615" s="4"/>
      <c r="BO615" s="4"/>
      <c r="BP615" s="4"/>
      <c r="BQ615" s="4"/>
      <c r="BR615" s="4"/>
      <c r="BS615" s="4"/>
      <c r="BT615" s="4"/>
      <c r="BU615" s="4"/>
      <c r="BV615" s="4"/>
      <c r="BW615" s="4"/>
      <c r="BX615" s="4"/>
      <c r="BY615" s="4"/>
      <c r="BZ615" s="4"/>
      <c r="CA615" s="4"/>
      <c r="CB615" s="4"/>
      <c r="CC615" s="4"/>
      <c r="CD615" s="4"/>
      <c r="CE615" s="4"/>
      <c r="CF615" s="4"/>
      <c r="CG615" s="4"/>
      <c r="CH615" s="4"/>
    </row>
    <row r="616" spans="1:86" x14ac:dyDescent="0.25">
      <c r="A616" s="12">
        <f t="shared" si="15"/>
        <v>613</v>
      </c>
      <c r="B616" s="4" t="s">
        <v>1657</v>
      </c>
      <c r="C616" s="4" t="s">
        <v>1658</v>
      </c>
      <c r="D616" s="4" t="s">
        <v>1125</v>
      </c>
      <c r="E616" s="4"/>
      <c r="F616" s="14"/>
      <c r="G616" s="14"/>
      <c r="H616" s="14"/>
      <c r="I616" s="5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  <c r="BK616" s="4"/>
      <c r="BL616" s="4"/>
      <c r="BM616" s="4"/>
      <c r="BN616" s="4"/>
      <c r="BO616" s="4"/>
      <c r="BP616" s="4"/>
      <c r="BQ616" s="4"/>
      <c r="BR616" s="4"/>
      <c r="BS616" s="4"/>
      <c r="BT616" s="4"/>
      <c r="BU616" s="4"/>
      <c r="BV616" s="4"/>
      <c r="BW616" s="4"/>
      <c r="BX616" s="4"/>
      <c r="BY616" s="4"/>
      <c r="BZ616" s="4"/>
      <c r="CA616" s="4"/>
      <c r="CB616" s="4"/>
      <c r="CC616" s="4"/>
      <c r="CD616" s="4"/>
      <c r="CE616" s="4"/>
      <c r="CF616" s="4"/>
      <c r="CG616" s="4"/>
      <c r="CH616" s="4"/>
    </row>
    <row r="617" spans="1:86" x14ac:dyDescent="0.25">
      <c r="A617" s="12">
        <f t="shared" si="15"/>
        <v>614</v>
      </c>
      <c r="B617" s="4" t="s">
        <v>1659</v>
      </c>
      <c r="C617" s="4" t="s">
        <v>1660</v>
      </c>
      <c r="D617" s="4" t="s">
        <v>45</v>
      </c>
      <c r="E617" s="4"/>
      <c r="F617" s="14"/>
      <c r="G617" s="14"/>
      <c r="H617" s="14"/>
      <c r="I617" s="5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  <c r="BK617" s="4"/>
      <c r="BL617" s="4"/>
      <c r="BM617" s="4"/>
      <c r="BN617" s="4"/>
      <c r="BO617" s="4"/>
      <c r="BP617" s="4"/>
      <c r="BQ617" s="4"/>
      <c r="BR617" s="4"/>
      <c r="BS617" s="4"/>
      <c r="BT617" s="4"/>
      <c r="BU617" s="4"/>
      <c r="BV617" s="4"/>
      <c r="BW617" s="4"/>
      <c r="BX617" s="4"/>
      <c r="BY617" s="4"/>
      <c r="BZ617" s="4"/>
      <c r="CA617" s="4"/>
      <c r="CB617" s="4"/>
      <c r="CC617" s="4"/>
      <c r="CD617" s="4"/>
      <c r="CE617" s="4"/>
      <c r="CF617" s="4"/>
      <c r="CG617" s="4"/>
      <c r="CH617" s="4"/>
    </row>
    <row r="618" spans="1:86" x14ac:dyDescent="0.25">
      <c r="A618" s="12">
        <f t="shared" si="15"/>
        <v>615</v>
      </c>
      <c r="B618" s="4" t="s">
        <v>1661</v>
      </c>
      <c r="C618" s="4" t="s">
        <v>1662</v>
      </c>
      <c r="D618" s="4" t="s">
        <v>45</v>
      </c>
      <c r="E618" s="4"/>
      <c r="F618" s="14"/>
      <c r="G618" s="14"/>
      <c r="H618" s="14"/>
      <c r="I618" s="5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  <c r="BK618" s="4"/>
      <c r="BL618" s="4"/>
      <c r="BM618" s="4"/>
      <c r="BN618" s="4"/>
      <c r="BO618" s="4"/>
      <c r="BP618" s="4"/>
      <c r="BQ618" s="4"/>
      <c r="BR618" s="4"/>
      <c r="BS618" s="4"/>
      <c r="BT618" s="4"/>
      <c r="BU618" s="4"/>
      <c r="BV618" s="4"/>
      <c r="BW618" s="4"/>
      <c r="BX618" s="4"/>
      <c r="BY618" s="4"/>
      <c r="BZ618" s="4"/>
      <c r="CA618" s="4"/>
      <c r="CB618" s="4"/>
      <c r="CC618" s="4"/>
      <c r="CD618" s="4"/>
      <c r="CE618" s="4"/>
      <c r="CF618" s="4"/>
      <c r="CG618" s="4"/>
      <c r="CH618" s="4"/>
    </row>
    <row r="619" spans="1:86" x14ac:dyDescent="0.25">
      <c r="A619" s="12">
        <f t="shared" si="15"/>
        <v>616</v>
      </c>
      <c r="B619" s="4" t="s">
        <v>1663</v>
      </c>
      <c r="C619" s="4" t="s">
        <v>1664</v>
      </c>
      <c r="D619" s="4" t="s">
        <v>1123</v>
      </c>
      <c r="E619" s="4"/>
      <c r="F619" s="14"/>
      <c r="G619" s="14"/>
      <c r="H619" s="14"/>
      <c r="I619" s="5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  <c r="BK619" s="4"/>
      <c r="BL619" s="4"/>
      <c r="BM619" s="4"/>
      <c r="BN619" s="4"/>
      <c r="BO619" s="4"/>
      <c r="BP619" s="4"/>
      <c r="BQ619" s="4"/>
      <c r="BR619" s="4"/>
      <c r="BS619" s="4"/>
      <c r="BT619" s="4"/>
      <c r="BU619" s="4"/>
      <c r="BV619" s="4"/>
      <c r="BW619" s="4"/>
      <c r="BX619" s="4"/>
      <c r="BY619" s="4"/>
      <c r="BZ619" s="4"/>
      <c r="CA619" s="4"/>
      <c r="CB619" s="4"/>
      <c r="CC619" s="4"/>
      <c r="CD619" s="4"/>
      <c r="CE619" s="4"/>
      <c r="CF619" s="4"/>
      <c r="CG619" s="4"/>
      <c r="CH619" s="4"/>
    </row>
    <row r="620" spans="1:86" x14ac:dyDescent="0.25">
      <c r="A620" s="12">
        <f t="shared" si="15"/>
        <v>617</v>
      </c>
      <c r="B620" s="4" t="s">
        <v>1665</v>
      </c>
      <c r="C620" s="4" t="s">
        <v>1666</v>
      </c>
      <c r="D620" s="4" t="s">
        <v>508</v>
      </c>
      <c r="E620" s="4"/>
      <c r="F620" s="14"/>
      <c r="G620" s="14"/>
      <c r="H620" s="14"/>
      <c r="I620" s="5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  <c r="BK620" s="4"/>
      <c r="BL620" s="4"/>
      <c r="BM620" s="4"/>
      <c r="BN620" s="4"/>
      <c r="BO620" s="4"/>
      <c r="BP620" s="4"/>
      <c r="BQ620" s="4"/>
      <c r="BR620" s="4"/>
      <c r="BS620" s="4"/>
      <c r="BT620" s="4"/>
      <c r="BU620" s="4"/>
      <c r="BV620" s="4"/>
      <c r="BW620" s="4"/>
      <c r="BX620" s="4"/>
      <c r="BY620" s="4"/>
      <c r="BZ620" s="4"/>
      <c r="CA620" s="4"/>
      <c r="CB620" s="4"/>
      <c r="CC620" s="4"/>
      <c r="CD620" s="4"/>
      <c r="CE620" s="4"/>
      <c r="CF620" s="4"/>
      <c r="CG620" s="4"/>
      <c r="CH620" s="4"/>
    </row>
    <row r="621" spans="1:86" x14ac:dyDescent="0.25">
      <c r="A621" s="12">
        <f t="shared" si="15"/>
        <v>618</v>
      </c>
      <c r="B621" s="4" t="s">
        <v>1667</v>
      </c>
      <c r="C621" s="4" t="s">
        <v>1668</v>
      </c>
      <c r="D621" s="4" t="s">
        <v>2572</v>
      </c>
      <c r="E621" s="4"/>
      <c r="F621" s="14"/>
      <c r="G621" s="14"/>
      <c r="H621" s="14"/>
      <c r="I621" s="5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  <c r="BP621" s="4"/>
      <c r="BQ621" s="4"/>
      <c r="BR621" s="4"/>
      <c r="BS621" s="4"/>
      <c r="BT621" s="4"/>
      <c r="BU621" s="4"/>
      <c r="BV621" s="4"/>
      <c r="BW621" s="4"/>
      <c r="BX621" s="4"/>
      <c r="BY621" s="4"/>
      <c r="BZ621" s="4"/>
      <c r="CA621" s="4"/>
      <c r="CB621" s="4"/>
      <c r="CC621" s="4"/>
      <c r="CD621" s="4"/>
      <c r="CE621" s="4"/>
      <c r="CF621" s="4"/>
      <c r="CG621" s="4"/>
      <c r="CH621" s="4"/>
    </row>
    <row r="622" spans="1:86" x14ac:dyDescent="0.25">
      <c r="A622" s="12">
        <f t="shared" si="15"/>
        <v>619</v>
      </c>
      <c r="B622" s="4" t="s">
        <v>1669</v>
      </c>
      <c r="C622" s="4" t="s">
        <v>1670</v>
      </c>
      <c r="D622" s="4" t="s">
        <v>1125</v>
      </c>
      <c r="E622" s="4"/>
      <c r="F622" s="14"/>
      <c r="G622" s="14"/>
      <c r="H622" s="14"/>
      <c r="I622" s="5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  <c r="BK622" s="4"/>
      <c r="BL622" s="4"/>
      <c r="BM622" s="4"/>
      <c r="BN622" s="4"/>
      <c r="BO622" s="4"/>
      <c r="BP622" s="4"/>
      <c r="BQ622" s="4"/>
      <c r="BR622" s="4"/>
      <c r="BS622" s="4"/>
      <c r="BT622" s="4"/>
      <c r="BU622" s="4"/>
      <c r="BV622" s="4"/>
      <c r="BW622" s="4"/>
      <c r="BX622" s="4"/>
      <c r="BY622" s="4"/>
      <c r="BZ622" s="4"/>
      <c r="CA622" s="4"/>
      <c r="CB622" s="4"/>
      <c r="CC622" s="4"/>
      <c r="CD622" s="4"/>
      <c r="CE622" s="4"/>
      <c r="CF622" s="4"/>
      <c r="CG622" s="4"/>
      <c r="CH622" s="4"/>
    </row>
    <row r="623" spans="1:86" x14ac:dyDescent="0.25">
      <c r="A623" s="12">
        <f t="shared" si="15"/>
        <v>620</v>
      </c>
      <c r="B623" s="4" t="s">
        <v>1671</v>
      </c>
      <c r="C623" s="4" t="s">
        <v>1672</v>
      </c>
      <c r="D623" s="4" t="s">
        <v>1129</v>
      </c>
      <c r="E623" s="4"/>
      <c r="F623" s="14"/>
      <c r="G623" s="14"/>
      <c r="H623" s="14"/>
      <c r="I623" s="5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  <c r="BK623" s="4"/>
      <c r="BL623" s="4"/>
      <c r="BM623" s="4"/>
      <c r="BN623" s="4"/>
      <c r="BO623" s="4"/>
      <c r="BP623" s="4"/>
      <c r="BQ623" s="4"/>
      <c r="BR623" s="4"/>
      <c r="BS623" s="4"/>
      <c r="BT623" s="4"/>
      <c r="BU623" s="4"/>
      <c r="BV623" s="4"/>
      <c r="BW623" s="4"/>
      <c r="BX623" s="4"/>
      <c r="BY623" s="4"/>
      <c r="BZ623" s="4"/>
      <c r="CA623" s="4"/>
      <c r="CB623" s="4"/>
      <c r="CC623" s="4"/>
      <c r="CD623" s="4"/>
      <c r="CE623" s="4"/>
      <c r="CF623" s="4"/>
      <c r="CG623" s="4"/>
      <c r="CH623" s="4"/>
    </row>
    <row r="624" spans="1:86" x14ac:dyDescent="0.25">
      <c r="A624" s="12">
        <f t="shared" si="15"/>
        <v>621</v>
      </c>
      <c r="B624" s="4" t="s">
        <v>1673</v>
      </c>
      <c r="C624" s="4" t="s">
        <v>1674</v>
      </c>
      <c r="D624" s="4" t="s">
        <v>770</v>
      </c>
      <c r="E624" s="4"/>
      <c r="F624" s="14"/>
      <c r="G624" s="14"/>
      <c r="H624" s="14"/>
      <c r="I624" s="5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  <c r="BK624" s="4"/>
      <c r="BL624" s="4"/>
      <c r="BM624" s="4"/>
      <c r="BN624" s="4"/>
      <c r="BO624" s="4"/>
      <c r="BP624" s="4"/>
      <c r="BQ624" s="4"/>
      <c r="BR624" s="4"/>
      <c r="BS624" s="4"/>
      <c r="BT624" s="4"/>
      <c r="BU624" s="4"/>
      <c r="BV624" s="4"/>
      <c r="BW624" s="4"/>
      <c r="BX624" s="4"/>
      <c r="BY624" s="4"/>
      <c r="BZ624" s="4"/>
      <c r="CA624" s="4"/>
      <c r="CB624" s="4"/>
      <c r="CC624" s="4"/>
      <c r="CD624" s="4"/>
      <c r="CE624" s="4"/>
      <c r="CF624" s="4"/>
      <c r="CG624" s="4"/>
      <c r="CH624" s="4"/>
    </row>
    <row r="625" spans="1:86" x14ac:dyDescent="0.25">
      <c r="A625" s="12">
        <f t="shared" si="15"/>
        <v>622</v>
      </c>
      <c r="B625" s="4" t="s">
        <v>1675</v>
      </c>
      <c r="C625" s="4" t="s">
        <v>1676</v>
      </c>
      <c r="D625" s="4" t="s">
        <v>87</v>
      </c>
      <c r="E625" s="4"/>
      <c r="F625" s="14"/>
      <c r="G625" s="14"/>
      <c r="H625" s="14"/>
      <c r="I625" s="5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  <c r="BK625" s="4"/>
      <c r="BL625" s="4"/>
      <c r="BM625" s="4"/>
      <c r="BN625" s="4"/>
      <c r="BO625" s="4"/>
      <c r="BP625" s="4"/>
      <c r="BQ625" s="4"/>
      <c r="BR625" s="4"/>
      <c r="BS625" s="4"/>
      <c r="BT625" s="4"/>
      <c r="BU625" s="4"/>
      <c r="BV625" s="4"/>
      <c r="BW625" s="4"/>
      <c r="BX625" s="4"/>
      <c r="BY625" s="4"/>
      <c r="BZ625" s="4"/>
      <c r="CA625" s="4"/>
      <c r="CB625" s="4"/>
      <c r="CC625" s="4"/>
      <c r="CD625" s="4"/>
      <c r="CE625" s="4"/>
      <c r="CF625" s="4"/>
      <c r="CG625" s="4"/>
      <c r="CH625" s="4"/>
    </row>
    <row r="626" spans="1:86" x14ac:dyDescent="0.25">
      <c r="A626" s="12">
        <f t="shared" si="15"/>
        <v>623</v>
      </c>
      <c r="B626" s="4" t="s">
        <v>1677</v>
      </c>
      <c r="C626" s="4" t="s">
        <v>1678</v>
      </c>
      <c r="D626" s="4" t="s">
        <v>536</v>
      </c>
      <c r="E626" s="4"/>
      <c r="F626" s="14"/>
      <c r="G626" s="14"/>
      <c r="H626" s="14"/>
      <c r="I626" s="5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  <c r="BK626" s="4"/>
      <c r="BL626" s="4"/>
      <c r="BM626" s="4"/>
      <c r="BN626" s="4"/>
      <c r="BO626" s="4"/>
      <c r="BP626" s="4"/>
      <c r="BQ626" s="4"/>
      <c r="BR626" s="4"/>
      <c r="BS626" s="4"/>
      <c r="BT626" s="4"/>
      <c r="BU626" s="4"/>
      <c r="BV626" s="4"/>
      <c r="BW626" s="4"/>
      <c r="BX626" s="4"/>
      <c r="BY626" s="4"/>
      <c r="BZ626" s="4"/>
      <c r="CA626" s="4"/>
      <c r="CB626" s="4"/>
      <c r="CC626" s="4"/>
      <c r="CD626" s="4"/>
      <c r="CE626" s="4"/>
      <c r="CF626" s="4"/>
      <c r="CG626" s="4"/>
      <c r="CH626" s="4"/>
    </row>
    <row r="627" spans="1:86" x14ac:dyDescent="0.25">
      <c r="A627" s="12">
        <f t="shared" si="15"/>
        <v>624</v>
      </c>
      <c r="B627" s="4" t="s">
        <v>1679</v>
      </c>
      <c r="C627" s="4" t="s">
        <v>1680</v>
      </c>
      <c r="D627" s="4" t="s">
        <v>45</v>
      </c>
      <c r="E627" s="4"/>
      <c r="F627" s="14"/>
      <c r="G627" s="14"/>
      <c r="H627" s="14"/>
      <c r="I627" s="5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  <c r="BK627" s="4"/>
      <c r="BL627" s="4"/>
      <c r="BM627" s="4"/>
      <c r="BN627" s="4"/>
      <c r="BO627" s="4"/>
      <c r="BP627" s="4"/>
      <c r="BQ627" s="4"/>
      <c r="BR627" s="4"/>
      <c r="BS627" s="4"/>
      <c r="BT627" s="4"/>
      <c r="BU627" s="4"/>
      <c r="BV627" s="4"/>
      <c r="BW627" s="4"/>
      <c r="BX627" s="4"/>
      <c r="BY627" s="4"/>
      <c r="BZ627" s="4"/>
      <c r="CA627" s="4"/>
      <c r="CB627" s="4"/>
      <c r="CC627" s="4"/>
      <c r="CD627" s="4"/>
      <c r="CE627" s="4"/>
      <c r="CF627" s="4"/>
      <c r="CG627" s="4"/>
      <c r="CH627" s="4"/>
    </row>
    <row r="628" spans="1:86" x14ac:dyDescent="0.25">
      <c r="A628" s="12">
        <f t="shared" si="15"/>
        <v>625</v>
      </c>
      <c r="B628" s="4" t="s">
        <v>1681</v>
      </c>
      <c r="C628" s="4" t="s">
        <v>1682</v>
      </c>
      <c r="D628" s="4" t="s">
        <v>955</v>
      </c>
      <c r="E628" s="4"/>
      <c r="F628" s="14"/>
      <c r="G628" s="14"/>
      <c r="H628" s="14"/>
      <c r="I628" s="5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  <c r="BK628" s="4"/>
      <c r="BL628" s="4"/>
      <c r="BM628" s="4"/>
      <c r="BN628" s="4"/>
      <c r="BO628" s="4"/>
      <c r="BP628" s="4"/>
      <c r="BQ628" s="4"/>
      <c r="BR628" s="4"/>
      <c r="BS628" s="4"/>
      <c r="BT628" s="4"/>
      <c r="BU628" s="4"/>
      <c r="BV628" s="4"/>
      <c r="BW628" s="4"/>
      <c r="BX628" s="4"/>
      <c r="BY628" s="4"/>
      <c r="BZ628" s="4"/>
      <c r="CA628" s="4"/>
      <c r="CB628" s="4"/>
      <c r="CC628" s="4"/>
      <c r="CD628" s="4"/>
      <c r="CE628" s="4"/>
      <c r="CF628" s="4"/>
      <c r="CG628" s="4"/>
      <c r="CH628" s="4"/>
    </row>
    <row r="629" spans="1:86" x14ac:dyDescent="0.25">
      <c r="A629" s="12">
        <f t="shared" si="15"/>
        <v>626</v>
      </c>
      <c r="B629" s="4" t="s">
        <v>1683</v>
      </c>
      <c r="C629" s="4" t="s">
        <v>1684</v>
      </c>
      <c r="D629" s="4" t="s">
        <v>45</v>
      </c>
      <c r="E629" s="4"/>
      <c r="F629" s="14"/>
      <c r="G629" s="14"/>
      <c r="H629" s="14"/>
      <c r="I629" s="5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  <c r="BK629" s="4"/>
      <c r="BL629" s="4"/>
      <c r="BM629" s="4"/>
      <c r="BN629" s="4"/>
      <c r="BO629" s="4"/>
      <c r="BP629" s="4"/>
      <c r="BQ629" s="4"/>
      <c r="BR629" s="4"/>
      <c r="BS629" s="4"/>
      <c r="BT629" s="4"/>
      <c r="BU629" s="4"/>
      <c r="BV629" s="4"/>
      <c r="BW629" s="4"/>
      <c r="BX629" s="4"/>
      <c r="BY629" s="4"/>
      <c r="BZ629" s="4"/>
      <c r="CA629" s="4"/>
      <c r="CB629" s="4"/>
      <c r="CC629" s="4"/>
      <c r="CD629" s="4"/>
      <c r="CE629" s="4"/>
      <c r="CF629" s="4"/>
      <c r="CG629" s="4"/>
      <c r="CH629" s="4"/>
    </row>
    <row r="630" spans="1:86" x14ac:dyDescent="0.25">
      <c r="A630" s="12">
        <f t="shared" si="15"/>
        <v>627</v>
      </c>
      <c r="B630" s="4" t="s">
        <v>1685</v>
      </c>
      <c r="C630" s="4" t="s">
        <v>1686</v>
      </c>
      <c r="D630" s="4" t="s">
        <v>45</v>
      </c>
      <c r="E630" s="4"/>
      <c r="F630" s="14"/>
      <c r="G630" s="14"/>
      <c r="H630" s="14"/>
      <c r="I630" s="5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  <c r="BK630" s="4"/>
      <c r="BL630" s="4"/>
      <c r="BM630" s="4"/>
      <c r="BN630" s="4"/>
      <c r="BO630" s="4"/>
      <c r="BP630" s="4"/>
      <c r="BQ630" s="4"/>
      <c r="BR630" s="4"/>
      <c r="BS630" s="4"/>
      <c r="BT630" s="4"/>
      <c r="BU630" s="4"/>
      <c r="BV630" s="4"/>
      <c r="BW630" s="4"/>
      <c r="BX630" s="4"/>
      <c r="BY630" s="4"/>
      <c r="BZ630" s="4"/>
      <c r="CA630" s="4"/>
      <c r="CB630" s="4"/>
      <c r="CC630" s="4"/>
      <c r="CD630" s="4"/>
      <c r="CE630" s="4"/>
      <c r="CF630" s="4"/>
      <c r="CG630" s="4"/>
      <c r="CH630" s="4"/>
    </row>
    <row r="631" spans="1:86" x14ac:dyDescent="0.25">
      <c r="A631" s="12">
        <f t="shared" si="15"/>
        <v>628</v>
      </c>
      <c r="B631" s="4" t="s">
        <v>1687</v>
      </c>
      <c r="C631" s="4" t="s">
        <v>1688</v>
      </c>
      <c r="D631" s="4" t="s">
        <v>1130</v>
      </c>
      <c r="E631" s="4"/>
      <c r="F631" s="14"/>
      <c r="G631" s="14"/>
      <c r="H631" s="14"/>
      <c r="I631" s="5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  <c r="BK631" s="4"/>
      <c r="BL631" s="4"/>
      <c r="BM631" s="4"/>
      <c r="BN631" s="4"/>
      <c r="BO631" s="4"/>
      <c r="BP631" s="4"/>
      <c r="BQ631" s="4"/>
      <c r="BR631" s="4"/>
      <c r="BS631" s="4"/>
      <c r="BT631" s="4"/>
      <c r="BU631" s="4"/>
      <c r="BV631" s="4"/>
      <c r="BW631" s="4"/>
      <c r="BX631" s="4"/>
      <c r="BY631" s="4"/>
      <c r="BZ631" s="4"/>
      <c r="CA631" s="4"/>
      <c r="CB631" s="4"/>
      <c r="CC631" s="4"/>
      <c r="CD631" s="4"/>
      <c r="CE631" s="4"/>
      <c r="CF631" s="4"/>
      <c r="CG631" s="4"/>
      <c r="CH631" s="4"/>
    </row>
    <row r="632" spans="1:86" x14ac:dyDescent="0.25">
      <c r="A632" s="12">
        <f t="shared" si="15"/>
        <v>629</v>
      </c>
      <c r="B632" s="4" t="s">
        <v>1689</v>
      </c>
      <c r="C632" s="4" t="s">
        <v>1690</v>
      </c>
      <c r="D632" s="4" t="s">
        <v>1127</v>
      </c>
      <c r="E632" s="4"/>
      <c r="F632" s="14"/>
      <c r="G632" s="14"/>
      <c r="H632" s="14"/>
      <c r="I632" s="5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  <c r="BK632" s="4"/>
      <c r="BL632" s="4"/>
      <c r="BM632" s="4"/>
      <c r="BN632" s="4"/>
      <c r="BO632" s="4"/>
      <c r="BP632" s="4"/>
      <c r="BQ632" s="4"/>
      <c r="BR632" s="4"/>
      <c r="BS632" s="4"/>
      <c r="BT632" s="4"/>
      <c r="BU632" s="4"/>
      <c r="BV632" s="4"/>
      <c r="BW632" s="4"/>
      <c r="BX632" s="4"/>
      <c r="BY632" s="4"/>
      <c r="BZ632" s="4"/>
      <c r="CA632" s="4"/>
      <c r="CB632" s="4"/>
      <c r="CC632" s="4"/>
      <c r="CD632" s="4"/>
      <c r="CE632" s="4"/>
      <c r="CF632" s="4"/>
      <c r="CG632" s="4"/>
      <c r="CH632" s="4"/>
    </row>
    <row r="633" spans="1:86" x14ac:dyDescent="0.25">
      <c r="A633" s="12">
        <f t="shared" si="15"/>
        <v>630</v>
      </c>
      <c r="B633" s="4" t="s">
        <v>1691</v>
      </c>
      <c r="C633" s="4" t="s">
        <v>1692</v>
      </c>
      <c r="D633" s="4" t="s">
        <v>45</v>
      </c>
      <c r="E633" s="4"/>
      <c r="F633" s="14"/>
      <c r="G633" s="14"/>
      <c r="H633" s="14"/>
      <c r="I633" s="5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  <c r="BP633" s="4"/>
      <c r="BQ633" s="4"/>
      <c r="BR633" s="4"/>
      <c r="BS633" s="4"/>
      <c r="BT633" s="4"/>
      <c r="BU633" s="4"/>
      <c r="BV633" s="4"/>
      <c r="BW633" s="4"/>
      <c r="BX633" s="4"/>
      <c r="BY633" s="4"/>
      <c r="BZ633" s="4"/>
      <c r="CA633" s="4"/>
      <c r="CB633" s="4"/>
      <c r="CC633" s="4"/>
      <c r="CD633" s="4"/>
      <c r="CE633" s="4"/>
      <c r="CF633" s="4"/>
      <c r="CG633" s="4"/>
      <c r="CH633" s="4"/>
    </row>
    <row r="634" spans="1:86" x14ac:dyDescent="0.25">
      <c r="A634" s="12">
        <f t="shared" si="15"/>
        <v>631</v>
      </c>
      <c r="B634" s="4" t="s">
        <v>1693</v>
      </c>
      <c r="C634" s="4" t="s">
        <v>1694</v>
      </c>
      <c r="D634" s="4" t="s">
        <v>1130</v>
      </c>
      <c r="E634" s="4"/>
      <c r="F634" s="14"/>
      <c r="G634" s="14"/>
      <c r="H634" s="14"/>
      <c r="I634" s="5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  <c r="BK634" s="4"/>
      <c r="BL634" s="4"/>
      <c r="BM634" s="4"/>
      <c r="BN634" s="4"/>
      <c r="BO634" s="4"/>
      <c r="BP634" s="4"/>
      <c r="BQ634" s="4"/>
      <c r="BR634" s="4"/>
      <c r="BS634" s="4"/>
      <c r="BT634" s="4"/>
      <c r="BU634" s="4"/>
      <c r="BV634" s="4"/>
      <c r="BW634" s="4"/>
      <c r="BX634" s="4"/>
      <c r="BY634" s="4"/>
      <c r="BZ634" s="4"/>
      <c r="CA634" s="4"/>
      <c r="CB634" s="4"/>
      <c r="CC634" s="4"/>
      <c r="CD634" s="4"/>
      <c r="CE634" s="4"/>
      <c r="CF634" s="4"/>
      <c r="CG634" s="4"/>
      <c r="CH634" s="4"/>
    </row>
    <row r="635" spans="1:86" x14ac:dyDescent="0.25">
      <c r="A635" s="12">
        <f t="shared" si="15"/>
        <v>632</v>
      </c>
      <c r="B635" s="4" t="s">
        <v>1695</v>
      </c>
      <c r="C635" s="4" t="s">
        <v>1696</v>
      </c>
      <c r="D635" s="4" t="s">
        <v>1129</v>
      </c>
      <c r="E635" s="4"/>
      <c r="F635" s="14"/>
      <c r="G635" s="14"/>
      <c r="H635" s="14"/>
      <c r="I635" s="5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  <c r="BK635" s="4"/>
      <c r="BL635" s="4"/>
      <c r="BM635" s="4"/>
      <c r="BN635" s="4"/>
      <c r="BO635" s="4"/>
      <c r="BP635" s="4"/>
      <c r="BQ635" s="4"/>
      <c r="BR635" s="4"/>
      <c r="BS635" s="4"/>
      <c r="BT635" s="4"/>
      <c r="BU635" s="4"/>
      <c r="BV635" s="4"/>
      <c r="BW635" s="4"/>
      <c r="BX635" s="4"/>
      <c r="BY635" s="4"/>
      <c r="BZ635" s="4"/>
      <c r="CA635" s="4"/>
      <c r="CB635" s="4"/>
      <c r="CC635" s="4"/>
      <c r="CD635" s="4"/>
      <c r="CE635" s="4"/>
      <c r="CF635" s="4"/>
      <c r="CG635" s="4"/>
      <c r="CH635" s="4"/>
    </row>
    <row r="636" spans="1:86" x14ac:dyDescent="0.25">
      <c r="A636" s="12">
        <f t="shared" si="15"/>
        <v>633</v>
      </c>
      <c r="B636" s="4" t="s">
        <v>906</v>
      </c>
      <c r="C636" s="4" t="s">
        <v>907</v>
      </c>
      <c r="D636" s="4" t="s">
        <v>45</v>
      </c>
      <c r="E636" s="4"/>
      <c r="F636" s="14"/>
      <c r="G636" s="14"/>
      <c r="H636" s="14"/>
      <c r="I636" s="5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  <c r="BK636" s="4"/>
      <c r="BL636" s="4"/>
      <c r="BM636" s="4"/>
      <c r="BN636" s="4"/>
      <c r="BO636" s="4"/>
      <c r="BP636" s="4"/>
      <c r="BQ636" s="4"/>
      <c r="BR636" s="4"/>
      <c r="BS636" s="4"/>
      <c r="BT636" s="4"/>
      <c r="BU636" s="4"/>
      <c r="BV636" s="4"/>
      <c r="BW636" s="4"/>
      <c r="BX636" s="4"/>
      <c r="BY636" s="4"/>
      <c r="BZ636" s="4"/>
      <c r="CA636" s="4"/>
      <c r="CB636" s="4"/>
      <c r="CC636" s="4"/>
      <c r="CD636" s="4"/>
      <c r="CE636" s="4"/>
      <c r="CF636" s="4"/>
      <c r="CG636" s="4"/>
      <c r="CH636" s="4"/>
    </row>
    <row r="637" spans="1:86" x14ac:dyDescent="0.25">
      <c r="A637" s="12">
        <f t="shared" si="15"/>
        <v>634</v>
      </c>
      <c r="B637" s="4" t="s">
        <v>1697</v>
      </c>
      <c r="C637" s="4" t="s">
        <v>1698</v>
      </c>
      <c r="D637" s="4" t="s">
        <v>46</v>
      </c>
      <c r="E637" s="4"/>
      <c r="F637" s="14"/>
      <c r="G637" s="14"/>
      <c r="H637" s="14"/>
      <c r="I637" s="5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  <c r="BK637" s="4"/>
      <c r="BL637" s="4"/>
      <c r="BM637" s="4"/>
      <c r="BN637" s="4"/>
      <c r="BO637" s="4"/>
      <c r="BP637" s="4"/>
      <c r="BQ637" s="4"/>
      <c r="BR637" s="4"/>
      <c r="BS637" s="4"/>
      <c r="BT637" s="4"/>
      <c r="BU637" s="4"/>
      <c r="BV637" s="4"/>
      <c r="BW637" s="4"/>
      <c r="BX637" s="4"/>
      <c r="BY637" s="4"/>
      <c r="BZ637" s="4"/>
      <c r="CA637" s="4"/>
      <c r="CB637" s="4"/>
      <c r="CC637" s="4"/>
      <c r="CD637" s="4"/>
      <c r="CE637" s="4"/>
      <c r="CF637" s="4"/>
      <c r="CG637" s="4"/>
      <c r="CH637" s="4"/>
    </row>
    <row r="638" spans="1:86" x14ac:dyDescent="0.25">
      <c r="A638" s="12">
        <f t="shared" si="15"/>
        <v>635</v>
      </c>
      <c r="B638" s="4" t="s">
        <v>1699</v>
      </c>
      <c r="C638" s="4" t="s">
        <v>1700</v>
      </c>
      <c r="D638" s="4" t="s">
        <v>1129</v>
      </c>
      <c r="E638" s="4"/>
      <c r="F638" s="14"/>
      <c r="G638" s="14"/>
      <c r="H638" s="14"/>
      <c r="I638" s="5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  <c r="BK638" s="4"/>
      <c r="BL638" s="4"/>
      <c r="BM638" s="4"/>
      <c r="BN638" s="4"/>
      <c r="BO638" s="4"/>
      <c r="BP638" s="4"/>
      <c r="BQ638" s="4"/>
      <c r="BR638" s="4"/>
      <c r="BS638" s="4"/>
      <c r="BT638" s="4"/>
      <c r="BU638" s="4"/>
      <c r="BV638" s="4"/>
      <c r="BW638" s="4"/>
      <c r="BX638" s="4"/>
      <c r="BY638" s="4"/>
      <c r="BZ638" s="4"/>
      <c r="CA638" s="4"/>
      <c r="CB638" s="4"/>
      <c r="CC638" s="4"/>
      <c r="CD638" s="4"/>
      <c r="CE638" s="4"/>
      <c r="CF638" s="4"/>
      <c r="CG638" s="4"/>
      <c r="CH638" s="4"/>
    </row>
    <row r="639" spans="1:86" x14ac:dyDescent="0.25">
      <c r="A639" s="12">
        <f t="shared" si="15"/>
        <v>636</v>
      </c>
      <c r="B639" s="4" t="s">
        <v>1701</v>
      </c>
      <c r="C639" s="4" t="s">
        <v>1702</v>
      </c>
      <c r="D639" s="4" t="s">
        <v>45</v>
      </c>
      <c r="E639" s="4"/>
      <c r="F639" s="14"/>
      <c r="G639" s="14"/>
      <c r="H639" s="14"/>
      <c r="I639" s="5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  <c r="BK639" s="4"/>
      <c r="BL639" s="4"/>
      <c r="BM639" s="4"/>
      <c r="BN639" s="4"/>
      <c r="BO639" s="4"/>
      <c r="BP639" s="4"/>
      <c r="BQ639" s="4"/>
      <c r="BR639" s="4"/>
      <c r="BS639" s="4"/>
      <c r="BT639" s="4"/>
      <c r="BU639" s="4"/>
      <c r="BV639" s="4"/>
      <c r="BW639" s="4"/>
      <c r="BX639" s="4"/>
      <c r="BY639" s="4"/>
      <c r="BZ639" s="4"/>
      <c r="CA639" s="4"/>
      <c r="CB639" s="4"/>
      <c r="CC639" s="4"/>
      <c r="CD639" s="4"/>
      <c r="CE639" s="4"/>
      <c r="CF639" s="4"/>
      <c r="CG639" s="4"/>
      <c r="CH639" s="4"/>
    </row>
    <row r="640" spans="1:86" x14ac:dyDescent="0.25">
      <c r="A640" s="12">
        <f t="shared" si="15"/>
        <v>637</v>
      </c>
      <c r="B640" s="4" t="s">
        <v>1703</v>
      </c>
      <c r="C640" s="4" t="s">
        <v>1704</v>
      </c>
      <c r="D640" s="4" t="s">
        <v>45</v>
      </c>
      <c r="E640" s="4"/>
      <c r="F640" s="14"/>
      <c r="G640" s="14"/>
      <c r="H640" s="14"/>
      <c r="I640" s="5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  <c r="BK640" s="4"/>
      <c r="BL640" s="4"/>
      <c r="BM640" s="4"/>
      <c r="BN640" s="4"/>
      <c r="BO640" s="4"/>
      <c r="BP640" s="4"/>
      <c r="BQ640" s="4"/>
      <c r="BR640" s="4"/>
      <c r="BS640" s="4"/>
      <c r="BT640" s="4"/>
      <c r="BU640" s="4"/>
      <c r="BV640" s="4"/>
      <c r="BW640" s="4"/>
      <c r="BX640" s="4"/>
      <c r="BY640" s="4"/>
      <c r="BZ640" s="4"/>
      <c r="CA640" s="4"/>
      <c r="CB640" s="4"/>
      <c r="CC640" s="4"/>
      <c r="CD640" s="4"/>
      <c r="CE640" s="4"/>
      <c r="CF640" s="4"/>
      <c r="CG640" s="4"/>
      <c r="CH640" s="4"/>
    </row>
    <row r="641" spans="1:86" x14ac:dyDescent="0.25">
      <c r="A641" s="12">
        <f t="shared" si="15"/>
        <v>638</v>
      </c>
      <c r="B641" s="4" t="s">
        <v>1009</v>
      </c>
      <c r="C641" s="4" t="s">
        <v>1010</v>
      </c>
      <c r="D641" s="4" t="s">
        <v>45</v>
      </c>
      <c r="E641" s="4"/>
      <c r="F641" s="14"/>
      <c r="G641" s="14"/>
      <c r="H641" s="14"/>
      <c r="I641" s="5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  <c r="BK641" s="4"/>
      <c r="BL641" s="4"/>
      <c r="BM641" s="4"/>
      <c r="BN641" s="4"/>
      <c r="BO641" s="4"/>
      <c r="BP641" s="4"/>
      <c r="BQ641" s="4"/>
      <c r="BR641" s="4"/>
      <c r="BS641" s="4"/>
      <c r="BT641" s="4"/>
      <c r="BU641" s="4"/>
      <c r="BV641" s="4"/>
      <c r="BW641" s="4"/>
      <c r="BX641" s="4"/>
      <c r="BY641" s="4"/>
      <c r="BZ641" s="4"/>
      <c r="CA641" s="4"/>
      <c r="CB641" s="4"/>
      <c r="CC641" s="4"/>
      <c r="CD641" s="4"/>
      <c r="CE641" s="4"/>
      <c r="CF641" s="4"/>
      <c r="CG641" s="4"/>
      <c r="CH641" s="4"/>
    </row>
    <row r="642" spans="1:86" x14ac:dyDescent="0.25">
      <c r="A642" s="12">
        <f t="shared" si="15"/>
        <v>639</v>
      </c>
      <c r="B642" s="4" t="s">
        <v>1705</v>
      </c>
      <c r="C642" s="4" t="s">
        <v>1706</v>
      </c>
      <c r="D642" s="4" t="s">
        <v>45</v>
      </c>
      <c r="E642" s="4"/>
      <c r="F642" s="14"/>
      <c r="G642" s="14"/>
      <c r="H642" s="14"/>
      <c r="I642" s="5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  <c r="BK642" s="4"/>
      <c r="BL642" s="4"/>
      <c r="BM642" s="4"/>
      <c r="BN642" s="4"/>
      <c r="BO642" s="4"/>
      <c r="BP642" s="4"/>
      <c r="BQ642" s="4"/>
      <c r="BR642" s="4"/>
      <c r="BS642" s="4"/>
      <c r="BT642" s="4"/>
      <c r="BU642" s="4"/>
      <c r="BV642" s="4"/>
      <c r="BW642" s="4"/>
      <c r="BX642" s="4"/>
      <c r="BY642" s="4"/>
      <c r="BZ642" s="4"/>
      <c r="CA642" s="4"/>
      <c r="CB642" s="4"/>
      <c r="CC642" s="4"/>
      <c r="CD642" s="4"/>
      <c r="CE642" s="4"/>
      <c r="CF642" s="4"/>
      <c r="CG642" s="4"/>
      <c r="CH642" s="4"/>
    </row>
    <row r="643" spans="1:86" x14ac:dyDescent="0.25">
      <c r="A643" s="12">
        <f t="shared" si="15"/>
        <v>640</v>
      </c>
      <c r="B643" s="4" t="s">
        <v>1707</v>
      </c>
      <c r="C643" s="4" t="s">
        <v>1708</v>
      </c>
      <c r="D643" s="4" t="s">
        <v>1125</v>
      </c>
      <c r="E643" s="4"/>
      <c r="F643" s="14"/>
      <c r="G643" s="14"/>
      <c r="H643" s="14"/>
      <c r="I643" s="5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  <c r="BK643" s="4"/>
      <c r="BL643" s="4"/>
      <c r="BM643" s="4"/>
      <c r="BN643" s="4"/>
      <c r="BO643" s="4"/>
      <c r="BP643" s="4"/>
      <c r="BQ643" s="4"/>
      <c r="BR643" s="4"/>
      <c r="BS643" s="4"/>
      <c r="BT643" s="4"/>
      <c r="BU643" s="4"/>
      <c r="BV643" s="4"/>
      <c r="BW643" s="4"/>
      <c r="BX643" s="4"/>
      <c r="BY643" s="4"/>
      <c r="BZ643" s="4"/>
      <c r="CA643" s="4"/>
      <c r="CB643" s="4"/>
      <c r="CC643" s="4"/>
      <c r="CD643" s="4"/>
      <c r="CE643" s="4"/>
      <c r="CF643" s="4"/>
      <c r="CG643" s="4"/>
      <c r="CH643" s="4"/>
    </row>
    <row r="644" spans="1:86" x14ac:dyDescent="0.25">
      <c r="A644" s="12">
        <f t="shared" si="15"/>
        <v>641</v>
      </c>
      <c r="B644" s="4" t="s">
        <v>1709</v>
      </c>
      <c r="C644" s="4" t="s">
        <v>1710</v>
      </c>
      <c r="D644" s="4" t="s">
        <v>45</v>
      </c>
      <c r="E644" s="4"/>
      <c r="F644" s="14"/>
      <c r="G644" s="14"/>
      <c r="H644" s="14"/>
      <c r="I644" s="5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  <c r="BK644" s="4"/>
      <c r="BL644" s="4"/>
      <c r="BM644" s="4"/>
      <c r="BN644" s="4"/>
      <c r="BO644" s="4"/>
      <c r="BP644" s="4"/>
      <c r="BQ644" s="4"/>
      <c r="BR644" s="4"/>
      <c r="BS644" s="4"/>
      <c r="BT644" s="4"/>
      <c r="BU644" s="4"/>
      <c r="BV644" s="4"/>
      <c r="BW644" s="4"/>
      <c r="BX644" s="4"/>
      <c r="BY644" s="4"/>
      <c r="BZ644" s="4"/>
      <c r="CA644" s="4"/>
      <c r="CB644" s="4"/>
      <c r="CC644" s="4"/>
      <c r="CD644" s="4"/>
      <c r="CE644" s="4"/>
      <c r="CF644" s="4"/>
      <c r="CG644" s="4"/>
      <c r="CH644" s="4"/>
    </row>
    <row r="645" spans="1:86" x14ac:dyDescent="0.25">
      <c r="A645" s="12">
        <f t="shared" si="15"/>
        <v>642</v>
      </c>
      <c r="B645" s="4" t="s">
        <v>1711</v>
      </c>
      <c r="C645" s="4" t="s">
        <v>1712</v>
      </c>
      <c r="D645" s="4" t="s">
        <v>45</v>
      </c>
      <c r="E645" s="4"/>
      <c r="F645" s="14"/>
      <c r="G645" s="14"/>
      <c r="H645" s="14"/>
      <c r="I645" s="5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  <c r="BK645" s="4"/>
      <c r="BL645" s="4"/>
      <c r="BM645" s="4"/>
      <c r="BN645" s="4"/>
      <c r="BO645" s="4"/>
      <c r="BP645" s="4"/>
      <c r="BQ645" s="4"/>
      <c r="BR645" s="4"/>
      <c r="BS645" s="4"/>
      <c r="BT645" s="4"/>
      <c r="BU645" s="4"/>
      <c r="BV645" s="4"/>
      <c r="BW645" s="4"/>
      <c r="BX645" s="4"/>
      <c r="BY645" s="4"/>
      <c r="BZ645" s="4"/>
      <c r="CA645" s="4"/>
      <c r="CB645" s="4"/>
      <c r="CC645" s="4"/>
      <c r="CD645" s="4"/>
      <c r="CE645" s="4"/>
      <c r="CF645" s="4"/>
      <c r="CG645" s="4"/>
      <c r="CH645" s="4"/>
    </row>
    <row r="646" spans="1:86" x14ac:dyDescent="0.25">
      <c r="A646" s="12">
        <f t="shared" si="15"/>
        <v>643</v>
      </c>
      <c r="B646" s="4" t="s">
        <v>1713</v>
      </c>
      <c r="C646" s="4" t="s">
        <v>1714</v>
      </c>
      <c r="D646" s="4" t="s">
        <v>1124</v>
      </c>
      <c r="E646" s="4"/>
      <c r="F646" s="14"/>
      <c r="G646" s="14"/>
      <c r="H646" s="14"/>
      <c r="I646" s="5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  <c r="BK646" s="4"/>
      <c r="BL646" s="4"/>
      <c r="BM646" s="4"/>
      <c r="BN646" s="4"/>
      <c r="BO646" s="4"/>
      <c r="BP646" s="4"/>
      <c r="BQ646" s="4"/>
      <c r="BR646" s="4"/>
      <c r="BS646" s="4"/>
      <c r="BT646" s="4"/>
      <c r="BU646" s="4"/>
      <c r="BV646" s="4"/>
      <c r="BW646" s="4"/>
      <c r="BX646" s="4"/>
      <c r="BY646" s="4"/>
      <c r="BZ646" s="4"/>
      <c r="CA646" s="4"/>
      <c r="CB646" s="4"/>
      <c r="CC646" s="4"/>
      <c r="CD646" s="4"/>
      <c r="CE646" s="4"/>
      <c r="CF646" s="4"/>
      <c r="CG646" s="4"/>
      <c r="CH646" s="4"/>
    </row>
    <row r="647" spans="1:86" x14ac:dyDescent="0.25">
      <c r="A647" s="12">
        <f t="shared" si="15"/>
        <v>644</v>
      </c>
      <c r="B647" s="4" t="s">
        <v>1715</v>
      </c>
      <c r="C647" s="4" t="s">
        <v>1716</v>
      </c>
      <c r="D647" s="4" t="s">
        <v>45</v>
      </c>
      <c r="E647" s="4"/>
      <c r="F647" s="14"/>
      <c r="G647" s="14"/>
      <c r="H647" s="14"/>
      <c r="I647" s="5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  <c r="BK647" s="4"/>
      <c r="BL647" s="4"/>
      <c r="BM647" s="4"/>
      <c r="BN647" s="4"/>
      <c r="BO647" s="4"/>
      <c r="BP647" s="4"/>
      <c r="BQ647" s="4"/>
      <c r="BR647" s="4"/>
      <c r="BS647" s="4"/>
      <c r="BT647" s="4"/>
      <c r="BU647" s="4"/>
      <c r="BV647" s="4"/>
      <c r="BW647" s="4"/>
      <c r="BX647" s="4"/>
      <c r="BY647" s="4"/>
      <c r="BZ647" s="4"/>
      <c r="CA647" s="4"/>
      <c r="CB647" s="4"/>
      <c r="CC647" s="4"/>
      <c r="CD647" s="4"/>
      <c r="CE647" s="4"/>
      <c r="CF647" s="4"/>
      <c r="CG647" s="4"/>
      <c r="CH647" s="4"/>
    </row>
    <row r="648" spans="1:86" x14ac:dyDescent="0.25">
      <c r="A648" s="12">
        <f t="shared" si="15"/>
        <v>645</v>
      </c>
      <c r="B648" s="4" t="s">
        <v>1717</v>
      </c>
      <c r="C648" s="4" t="s">
        <v>1718</v>
      </c>
      <c r="D648" s="4" t="s">
        <v>45</v>
      </c>
      <c r="E648" s="4"/>
      <c r="F648" s="14"/>
      <c r="G648" s="14"/>
      <c r="H648" s="14"/>
      <c r="I648" s="5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  <c r="BK648" s="4"/>
      <c r="BL648" s="4"/>
      <c r="BM648" s="4"/>
      <c r="BN648" s="4"/>
      <c r="BO648" s="4"/>
      <c r="BP648" s="4"/>
      <c r="BQ648" s="4"/>
      <c r="BR648" s="4"/>
      <c r="BS648" s="4"/>
      <c r="BT648" s="4"/>
      <c r="BU648" s="4"/>
      <c r="BV648" s="4"/>
      <c r="BW648" s="4"/>
      <c r="BX648" s="4"/>
      <c r="BY648" s="4"/>
      <c r="BZ648" s="4"/>
      <c r="CA648" s="4"/>
      <c r="CB648" s="4"/>
      <c r="CC648" s="4"/>
      <c r="CD648" s="4"/>
      <c r="CE648" s="4"/>
      <c r="CF648" s="4"/>
      <c r="CG648" s="4"/>
      <c r="CH648" s="4"/>
    </row>
    <row r="649" spans="1:86" x14ac:dyDescent="0.25">
      <c r="A649" s="12">
        <f t="shared" si="15"/>
        <v>646</v>
      </c>
      <c r="B649" s="4" t="s">
        <v>1719</v>
      </c>
      <c r="C649" s="4" t="s">
        <v>1720</v>
      </c>
      <c r="D649" s="4" t="s">
        <v>45</v>
      </c>
      <c r="E649" s="4"/>
      <c r="F649" s="14"/>
      <c r="G649" s="14"/>
      <c r="H649" s="14"/>
      <c r="I649" s="5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  <c r="BP649" s="4"/>
      <c r="BQ649" s="4"/>
      <c r="BR649" s="4"/>
      <c r="BS649" s="4"/>
      <c r="BT649" s="4"/>
      <c r="BU649" s="4"/>
      <c r="BV649" s="4"/>
      <c r="BW649" s="4"/>
      <c r="BX649" s="4"/>
      <c r="BY649" s="4"/>
      <c r="BZ649" s="4"/>
      <c r="CA649" s="4"/>
      <c r="CB649" s="4"/>
      <c r="CC649" s="4"/>
      <c r="CD649" s="4"/>
      <c r="CE649" s="4"/>
      <c r="CF649" s="4"/>
      <c r="CG649" s="4"/>
      <c r="CH649" s="4"/>
    </row>
    <row r="650" spans="1:86" x14ac:dyDescent="0.25">
      <c r="A650" s="12">
        <f t="shared" ref="A650:A713" si="16">+A649+1</f>
        <v>647</v>
      </c>
      <c r="B650" s="4" t="s">
        <v>1721</v>
      </c>
      <c r="C650" s="4" t="s">
        <v>1721</v>
      </c>
      <c r="D650" s="4" t="s">
        <v>45</v>
      </c>
      <c r="E650" s="4"/>
      <c r="F650" s="14"/>
      <c r="G650" s="14"/>
      <c r="H650" s="14"/>
      <c r="I650" s="5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  <c r="BK650" s="4"/>
      <c r="BL650" s="4"/>
      <c r="BM650" s="4"/>
      <c r="BN650" s="4"/>
      <c r="BO650" s="4"/>
      <c r="BP650" s="4"/>
      <c r="BQ650" s="4"/>
      <c r="BR650" s="4"/>
      <c r="BS650" s="4"/>
      <c r="BT650" s="4"/>
      <c r="BU650" s="4"/>
      <c r="BV650" s="4"/>
      <c r="BW650" s="4"/>
      <c r="BX650" s="4"/>
      <c r="BY650" s="4"/>
      <c r="BZ650" s="4"/>
      <c r="CA650" s="4"/>
      <c r="CB650" s="4"/>
      <c r="CC650" s="4"/>
      <c r="CD650" s="4"/>
      <c r="CE650" s="4"/>
      <c r="CF650" s="4"/>
      <c r="CG650" s="4"/>
      <c r="CH650" s="4"/>
    </row>
    <row r="651" spans="1:86" x14ac:dyDescent="0.25">
      <c r="A651" s="12">
        <f t="shared" si="16"/>
        <v>648</v>
      </c>
      <c r="B651" s="4" t="s">
        <v>1722</v>
      </c>
      <c r="C651" s="4" t="s">
        <v>1723</v>
      </c>
      <c r="D651" s="4" t="s">
        <v>2576</v>
      </c>
      <c r="E651" s="4"/>
      <c r="F651" s="14"/>
      <c r="G651" s="14"/>
      <c r="H651" s="14"/>
      <c r="I651" s="5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  <c r="BK651" s="4"/>
      <c r="BL651" s="4"/>
      <c r="BM651" s="4"/>
      <c r="BN651" s="4"/>
      <c r="BO651" s="4"/>
      <c r="BP651" s="4"/>
      <c r="BQ651" s="4"/>
      <c r="BR651" s="4"/>
      <c r="BS651" s="4"/>
      <c r="BT651" s="4"/>
      <c r="BU651" s="4"/>
      <c r="BV651" s="4"/>
      <c r="BW651" s="4"/>
      <c r="BX651" s="4"/>
      <c r="BY651" s="4"/>
      <c r="BZ651" s="4"/>
      <c r="CA651" s="4"/>
      <c r="CB651" s="4"/>
      <c r="CC651" s="4"/>
      <c r="CD651" s="4"/>
      <c r="CE651" s="4"/>
      <c r="CF651" s="4"/>
      <c r="CG651" s="4"/>
      <c r="CH651" s="4"/>
    </row>
    <row r="652" spans="1:86" x14ac:dyDescent="0.25">
      <c r="A652" s="12">
        <f t="shared" si="16"/>
        <v>649</v>
      </c>
      <c r="B652" s="4" t="s">
        <v>1724</v>
      </c>
      <c r="C652" s="4" t="s">
        <v>1725</v>
      </c>
      <c r="D652" s="4" t="s">
        <v>45</v>
      </c>
      <c r="E652" s="4"/>
      <c r="F652" s="14"/>
      <c r="G652" s="14"/>
      <c r="H652" s="14"/>
      <c r="I652" s="5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  <c r="BK652" s="4"/>
      <c r="BL652" s="4"/>
      <c r="BM652" s="4"/>
      <c r="BN652" s="4"/>
      <c r="BO652" s="4"/>
      <c r="BP652" s="4"/>
      <c r="BQ652" s="4"/>
      <c r="BR652" s="4"/>
      <c r="BS652" s="4"/>
      <c r="BT652" s="4"/>
      <c r="BU652" s="4"/>
      <c r="BV652" s="4"/>
      <c r="BW652" s="4"/>
      <c r="BX652" s="4"/>
      <c r="BY652" s="4"/>
      <c r="BZ652" s="4"/>
      <c r="CA652" s="4"/>
      <c r="CB652" s="4"/>
      <c r="CC652" s="4"/>
      <c r="CD652" s="4"/>
      <c r="CE652" s="4"/>
      <c r="CF652" s="4"/>
      <c r="CG652" s="4"/>
      <c r="CH652" s="4"/>
    </row>
    <row r="653" spans="1:86" x14ac:dyDescent="0.25">
      <c r="A653" s="12">
        <f t="shared" si="16"/>
        <v>650</v>
      </c>
      <c r="B653" s="4" t="s">
        <v>1726</v>
      </c>
      <c r="C653" s="4" t="s">
        <v>1727</v>
      </c>
      <c r="D653" s="4" t="s">
        <v>770</v>
      </c>
      <c r="E653" s="4"/>
      <c r="F653" s="14"/>
      <c r="G653" s="14"/>
      <c r="H653" s="14"/>
      <c r="I653" s="5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  <c r="BK653" s="4"/>
      <c r="BL653" s="4"/>
      <c r="BM653" s="4"/>
      <c r="BN653" s="4"/>
      <c r="BO653" s="4"/>
      <c r="BP653" s="4"/>
      <c r="BQ653" s="4"/>
      <c r="BR653" s="4"/>
      <c r="BS653" s="4"/>
      <c r="BT653" s="4"/>
      <c r="BU653" s="4"/>
      <c r="BV653" s="4"/>
      <c r="BW653" s="4"/>
      <c r="BX653" s="4"/>
      <c r="BY653" s="4"/>
      <c r="BZ653" s="4"/>
      <c r="CA653" s="4"/>
      <c r="CB653" s="4"/>
      <c r="CC653" s="4"/>
      <c r="CD653" s="4"/>
      <c r="CE653" s="4"/>
      <c r="CF653" s="4"/>
      <c r="CG653" s="4"/>
      <c r="CH653" s="4"/>
    </row>
    <row r="654" spans="1:86" x14ac:dyDescent="0.25">
      <c r="A654" s="12">
        <f t="shared" si="16"/>
        <v>651</v>
      </c>
      <c r="B654" s="4" t="s">
        <v>1728</v>
      </c>
      <c r="C654" s="4" t="s">
        <v>1729</v>
      </c>
      <c r="D654" s="4" t="s">
        <v>45</v>
      </c>
      <c r="E654" s="4"/>
      <c r="F654" s="14"/>
      <c r="G654" s="14"/>
      <c r="H654" s="14"/>
      <c r="I654" s="5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  <c r="BK654" s="4"/>
      <c r="BL654" s="4"/>
      <c r="BM654" s="4"/>
      <c r="BN654" s="4"/>
      <c r="BO654" s="4"/>
      <c r="BP654" s="4"/>
      <c r="BQ654" s="4"/>
      <c r="BR654" s="4"/>
      <c r="BS654" s="4"/>
      <c r="BT654" s="4"/>
      <c r="BU654" s="4"/>
      <c r="BV654" s="4"/>
      <c r="BW654" s="4"/>
      <c r="BX654" s="4"/>
      <c r="BY654" s="4"/>
      <c r="BZ654" s="4"/>
      <c r="CA654" s="4"/>
      <c r="CB654" s="4"/>
      <c r="CC654" s="4"/>
      <c r="CD654" s="4"/>
      <c r="CE654" s="4"/>
      <c r="CF654" s="4"/>
      <c r="CG654" s="4"/>
      <c r="CH654" s="4"/>
    </row>
    <row r="655" spans="1:86" x14ac:dyDescent="0.25">
      <c r="A655" s="12">
        <f t="shared" si="16"/>
        <v>652</v>
      </c>
      <c r="B655" s="4" t="s">
        <v>1013</v>
      </c>
      <c r="C655" s="4" t="s">
        <v>1014</v>
      </c>
      <c r="D655" s="4" t="s">
        <v>770</v>
      </c>
      <c r="E655" s="4"/>
      <c r="F655" s="14"/>
      <c r="G655" s="14"/>
      <c r="H655" s="14"/>
      <c r="I655" s="5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  <c r="BK655" s="4"/>
      <c r="BL655" s="4"/>
      <c r="BM655" s="4"/>
      <c r="BN655" s="4"/>
      <c r="BO655" s="4"/>
      <c r="BP655" s="4"/>
      <c r="BQ655" s="4"/>
      <c r="BR655" s="4"/>
      <c r="BS655" s="4"/>
      <c r="BT655" s="4"/>
      <c r="BU655" s="4"/>
      <c r="BV655" s="4"/>
      <c r="BW655" s="4"/>
      <c r="BX655" s="4"/>
      <c r="BY655" s="4"/>
      <c r="BZ655" s="4"/>
      <c r="CA655" s="4"/>
      <c r="CB655" s="4"/>
      <c r="CC655" s="4"/>
      <c r="CD655" s="4"/>
      <c r="CE655" s="4"/>
      <c r="CF655" s="4"/>
      <c r="CG655" s="4"/>
      <c r="CH655" s="4"/>
    </row>
    <row r="656" spans="1:86" x14ac:dyDescent="0.25">
      <c r="A656" s="12">
        <f t="shared" si="16"/>
        <v>653</v>
      </c>
      <c r="B656" s="4" t="s">
        <v>1730</v>
      </c>
      <c r="C656" s="4" t="s">
        <v>1731</v>
      </c>
      <c r="D656" s="4" t="s">
        <v>45</v>
      </c>
      <c r="E656" s="4"/>
      <c r="F656" s="14"/>
      <c r="G656" s="14"/>
      <c r="H656" s="14"/>
      <c r="I656" s="5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  <c r="BK656" s="4"/>
      <c r="BL656" s="4"/>
      <c r="BM656" s="4"/>
      <c r="BN656" s="4"/>
      <c r="BO656" s="4"/>
      <c r="BP656" s="4"/>
      <c r="BQ656" s="4"/>
      <c r="BR656" s="4"/>
      <c r="BS656" s="4"/>
      <c r="BT656" s="4"/>
      <c r="BU656" s="4"/>
      <c r="BV656" s="4"/>
      <c r="BW656" s="4"/>
      <c r="BX656" s="4"/>
      <c r="BY656" s="4"/>
      <c r="BZ656" s="4"/>
      <c r="CA656" s="4"/>
      <c r="CB656" s="4"/>
      <c r="CC656" s="4"/>
      <c r="CD656" s="4"/>
      <c r="CE656" s="4"/>
      <c r="CF656" s="4"/>
      <c r="CG656" s="4"/>
      <c r="CH656" s="4"/>
    </row>
    <row r="657" spans="1:86" x14ac:dyDescent="0.25">
      <c r="A657" s="12">
        <f t="shared" si="16"/>
        <v>654</v>
      </c>
      <c r="B657" s="4" t="s">
        <v>1732</v>
      </c>
      <c r="C657" s="4" t="s">
        <v>1733</v>
      </c>
      <c r="D657" s="4" t="s">
        <v>45</v>
      </c>
      <c r="E657" s="4"/>
      <c r="F657" s="14"/>
      <c r="G657" s="14"/>
      <c r="H657" s="14"/>
      <c r="I657" s="5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  <c r="BK657" s="4"/>
      <c r="BL657" s="4"/>
      <c r="BM657" s="4"/>
      <c r="BN657" s="4"/>
      <c r="BO657" s="4"/>
      <c r="BP657" s="4"/>
      <c r="BQ657" s="4"/>
      <c r="BR657" s="4"/>
      <c r="BS657" s="4"/>
      <c r="BT657" s="4"/>
      <c r="BU657" s="4"/>
      <c r="BV657" s="4"/>
      <c r="BW657" s="4"/>
      <c r="BX657" s="4"/>
      <c r="BY657" s="4"/>
      <c r="BZ657" s="4"/>
      <c r="CA657" s="4"/>
      <c r="CB657" s="4"/>
      <c r="CC657" s="4"/>
      <c r="CD657" s="4"/>
      <c r="CE657" s="4"/>
      <c r="CF657" s="4"/>
      <c r="CG657" s="4"/>
      <c r="CH657" s="4"/>
    </row>
    <row r="658" spans="1:86" x14ac:dyDescent="0.25">
      <c r="A658" s="12">
        <f t="shared" si="16"/>
        <v>655</v>
      </c>
      <c r="B658" s="4" t="s">
        <v>1734</v>
      </c>
      <c r="C658" s="4" t="s">
        <v>1735</v>
      </c>
      <c r="D658" s="4" t="s">
        <v>186</v>
      </c>
      <c r="E658" s="4"/>
      <c r="F658" s="14"/>
      <c r="G658" s="14"/>
      <c r="H658" s="14"/>
      <c r="I658" s="5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  <c r="BK658" s="4"/>
      <c r="BL658" s="4"/>
      <c r="BM658" s="4"/>
      <c r="BN658" s="4"/>
      <c r="BO658" s="4"/>
      <c r="BP658" s="4"/>
      <c r="BQ658" s="4"/>
      <c r="BR658" s="4"/>
      <c r="BS658" s="4"/>
      <c r="BT658" s="4"/>
      <c r="BU658" s="4"/>
      <c r="BV658" s="4"/>
      <c r="BW658" s="4"/>
      <c r="BX658" s="4"/>
      <c r="BY658" s="4"/>
      <c r="BZ658" s="4"/>
      <c r="CA658" s="4"/>
      <c r="CB658" s="4"/>
      <c r="CC658" s="4"/>
      <c r="CD658" s="4"/>
      <c r="CE658" s="4"/>
      <c r="CF658" s="4"/>
      <c r="CG658" s="4"/>
      <c r="CH658" s="4"/>
    </row>
    <row r="659" spans="1:86" x14ac:dyDescent="0.25">
      <c r="A659" s="12">
        <f t="shared" si="16"/>
        <v>656</v>
      </c>
      <c r="B659" s="4" t="s">
        <v>1736</v>
      </c>
      <c r="C659" s="4" t="s">
        <v>1737</v>
      </c>
      <c r="D659" s="4" t="s">
        <v>84</v>
      </c>
      <c r="E659" s="4"/>
      <c r="F659" s="14"/>
      <c r="G659" s="14"/>
      <c r="H659" s="14"/>
      <c r="I659" s="5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  <c r="BQ659" s="4"/>
      <c r="BR659" s="4"/>
      <c r="BS659" s="4"/>
      <c r="BT659" s="4"/>
      <c r="BU659" s="4"/>
      <c r="BV659" s="4"/>
      <c r="BW659" s="4"/>
      <c r="BX659" s="4"/>
      <c r="BY659" s="4"/>
      <c r="BZ659" s="4"/>
      <c r="CA659" s="4"/>
      <c r="CB659" s="4"/>
      <c r="CC659" s="4"/>
      <c r="CD659" s="4"/>
      <c r="CE659" s="4"/>
      <c r="CF659" s="4"/>
      <c r="CG659" s="4"/>
      <c r="CH659" s="4"/>
    </row>
    <row r="660" spans="1:86" x14ac:dyDescent="0.25">
      <c r="A660" s="12">
        <f t="shared" si="16"/>
        <v>657</v>
      </c>
      <c r="B660" s="4" t="s">
        <v>1738</v>
      </c>
      <c r="C660" s="4" t="s">
        <v>1739</v>
      </c>
      <c r="D660" s="4" t="s">
        <v>45</v>
      </c>
      <c r="E660" s="4"/>
      <c r="F660" s="14"/>
      <c r="G660" s="14"/>
      <c r="H660" s="14"/>
      <c r="I660" s="5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  <c r="BQ660" s="4"/>
      <c r="BR660" s="4"/>
      <c r="BS660" s="4"/>
      <c r="BT660" s="4"/>
      <c r="BU660" s="4"/>
      <c r="BV660" s="4"/>
      <c r="BW660" s="4"/>
      <c r="BX660" s="4"/>
      <c r="BY660" s="4"/>
      <c r="BZ660" s="4"/>
      <c r="CA660" s="4"/>
      <c r="CB660" s="4"/>
      <c r="CC660" s="4"/>
      <c r="CD660" s="4"/>
      <c r="CE660" s="4"/>
      <c r="CF660" s="4"/>
      <c r="CG660" s="4"/>
      <c r="CH660" s="4"/>
    </row>
    <row r="661" spans="1:86" x14ac:dyDescent="0.25">
      <c r="A661" s="12">
        <f t="shared" si="16"/>
        <v>658</v>
      </c>
      <c r="B661" s="4" t="s">
        <v>1740</v>
      </c>
      <c r="C661" s="4" t="s">
        <v>1741</v>
      </c>
      <c r="D661" s="4" t="s">
        <v>1126</v>
      </c>
      <c r="E661" s="4"/>
      <c r="F661" s="14"/>
      <c r="G661" s="14"/>
      <c r="H661" s="14"/>
      <c r="I661" s="5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  <c r="BQ661" s="4"/>
      <c r="BR661" s="4"/>
      <c r="BS661" s="4"/>
      <c r="BT661" s="4"/>
      <c r="BU661" s="4"/>
      <c r="BV661" s="4"/>
      <c r="BW661" s="4"/>
      <c r="BX661" s="4"/>
      <c r="BY661" s="4"/>
      <c r="BZ661" s="4"/>
      <c r="CA661" s="4"/>
      <c r="CB661" s="4"/>
      <c r="CC661" s="4"/>
      <c r="CD661" s="4"/>
      <c r="CE661" s="4"/>
      <c r="CF661" s="4"/>
      <c r="CG661" s="4"/>
      <c r="CH661" s="4"/>
    </row>
    <row r="662" spans="1:86" x14ac:dyDescent="0.25">
      <c r="A662" s="12">
        <f t="shared" si="16"/>
        <v>659</v>
      </c>
      <c r="B662" s="4" t="s">
        <v>1742</v>
      </c>
      <c r="C662" s="4" t="s">
        <v>1743</v>
      </c>
      <c r="D662" s="4" t="s">
        <v>186</v>
      </c>
      <c r="E662" s="4"/>
      <c r="F662" s="14"/>
      <c r="G662" s="14"/>
      <c r="H662" s="14"/>
      <c r="I662" s="5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  <c r="BQ662" s="4"/>
      <c r="BR662" s="4"/>
      <c r="BS662" s="4"/>
      <c r="BT662" s="4"/>
      <c r="BU662" s="4"/>
      <c r="BV662" s="4"/>
      <c r="BW662" s="4"/>
      <c r="BX662" s="4"/>
      <c r="BY662" s="4"/>
      <c r="BZ662" s="4"/>
      <c r="CA662" s="4"/>
      <c r="CB662" s="4"/>
      <c r="CC662" s="4"/>
      <c r="CD662" s="4"/>
      <c r="CE662" s="4"/>
      <c r="CF662" s="4"/>
      <c r="CG662" s="4"/>
      <c r="CH662" s="4"/>
    </row>
    <row r="663" spans="1:86" x14ac:dyDescent="0.25">
      <c r="A663" s="12">
        <f t="shared" si="16"/>
        <v>660</v>
      </c>
      <c r="B663" s="4" t="s">
        <v>1744</v>
      </c>
      <c r="C663" s="4" t="s">
        <v>1745</v>
      </c>
      <c r="D663" s="4" t="s">
        <v>1124</v>
      </c>
      <c r="E663" s="4"/>
      <c r="F663" s="14"/>
      <c r="G663" s="14"/>
      <c r="H663" s="14"/>
      <c r="I663" s="5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  <c r="BK663" s="4"/>
      <c r="BL663" s="4"/>
      <c r="BM663" s="4"/>
      <c r="BN663" s="4"/>
      <c r="BO663" s="4"/>
      <c r="BP663" s="4"/>
      <c r="BQ663" s="4"/>
      <c r="BR663" s="4"/>
      <c r="BS663" s="4"/>
      <c r="BT663" s="4"/>
      <c r="BU663" s="4"/>
      <c r="BV663" s="4"/>
      <c r="BW663" s="4"/>
      <c r="BX663" s="4"/>
      <c r="BY663" s="4"/>
      <c r="BZ663" s="4"/>
      <c r="CA663" s="4"/>
      <c r="CB663" s="4"/>
      <c r="CC663" s="4"/>
      <c r="CD663" s="4"/>
      <c r="CE663" s="4"/>
      <c r="CF663" s="4"/>
      <c r="CG663" s="4"/>
      <c r="CH663" s="4"/>
    </row>
    <row r="664" spans="1:86" x14ac:dyDescent="0.25">
      <c r="A664" s="12">
        <f t="shared" si="16"/>
        <v>661</v>
      </c>
      <c r="B664" s="4" t="s">
        <v>1746</v>
      </c>
      <c r="C664" s="4" t="s">
        <v>1747</v>
      </c>
      <c r="D664" s="4" t="s">
        <v>45</v>
      </c>
      <c r="E664" s="4"/>
      <c r="F664" s="14"/>
      <c r="G664" s="14"/>
      <c r="H664" s="14"/>
      <c r="I664" s="5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  <c r="BK664" s="4"/>
      <c r="BL664" s="4"/>
      <c r="BM664" s="4"/>
      <c r="BN664" s="4"/>
      <c r="BO664" s="4"/>
      <c r="BP664" s="4"/>
      <c r="BQ664" s="4"/>
      <c r="BR664" s="4"/>
      <c r="BS664" s="4"/>
      <c r="BT664" s="4"/>
      <c r="BU664" s="4"/>
      <c r="BV664" s="4"/>
      <c r="BW664" s="4"/>
      <c r="BX664" s="4"/>
      <c r="BY664" s="4"/>
      <c r="BZ664" s="4"/>
      <c r="CA664" s="4"/>
      <c r="CB664" s="4"/>
      <c r="CC664" s="4"/>
      <c r="CD664" s="4"/>
      <c r="CE664" s="4"/>
      <c r="CF664" s="4"/>
      <c r="CG664" s="4"/>
      <c r="CH664" s="4"/>
    </row>
    <row r="665" spans="1:86" x14ac:dyDescent="0.25">
      <c r="A665" s="12">
        <f t="shared" si="16"/>
        <v>662</v>
      </c>
      <c r="B665" s="4" t="s">
        <v>1748</v>
      </c>
      <c r="C665" s="4" t="s">
        <v>1749</v>
      </c>
      <c r="D665" s="4" t="s">
        <v>45</v>
      </c>
      <c r="E665" s="4"/>
      <c r="F665" s="14"/>
      <c r="G665" s="14"/>
      <c r="H665" s="14"/>
      <c r="I665" s="5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  <c r="BK665" s="4"/>
      <c r="BL665" s="4"/>
      <c r="BM665" s="4"/>
      <c r="BN665" s="4"/>
      <c r="BO665" s="4"/>
      <c r="BP665" s="4"/>
      <c r="BQ665" s="4"/>
      <c r="BR665" s="4"/>
      <c r="BS665" s="4"/>
      <c r="BT665" s="4"/>
      <c r="BU665" s="4"/>
      <c r="BV665" s="4"/>
      <c r="BW665" s="4"/>
      <c r="BX665" s="4"/>
      <c r="BY665" s="4"/>
      <c r="BZ665" s="4"/>
      <c r="CA665" s="4"/>
      <c r="CB665" s="4"/>
      <c r="CC665" s="4"/>
      <c r="CD665" s="4"/>
      <c r="CE665" s="4"/>
      <c r="CF665" s="4"/>
      <c r="CG665" s="4"/>
      <c r="CH665" s="4"/>
    </row>
    <row r="666" spans="1:86" x14ac:dyDescent="0.25">
      <c r="A666" s="12">
        <f t="shared" si="16"/>
        <v>663</v>
      </c>
      <c r="B666" s="4" t="s">
        <v>1750</v>
      </c>
      <c r="C666" s="4" t="s">
        <v>1751</v>
      </c>
      <c r="D666" s="4" t="s">
        <v>45</v>
      </c>
      <c r="E666" s="4"/>
      <c r="F666" s="14"/>
      <c r="G666" s="14"/>
      <c r="H666" s="14"/>
      <c r="I666" s="5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  <c r="BK666" s="4"/>
      <c r="BL666" s="4"/>
      <c r="BM666" s="4"/>
      <c r="BN666" s="4"/>
      <c r="BO666" s="4"/>
      <c r="BP666" s="4"/>
      <c r="BQ666" s="4"/>
      <c r="BR666" s="4"/>
      <c r="BS666" s="4"/>
      <c r="BT666" s="4"/>
      <c r="BU666" s="4"/>
      <c r="BV666" s="4"/>
      <c r="BW666" s="4"/>
      <c r="BX666" s="4"/>
      <c r="BY666" s="4"/>
      <c r="BZ666" s="4"/>
      <c r="CA666" s="4"/>
      <c r="CB666" s="4"/>
      <c r="CC666" s="4"/>
      <c r="CD666" s="4"/>
      <c r="CE666" s="4"/>
      <c r="CF666" s="4"/>
      <c r="CG666" s="4"/>
      <c r="CH666" s="4"/>
    </row>
    <row r="667" spans="1:86" x14ac:dyDescent="0.25">
      <c r="A667" s="12">
        <f t="shared" si="16"/>
        <v>664</v>
      </c>
      <c r="B667" s="4" t="s">
        <v>1752</v>
      </c>
      <c r="C667" s="4" t="s">
        <v>1753</v>
      </c>
      <c r="D667" s="4" t="s">
        <v>84</v>
      </c>
      <c r="E667" s="4"/>
      <c r="F667" s="14"/>
      <c r="G667" s="14"/>
      <c r="H667" s="14"/>
      <c r="I667" s="5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  <c r="BK667" s="4"/>
      <c r="BL667" s="4"/>
      <c r="BM667" s="4"/>
      <c r="BN667" s="4"/>
      <c r="BO667" s="4"/>
      <c r="BP667" s="4"/>
      <c r="BQ667" s="4"/>
      <c r="BR667" s="4"/>
      <c r="BS667" s="4"/>
      <c r="BT667" s="4"/>
      <c r="BU667" s="4"/>
      <c r="BV667" s="4"/>
      <c r="BW667" s="4"/>
      <c r="BX667" s="4"/>
      <c r="BY667" s="4"/>
      <c r="BZ667" s="4"/>
      <c r="CA667" s="4"/>
      <c r="CB667" s="4"/>
      <c r="CC667" s="4"/>
      <c r="CD667" s="4"/>
      <c r="CE667" s="4"/>
      <c r="CF667" s="4"/>
      <c r="CG667" s="4"/>
      <c r="CH667" s="4"/>
    </row>
    <row r="668" spans="1:86" x14ac:dyDescent="0.25">
      <c r="A668" s="12">
        <f t="shared" si="16"/>
        <v>665</v>
      </c>
      <c r="B668" s="4" t="s">
        <v>1754</v>
      </c>
      <c r="C668" s="4" t="s">
        <v>1755</v>
      </c>
      <c r="D668" s="4" t="s">
        <v>45</v>
      </c>
      <c r="E668" s="4"/>
      <c r="F668" s="14"/>
      <c r="G668" s="14"/>
      <c r="H668" s="14"/>
      <c r="I668" s="5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  <c r="BK668" s="4"/>
      <c r="BL668" s="4"/>
      <c r="BM668" s="4"/>
      <c r="BN668" s="4"/>
      <c r="BO668" s="4"/>
      <c r="BP668" s="4"/>
      <c r="BQ668" s="4"/>
      <c r="BR668" s="4"/>
      <c r="BS668" s="4"/>
      <c r="BT668" s="4"/>
      <c r="BU668" s="4"/>
      <c r="BV668" s="4"/>
      <c r="BW668" s="4"/>
      <c r="BX668" s="4"/>
      <c r="BY668" s="4"/>
      <c r="BZ668" s="4"/>
      <c r="CA668" s="4"/>
      <c r="CB668" s="4"/>
      <c r="CC668" s="4"/>
      <c r="CD668" s="4"/>
      <c r="CE668" s="4"/>
      <c r="CF668" s="4"/>
      <c r="CG668" s="4"/>
      <c r="CH668" s="4"/>
    </row>
    <row r="669" spans="1:86" x14ac:dyDescent="0.25">
      <c r="A669" s="12">
        <f t="shared" si="16"/>
        <v>666</v>
      </c>
      <c r="B669" s="4" t="s">
        <v>1756</v>
      </c>
      <c r="C669" s="4" t="s">
        <v>1757</v>
      </c>
      <c r="D669" s="4" t="s">
        <v>45</v>
      </c>
      <c r="E669" s="4"/>
      <c r="F669" s="14"/>
      <c r="G669" s="14"/>
      <c r="H669" s="14"/>
      <c r="I669" s="5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  <c r="BK669" s="4"/>
      <c r="BL669" s="4"/>
      <c r="BM669" s="4"/>
      <c r="BN669" s="4"/>
      <c r="BO669" s="4"/>
      <c r="BP669" s="4"/>
      <c r="BQ669" s="4"/>
      <c r="BR669" s="4"/>
      <c r="BS669" s="4"/>
      <c r="BT669" s="4"/>
      <c r="BU669" s="4"/>
      <c r="BV669" s="4"/>
      <c r="BW669" s="4"/>
      <c r="BX669" s="4"/>
      <c r="BY669" s="4"/>
      <c r="BZ669" s="4"/>
      <c r="CA669" s="4"/>
      <c r="CB669" s="4"/>
      <c r="CC669" s="4"/>
      <c r="CD669" s="4"/>
      <c r="CE669" s="4"/>
      <c r="CF669" s="4"/>
      <c r="CG669" s="4"/>
      <c r="CH669" s="4"/>
    </row>
    <row r="670" spans="1:86" x14ac:dyDescent="0.25">
      <c r="A670" s="12">
        <f t="shared" si="16"/>
        <v>667</v>
      </c>
      <c r="B670" s="4" t="s">
        <v>1758</v>
      </c>
      <c r="C670" s="4" t="s">
        <v>1759</v>
      </c>
      <c r="D670" s="4" t="s">
        <v>536</v>
      </c>
      <c r="E670" s="4"/>
      <c r="F670" s="14"/>
      <c r="G670" s="14"/>
      <c r="H670" s="14"/>
      <c r="I670" s="5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  <c r="BK670" s="4"/>
      <c r="BL670" s="4"/>
      <c r="BM670" s="4"/>
      <c r="BN670" s="4"/>
      <c r="BO670" s="4"/>
      <c r="BP670" s="4"/>
      <c r="BQ670" s="4"/>
      <c r="BR670" s="4"/>
      <c r="BS670" s="4"/>
      <c r="BT670" s="4"/>
      <c r="BU670" s="4"/>
      <c r="BV670" s="4"/>
      <c r="BW670" s="4"/>
      <c r="BX670" s="4"/>
      <c r="BY670" s="4"/>
      <c r="BZ670" s="4"/>
      <c r="CA670" s="4"/>
      <c r="CB670" s="4"/>
      <c r="CC670" s="4"/>
      <c r="CD670" s="4"/>
      <c r="CE670" s="4"/>
      <c r="CF670" s="4"/>
      <c r="CG670" s="4"/>
      <c r="CH670" s="4"/>
    </row>
    <row r="671" spans="1:86" x14ac:dyDescent="0.25">
      <c r="A671" s="12">
        <f t="shared" si="16"/>
        <v>668</v>
      </c>
      <c r="B671" s="4" t="s">
        <v>1760</v>
      </c>
      <c r="C671" s="4" t="s">
        <v>1761</v>
      </c>
      <c r="D671" s="4" t="s">
        <v>45</v>
      </c>
      <c r="E671" s="4"/>
      <c r="F671" s="14"/>
      <c r="G671" s="14"/>
      <c r="H671" s="14"/>
      <c r="I671" s="5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  <c r="BK671" s="4"/>
      <c r="BL671" s="4"/>
      <c r="BM671" s="4"/>
      <c r="BN671" s="4"/>
      <c r="BO671" s="4"/>
      <c r="BP671" s="4"/>
      <c r="BQ671" s="4"/>
      <c r="BR671" s="4"/>
      <c r="BS671" s="4"/>
      <c r="BT671" s="4"/>
      <c r="BU671" s="4"/>
      <c r="BV671" s="4"/>
      <c r="BW671" s="4"/>
      <c r="BX671" s="4"/>
      <c r="BY671" s="4"/>
      <c r="BZ671" s="4"/>
      <c r="CA671" s="4"/>
      <c r="CB671" s="4"/>
      <c r="CC671" s="4"/>
      <c r="CD671" s="4"/>
      <c r="CE671" s="4"/>
      <c r="CF671" s="4"/>
      <c r="CG671" s="4"/>
      <c r="CH671" s="4"/>
    </row>
    <row r="672" spans="1:86" x14ac:dyDescent="0.25">
      <c r="A672" s="12">
        <f t="shared" si="16"/>
        <v>669</v>
      </c>
      <c r="B672" s="4" t="s">
        <v>1762</v>
      </c>
      <c r="C672" s="4" t="s">
        <v>1763</v>
      </c>
      <c r="D672" s="4" t="s">
        <v>1123</v>
      </c>
      <c r="E672" s="4"/>
      <c r="F672" s="14"/>
      <c r="G672" s="14"/>
      <c r="H672" s="14"/>
      <c r="I672" s="5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  <c r="BK672" s="4"/>
      <c r="BL672" s="4"/>
      <c r="BM672" s="4"/>
      <c r="BN672" s="4"/>
      <c r="BO672" s="4"/>
      <c r="BP672" s="4"/>
      <c r="BQ672" s="4"/>
      <c r="BR672" s="4"/>
      <c r="BS672" s="4"/>
      <c r="BT672" s="4"/>
      <c r="BU672" s="4"/>
      <c r="BV672" s="4"/>
      <c r="BW672" s="4"/>
      <c r="BX672" s="4"/>
      <c r="BY672" s="4"/>
      <c r="BZ672" s="4"/>
      <c r="CA672" s="4"/>
      <c r="CB672" s="4"/>
      <c r="CC672" s="4"/>
      <c r="CD672" s="4"/>
      <c r="CE672" s="4"/>
      <c r="CF672" s="4"/>
      <c r="CG672" s="4"/>
      <c r="CH672" s="4"/>
    </row>
    <row r="673" spans="1:86" x14ac:dyDescent="0.25">
      <c r="A673" s="12">
        <f t="shared" si="16"/>
        <v>670</v>
      </c>
      <c r="B673" s="4" t="s">
        <v>1764</v>
      </c>
      <c r="C673" s="4" t="s">
        <v>1765</v>
      </c>
      <c r="D673" s="4" t="s">
        <v>1129</v>
      </c>
      <c r="E673" s="4"/>
      <c r="F673" s="14"/>
      <c r="G673" s="14"/>
      <c r="H673" s="14"/>
      <c r="I673" s="5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  <c r="BK673" s="4"/>
      <c r="BL673" s="4"/>
      <c r="BM673" s="4"/>
      <c r="BN673" s="4"/>
      <c r="BO673" s="4"/>
      <c r="BP673" s="4"/>
      <c r="BQ673" s="4"/>
      <c r="BR673" s="4"/>
      <c r="BS673" s="4"/>
      <c r="BT673" s="4"/>
      <c r="BU673" s="4"/>
      <c r="BV673" s="4"/>
      <c r="BW673" s="4"/>
      <c r="BX673" s="4"/>
      <c r="BY673" s="4"/>
      <c r="BZ673" s="4"/>
      <c r="CA673" s="4"/>
      <c r="CB673" s="4"/>
      <c r="CC673" s="4"/>
      <c r="CD673" s="4"/>
      <c r="CE673" s="4"/>
      <c r="CF673" s="4"/>
      <c r="CG673" s="4"/>
      <c r="CH673" s="4"/>
    </row>
    <row r="674" spans="1:86" x14ac:dyDescent="0.25">
      <c r="A674" s="12">
        <f t="shared" si="16"/>
        <v>671</v>
      </c>
      <c r="B674" s="4" t="s">
        <v>1766</v>
      </c>
      <c r="C674" s="4" t="s">
        <v>1767</v>
      </c>
      <c r="D674" s="4" t="s">
        <v>84</v>
      </c>
      <c r="E674" s="4"/>
      <c r="F674" s="14"/>
      <c r="G674" s="14"/>
      <c r="H674" s="14"/>
      <c r="I674" s="5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  <c r="BK674" s="4"/>
      <c r="BL674" s="4"/>
      <c r="BM674" s="4"/>
      <c r="BN674" s="4"/>
      <c r="BO674" s="4"/>
      <c r="BP674" s="4"/>
      <c r="BQ674" s="4"/>
      <c r="BR674" s="4"/>
      <c r="BS674" s="4"/>
      <c r="BT674" s="4"/>
      <c r="BU674" s="4"/>
      <c r="BV674" s="4"/>
      <c r="BW674" s="4"/>
      <c r="BX674" s="4"/>
      <c r="BY674" s="4"/>
      <c r="BZ674" s="4"/>
      <c r="CA674" s="4"/>
      <c r="CB674" s="4"/>
      <c r="CC674" s="4"/>
      <c r="CD674" s="4"/>
      <c r="CE674" s="4"/>
      <c r="CF674" s="4"/>
      <c r="CG674" s="4"/>
      <c r="CH674" s="4"/>
    </row>
    <row r="675" spans="1:86" x14ac:dyDescent="0.25">
      <c r="A675" s="12">
        <f t="shared" si="16"/>
        <v>672</v>
      </c>
      <c r="B675" s="4" t="s">
        <v>1019</v>
      </c>
      <c r="C675" s="4" t="s">
        <v>1020</v>
      </c>
      <c r="D675" s="4" t="s">
        <v>84</v>
      </c>
      <c r="E675" s="4"/>
      <c r="F675" s="14"/>
      <c r="G675" s="14"/>
      <c r="H675" s="14"/>
      <c r="I675" s="5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  <c r="BK675" s="4"/>
      <c r="BL675" s="4"/>
      <c r="BM675" s="4"/>
      <c r="BN675" s="4"/>
      <c r="BO675" s="4"/>
      <c r="BP675" s="4"/>
      <c r="BQ675" s="4"/>
      <c r="BR675" s="4"/>
      <c r="BS675" s="4"/>
      <c r="BT675" s="4"/>
      <c r="BU675" s="4"/>
      <c r="BV675" s="4"/>
      <c r="BW675" s="4"/>
      <c r="BX675" s="4"/>
      <c r="BY675" s="4"/>
      <c r="BZ675" s="4"/>
      <c r="CA675" s="4"/>
      <c r="CB675" s="4"/>
      <c r="CC675" s="4"/>
      <c r="CD675" s="4"/>
      <c r="CE675" s="4"/>
      <c r="CF675" s="4"/>
      <c r="CG675" s="4"/>
      <c r="CH675" s="4"/>
    </row>
    <row r="676" spans="1:86" x14ac:dyDescent="0.25">
      <c r="A676" s="12">
        <f t="shared" si="16"/>
        <v>673</v>
      </c>
      <c r="B676" s="4" t="s">
        <v>1768</v>
      </c>
      <c r="C676" s="4" t="s">
        <v>1769</v>
      </c>
      <c r="D676" s="4" t="s">
        <v>2575</v>
      </c>
      <c r="E676" s="4"/>
      <c r="F676" s="14"/>
      <c r="G676" s="14"/>
      <c r="H676" s="14"/>
      <c r="I676" s="5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  <c r="BK676" s="4"/>
      <c r="BL676" s="4"/>
      <c r="BM676" s="4"/>
      <c r="BN676" s="4"/>
      <c r="BO676" s="4"/>
      <c r="BP676" s="4"/>
      <c r="BQ676" s="4"/>
      <c r="BR676" s="4"/>
      <c r="BS676" s="4"/>
      <c r="BT676" s="4"/>
      <c r="BU676" s="4"/>
      <c r="BV676" s="4"/>
      <c r="BW676" s="4"/>
      <c r="BX676" s="4"/>
      <c r="BY676" s="4"/>
      <c r="BZ676" s="4"/>
      <c r="CA676" s="4"/>
      <c r="CB676" s="4"/>
      <c r="CC676" s="4"/>
      <c r="CD676" s="4"/>
      <c r="CE676" s="4"/>
      <c r="CF676" s="4"/>
      <c r="CG676" s="4"/>
      <c r="CH676" s="4"/>
    </row>
    <row r="677" spans="1:86" x14ac:dyDescent="0.25">
      <c r="A677" s="12">
        <f t="shared" si="16"/>
        <v>674</v>
      </c>
      <c r="B677" s="4" t="s">
        <v>1770</v>
      </c>
      <c r="C677" s="4" t="s">
        <v>1771</v>
      </c>
      <c r="D677" s="4" t="s">
        <v>47</v>
      </c>
      <c r="E677" s="4"/>
      <c r="F677" s="14"/>
      <c r="G677" s="14"/>
      <c r="H677" s="14"/>
      <c r="I677" s="5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  <c r="BK677" s="4"/>
      <c r="BL677" s="4"/>
      <c r="BM677" s="4"/>
      <c r="BN677" s="4"/>
      <c r="BO677" s="4"/>
      <c r="BP677" s="4"/>
      <c r="BQ677" s="4"/>
      <c r="BR677" s="4"/>
      <c r="BS677" s="4"/>
      <c r="BT677" s="4"/>
      <c r="BU677" s="4"/>
      <c r="BV677" s="4"/>
      <c r="BW677" s="4"/>
      <c r="BX677" s="4"/>
      <c r="BY677" s="4"/>
      <c r="BZ677" s="4"/>
      <c r="CA677" s="4"/>
      <c r="CB677" s="4"/>
      <c r="CC677" s="4"/>
      <c r="CD677" s="4"/>
      <c r="CE677" s="4"/>
      <c r="CF677" s="4"/>
      <c r="CG677" s="4"/>
      <c r="CH677" s="4"/>
    </row>
    <row r="678" spans="1:86" x14ac:dyDescent="0.25">
      <c r="A678" s="12">
        <f t="shared" si="16"/>
        <v>675</v>
      </c>
      <c r="B678" s="4" t="s">
        <v>1772</v>
      </c>
      <c r="C678" s="4" t="s">
        <v>1773</v>
      </c>
      <c r="D678" s="4" t="s">
        <v>45</v>
      </c>
      <c r="E678" s="4"/>
      <c r="F678" s="14"/>
      <c r="G678" s="14"/>
      <c r="H678" s="14"/>
      <c r="I678" s="5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  <c r="BK678" s="4"/>
      <c r="BL678" s="4"/>
      <c r="BM678" s="4"/>
      <c r="BN678" s="4"/>
      <c r="BO678" s="4"/>
      <c r="BP678" s="4"/>
      <c r="BQ678" s="4"/>
      <c r="BR678" s="4"/>
      <c r="BS678" s="4"/>
      <c r="BT678" s="4"/>
      <c r="BU678" s="4"/>
      <c r="BV678" s="4"/>
      <c r="BW678" s="4"/>
      <c r="BX678" s="4"/>
      <c r="BY678" s="4"/>
      <c r="BZ678" s="4"/>
      <c r="CA678" s="4"/>
      <c r="CB678" s="4"/>
      <c r="CC678" s="4"/>
      <c r="CD678" s="4"/>
      <c r="CE678" s="4"/>
      <c r="CF678" s="4"/>
      <c r="CG678" s="4"/>
      <c r="CH678" s="4"/>
    </row>
    <row r="679" spans="1:86" x14ac:dyDescent="0.25">
      <c r="A679" s="12">
        <f t="shared" si="16"/>
        <v>676</v>
      </c>
      <c r="B679" s="4" t="s">
        <v>1774</v>
      </c>
      <c r="C679" s="4" t="s">
        <v>886</v>
      </c>
      <c r="D679" s="4" t="s">
        <v>768</v>
      </c>
      <c r="E679" s="4"/>
      <c r="F679" s="14"/>
      <c r="G679" s="14"/>
      <c r="H679" s="14"/>
      <c r="I679" s="5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  <c r="BK679" s="4"/>
      <c r="BL679" s="4"/>
      <c r="BM679" s="4"/>
      <c r="BN679" s="4"/>
      <c r="BO679" s="4"/>
      <c r="BP679" s="4"/>
      <c r="BQ679" s="4"/>
      <c r="BR679" s="4"/>
      <c r="BS679" s="4"/>
      <c r="BT679" s="4"/>
      <c r="BU679" s="4"/>
      <c r="BV679" s="4"/>
      <c r="BW679" s="4"/>
      <c r="BX679" s="4"/>
      <c r="BY679" s="4"/>
      <c r="BZ679" s="4"/>
      <c r="CA679" s="4"/>
      <c r="CB679" s="4"/>
      <c r="CC679" s="4"/>
      <c r="CD679" s="4"/>
      <c r="CE679" s="4"/>
      <c r="CF679" s="4"/>
      <c r="CG679" s="4"/>
      <c r="CH679" s="4"/>
    </row>
    <row r="680" spans="1:86" x14ac:dyDescent="0.25">
      <c r="A680" s="12">
        <f t="shared" si="16"/>
        <v>677</v>
      </c>
      <c r="B680" s="4" t="s">
        <v>1775</v>
      </c>
      <c r="C680" s="4" t="s">
        <v>1776</v>
      </c>
      <c r="D680" s="4" t="s">
        <v>45</v>
      </c>
      <c r="E680" s="4"/>
      <c r="F680" s="14"/>
      <c r="G680" s="14"/>
      <c r="H680" s="14"/>
      <c r="I680" s="5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  <c r="BK680" s="4"/>
      <c r="BL680" s="4"/>
      <c r="BM680" s="4"/>
      <c r="BN680" s="4"/>
      <c r="BO680" s="4"/>
      <c r="BP680" s="4"/>
      <c r="BQ680" s="4"/>
      <c r="BR680" s="4"/>
      <c r="BS680" s="4"/>
      <c r="BT680" s="4"/>
      <c r="BU680" s="4"/>
      <c r="BV680" s="4"/>
      <c r="BW680" s="4"/>
      <c r="BX680" s="4"/>
      <c r="BY680" s="4"/>
      <c r="BZ680" s="4"/>
      <c r="CA680" s="4"/>
      <c r="CB680" s="4"/>
      <c r="CC680" s="4"/>
      <c r="CD680" s="4"/>
      <c r="CE680" s="4"/>
      <c r="CF680" s="4"/>
      <c r="CG680" s="4"/>
      <c r="CH680" s="4"/>
    </row>
    <row r="681" spans="1:86" x14ac:dyDescent="0.25">
      <c r="A681" s="12">
        <f t="shared" si="16"/>
        <v>678</v>
      </c>
      <c r="B681" s="4" t="s">
        <v>1777</v>
      </c>
      <c r="C681" s="4" t="s">
        <v>1778</v>
      </c>
      <c r="D681" s="4" t="s">
        <v>87</v>
      </c>
      <c r="E681" s="4"/>
      <c r="F681" s="14"/>
      <c r="G681" s="14"/>
      <c r="H681" s="14"/>
      <c r="I681" s="5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  <c r="BK681" s="4"/>
      <c r="BL681" s="4"/>
      <c r="BM681" s="4"/>
      <c r="BN681" s="4"/>
      <c r="BO681" s="4"/>
      <c r="BP681" s="4"/>
      <c r="BQ681" s="4"/>
      <c r="BR681" s="4"/>
      <c r="BS681" s="4"/>
      <c r="BT681" s="4"/>
      <c r="BU681" s="4"/>
      <c r="BV681" s="4"/>
      <c r="BW681" s="4"/>
      <c r="BX681" s="4"/>
      <c r="BY681" s="4"/>
      <c r="BZ681" s="4"/>
      <c r="CA681" s="4"/>
      <c r="CB681" s="4"/>
      <c r="CC681" s="4"/>
      <c r="CD681" s="4"/>
      <c r="CE681" s="4"/>
      <c r="CF681" s="4"/>
      <c r="CG681" s="4"/>
      <c r="CH681" s="4"/>
    </row>
    <row r="682" spans="1:86" x14ac:dyDescent="0.25">
      <c r="A682" s="12">
        <f t="shared" si="16"/>
        <v>679</v>
      </c>
      <c r="B682" s="4" t="s">
        <v>1779</v>
      </c>
      <c r="C682" s="4" t="s">
        <v>1780</v>
      </c>
      <c r="D682" s="4" t="s">
        <v>768</v>
      </c>
      <c r="E682" s="4"/>
      <c r="F682" s="14"/>
      <c r="G682" s="14"/>
      <c r="H682" s="14"/>
      <c r="I682" s="5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  <c r="BK682" s="4"/>
      <c r="BL682" s="4"/>
      <c r="BM682" s="4"/>
      <c r="BN682" s="4"/>
      <c r="BO682" s="4"/>
      <c r="BP682" s="4"/>
      <c r="BQ682" s="4"/>
      <c r="BR682" s="4"/>
      <c r="BS682" s="4"/>
      <c r="BT682" s="4"/>
      <c r="BU682" s="4"/>
      <c r="BV682" s="4"/>
      <c r="BW682" s="4"/>
      <c r="BX682" s="4"/>
      <c r="BY682" s="4"/>
      <c r="BZ682" s="4"/>
      <c r="CA682" s="4"/>
      <c r="CB682" s="4"/>
      <c r="CC682" s="4"/>
      <c r="CD682" s="4"/>
      <c r="CE682" s="4"/>
      <c r="CF682" s="4"/>
      <c r="CG682" s="4"/>
      <c r="CH682" s="4"/>
    </row>
    <row r="683" spans="1:86" x14ac:dyDescent="0.25">
      <c r="A683" s="12">
        <f t="shared" si="16"/>
        <v>680</v>
      </c>
      <c r="B683" s="4" t="s">
        <v>1781</v>
      </c>
      <c r="C683" s="4" t="s">
        <v>1782</v>
      </c>
      <c r="D683" s="4" t="s">
        <v>45</v>
      </c>
      <c r="E683" s="4"/>
      <c r="F683" s="14"/>
      <c r="G683" s="14"/>
      <c r="H683" s="14"/>
      <c r="I683" s="5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  <c r="BK683" s="4"/>
      <c r="BL683" s="4"/>
      <c r="BM683" s="4"/>
      <c r="BN683" s="4"/>
      <c r="BO683" s="4"/>
      <c r="BP683" s="4"/>
      <c r="BQ683" s="4"/>
      <c r="BR683" s="4"/>
      <c r="BS683" s="4"/>
      <c r="BT683" s="4"/>
      <c r="BU683" s="4"/>
      <c r="BV683" s="4"/>
      <c r="BW683" s="4"/>
      <c r="BX683" s="4"/>
      <c r="BY683" s="4"/>
      <c r="BZ683" s="4"/>
      <c r="CA683" s="4"/>
      <c r="CB683" s="4"/>
      <c r="CC683" s="4"/>
      <c r="CD683" s="4"/>
      <c r="CE683" s="4"/>
      <c r="CF683" s="4"/>
      <c r="CG683" s="4"/>
      <c r="CH683" s="4"/>
    </row>
    <row r="684" spans="1:86" x14ac:dyDescent="0.25">
      <c r="A684" s="12">
        <f t="shared" si="16"/>
        <v>681</v>
      </c>
      <c r="B684" s="4" t="s">
        <v>1783</v>
      </c>
      <c r="C684" s="4" t="s">
        <v>1784</v>
      </c>
      <c r="D684" s="4" t="s">
        <v>508</v>
      </c>
      <c r="E684" s="4"/>
      <c r="F684" s="14"/>
      <c r="G684" s="14"/>
      <c r="H684" s="14"/>
      <c r="I684" s="5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  <c r="BK684" s="4"/>
      <c r="BL684" s="4"/>
      <c r="BM684" s="4"/>
      <c r="BN684" s="4"/>
      <c r="BO684" s="4"/>
      <c r="BP684" s="4"/>
      <c r="BQ684" s="4"/>
      <c r="BR684" s="4"/>
      <c r="BS684" s="4"/>
      <c r="BT684" s="4"/>
      <c r="BU684" s="4"/>
      <c r="BV684" s="4"/>
      <c r="BW684" s="4"/>
      <c r="BX684" s="4"/>
      <c r="BY684" s="4"/>
      <c r="BZ684" s="4"/>
      <c r="CA684" s="4"/>
      <c r="CB684" s="4"/>
      <c r="CC684" s="4"/>
      <c r="CD684" s="4"/>
      <c r="CE684" s="4"/>
      <c r="CF684" s="4"/>
      <c r="CG684" s="4"/>
      <c r="CH684" s="4"/>
    </row>
    <row r="685" spans="1:86" x14ac:dyDescent="0.25">
      <c r="A685" s="12">
        <f t="shared" si="16"/>
        <v>682</v>
      </c>
      <c r="B685" s="4" t="s">
        <v>1785</v>
      </c>
      <c r="C685" s="4" t="s">
        <v>1786</v>
      </c>
      <c r="D685" s="4" t="s">
        <v>1123</v>
      </c>
      <c r="E685" s="4"/>
      <c r="F685" s="14"/>
      <c r="G685" s="14"/>
      <c r="H685" s="14"/>
      <c r="I685" s="5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  <c r="BK685" s="4"/>
      <c r="BL685" s="4"/>
      <c r="BM685" s="4"/>
      <c r="BN685" s="4"/>
      <c r="BO685" s="4"/>
      <c r="BP685" s="4"/>
      <c r="BQ685" s="4"/>
      <c r="BR685" s="4"/>
      <c r="BS685" s="4"/>
      <c r="BT685" s="4"/>
      <c r="BU685" s="4"/>
      <c r="BV685" s="4"/>
      <c r="BW685" s="4"/>
      <c r="BX685" s="4"/>
      <c r="BY685" s="4"/>
      <c r="BZ685" s="4"/>
      <c r="CA685" s="4"/>
      <c r="CB685" s="4"/>
      <c r="CC685" s="4"/>
      <c r="CD685" s="4"/>
      <c r="CE685" s="4"/>
      <c r="CF685" s="4"/>
      <c r="CG685" s="4"/>
      <c r="CH685" s="4"/>
    </row>
    <row r="686" spans="1:86" x14ac:dyDescent="0.25">
      <c r="A686" s="12">
        <f t="shared" si="16"/>
        <v>683</v>
      </c>
      <c r="B686" s="4" t="s">
        <v>1787</v>
      </c>
      <c r="C686" s="4" t="s">
        <v>1788</v>
      </c>
      <c r="D686" s="4" t="s">
        <v>45</v>
      </c>
      <c r="E686" s="4"/>
      <c r="F686" s="14"/>
      <c r="G686" s="14"/>
      <c r="H686" s="14"/>
      <c r="I686" s="5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  <c r="BK686" s="4"/>
      <c r="BL686" s="4"/>
      <c r="BM686" s="4"/>
      <c r="BN686" s="4"/>
      <c r="BO686" s="4"/>
      <c r="BP686" s="4"/>
      <c r="BQ686" s="4"/>
      <c r="BR686" s="4"/>
      <c r="BS686" s="4"/>
      <c r="BT686" s="4"/>
      <c r="BU686" s="4"/>
      <c r="BV686" s="4"/>
      <c r="BW686" s="4"/>
      <c r="BX686" s="4"/>
      <c r="BY686" s="4"/>
      <c r="BZ686" s="4"/>
      <c r="CA686" s="4"/>
      <c r="CB686" s="4"/>
      <c r="CC686" s="4"/>
      <c r="CD686" s="4"/>
      <c r="CE686" s="4"/>
      <c r="CF686" s="4"/>
      <c r="CG686" s="4"/>
      <c r="CH686" s="4"/>
    </row>
    <row r="687" spans="1:86" x14ac:dyDescent="0.25">
      <c r="A687" s="12">
        <f t="shared" si="16"/>
        <v>684</v>
      </c>
      <c r="B687" s="4" t="s">
        <v>1027</v>
      </c>
      <c r="C687" s="4" t="s">
        <v>1028</v>
      </c>
      <c r="D687" s="4" t="s">
        <v>45</v>
      </c>
      <c r="E687" s="4"/>
      <c r="F687" s="14"/>
      <c r="G687" s="14"/>
      <c r="H687" s="14"/>
      <c r="I687" s="5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  <c r="BK687" s="4"/>
      <c r="BL687" s="4"/>
      <c r="BM687" s="4"/>
      <c r="BN687" s="4"/>
      <c r="BO687" s="4"/>
      <c r="BP687" s="4"/>
      <c r="BQ687" s="4"/>
      <c r="BR687" s="4"/>
      <c r="BS687" s="4"/>
      <c r="BT687" s="4"/>
      <c r="BU687" s="4"/>
      <c r="BV687" s="4"/>
      <c r="BW687" s="4"/>
      <c r="BX687" s="4"/>
      <c r="BY687" s="4"/>
      <c r="BZ687" s="4"/>
      <c r="CA687" s="4"/>
      <c r="CB687" s="4"/>
      <c r="CC687" s="4"/>
      <c r="CD687" s="4"/>
      <c r="CE687" s="4"/>
      <c r="CF687" s="4"/>
      <c r="CG687" s="4"/>
      <c r="CH687" s="4"/>
    </row>
    <row r="688" spans="1:86" x14ac:dyDescent="0.25">
      <c r="A688" s="12">
        <f t="shared" si="16"/>
        <v>685</v>
      </c>
      <c r="B688" s="4" t="s">
        <v>1789</v>
      </c>
      <c r="C688" s="4" t="s">
        <v>1790</v>
      </c>
      <c r="D688" s="4" t="s">
        <v>2569</v>
      </c>
      <c r="E688" s="4"/>
      <c r="F688" s="14"/>
      <c r="G688" s="14"/>
      <c r="H688" s="14"/>
      <c r="I688" s="5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  <c r="BK688" s="4"/>
      <c r="BL688" s="4"/>
      <c r="BM688" s="4"/>
      <c r="BN688" s="4"/>
      <c r="BO688" s="4"/>
      <c r="BP688" s="4"/>
      <c r="BQ688" s="4"/>
      <c r="BR688" s="4"/>
      <c r="BS688" s="4"/>
      <c r="BT688" s="4"/>
      <c r="BU688" s="4"/>
      <c r="BV688" s="4"/>
      <c r="BW688" s="4"/>
      <c r="BX688" s="4"/>
      <c r="BY688" s="4"/>
      <c r="BZ688" s="4"/>
      <c r="CA688" s="4"/>
      <c r="CB688" s="4"/>
      <c r="CC688" s="4"/>
      <c r="CD688" s="4"/>
      <c r="CE688" s="4"/>
      <c r="CF688" s="4"/>
      <c r="CG688" s="4"/>
      <c r="CH688" s="4"/>
    </row>
    <row r="689" spans="1:86" x14ac:dyDescent="0.25">
      <c r="A689" s="12">
        <f t="shared" si="16"/>
        <v>686</v>
      </c>
      <c r="B689" s="4" t="s">
        <v>1791</v>
      </c>
      <c r="C689" s="4" t="s">
        <v>1792</v>
      </c>
      <c r="D689" s="4" t="s">
        <v>955</v>
      </c>
      <c r="E689" s="4"/>
      <c r="F689" s="14"/>
      <c r="G689" s="14"/>
      <c r="H689" s="14"/>
      <c r="I689" s="5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  <c r="BK689" s="4"/>
      <c r="BL689" s="4"/>
      <c r="BM689" s="4"/>
      <c r="BN689" s="4"/>
      <c r="BO689" s="4"/>
      <c r="BP689" s="4"/>
      <c r="BQ689" s="4"/>
      <c r="BR689" s="4"/>
      <c r="BS689" s="4"/>
      <c r="BT689" s="4"/>
      <c r="BU689" s="4"/>
      <c r="BV689" s="4"/>
      <c r="BW689" s="4"/>
      <c r="BX689" s="4"/>
      <c r="BY689" s="4"/>
      <c r="BZ689" s="4"/>
      <c r="CA689" s="4"/>
      <c r="CB689" s="4"/>
      <c r="CC689" s="4"/>
      <c r="CD689" s="4"/>
      <c r="CE689" s="4"/>
      <c r="CF689" s="4"/>
      <c r="CG689" s="4"/>
      <c r="CH689" s="4"/>
    </row>
    <row r="690" spans="1:86" x14ac:dyDescent="0.25">
      <c r="A690" s="12">
        <f t="shared" si="16"/>
        <v>687</v>
      </c>
      <c r="B690" s="4" t="s">
        <v>1793</v>
      </c>
      <c r="C690" s="4" t="s">
        <v>1794</v>
      </c>
      <c r="D690" s="4" t="s">
        <v>45</v>
      </c>
      <c r="E690" s="4"/>
      <c r="F690" s="14"/>
      <c r="G690" s="14"/>
      <c r="H690" s="14"/>
      <c r="I690" s="5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  <c r="BK690" s="4"/>
      <c r="BL690" s="4"/>
      <c r="BM690" s="4"/>
      <c r="BN690" s="4"/>
      <c r="BO690" s="4"/>
      <c r="BP690" s="4"/>
      <c r="BQ690" s="4"/>
      <c r="BR690" s="4"/>
      <c r="BS690" s="4"/>
      <c r="BT690" s="4"/>
      <c r="BU690" s="4"/>
      <c r="BV690" s="4"/>
      <c r="BW690" s="4"/>
      <c r="BX690" s="4"/>
      <c r="BY690" s="4"/>
      <c r="BZ690" s="4"/>
      <c r="CA690" s="4"/>
      <c r="CB690" s="4"/>
      <c r="CC690" s="4"/>
      <c r="CD690" s="4"/>
      <c r="CE690" s="4"/>
      <c r="CF690" s="4"/>
      <c r="CG690" s="4"/>
      <c r="CH690" s="4"/>
    </row>
    <row r="691" spans="1:86" x14ac:dyDescent="0.25">
      <c r="A691" s="12">
        <f t="shared" si="16"/>
        <v>688</v>
      </c>
      <c r="B691" s="4" t="s">
        <v>1795</v>
      </c>
      <c r="C691" s="4" t="s">
        <v>1796</v>
      </c>
      <c r="D691" s="4" t="s">
        <v>1123</v>
      </c>
      <c r="E691" s="4"/>
      <c r="F691" s="14"/>
      <c r="G691" s="14"/>
      <c r="H691" s="14"/>
      <c r="I691" s="5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  <c r="BK691" s="4"/>
      <c r="BL691" s="4"/>
      <c r="BM691" s="4"/>
      <c r="BN691" s="4"/>
      <c r="BO691" s="4"/>
      <c r="BP691" s="4"/>
      <c r="BQ691" s="4"/>
      <c r="BR691" s="4"/>
      <c r="BS691" s="4"/>
      <c r="BT691" s="4"/>
      <c r="BU691" s="4"/>
      <c r="BV691" s="4"/>
      <c r="BW691" s="4"/>
      <c r="BX691" s="4"/>
      <c r="BY691" s="4"/>
      <c r="BZ691" s="4"/>
      <c r="CA691" s="4"/>
      <c r="CB691" s="4"/>
      <c r="CC691" s="4"/>
      <c r="CD691" s="4"/>
      <c r="CE691" s="4"/>
      <c r="CF691" s="4"/>
      <c r="CG691" s="4"/>
      <c r="CH691" s="4"/>
    </row>
    <row r="692" spans="1:86" x14ac:dyDescent="0.25">
      <c r="A692" s="12">
        <f t="shared" si="16"/>
        <v>689</v>
      </c>
      <c r="B692" s="4" t="s">
        <v>1029</v>
      </c>
      <c r="C692" s="4" t="s">
        <v>1030</v>
      </c>
      <c r="D692" s="4" t="s">
        <v>770</v>
      </c>
      <c r="E692" s="4"/>
      <c r="F692" s="14"/>
      <c r="G692" s="14"/>
      <c r="H692" s="14"/>
      <c r="I692" s="5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  <c r="BK692" s="4"/>
      <c r="BL692" s="4"/>
      <c r="BM692" s="4"/>
      <c r="BN692" s="4"/>
      <c r="BO692" s="4"/>
      <c r="BP692" s="4"/>
      <c r="BQ692" s="4"/>
      <c r="BR692" s="4"/>
      <c r="BS692" s="4"/>
      <c r="BT692" s="4"/>
      <c r="BU692" s="4"/>
      <c r="BV692" s="4"/>
      <c r="BW692" s="4"/>
      <c r="BX692" s="4"/>
      <c r="BY692" s="4"/>
      <c r="BZ692" s="4"/>
      <c r="CA692" s="4"/>
      <c r="CB692" s="4"/>
      <c r="CC692" s="4"/>
      <c r="CD692" s="4"/>
      <c r="CE692" s="4"/>
      <c r="CF692" s="4"/>
      <c r="CG692" s="4"/>
      <c r="CH692" s="4"/>
    </row>
    <row r="693" spans="1:86" x14ac:dyDescent="0.25">
      <c r="A693" s="12">
        <f t="shared" si="16"/>
        <v>690</v>
      </c>
      <c r="B693" s="4" t="s">
        <v>1797</v>
      </c>
      <c r="C693" s="4" t="s">
        <v>1798</v>
      </c>
      <c r="D693" s="4" t="s">
        <v>84</v>
      </c>
      <c r="E693" s="4"/>
      <c r="F693" s="14"/>
      <c r="G693" s="14"/>
      <c r="H693" s="14"/>
      <c r="I693" s="5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  <c r="BK693" s="4"/>
      <c r="BL693" s="4"/>
      <c r="BM693" s="4"/>
      <c r="BN693" s="4"/>
      <c r="BO693" s="4"/>
      <c r="BP693" s="4"/>
      <c r="BQ693" s="4"/>
      <c r="BR693" s="4"/>
      <c r="BS693" s="4"/>
      <c r="BT693" s="4"/>
      <c r="BU693" s="4"/>
      <c r="BV693" s="4"/>
      <c r="BW693" s="4"/>
      <c r="BX693" s="4"/>
      <c r="BY693" s="4"/>
      <c r="BZ693" s="4"/>
      <c r="CA693" s="4"/>
      <c r="CB693" s="4"/>
      <c r="CC693" s="4"/>
      <c r="CD693" s="4"/>
      <c r="CE693" s="4"/>
      <c r="CF693" s="4"/>
      <c r="CG693" s="4"/>
      <c r="CH693" s="4"/>
    </row>
    <row r="694" spans="1:86" x14ac:dyDescent="0.25">
      <c r="A694" s="12">
        <f t="shared" si="16"/>
        <v>691</v>
      </c>
      <c r="B694" s="4" t="s">
        <v>1799</v>
      </c>
      <c r="C694" s="4" t="s">
        <v>1800</v>
      </c>
      <c r="D694" s="4" t="s">
        <v>87</v>
      </c>
      <c r="E694" s="4"/>
      <c r="F694" s="14"/>
      <c r="G694" s="14"/>
      <c r="H694" s="14"/>
      <c r="I694" s="5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  <c r="BK694" s="4"/>
      <c r="BL694" s="4"/>
      <c r="BM694" s="4"/>
      <c r="BN694" s="4"/>
      <c r="BO694" s="4"/>
      <c r="BP694" s="4"/>
      <c r="BQ694" s="4"/>
      <c r="BR694" s="4"/>
      <c r="BS694" s="4"/>
      <c r="BT694" s="4"/>
      <c r="BU694" s="4"/>
      <c r="BV694" s="4"/>
      <c r="BW694" s="4"/>
      <c r="BX694" s="4"/>
      <c r="BY694" s="4"/>
      <c r="BZ694" s="4"/>
      <c r="CA694" s="4"/>
      <c r="CB694" s="4"/>
      <c r="CC694" s="4"/>
      <c r="CD694" s="4"/>
      <c r="CE694" s="4"/>
      <c r="CF694" s="4"/>
      <c r="CG694" s="4"/>
      <c r="CH694" s="4"/>
    </row>
    <row r="695" spans="1:86" x14ac:dyDescent="0.25">
      <c r="A695" s="12">
        <f t="shared" si="16"/>
        <v>692</v>
      </c>
      <c r="B695" s="4" t="s">
        <v>1801</v>
      </c>
      <c r="C695" s="4" t="s">
        <v>1802</v>
      </c>
      <c r="D695" s="4" t="s">
        <v>45</v>
      </c>
      <c r="E695" s="4"/>
      <c r="F695" s="14"/>
      <c r="G695" s="14"/>
      <c r="H695" s="14"/>
      <c r="I695" s="5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  <c r="BK695" s="4"/>
      <c r="BL695" s="4"/>
      <c r="BM695" s="4"/>
      <c r="BN695" s="4"/>
      <c r="BO695" s="4"/>
      <c r="BP695" s="4"/>
      <c r="BQ695" s="4"/>
      <c r="BR695" s="4"/>
      <c r="BS695" s="4"/>
      <c r="BT695" s="4"/>
      <c r="BU695" s="4"/>
      <c r="BV695" s="4"/>
      <c r="BW695" s="4"/>
      <c r="BX695" s="4"/>
      <c r="BY695" s="4"/>
      <c r="BZ695" s="4"/>
      <c r="CA695" s="4"/>
      <c r="CB695" s="4"/>
      <c r="CC695" s="4"/>
      <c r="CD695" s="4"/>
      <c r="CE695" s="4"/>
      <c r="CF695" s="4"/>
      <c r="CG695" s="4"/>
      <c r="CH695" s="4"/>
    </row>
    <row r="696" spans="1:86" x14ac:dyDescent="0.25">
      <c r="A696" s="12">
        <f t="shared" si="16"/>
        <v>693</v>
      </c>
      <c r="B696" s="4" t="s">
        <v>1803</v>
      </c>
      <c r="C696" s="4" t="s">
        <v>1804</v>
      </c>
      <c r="D696" s="4" t="s">
        <v>1123</v>
      </c>
      <c r="E696" s="4"/>
      <c r="F696" s="14"/>
      <c r="G696" s="14"/>
      <c r="H696" s="14"/>
      <c r="I696" s="5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  <c r="BP696" s="4"/>
      <c r="BQ696" s="4"/>
      <c r="BR696" s="4"/>
      <c r="BS696" s="4"/>
      <c r="BT696" s="4"/>
      <c r="BU696" s="4"/>
      <c r="BV696" s="4"/>
      <c r="BW696" s="4"/>
      <c r="BX696" s="4"/>
      <c r="BY696" s="4"/>
      <c r="BZ696" s="4"/>
      <c r="CA696" s="4"/>
      <c r="CB696" s="4"/>
      <c r="CC696" s="4"/>
      <c r="CD696" s="4"/>
      <c r="CE696" s="4"/>
      <c r="CF696" s="4"/>
      <c r="CG696" s="4"/>
      <c r="CH696" s="4"/>
    </row>
    <row r="697" spans="1:86" x14ac:dyDescent="0.25">
      <c r="A697" s="12">
        <f t="shared" si="16"/>
        <v>694</v>
      </c>
      <c r="B697" s="4" t="s">
        <v>1805</v>
      </c>
      <c r="C697" s="4" t="s">
        <v>1806</v>
      </c>
      <c r="D697" s="4" t="s">
        <v>282</v>
      </c>
      <c r="E697" s="4"/>
      <c r="F697" s="14"/>
      <c r="G697" s="14"/>
      <c r="H697" s="14"/>
      <c r="I697" s="5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  <c r="BP697" s="4"/>
      <c r="BQ697" s="4"/>
      <c r="BR697" s="4"/>
      <c r="BS697" s="4"/>
      <c r="BT697" s="4"/>
      <c r="BU697" s="4"/>
      <c r="BV697" s="4"/>
      <c r="BW697" s="4"/>
      <c r="BX697" s="4"/>
      <c r="BY697" s="4"/>
      <c r="BZ697" s="4"/>
      <c r="CA697" s="4"/>
      <c r="CB697" s="4"/>
      <c r="CC697" s="4"/>
      <c r="CD697" s="4"/>
      <c r="CE697" s="4"/>
      <c r="CF697" s="4"/>
      <c r="CG697" s="4"/>
      <c r="CH697" s="4"/>
    </row>
    <row r="698" spans="1:86" x14ac:dyDescent="0.25">
      <c r="A698" s="12">
        <f t="shared" si="16"/>
        <v>695</v>
      </c>
      <c r="B698" s="4" t="s">
        <v>1807</v>
      </c>
      <c r="C698" s="4" t="s">
        <v>1808</v>
      </c>
      <c r="D698" s="4" t="s">
        <v>1130</v>
      </c>
      <c r="E698" s="4"/>
      <c r="F698" s="14"/>
      <c r="G698" s="14"/>
      <c r="H698" s="14"/>
      <c r="I698" s="5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  <c r="BP698" s="4"/>
      <c r="BQ698" s="4"/>
      <c r="BR698" s="4"/>
      <c r="BS698" s="4"/>
      <c r="BT698" s="4"/>
      <c r="BU698" s="4"/>
      <c r="BV698" s="4"/>
      <c r="BW698" s="4"/>
      <c r="BX698" s="4"/>
      <c r="BY698" s="4"/>
      <c r="BZ698" s="4"/>
      <c r="CA698" s="4"/>
      <c r="CB698" s="4"/>
      <c r="CC698" s="4"/>
      <c r="CD698" s="4"/>
      <c r="CE698" s="4"/>
      <c r="CF698" s="4"/>
      <c r="CG698" s="4"/>
      <c r="CH698" s="4"/>
    </row>
    <row r="699" spans="1:86" x14ac:dyDescent="0.25">
      <c r="A699" s="12">
        <f t="shared" si="16"/>
        <v>696</v>
      </c>
      <c r="B699" s="4" t="s">
        <v>1031</v>
      </c>
      <c r="C699" s="4" t="s">
        <v>1032</v>
      </c>
      <c r="D699" s="4" t="s">
        <v>45</v>
      </c>
      <c r="E699" s="4"/>
      <c r="F699" s="14"/>
      <c r="G699" s="14"/>
      <c r="H699" s="14"/>
      <c r="I699" s="5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  <c r="BP699" s="4"/>
      <c r="BQ699" s="4"/>
      <c r="BR699" s="4"/>
      <c r="BS699" s="4"/>
      <c r="BT699" s="4"/>
      <c r="BU699" s="4"/>
      <c r="BV699" s="4"/>
      <c r="BW699" s="4"/>
      <c r="BX699" s="4"/>
      <c r="BY699" s="4"/>
      <c r="BZ699" s="4"/>
      <c r="CA699" s="4"/>
      <c r="CB699" s="4"/>
      <c r="CC699" s="4"/>
      <c r="CD699" s="4"/>
      <c r="CE699" s="4"/>
      <c r="CF699" s="4"/>
      <c r="CG699" s="4"/>
      <c r="CH699" s="4"/>
    </row>
    <row r="700" spans="1:86" x14ac:dyDescent="0.25">
      <c r="A700" s="12">
        <f t="shared" si="16"/>
        <v>697</v>
      </c>
      <c r="B700" s="4" t="s">
        <v>1809</v>
      </c>
      <c r="C700" s="4" t="s">
        <v>1810</v>
      </c>
      <c r="D700" s="4" t="s">
        <v>45</v>
      </c>
      <c r="E700" s="4"/>
      <c r="F700" s="14"/>
      <c r="G700" s="14"/>
      <c r="H700" s="14"/>
      <c r="I700" s="5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  <c r="BP700" s="4"/>
      <c r="BQ700" s="4"/>
      <c r="BR700" s="4"/>
      <c r="BS700" s="4"/>
      <c r="BT700" s="4"/>
      <c r="BU700" s="4"/>
      <c r="BV700" s="4"/>
      <c r="BW700" s="4"/>
      <c r="BX700" s="4"/>
      <c r="BY700" s="4"/>
      <c r="BZ700" s="4"/>
      <c r="CA700" s="4"/>
      <c r="CB700" s="4"/>
      <c r="CC700" s="4"/>
      <c r="CD700" s="4"/>
      <c r="CE700" s="4"/>
      <c r="CF700" s="4"/>
      <c r="CG700" s="4"/>
      <c r="CH700" s="4"/>
    </row>
    <row r="701" spans="1:86" x14ac:dyDescent="0.25">
      <c r="A701" s="12">
        <f t="shared" si="16"/>
        <v>698</v>
      </c>
      <c r="B701" s="4" t="s">
        <v>1811</v>
      </c>
      <c r="C701" s="4" t="s">
        <v>1812</v>
      </c>
      <c r="D701" s="4" t="s">
        <v>45</v>
      </c>
      <c r="E701" s="4"/>
      <c r="F701" s="14"/>
      <c r="G701" s="14"/>
      <c r="H701" s="14"/>
      <c r="I701" s="5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  <c r="BP701" s="4"/>
      <c r="BQ701" s="4"/>
      <c r="BR701" s="4"/>
      <c r="BS701" s="4"/>
      <c r="BT701" s="4"/>
      <c r="BU701" s="4"/>
      <c r="BV701" s="4"/>
      <c r="BW701" s="4"/>
      <c r="BX701" s="4"/>
      <c r="BY701" s="4"/>
      <c r="BZ701" s="4"/>
      <c r="CA701" s="4"/>
      <c r="CB701" s="4"/>
      <c r="CC701" s="4"/>
      <c r="CD701" s="4"/>
      <c r="CE701" s="4"/>
      <c r="CF701" s="4"/>
      <c r="CG701" s="4"/>
      <c r="CH701" s="4"/>
    </row>
    <row r="702" spans="1:86" x14ac:dyDescent="0.25">
      <c r="A702" s="12">
        <f t="shared" si="16"/>
        <v>699</v>
      </c>
      <c r="B702" s="4" t="s">
        <v>1813</v>
      </c>
      <c r="C702" s="4" t="s">
        <v>1814</v>
      </c>
      <c r="D702" s="4" t="s">
        <v>45</v>
      </c>
      <c r="E702" s="4"/>
      <c r="F702" s="14"/>
      <c r="G702" s="14"/>
      <c r="H702" s="14"/>
      <c r="I702" s="5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  <c r="BP702" s="4"/>
      <c r="BQ702" s="4"/>
      <c r="BR702" s="4"/>
      <c r="BS702" s="4"/>
      <c r="BT702" s="4"/>
      <c r="BU702" s="4"/>
      <c r="BV702" s="4"/>
      <c r="BW702" s="4"/>
      <c r="BX702" s="4"/>
      <c r="BY702" s="4"/>
      <c r="BZ702" s="4"/>
      <c r="CA702" s="4"/>
      <c r="CB702" s="4"/>
      <c r="CC702" s="4"/>
      <c r="CD702" s="4"/>
      <c r="CE702" s="4"/>
      <c r="CF702" s="4"/>
      <c r="CG702" s="4"/>
      <c r="CH702" s="4"/>
    </row>
    <row r="703" spans="1:86" x14ac:dyDescent="0.25">
      <c r="A703" s="12">
        <f t="shared" si="16"/>
        <v>700</v>
      </c>
      <c r="B703" s="4" t="s">
        <v>1815</v>
      </c>
      <c r="C703" s="4" t="s">
        <v>1816</v>
      </c>
      <c r="D703" s="4" t="s">
        <v>1130</v>
      </c>
      <c r="E703" s="4"/>
      <c r="F703" s="14"/>
      <c r="G703" s="14"/>
      <c r="H703" s="14"/>
      <c r="I703" s="5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  <c r="BP703" s="4"/>
      <c r="BQ703" s="4"/>
      <c r="BR703" s="4"/>
      <c r="BS703" s="4"/>
      <c r="BT703" s="4"/>
      <c r="BU703" s="4"/>
      <c r="BV703" s="4"/>
      <c r="BW703" s="4"/>
      <c r="BX703" s="4"/>
      <c r="BY703" s="4"/>
      <c r="BZ703" s="4"/>
      <c r="CA703" s="4"/>
      <c r="CB703" s="4"/>
      <c r="CC703" s="4"/>
      <c r="CD703" s="4"/>
      <c r="CE703" s="4"/>
      <c r="CF703" s="4"/>
      <c r="CG703" s="4"/>
      <c r="CH703" s="4"/>
    </row>
    <row r="704" spans="1:86" x14ac:dyDescent="0.25">
      <c r="A704" s="12">
        <f t="shared" si="16"/>
        <v>701</v>
      </c>
      <c r="B704" s="4" t="s">
        <v>1817</v>
      </c>
      <c r="C704" s="4" t="s">
        <v>1818</v>
      </c>
      <c r="D704" s="4" t="s">
        <v>770</v>
      </c>
      <c r="E704" s="4"/>
      <c r="F704" s="14"/>
      <c r="G704" s="14"/>
      <c r="H704" s="14"/>
      <c r="I704" s="5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  <c r="BP704" s="4"/>
      <c r="BQ704" s="4"/>
      <c r="BR704" s="4"/>
      <c r="BS704" s="4"/>
      <c r="BT704" s="4"/>
      <c r="BU704" s="4"/>
      <c r="BV704" s="4"/>
      <c r="BW704" s="4"/>
      <c r="BX704" s="4"/>
      <c r="BY704" s="4"/>
      <c r="BZ704" s="4"/>
      <c r="CA704" s="4"/>
      <c r="CB704" s="4"/>
      <c r="CC704" s="4"/>
      <c r="CD704" s="4"/>
      <c r="CE704" s="4"/>
      <c r="CF704" s="4"/>
      <c r="CG704" s="4"/>
      <c r="CH704" s="4"/>
    </row>
    <row r="705" spans="1:86" x14ac:dyDescent="0.25">
      <c r="A705" s="12">
        <f t="shared" si="16"/>
        <v>702</v>
      </c>
      <c r="B705" s="4" t="s">
        <v>1819</v>
      </c>
      <c r="C705" s="4" t="s">
        <v>1820</v>
      </c>
      <c r="D705" s="4" t="s">
        <v>45</v>
      </c>
      <c r="E705" s="4"/>
      <c r="F705" s="14"/>
      <c r="G705" s="14"/>
      <c r="H705" s="14"/>
      <c r="I705" s="5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  <c r="BP705" s="4"/>
      <c r="BQ705" s="4"/>
      <c r="BR705" s="4"/>
      <c r="BS705" s="4"/>
      <c r="BT705" s="4"/>
      <c r="BU705" s="4"/>
      <c r="BV705" s="4"/>
      <c r="BW705" s="4"/>
      <c r="BX705" s="4"/>
      <c r="BY705" s="4"/>
      <c r="BZ705" s="4"/>
      <c r="CA705" s="4"/>
      <c r="CB705" s="4"/>
      <c r="CC705" s="4"/>
      <c r="CD705" s="4"/>
      <c r="CE705" s="4"/>
      <c r="CF705" s="4"/>
      <c r="CG705" s="4"/>
      <c r="CH705" s="4"/>
    </row>
    <row r="706" spans="1:86" x14ac:dyDescent="0.25">
      <c r="A706" s="12">
        <f t="shared" si="16"/>
        <v>703</v>
      </c>
      <c r="B706" s="4" t="s">
        <v>1821</v>
      </c>
      <c r="C706" s="4" t="s">
        <v>1822</v>
      </c>
      <c r="D706" s="4" t="s">
        <v>1123</v>
      </c>
      <c r="E706" s="4"/>
      <c r="F706" s="14"/>
      <c r="G706" s="14"/>
      <c r="H706" s="14"/>
      <c r="I706" s="5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  <c r="BP706" s="4"/>
      <c r="BQ706" s="4"/>
      <c r="BR706" s="4"/>
      <c r="BS706" s="4"/>
      <c r="BT706" s="4"/>
      <c r="BU706" s="4"/>
      <c r="BV706" s="4"/>
      <c r="BW706" s="4"/>
      <c r="BX706" s="4"/>
      <c r="BY706" s="4"/>
      <c r="BZ706" s="4"/>
      <c r="CA706" s="4"/>
      <c r="CB706" s="4"/>
      <c r="CC706" s="4"/>
      <c r="CD706" s="4"/>
      <c r="CE706" s="4"/>
      <c r="CF706" s="4"/>
      <c r="CG706" s="4"/>
      <c r="CH706" s="4"/>
    </row>
    <row r="707" spans="1:86" x14ac:dyDescent="0.25">
      <c r="A707" s="12">
        <f t="shared" si="16"/>
        <v>704</v>
      </c>
      <c r="B707" s="4" t="s">
        <v>1823</v>
      </c>
      <c r="C707" s="4" t="s">
        <v>1824</v>
      </c>
      <c r="D707" s="4" t="s">
        <v>45</v>
      </c>
      <c r="E707" s="4"/>
      <c r="F707" s="14"/>
      <c r="G707" s="14"/>
      <c r="H707" s="14"/>
      <c r="I707" s="5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  <c r="BP707" s="4"/>
      <c r="BQ707" s="4"/>
      <c r="BR707" s="4"/>
      <c r="BS707" s="4"/>
      <c r="BT707" s="4"/>
      <c r="BU707" s="4"/>
      <c r="BV707" s="4"/>
      <c r="BW707" s="4"/>
      <c r="BX707" s="4"/>
      <c r="BY707" s="4"/>
      <c r="BZ707" s="4"/>
      <c r="CA707" s="4"/>
      <c r="CB707" s="4"/>
      <c r="CC707" s="4"/>
      <c r="CD707" s="4"/>
      <c r="CE707" s="4"/>
      <c r="CF707" s="4"/>
      <c r="CG707" s="4"/>
      <c r="CH707" s="4"/>
    </row>
    <row r="708" spans="1:86" x14ac:dyDescent="0.25">
      <c r="A708" s="12">
        <f t="shared" si="16"/>
        <v>705</v>
      </c>
      <c r="B708" s="4" t="s">
        <v>1825</v>
      </c>
      <c r="C708" s="4" t="s">
        <v>1826</v>
      </c>
      <c r="D708" s="4" t="s">
        <v>45</v>
      </c>
      <c r="E708" s="4"/>
      <c r="F708" s="14"/>
      <c r="G708" s="14"/>
      <c r="H708" s="14"/>
      <c r="I708" s="5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  <c r="BP708" s="4"/>
      <c r="BQ708" s="4"/>
      <c r="BR708" s="4"/>
      <c r="BS708" s="4"/>
      <c r="BT708" s="4"/>
      <c r="BU708" s="4"/>
      <c r="BV708" s="4"/>
      <c r="BW708" s="4"/>
      <c r="BX708" s="4"/>
      <c r="BY708" s="4"/>
      <c r="BZ708" s="4"/>
      <c r="CA708" s="4"/>
      <c r="CB708" s="4"/>
      <c r="CC708" s="4"/>
      <c r="CD708" s="4"/>
      <c r="CE708" s="4"/>
      <c r="CF708" s="4"/>
      <c r="CG708" s="4"/>
      <c r="CH708" s="4"/>
    </row>
    <row r="709" spans="1:86" x14ac:dyDescent="0.25">
      <c r="A709" s="12">
        <f t="shared" si="16"/>
        <v>706</v>
      </c>
      <c r="B709" s="4" t="s">
        <v>1827</v>
      </c>
      <c r="C709" s="4" t="s">
        <v>1828</v>
      </c>
      <c r="D709" s="4" t="s">
        <v>398</v>
      </c>
      <c r="E709" s="4"/>
      <c r="F709" s="14"/>
      <c r="G709" s="14"/>
      <c r="H709" s="14"/>
      <c r="I709" s="5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  <c r="BP709" s="4"/>
      <c r="BQ709" s="4"/>
      <c r="BR709" s="4"/>
      <c r="BS709" s="4"/>
      <c r="BT709" s="4"/>
      <c r="BU709" s="4"/>
      <c r="BV709" s="4"/>
      <c r="BW709" s="4"/>
      <c r="BX709" s="4"/>
      <c r="BY709" s="4"/>
      <c r="BZ709" s="4"/>
      <c r="CA709" s="4"/>
      <c r="CB709" s="4"/>
      <c r="CC709" s="4"/>
      <c r="CD709" s="4"/>
      <c r="CE709" s="4"/>
      <c r="CF709" s="4"/>
      <c r="CG709" s="4"/>
      <c r="CH709" s="4"/>
    </row>
    <row r="710" spans="1:86" x14ac:dyDescent="0.25">
      <c r="A710" s="12">
        <f t="shared" si="16"/>
        <v>707</v>
      </c>
      <c r="B710" s="4" t="s">
        <v>1829</v>
      </c>
      <c r="C710" s="4" t="s">
        <v>1830</v>
      </c>
      <c r="D710" s="4" t="s">
        <v>2579</v>
      </c>
      <c r="E710" s="4"/>
      <c r="F710" s="14"/>
      <c r="G710" s="14"/>
      <c r="H710" s="14"/>
      <c r="I710" s="5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  <c r="BM710" s="4"/>
      <c r="BN710" s="4"/>
      <c r="BO710" s="4"/>
      <c r="BP710" s="4"/>
      <c r="BQ710" s="4"/>
      <c r="BR710" s="4"/>
      <c r="BS710" s="4"/>
      <c r="BT710" s="4"/>
      <c r="BU710" s="4"/>
      <c r="BV710" s="4"/>
      <c r="BW710" s="4"/>
      <c r="BX710" s="4"/>
      <c r="BY710" s="4"/>
      <c r="BZ710" s="4"/>
      <c r="CA710" s="4"/>
      <c r="CB710" s="4"/>
      <c r="CC710" s="4"/>
      <c r="CD710" s="4"/>
      <c r="CE710" s="4"/>
      <c r="CF710" s="4"/>
      <c r="CG710" s="4"/>
      <c r="CH710" s="4"/>
    </row>
    <row r="711" spans="1:86" x14ac:dyDescent="0.25">
      <c r="A711" s="12">
        <f t="shared" si="16"/>
        <v>708</v>
      </c>
      <c r="B711" s="4" t="s">
        <v>1831</v>
      </c>
      <c r="C711" s="4" t="s">
        <v>1832</v>
      </c>
      <c r="D711" s="4" t="s">
        <v>1129</v>
      </c>
      <c r="E711" s="4"/>
      <c r="F711" s="14"/>
      <c r="G711" s="14"/>
      <c r="H711" s="14"/>
      <c r="I711" s="5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  <c r="BM711" s="4"/>
      <c r="BN711" s="4"/>
      <c r="BO711" s="4"/>
      <c r="BP711" s="4"/>
      <c r="BQ711" s="4"/>
      <c r="BR711" s="4"/>
      <c r="BS711" s="4"/>
      <c r="BT711" s="4"/>
      <c r="BU711" s="4"/>
      <c r="BV711" s="4"/>
      <c r="BW711" s="4"/>
      <c r="BX711" s="4"/>
      <c r="BY711" s="4"/>
      <c r="BZ711" s="4"/>
      <c r="CA711" s="4"/>
      <c r="CB711" s="4"/>
      <c r="CC711" s="4"/>
      <c r="CD711" s="4"/>
      <c r="CE711" s="4"/>
      <c r="CF711" s="4"/>
      <c r="CG711" s="4"/>
      <c r="CH711" s="4"/>
    </row>
    <row r="712" spans="1:86" x14ac:dyDescent="0.25">
      <c r="A712" s="12">
        <f t="shared" si="16"/>
        <v>709</v>
      </c>
      <c r="B712" s="4" t="s">
        <v>1833</v>
      </c>
      <c r="C712" s="4" t="s">
        <v>1834</v>
      </c>
      <c r="D712" s="4" t="s">
        <v>1125</v>
      </c>
      <c r="E712" s="4"/>
      <c r="F712" s="14"/>
      <c r="G712" s="14"/>
      <c r="H712" s="14"/>
      <c r="I712" s="5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  <c r="BM712" s="4"/>
      <c r="BN712" s="4"/>
      <c r="BO712" s="4"/>
      <c r="BP712" s="4"/>
      <c r="BQ712" s="4"/>
      <c r="BR712" s="4"/>
      <c r="BS712" s="4"/>
      <c r="BT712" s="4"/>
      <c r="BU712" s="4"/>
      <c r="BV712" s="4"/>
      <c r="BW712" s="4"/>
      <c r="BX712" s="4"/>
      <c r="BY712" s="4"/>
      <c r="BZ712" s="4"/>
      <c r="CA712" s="4"/>
      <c r="CB712" s="4"/>
      <c r="CC712" s="4"/>
      <c r="CD712" s="4"/>
      <c r="CE712" s="4"/>
      <c r="CF712" s="4"/>
      <c r="CG712" s="4"/>
      <c r="CH712" s="4"/>
    </row>
    <row r="713" spans="1:86" x14ac:dyDescent="0.25">
      <c r="A713" s="12">
        <f t="shared" si="16"/>
        <v>710</v>
      </c>
      <c r="B713" s="4" t="s">
        <v>1835</v>
      </c>
      <c r="C713" s="4" t="s">
        <v>1836</v>
      </c>
      <c r="D713" s="4" t="s">
        <v>45</v>
      </c>
      <c r="E713" s="4"/>
      <c r="F713" s="14"/>
      <c r="G713" s="14"/>
      <c r="H713" s="14"/>
      <c r="I713" s="5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  <c r="BM713" s="4"/>
      <c r="BN713" s="4"/>
      <c r="BO713" s="4"/>
      <c r="BP713" s="4"/>
      <c r="BQ713" s="4"/>
      <c r="BR713" s="4"/>
      <c r="BS713" s="4"/>
      <c r="BT713" s="4"/>
      <c r="BU713" s="4"/>
      <c r="BV713" s="4"/>
      <c r="BW713" s="4"/>
      <c r="BX713" s="4"/>
      <c r="BY713" s="4"/>
      <c r="BZ713" s="4"/>
      <c r="CA713" s="4"/>
      <c r="CB713" s="4"/>
      <c r="CC713" s="4"/>
      <c r="CD713" s="4"/>
      <c r="CE713" s="4"/>
      <c r="CF713" s="4"/>
      <c r="CG713" s="4"/>
      <c r="CH713" s="4"/>
    </row>
    <row r="714" spans="1:86" x14ac:dyDescent="0.25">
      <c r="A714" s="12">
        <f t="shared" ref="A714:A777" si="17">+A713+1</f>
        <v>711</v>
      </c>
      <c r="B714" s="4" t="s">
        <v>1837</v>
      </c>
      <c r="C714" s="4" t="s">
        <v>1838</v>
      </c>
      <c r="D714" s="4" t="s">
        <v>45</v>
      </c>
      <c r="E714" s="4"/>
      <c r="F714" s="14"/>
      <c r="G714" s="14"/>
      <c r="H714" s="14"/>
      <c r="I714" s="5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  <c r="BM714" s="4"/>
      <c r="BN714" s="4"/>
      <c r="BO714" s="4"/>
      <c r="BP714" s="4"/>
      <c r="BQ714" s="4"/>
      <c r="BR714" s="4"/>
      <c r="BS714" s="4"/>
      <c r="BT714" s="4"/>
      <c r="BU714" s="4"/>
      <c r="BV714" s="4"/>
      <c r="BW714" s="4"/>
      <c r="BX714" s="4"/>
      <c r="BY714" s="4"/>
      <c r="BZ714" s="4"/>
      <c r="CA714" s="4"/>
      <c r="CB714" s="4"/>
      <c r="CC714" s="4"/>
      <c r="CD714" s="4"/>
      <c r="CE714" s="4"/>
      <c r="CF714" s="4"/>
      <c r="CG714" s="4"/>
      <c r="CH714" s="4"/>
    </row>
    <row r="715" spans="1:86" x14ac:dyDescent="0.25">
      <c r="A715" s="12">
        <f t="shared" si="17"/>
        <v>712</v>
      </c>
      <c r="B715" s="4" t="s">
        <v>1839</v>
      </c>
      <c r="C715" s="4" t="s">
        <v>1840</v>
      </c>
      <c r="D715" s="4" t="s">
        <v>45</v>
      </c>
      <c r="E715" s="4"/>
      <c r="F715" s="14"/>
      <c r="G715" s="14"/>
      <c r="H715" s="14"/>
      <c r="I715" s="5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  <c r="BM715" s="4"/>
      <c r="BN715" s="4"/>
      <c r="BO715" s="4"/>
      <c r="BP715" s="4"/>
      <c r="BQ715" s="4"/>
      <c r="BR715" s="4"/>
      <c r="BS715" s="4"/>
      <c r="BT715" s="4"/>
      <c r="BU715" s="4"/>
      <c r="BV715" s="4"/>
      <c r="BW715" s="4"/>
      <c r="BX715" s="4"/>
      <c r="BY715" s="4"/>
      <c r="BZ715" s="4"/>
      <c r="CA715" s="4"/>
      <c r="CB715" s="4"/>
      <c r="CC715" s="4"/>
      <c r="CD715" s="4"/>
      <c r="CE715" s="4"/>
      <c r="CF715" s="4"/>
      <c r="CG715" s="4"/>
      <c r="CH715" s="4"/>
    </row>
    <row r="716" spans="1:86" x14ac:dyDescent="0.25">
      <c r="A716" s="12">
        <f t="shared" si="17"/>
        <v>713</v>
      </c>
      <c r="B716" s="4" t="s">
        <v>1841</v>
      </c>
      <c r="C716" s="4" t="s">
        <v>1842</v>
      </c>
      <c r="D716" s="4" t="s">
        <v>536</v>
      </c>
      <c r="E716" s="4"/>
      <c r="F716" s="14"/>
      <c r="G716" s="14"/>
      <c r="H716" s="14"/>
      <c r="I716" s="5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  <c r="BM716" s="4"/>
      <c r="BN716" s="4"/>
      <c r="BO716" s="4"/>
      <c r="BP716" s="4"/>
      <c r="BQ716" s="4"/>
      <c r="BR716" s="4"/>
      <c r="BS716" s="4"/>
      <c r="BT716" s="4"/>
      <c r="BU716" s="4"/>
      <c r="BV716" s="4"/>
      <c r="BW716" s="4"/>
      <c r="BX716" s="4"/>
      <c r="BY716" s="4"/>
      <c r="BZ716" s="4"/>
      <c r="CA716" s="4"/>
      <c r="CB716" s="4"/>
      <c r="CC716" s="4"/>
      <c r="CD716" s="4"/>
      <c r="CE716" s="4"/>
      <c r="CF716" s="4"/>
      <c r="CG716" s="4"/>
      <c r="CH716" s="4"/>
    </row>
    <row r="717" spans="1:86" x14ac:dyDescent="0.25">
      <c r="A717" s="12">
        <f t="shared" si="17"/>
        <v>714</v>
      </c>
      <c r="B717" s="4" t="s">
        <v>1843</v>
      </c>
      <c r="C717" s="4" t="s">
        <v>1844</v>
      </c>
      <c r="D717" s="4" t="s">
        <v>768</v>
      </c>
      <c r="E717" s="4"/>
      <c r="F717" s="14"/>
      <c r="G717" s="14"/>
      <c r="H717" s="14"/>
      <c r="I717" s="5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  <c r="BM717" s="4"/>
      <c r="BN717" s="4"/>
      <c r="BO717" s="4"/>
      <c r="BP717" s="4"/>
      <c r="BQ717" s="4"/>
      <c r="BR717" s="4"/>
      <c r="BS717" s="4"/>
      <c r="BT717" s="4"/>
      <c r="BU717" s="4"/>
      <c r="BV717" s="4"/>
      <c r="BW717" s="4"/>
      <c r="BX717" s="4"/>
      <c r="BY717" s="4"/>
      <c r="BZ717" s="4"/>
      <c r="CA717" s="4"/>
      <c r="CB717" s="4"/>
      <c r="CC717" s="4"/>
      <c r="CD717" s="4"/>
      <c r="CE717" s="4"/>
      <c r="CF717" s="4"/>
      <c r="CG717" s="4"/>
      <c r="CH717" s="4"/>
    </row>
    <row r="718" spans="1:86" x14ac:dyDescent="0.25">
      <c r="A718" s="12">
        <f t="shared" si="17"/>
        <v>715</v>
      </c>
      <c r="B718" s="4" t="s">
        <v>1845</v>
      </c>
      <c r="C718" s="4" t="s">
        <v>1846</v>
      </c>
      <c r="D718" s="4" t="s">
        <v>45</v>
      </c>
      <c r="E718" s="4"/>
      <c r="F718" s="14"/>
      <c r="G718" s="14"/>
      <c r="H718" s="14"/>
      <c r="I718" s="5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  <c r="BM718" s="4"/>
      <c r="BN718" s="4"/>
      <c r="BO718" s="4"/>
      <c r="BP718" s="4"/>
      <c r="BQ718" s="4"/>
      <c r="BR718" s="4"/>
      <c r="BS718" s="4"/>
      <c r="BT718" s="4"/>
      <c r="BU718" s="4"/>
      <c r="BV718" s="4"/>
      <c r="BW718" s="4"/>
      <c r="BX718" s="4"/>
      <c r="BY718" s="4"/>
      <c r="BZ718" s="4"/>
      <c r="CA718" s="4"/>
      <c r="CB718" s="4"/>
      <c r="CC718" s="4"/>
      <c r="CD718" s="4"/>
      <c r="CE718" s="4"/>
      <c r="CF718" s="4"/>
      <c r="CG718" s="4"/>
      <c r="CH718" s="4"/>
    </row>
    <row r="719" spans="1:86" x14ac:dyDescent="0.25">
      <c r="A719" s="12">
        <f t="shared" si="17"/>
        <v>716</v>
      </c>
      <c r="B719" s="4" t="s">
        <v>1847</v>
      </c>
      <c r="C719" s="4" t="s">
        <v>1848</v>
      </c>
      <c r="D719" s="4" t="s">
        <v>282</v>
      </c>
      <c r="E719" s="4"/>
      <c r="F719" s="14"/>
      <c r="G719" s="14"/>
      <c r="H719" s="14"/>
      <c r="I719" s="5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  <c r="BM719" s="4"/>
      <c r="BN719" s="4"/>
      <c r="BO719" s="4"/>
      <c r="BP719" s="4"/>
      <c r="BQ719" s="4"/>
      <c r="BR719" s="4"/>
      <c r="BS719" s="4"/>
      <c r="BT719" s="4"/>
      <c r="BU719" s="4"/>
      <c r="BV719" s="4"/>
      <c r="BW719" s="4"/>
      <c r="BX719" s="4"/>
      <c r="BY719" s="4"/>
      <c r="BZ719" s="4"/>
      <c r="CA719" s="4"/>
      <c r="CB719" s="4"/>
      <c r="CC719" s="4"/>
      <c r="CD719" s="4"/>
      <c r="CE719" s="4"/>
      <c r="CF719" s="4"/>
      <c r="CG719" s="4"/>
      <c r="CH719" s="4"/>
    </row>
    <row r="720" spans="1:86" x14ac:dyDescent="0.25">
      <c r="A720" s="12">
        <f t="shared" si="17"/>
        <v>717</v>
      </c>
      <c r="B720" s="4" t="s">
        <v>1849</v>
      </c>
      <c r="C720" s="4" t="s">
        <v>1850</v>
      </c>
      <c r="D720" s="4" t="s">
        <v>278</v>
      </c>
      <c r="E720" s="4"/>
      <c r="F720" s="14"/>
      <c r="G720" s="14"/>
      <c r="H720" s="14"/>
      <c r="I720" s="5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  <c r="BM720" s="4"/>
      <c r="BN720" s="4"/>
      <c r="BO720" s="4"/>
      <c r="BP720" s="4"/>
      <c r="BQ720" s="4"/>
      <c r="BR720" s="4"/>
      <c r="BS720" s="4"/>
      <c r="BT720" s="4"/>
      <c r="BU720" s="4"/>
      <c r="BV720" s="4"/>
      <c r="BW720" s="4"/>
      <c r="BX720" s="4"/>
      <c r="BY720" s="4"/>
      <c r="BZ720" s="4"/>
      <c r="CA720" s="4"/>
      <c r="CB720" s="4"/>
      <c r="CC720" s="4"/>
      <c r="CD720" s="4"/>
      <c r="CE720" s="4"/>
      <c r="CF720" s="4"/>
      <c r="CG720" s="4"/>
      <c r="CH720" s="4"/>
    </row>
    <row r="721" spans="1:86" x14ac:dyDescent="0.25">
      <c r="A721" s="12">
        <f t="shared" si="17"/>
        <v>718</v>
      </c>
      <c r="B721" s="4" t="s">
        <v>1851</v>
      </c>
      <c r="C721" s="4" t="s">
        <v>1852</v>
      </c>
      <c r="D721" s="4" t="s">
        <v>1130</v>
      </c>
      <c r="E721" s="4"/>
      <c r="F721" s="14"/>
      <c r="G721" s="14"/>
      <c r="H721" s="14"/>
      <c r="I721" s="5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  <c r="BM721" s="4"/>
      <c r="BN721" s="4"/>
      <c r="BO721" s="4"/>
      <c r="BP721" s="4"/>
      <c r="BQ721" s="4"/>
      <c r="BR721" s="4"/>
      <c r="BS721" s="4"/>
      <c r="BT721" s="4"/>
      <c r="BU721" s="4"/>
      <c r="BV721" s="4"/>
      <c r="BW721" s="4"/>
      <c r="BX721" s="4"/>
      <c r="BY721" s="4"/>
      <c r="BZ721" s="4"/>
      <c r="CA721" s="4"/>
      <c r="CB721" s="4"/>
      <c r="CC721" s="4"/>
      <c r="CD721" s="4"/>
      <c r="CE721" s="4"/>
      <c r="CF721" s="4"/>
      <c r="CG721" s="4"/>
      <c r="CH721" s="4"/>
    </row>
    <row r="722" spans="1:86" x14ac:dyDescent="0.25">
      <c r="A722" s="12">
        <f t="shared" si="17"/>
        <v>719</v>
      </c>
      <c r="B722" s="4" t="s">
        <v>1853</v>
      </c>
      <c r="C722" s="4" t="s">
        <v>1854</v>
      </c>
      <c r="D722" s="4" t="s">
        <v>508</v>
      </c>
      <c r="E722" s="4"/>
      <c r="F722" s="14"/>
      <c r="G722" s="14"/>
      <c r="H722" s="14"/>
      <c r="I722" s="5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  <c r="BM722" s="4"/>
      <c r="BN722" s="4"/>
      <c r="BO722" s="4"/>
      <c r="BP722" s="4"/>
      <c r="BQ722" s="4"/>
      <c r="BR722" s="4"/>
      <c r="BS722" s="4"/>
      <c r="BT722" s="4"/>
      <c r="BU722" s="4"/>
      <c r="BV722" s="4"/>
      <c r="BW722" s="4"/>
      <c r="BX722" s="4"/>
      <c r="BY722" s="4"/>
      <c r="BZ722" s="4"/>
      <c r="CA722" s="4"/>
      <c r="CB722" s="4"/>
      <c r="CC722" s="4"/>
      <c r="CD722" s="4"/>
      <c r="CE722" s="4"/>
      <c r="CF722" s="4"/>
      <c r="CG722" s="4"/>
      <c r="CH722" s="4"/>
    </row>
    <row r="723" spans="1:86" x14ac:dyDescent="0.25">
      <c r="A723" s="12">
        <f t="shared" si="17"/>
        <v>720</v>
      </c>
      <c r="B723" s="4" t="s">
        <v>1855</v>
      </c>
      <c r="C723" s="4" t="s">
        <v>1856</v>
      </c>
      <c r="D723" s="4" t="s">
        <v>45</v>
      </c>
      <c r="E723" s="4"/>
      <c r="F723" s="14"/>
      <c r="G723" s="14"/>
      <c r="H723" s="14"/>
      <c r="I723" s="5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  <c r="BM723" s="4"/>
      <c r="BN723" s="4"/>
      <c r="BO723" s="4"/>
      <c r="BP723" s="4"/>
      <c r="BQ723" s="4"/>
      <c r="BR723" s="4"/>
      <c r="BS723" s="4"/>
      <c r="BT723" s="4"/>
      <c r="BU723" s="4"/>
      <c r="BV723" s="4"/>
      <c r="BW723" s="4"/>
      <c r="BX723" s="4"/>
      <c r="BY723" s="4"/>
      <c r="BZ723" s="4"/>
      <c r="CA723" s="4"/>
      <c r="CB723" s="4"/>
      <c r="CC723" s="4"/>
      <c r="CD723" s="4"/>
      <c r="CE723" s="4"/>
      <c r="CF723" s="4"/>
      <c r="CG723" s="4"/>
      <c r="CH723" s="4"/>
    </row>
    <row r="724" spans="1:86" x14ac:dyDescent="0.25">
      <c r="A724" s="12">
        <f t="shared" si="17"/>
        <v>721</v>
      </c>
      <c r="B724" s="4" t="s">
        <v>1857</v>
      </c>
      <c r="C724" s="4" t="s">
        <v>1858</v>
      </c>
      <c r="D724" s="4" t="s">
        <v>45</v>
      </c>
      <c r="E724" s="4"/>
      <c r="F724" s="14"/>
      <c r="G724" s="14"/>
      <c r="H724" s="14"/>
      <c r="I724" s="5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  <c r="BM724" s="4"/>
      <c r="BN724" s="4"/>
      <c r="BO724" s="4"/>
      <c r="BP724" s="4"/>
      <c r="BQ724" s="4"/>
      <c r="BR724" s="4"/>
      <c r="BS724" s="4"/>
      <c r="BT724" s="4"/>
      <c r="BU724" s="4"/>
      <c r="BV724" s="4"/>
      <c r="BW724" s="4"/>
      <c r="BX724" s="4"/>
      <c r="BY724" s="4"/>
      <c r="BZ724" s="4"/>
      <c r="CA724" s="4"/>
      <c r="CB724" s="4"/>
      <c r="CC724" s="4"/>
      <c r="CD724" s="4"/>
      <c r="CE724" s="4"/>
      <c r="CF724" s="4"/>
      <c r="CG724" s="4"/>
      <c r="CH724" s="4"/>
    </row>
    <row r="725" spans="1:86" x14ac:dyDescent="0.25">
      <c r="A725" s="12">
        <f t="shared" si="17"/>
        <v>722</v>
      </c>
      <c r="B725" s="4" t="s">
        <v>1859</v>
      </c>
      <c r="C725" s="4" t="s">
        <v>1860</v>
      </c>
      <c r="D725" s="4" t="s">
        <v>45</v>
      </c>
      <c r="E725" s="4"/>
      <c r="F725" s="14"/>
      <c r="G725" s="14"/>
      <c r="H725" s="14"/>
      <c r="I725" s="5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  <c r="BM725" s="4"/>
      <c r="BN725" s="4"/>
      <c r="BO725" s="4"/>
      <c r="BP725" s="4"/>
      <c r="BQ725" s="4"/>
      <c r="BR725" s="4"/>
      <c r="BS725" s="4"/>
      <c r="BT725" s="4"/>
      <c r="BU725" s="4"/>
      <c r="BV725" s="4"/>
      <c r="BW725" s="4"/>
      <c r="BX725" s="4"/>
      <c r="BY725" s="4"/>
      <c r="BZ725" s="4"/>
      <c r="CA725" s="4"/>
      <c r="CB725" s="4"/>
      <c r="CC725" s="4"/>
      <c r="CD725" s="4"/>
      <c r="CE725" s="4"/>
      <c r="CF725" s="4"/>
      <c r="CG725" s="4"/>
      <c r="CH725" s="4"/>
    </row>
    <row r="726" spans="1:86" x14ac:dyDescent="0.25">
      <c r="A726" s="12">
        <f t="shared" si="17"/>
        <v>723</v>
      </c>
      <c r="B726" s="4" t="s">
        <v>1861</v>
      </c>
      <c r="C726" s="4" t="s">
        <v>1862</v>
      </c>
      <c r="D726" s="4" t="s">
        <v>45</v>
      </c>
      <c r="E726" s="4"/>
      <c r="F726" s="14"/>
      <c r="G726" s="14"/>
      <c r="H726" s="14"/>
      <c r="I726" s="5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/>
      <c r="BP726" s="4"/>
      <c r="BQ726" s="4"/>
      <c r="BR726" s="4"/>
      <c r="BS726" s="4"/>
      <c r="BT726" s="4"/>
      <c r="BU726" s="4"/>
      <c r="BV726" s="4"/>
      <c r="BW726" s="4"/>
      <c r="BX726" s="4"/>
      <c r="BY726" s="4"/>
      <c r="BZ726" s="4"/>
      <c r="CA726" s="4"/>
      <c r="CB726" s="4"/>
      <c r="CC726" s="4"/>
      <c r="CD726" s="4"/>
      <c r="CE726" s="4"/>
      <c r="CF726" s="4"/>
      <c r="CG726" s="4"/>
      <c r="CH726" s="4"/>
    </row>
    <row r="727" spans="1:86" x14ac:dyDescent="0.25">
      <c r="A727" s="12">
        <f t="shared" si="17"/>
        <v>724</v>
      </c>
      <c r="B727" s="4" t="s">
        <v>1863</v>
      </c>
      <c r="C727" s="4" t="s">
        <v>1864</v>
      </c>
      <c r="D727" s="4" t="s">
        <v>87</v>
      </c>
      <c r="E727" s="4"/>
      <c r="F727" s="14"/>
      <c r="G727" s="14"/>
      <c r="H727" s="14"/>
      <c r="I727" s="5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  <c r="BM727" s="4"/>
      <c r="BN727" s="4"/>
      <c r="BO727" s="4"/>
      <c r="BP727" s="4"/>
      <c r="BQ727" s="4"/>
      <c r="BR727" s="4"/>
      <c r="BS727" s="4"/>
      <c r="BT727" s="4"/>
      <c r="BU727" s="4"/>
      <c r="BV727" s="4"/>
      <c r="BW727" s="4"/>
      <c r="BX727" s="4"/>
      <c r="BY727" s="4"/>
      <c r="BZ727" s="4"/>
      <c r="CA727" s="4"/>
      <c r="CB727" s="4"/>
      <c r="CC727" s="4"/>
      <c r="CD727" s="4"/>
      <c r="CE727" s="4"/>
      <c r="CF727" s="4"/>
      <c r="CG727" s="4"/>
      <c r="CH727" s="4"/>
    </row>
    <row r="728" spans="1:86" x14ac:dyDescent="0.25">
      <c r="A728" s="12">
        <f t="shared" si="17"/>
        <v>725</v>
      </c>
      <c r="B728" s="4" t="s">
        <v>1865</v>
      </c>
      <c r="C728" s="4" t="s">
        <v>1866</v>
      </c>
      <c r="D728" s="4" t="s">
        <v>45</v>
      </c>
      <c r="E728" s="4"/>
      <c r="F728" s="14"/>
      <c r="G728" s="14"/>
      <c r="H728" s="14"/>
      <c r="I728" s="5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  <c r="BM728" s="4"/>
      <c r="BN728" s="4"/>
      <c r="BO728" s="4"/>
      <c r="BP728" s="4"/>
      <c r="BQ728" s="4"/>
      <c r="BR728" s="4"/>
      <c r="BS728" s="4"/>
      <c r="BT728" s="4"/>
      <c r="BU728" s="4"/>
      <c r="BV728" s="4"/>
      <c r="BW728" s="4"/>
      <c r="BX728" s="4"/>
      <c r="BY728" s="4"/>
      <c r="BZ728" s="4"/>
      <c r="CA728" s="4"/>
      <c r="CB728" s="4"/>
      <c r="CC728" s="4"/>
      <c r="CD728" s="4"/>
      <c r="CE728" s="4"/>
      <c r="CF728" s="4"/>
      <c r="CG728" s="4"/>
      <c r="CH728" s="4"/>
    </row>
    <row r="729" spans="1:86" x14ac:dyDescent="0.25">
      <c r="A729" s="12">
        <f t="shared" si="17"/>
        <v>726</v>
      </c>
      <c r="B729" s="4" t="s">
        <v>1867</v>
      </c>
      <c r="C729" s="4" t="s">
        <v>1868</v>
      </c>
      <c r="D729" s="4" t="s">
        <v>1129</v>
      </c>
      <c r="E729" s="4"/>
      <c r="F729" s="14"/>
      <c r="G729" s="14"/>
      <c r="H729" s="14"/>
      <c r="I729" s="5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  <c r="BM729" s="4"/>
      <c r="BN729" s="4"/>
      <c r="BO729" s="4"/>
      <c r="BP729" s="4"/>
      <c r="BQ729" s="4"/>
      <c r="BR729" s="4"/>
      <c r="BS729" s="4"/>
      <c r="BT729" s="4"/>
      <c r="BU729" s="4"/>
      <c r="BV729" s="4"/>
      <c r="BW729" s="4"/>
      <c r="BX729" s="4"/>
      <c r="BY729" s="4"/>
      <c r="BZ729" s="4"/>
      <c r="CA729" s="4"/>
      <c r="CB729" s="4"/>
      <c r="CC729" s="4"/>
      <c r="CD729" s="4"/>
      <c r="CE729" s="4"/>
      <c r="CF729" s="4"/>
      <c r="CG729" s="4"/>
      <c r="CH729" s="4"/>
    </row>
    <row r="730" spans="1:86" x14ac:dyDescent="0.25">
      <c r="A730" s="12">
        <f t="shared" si="17"/>
        <v>727</v>
      </c>
      <c r="B730" s="4" t="s">
        <v>1869</v>
      </c>
      <c r="C730" s="4" t="s">
        <v>1870</v>
      </c>
      <c r="D730" s="4" t="s">
        <v>45</v>
      </c>
      <c r="E730" s="4"/>
      <c r="F730" s="14"/>
      <c r="G730" s="14"/>
      <c r="H730" s="14"/>
      <c r="I730" s="5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  <c r="BM730" s="4"/>
      <c r="BN730" s="4"/>
      <c r="BO730" s="4"/>
      <c r="BP730" s="4"/>
      <c r="BQ730" s="4"/>
      <c r="BR730" s="4"/>
      <c r="BS730" s="4"/>
      <c r="BT730" s="4"/>
      <c r="BU730" s="4"/>
      <c r="BV730" s="4"/>
      <c r="BW730" s="4"/>
      <c r="BX730" s="4"/>
      <c r="BY730" s="4"/>
      <c r="BZ730" s="4"/>
      <c r="CA730" s="4"/>
      <c r="CB730" s="4"/>
      <c r="CC730" s="4"/>
      <c r="CD730" s="4"/>
      <c r="CE730" s="4"/>
      <c r="CF730" s="4"/>
      <c r="CG730" s="4"/>
      <c r="CH730" s="4"/>
    </row>
    <row r="731" spans="1:86" x14ac:dyDescent="0.25">
      <c r="A731" s="12">
        <f t="shared" si="17"/>
        <v>728</v>
      </c>
      <c r="B731" s="4" t="s">
        <v>1871</v>
      </c>
      <c r="C731" s="4" t="s">
        <v>1872</v>
      </c>
      <c r="D731" s="4" t="s">
        <v>45</v>
      </c>
      <c r="E731" s="4"/>
      <c r="F731" s="14"/>
      <c r="G731" s="14"/>
      <c r="H731" s="14"/>
      <c r="I731" s="5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  <c r="BM731" s="4"/>
      <c r="BN731" s="4"/>
      <c r="BO731" s="4"/>
      <c r="BP731" s="4"/>
      <c r="BQ731" s="4"/>
      <c r="BR731" s="4"/>
      <c r="BS731" s="4"/>
      <c r="BT731" s="4"/>
      <c r="BU731" s="4"/>
      <c r="BV731" s="4"/>
      <c r="BW731" s="4"/>
      <c r="BX731" s="4"/>
      <c r="BY731" s="4"/>
      <c r="BZ731" s="4"/>
      <c r="CA731" s="4"/>
      <c r="CB731" s="4"/>
      <c r="CC731" s="4"/>
      <c r="CD731" s="4"/>
      <c r="CE731" s="4"/>
      <c r="CF731" s="4"/>
      <c r="CG731" s="4"/>
      <c r="CH731" s="4"/>
    </row>
    <row r="732" spans="1:86" x14ac:dyDescent="0.25">
      <c r="A732" s="12">
        <f t="shared" si="17"/>
        <v>729</v>
      </c>
      <c r="B732" s="4" t="s">
        <v>1035</v>
      </c>
      <c r="C732" s="4" t="s">
        <v>1036</v>
      </c>
      <c r="D732" s="4" t="s">
        <v>536</v>
      </c>
      <c r="E732" s="4"/>
      <c r="F732" s="14"/>
      <c r="G732" s="14"/>
      <c r="H732" s="14"/>
      <c r="I732" s="5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  <c r="BM732" s="4"/>
      <c r="BN732" s="4"/>
      <c r="BO732" s="4"/>
      <c r="BP732" s="4"/>
      <c r="BQ732" s="4"/>
      <c r="BR732" s="4"/>
      <c r="BS732" s="4"/>
      <c r="BT732" s="4"/>
      <c r="BU732" s="4"/>
      <c r="BV732" s="4"/>
      <c r="BW732" s="4"/>
      <c r="BX732" s="4"/>
      <c r="BY732" s="4"/>
      <c r="BZ732" s="4"/>
      <c r="CA732" s="4"/>
      <c r="CB732" s="4"/>
      <c r="CC732" s="4"/>
      <c r="CD732" s="4"/>
      <c r="CE732" s="4"/>
      <c r="CF732" s="4"/>
      <c r="CG732" s="4"/>
      <c r="CH732" s="4"/>
    </row>
    <row r="733" spans="1:86" x14ac:dyDescent="0.25">
      <c r="A733" s="12">
        <f t="shared" si="17"/>
        <v>730</v>
      </c>
      <c r="B733" s="4" t="s">
        <v>1873</v>
      </c>
      <c r="C733" s="4" t="s">
        <v>1874</v>
      </c>
      <c r="D733" s="4" t="s">
        <v>955</v>
      </c>
      <c r="E733" s="4"/>
      <c r="F733" s="14"/>
      <c r="G733" s="14"/>
      <c r="H733" s="14"/>
      <c r="I733" s="5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  <c r="BM733" s="4"/>
      <c r="BN733" s="4"/>
      <c r="BO733" s="4"/>
      <c r="BP733" s="4"/>
      <c r="BQ733" s="4"/>
      <c r="BR733" s="4"/>
      <c r="BS733" s="4"/>
      <c r="BT733" s="4"/>
      <c r="BU733" s="4"/>
      <c r="BV733" s="4"/>
      <c r="BW733" s="4"/>
      <c r="BX733" s="4"/>
      <c r="BY733" s="4"/>
      <c r="BZ733" s="4"/>
      <c r="CA733" s="4"/>
      <c r="CB733" s="4"/>
      <c r="CC733" s="4"/>
      <c r="CD733" s="4"/>
      <c r="CE733" s="4"/>
      <c r="CF733" s="4"/>
      <c r="CG733" s="4"/>
      <c r="CH733" s="4"/>
    </row>
    <row r="734" spans="1:86" x14ac:dyDescent="0.25">
      <c r="A734" s="12">
        <f t="shared" si="17"/>
        <v>731</v>
      </c>
      <c r="B734" s="4" t="s">
        <v>1875</v>
      </c>
      <c r="C734" s="4" t="s">
        <v>1876</v>
      </c>
      <c r="D734" s="4" t="s">
        <v>1126</v>
      </c>
      <c r="E734" s="4"/>
      <c r="F734" s="14"/>
      <c r="G734" s="14"/>
      <c r="H734" s="14"/>
      <c r="I734" s="5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  <c r="BM734" s="4"/>
      <c r="BN734" s="4"/>
      <c r="BO734" s="4"/>
      <c r="BP734" s="4"/>
      <c r="BQ734" s="4"/>
      <c r="BR734" s="4"/>
      <c r="BS734" s="4"/>
      <c r="BT734" s="4"/>
      <c r="BU734" s="4"/>
      <c r="BV734" s="4"/>
      <c r="BW734" s="4"/>
      <c r="BX734" s="4"/>
      <c r="BY734" s="4"/>
      <c r="BZ734" s="4"/>
      <c r="CA734" s="4"/>
      <c r="CB734" s="4"/>
      <c r="CC734" s="4"/>
      <c r="CD734" s="4"/>
      <c r="CE734" s="4"/>
      <c r="CF734" s="4"/>
      <c r="CG734" s="4"/>
      <c r="CH734" s="4"/>
    </row>
    <row r="735" spans="1:86" x14ac:dyDescent="0.25">
      <c r="A735" s="12">
        <f t="shared" si="17"/>
        <v>732</v>
      </c>
      <c r="B735" s="4" t="s">
        <v>1877</v>
      </c>
      <c r="C735" s="4" t="s">
        <v>1878</v>
      </c>
      <c r="D735" s="4" t="s">
        <v>955</v>
      </c>
      <c r="E735" s="4"/>
      <c r="F735" s="14"/>
      <c r="G735" s="14"/>
      <c r="H735" s="14"/>
      <c r="I735" s="5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  <c r="BM735" s="4"/>
      <c r="BN735" s="4"/>
      <c r="BO735" s="4"/>
      <c r="BP735" s="4"/>
      <c r="BQ735" s="4"/>
      <c r="BR735" s="4"/>
      <c r="BS735" s="4"/>
      <c r="BT735" s="4"/>
      <c r="BU735" s="4"/>
      <c r="BV735" s="4"/>
      <c r="BW735" s="4"/>
      <c r="BX735" s="4"/>
      <c r="BY735" s="4"/>
      <c r="BZ735" s="4"/>
      <c r="CA735" s="4"/>
      <c r="CB735" s="4"/>
      <c r="CC735" s="4"/>
      <c r="CD735" s="4"/>
      <c r="CE735" s="4"/>
      <c r="CF735" s="4"/>
      <c r="CG735" s="4"/>
      <c r="CH735" s="4"/>
    </row>
    <row r="736" spans="1:86" x14ac:dyDescent="0.25">
      <c r="A736" s="12">
        <f t="shared" si="17"/>
        <v>733</v>
      </c>
      <c r="B736" s="4" t="s">
        <v>1879</v>
      </c>
      <c r="C736" s="4" t="s">
        <v>1880</v>
      </c>
      <c r="D736" s="4" t="s">
        <v>45</v>
      </c>
      <c r="E736" s="4"/>
      <c r="F736" s="14"/>
      <c r="G736" s="14"/>
      <c r="H736" s="14"/>
      <c r="I736" s="5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  <c r="BM736" s="4"/>
      <c r="BN736" s="4"/>
      <c r="BO736" s="4"/>
      <c r="BP736" s="4"/>
      <c r="BQ736" s="4"/>
      <c r="BR736" s="4"/>
      <c r="BS736" s="4"/>
      <c r="BT736" s="4"/>
      <c r="BU736" s="4"/>
      <c r="BV736" s="4"/>
      <c r="BW736" s="4"/>
      <c r="BX736" s="4"/>
      <c r="BY736" s="4"/>
      <c r="BZ736" s="4"/>
      <c r="CA736" s="4"/>
      <c r="CB736" s="4"/>
      <c r="CC736" s="4"/>
      <c r="CD736" s="4"/>
      <c r="CE736" s="4"/>
      <c r="CF736" s="4"/>
      <c r="CG736" s="4"/>
      <c r="CH736" s="4"/>
    </row>
    <row r="737" spans="1:86" x14ac:dyDescent="0.25">
      <c r="A737" s="12">
        <f t="shared" si="17"/>
        <v>734</v>
      </c>
      <c r="B737" s="4" t="s">
        <v>1881</v>
      </c>
      <c r="C737" s="4" t="s">
        <v>1882</v>
      </c>
      <c r="D737" s="4" t="s">
        <v>768</v>
      </c>
      <c r="E737" s="4"/>
      <c r="F737" s="14"/>
      <c r="G737" s="14"/>
      <c r="H737" s="14"/>
      <c r="I737" s="5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  <c r="BM737" s="4"/>
      <c r="BN737" s="4"/>
      <c r="BO737" s="4"/>
      <c r="BP737" s="4"/>
      <c r="BQ737" s="4"/>
      <c r="BR737" s="4"/>
      <c r="BS737" s="4"/>
      <c r="BT737" s="4"/>
      <c r="BU737" s="4"/>
      <c r="BV737" s="4"/>
      <c r="BW737" s="4"/>
      <c r="BX737" s="4"/>
      <c r="BY737" s="4"/>
      <c r="BZ737" s="4"/>
      <c r="CA737" s="4"/>
      <c r="CB737" s="4"/>
      <c r="CC737" s="4"/>
      <c r="CD737" s="4"/>
      <c r="CE737" s="4"/>
      <c r="CF737" s="4"/>
      <c r="CG737" s="4"/>
      <c r="CH737" s="4"/>
    </row>
    <row r="738" spans="1:86" x14ac:dyDescent="0.25">
      <c r="A738" s="12">
        <f t="shared" si="17"/>
        <v>735</v>
      </c>
      <c r="B738" s="4" t="s">
        <v>1883</v>
      </c>
      <c r="C738" s="4" t="s">
        <v>1884</v>
      </c>
      <c r="D738" s="4" t="s">
        <v>45</v>
      </c>
      <c r="E738" s="4"/>
      <c r="F738" s="14"/>
      <c r="G738" s="14"/>
      <c r="H738" s="14"/>
      <c r="I738" s="5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  <c r="BM738" s="4"/>
      <c r="BN738" s="4"/>
      <c r="BO738" s="4"/>
      <c r="BP738" s="4"/>
      <c r="BQ738" s="4"/>
      <c r="BR738" s="4"/>
      <c r="BS738" s="4"/>
      <c r="BT738" s="4"/>
      <c r="BU738" s="4"/>
      <c r="BV738" s="4"/>
      <c r="BW738" s="4"/>
      <c r="BX738" s="4"/>
      <c r="BY738" s="4"/>
      <c r="BZ738" s="4"/>
      <c r="CA738" s="4"/>
      <c r="CB738" s="4"/>
      <c r="CC738" s="4"/>
      <c r="CD738" s="4"/>
      <c r="CE738" s="4"/>
      <c r="CF738" s="4"/>
      <c r="CG738" s="4"/>
      <c r="CH738" s="4"/>
    </row>
    <row r="739" spans="1:86" x14ac:dyDescent="0.25">
      <c r="A739" s="12">
        <f t="shared" si="17"/>
        <v>736</v>
      </c>
      <c r="B739" s="4" t="s">
        <v>1885</v>
      </c>
      <c r="C739" s="4" t="s">
        <v>1886</v>
      </c>
      <c r="D739" s="4" t="s">
        <v>45</v>
      </c>
      <c r="E739" s="4"/>
      <c r="F739" s="14"/>
      <c r="G739" s="14"/>
      <c r="H739" s="14"/>
      <c r="I739" s="5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  <c r="BM739" s="4"/>
      <c r="BN739" s="4"/>
      <c r="BO739" s="4"/>
      <c r="BP739" s="4"/>
      <c r="BQ739" s="4"/>
      <c r="BR739" s="4"/>
      <c r="BS739" s="4"/>
      <c r="BT739" s="4"/>
      <c r="BU739" s="4"/>
      <c r="BV739" s="4"/>
      <c r="BW739" s="4"/>
      <c r="BX739" s="4"/>
      <c r="BY739" s="4"/>
      <c r="BZ739" s="4"/>
      <c r="CA739" s="4"/>
      <c r="CB739" s="4"/>
      <c r="CC739" s="4"/>
      <c r="CD739" s="4"/>
      <c r="CE739" s="4"/>
      <c r="CF739" s="4"/>
      <c r="CG739" s="4"/>
      <c r="CH739" s="4"/>
    </row>
    <row r="740" spans="1:86" x14ac:dyDescent="0.25">
      <c r="A740" s="12">
        <f t="shared" si="17"/>
        <v>737</v>
      </c>
      <c r="B740" s="4" t="s">
        <v>1887</v>
      </c>
      <c r="C740" s="4" t="s">
        <v>1888</v>
      </c>
      <c r="D740" s="4" t="s">
        <v>45</v>
      </c>
      <c r="E740" s="4"/>
      <c r="F740" s="14"/>
      <c r="G740" s="14"/>
      <c r="H740" s="14"/>
      <c r="I740" s="5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  <c r="BM740" s="4"/>
      <c r="BN740" s="4"/>
      <c r="BO740" s="4"/>
      <c r="BP740" s="4"/>
      <c r="BQ740" s="4"/>
      <c r="BR740" s="4"/>
      <c r="BS740" s="4"/>
      <c r="BT740" s="4"/>
      <c r="BU740" s="4"/>
      <c r="BV740" s="4"/>
      <c r="BW740" s="4"/>
      <c r="BX740" s="4"/>
      <c r="BY740" s="4"/>
      <c r="BZ740" s="4"/>
      <c r="CA740" s="4"/>
      <c r="CB740" s="4"/>
      <c r="CC740" s="4"/>
      <c r="CD740" s="4"/>
      <c r="CE740" s="4"/>
      <c r="CF740" s="4"/>
      <c r="CG740" s="4"/>
      <c r="CH740" s="4"/>
    </row>
    <row r="741" spans="1:86" x14ac:dyDescent="0.25">
      <c r="A741" s="12">
        <f t="shared" si="17"/>
        <v>738</v>
      </c>
      <c r="B741" s="4" t="s">
        <v>1889</v>
      </c>
      <c r="C741" s="4" t="s">
        <v>1890</v>
      </c>
      <c r="D741" s="4" t="s">
        <v>45</v>
      </c>
      <c r="E741" s="4"/>
      <c r="F741" s="14"/>
      <c r="G741" s="14"/>
      <c r="H741" s="14"/>
      <c r="I741" s="5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  <c r="BP741" s="4"/>
      <c r="BQ741" s="4"/>
      <c r="BR741" s="4"/>
      <c r="BS741" s="4"/>
      <c r="BT741" s="4"/>
      <c r="BU741" s="4"/>
      <c r="BV741" s="4"/>
      <c r="BW741" s="4"/>
      <c r="BX741" s="4"/>
      <c r="BY741" s="4"/>
      <c r="BZ741" s="4"/>
      <c r="CA741" s="4"/>
      <c r="CB741" s="4"/>
      <c r="CC741" s="4"/>
      <c r="CD741" s="4"/>
      <c r="CE741" s="4"/>
      <c r="CF741" s="4"/>
      <c r="CG741" s="4"/>
      <c r="CH741" s="4"/>
    </row>
    <row r="742" spans="1:86" x14ac:dyDescent="0.25">
      <c r="A742" s="12">
        <f t="shared" si="17"/>
        <v>739</v>
      </c>
      <c r="B742" s="4" t="s">
        <v>1891</v>
      </c>
      <c r="C742" s="4" t="s">
        <v>1892</v>
      </c>
      <c r="D742" s="4" t="s">
        <v>45</v>
      </c>
      <c r="E742" s="4"/>
      <c r="F742" s="14"/>
      <c r="G742" s="14"/>
      <c r="H742" s="14"/>
      <c r="I742" s="5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  <c r="BM742" s="4"/>
      <c r="BN742" s="4"/>
      <c r="BO742" s="4"/>
      <c r="BP742" s="4"/>
      <c r="BQ742" s="4"/>
      <c r="BR742" s="4"/>
      <c r="BS742" s="4"/>
      <c r="BT742" s="4"/>
      <c r="BU742" s="4"/>
      <c r="BV742" s="4"/>
      <c r="BW742" s="4"/>
      <c r="BX742" s="4"/>
      <c r="BY742" s="4"/>
      <c r="BZ742" s="4"/>
      <c r="CA742" s="4"/>
      <c r="CB742" s="4"/>
      <c r="CC742" s="4"/>
      <c r="CD742" s="4"/>
      <c r="CE742" s="4"/>
      <c r="CF742" s="4"/>
      <c r="CG742" s="4"/>
      <c r="CH742" s="4"/>
    </row>
    <row r="743" spans="1:86" x14ac:dyDescent="0.25">
      <c r="A743" s="12">
        <f t="shared" si="17"/>
        <v>740</v>
      </c>
      <c r="B743" s="4" t="s">
        <v>1893</v>
      </c>
      <c r="C743" s="4" t="s">
        <v>1894</v>
      </c>
      <c r="D743" s="4" t="s">
        <v>45</v>
      </c>
      <c r="E743" s="4"/>
      <c r="F743" s="14"/>
      <c r="G743" s="14"/>
      <c r="H743" s="14"/>
      <c r="I743" s="5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  <c r="BM743" s="4"/>
      <c r="BN743" s="4"/>
      <c r="BO743" s="4"/>
      <c r="BP743" s="4"/>
      <c r="BQ743" s="4"/>
      <c r="BR743" s="4"/>
      <c r="BS743" s="4"/>
      <c r="BT743" s="4"/>
      <c r="BU743" s="4"/>
      <c r="BV743" s="4"/>
      <c r="BW743" s="4"/>
      <c r="BX743" s="4"/>
      <c r="BY743" s="4"/>
      <c r="BZ743" s="4"/>
      <c r="CA743" s="4"/>
      <c r="CB743" s="4"/>
      <c r="CC743" s="4"/>
      <c r="CD743" s="4"/>
      <c r="CE743" s="4"/>
      <c r="CF743" s="4"/>
      <c r="CG743" s="4"/>
      <c r="CH743" s="4"/>
    </row>
    <row r="744" spans="1:86" x14ac:dyDescent="0.25">
      <c r="A744" s="12">
        <f t="shared" si="17"/>
        <v>741</v>
      </c>
      <c r="B744" s="4" t="s">
        <v>1895</v>
      </c>
      <c r="C744" s="4" t="s">
        <v>1896</v>
      </c>
      <c r="D744" s="4" t="s">
        <v>768</v>
      </c>
      <c r="E744" s="4"/>
      <c r="F744" s="14"/>
      <c r="G744" s="14"/>
      <c r="H744" s="14"/>
      <c r="I744" s="5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  <c r="BM744" s="4"/>
      <c r="BN744" s="4"/>
      <c r="BO744" s="4"/>
      <c r="BP744" s="4"/>
      <c r="BQ744" s="4"/>
      <c r="BR744" s="4"/>
      <c r="BS744" s="4"/>
      <c r="BT744" s="4"/>
      <c r="BU744" s="4"/>
      <c r="BV744" s="4"/>
      <c r="BW744" s="4"/>
      <c r="BX744" s="4"/>
      <c r="BY744" s="4"/>
      <c r="BZ744" s="4"/>
      <c r="CA744" s="4"/>
      <c r="CB744" s="4"/>
      <c r="CC744" s="4"/>
      <c r="CD744" s="4"/>
      <c r="CE744" s="4"/>
      <c r="CF744" s="4"/>
      <c r="CG744" s="4"/>
      <c r="CH744" s="4"/>
    </row>
    <row r="745" spans="1:86" x14ac:dyDescent="0.25">
      <c r="A745" s="12">
        <f t="shared" si="17"/>
        <v>742</v>
      </c>
      <c r="B745" s="4" t="s">
        <v>1897</v>
      </c>
      <c r="C745" s="4" t="s">
        <v>1898</v>
      </c>
      <c r="D745" s="4" t="s">
        <v>161</v>
      </c>
      <c r="E745" s="4"/>
      <c r="F745" s="14"/>
      <c r="G745" s="14"/>
      <c r="H745" s="14"/>
      <c r="I745" s="5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  <c r="BM745" s="4"/>
      <c r="BN745" s="4"/>
      <c r="BO745" s="4"/>
      <c r="BP745" s="4"/>
      <c r="BQ745" s="4"/>
      <c r="BR745" s="4"/>
      <c r="BS745" s="4"/>
      <c r="BT745" s="4"/>
      <c r="BU745" s="4"/>
      <c r="BV745" s="4"/>
      <c r="BW745" s="4"/>
      <c r="BX745" s="4"/>
      <c r="BY745" s="4"/>
      <c r="BZ745" s="4"/>
      <c r="CA745" s="4"/>
      <c r="CB745" s="4"/>
      <c r="CC745" s="4"/>
      <c r="CD745" s="4"/>
      <c r="CE745" s="4"/>
      <c r="CF745" s="4"/>
      <c r="CG745" s="4"/>
      <c r="CH745" s="4"/>
    </row>
    <row r="746" spans="1:86" x14ac:dyDescent="0.25">
      <c r="A746" s="12">
        <f t="shared" si="17"/>
        <v>743</v>
      </c>
      <c r="B746" s="4" t="s">
        <v>1899</v>
      </c>
      <c r="C746" s="4" t="s">
        <v>1900</v>
      </c>
      <c r="D746" s="4" t="s">
        <v>1127</v>
      </c>
      <c r="E746" s="4"/>
      <c r="F746" s="14"/>
      <c r="G746" s="14"/>
      <c r="H746" s="14"/>
      <c r="I746" s="5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  <c r="BM746" s="4"/>
      <c r="BN746" s="4"/>
      <c r="BO746" s="4"/>
      <c r="BP746" s="4"/>
      <c r="BQ746" s="4"/>
      <c r="BR746" s="4"/>
      <c r="BS746" s="4"/>
      <c r="BT746" s="4"/>
      <c r="BU746" s="4"/>
      <c r="BV746" s="4"/>
      <c r="BW746" s="4"/>
      <c r="BX746" s="4"/>
      <c r="BY746" s="4"/>
      <c r="BZ746" s="4"/>
      <c r="CA746" s="4"/>
      <c r="CB746" s="4"/>
      <c r="CC746" s="4"/>
      <c r="CD746" s="4"/>
      <c r="CE746" s="4"/>
      <c r="CF746" s="4"/>
      <c r="CG746" s="4"/>
      <c r="CH746" s="4"/>
    </row>
    <row r="747" spans="1:86" x14ac:dyDescent="0.25">
      <c r="A747" s="12">
        <f t="shared" si="17"/>
        <v>744</v>
      </c>
      <c r="B747" s="4" t="s">
        <v>1901</v>
      </c>
      <c r="C747" s="4" t="s">
        <v>1902</v>
      </c>
      <c r="D747" s="4" t="s">
        <v>1129</v>
      </c>
      <c r="E747" s="4"/>
      <c r="F747" s="14"/>
      <c r="G747" s="14"/>
      <c r="H747" s="14"/>
      <c r="I747" s="5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  <c r="BM747" s="4"/>
      <c r="BN747" s="4"/>
      <c r="BO747" s="4"/>
      <c r="BP747" s="4"/>
      <c r="BQ747" s="4"/>
      <c r="BR747" s="4"/>
      <c r="BS747" s="4"/>
      <c r="BT747" s="4"/>
      <c r="BU747" s="4"/>
      <c r="BV747" s="4"/>
      <c r="BW747" s="4"/>
      <c r="BX747" s="4"/>
      <c r="BY747" s="4"/>
      <c r="BZ747" s="4"/>
      <c r="CA747" s="4"/>
      <c r="CB747" s="4"/>
      <c r="CC747" s="4"/>
      <c r="CD747" s="4"/>
      <c r="CE747" s="4"/>
      <c r="CF747" s="4"/>
      <c r="CG747" s="4"/>
      <c r="CH747" s="4"/>
    </row>
    <row r="748" spans="1:86" x14ac:dyDescent="0.25">
      <c r="A748" s="12">
        <f t="shared" si="17"/>
        <v>745</v>
      </c>
      <c r="B748" s="4" t="s">
        <v>1903</v>
      </c>
      <c r="C748" s="4" t="s">
        <v>1904</v>
      </c>
      <c r="D748" s="4" t="s">
        <v>1123</v>
      </c>
      <c r="E748" s="4"/>
      <c r="F748" s="14"/>
      <c r="G748" s="14"/>
      <c r="H748" s="14"/>
      <c r="I748" s="5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  <c r="BM748" s="4"/>
      <c r="BN748" s="4"/>
      <c r="BO748" s="4"/>
      <c r="BP748" s="4"/>
      <c r="BQ748" s="4"/>
      <c r="BR748" s="4"/>
      <c r="BS748" s="4"/>
      <c r="BT748" s="4"/>
      <c r="BU748" s="4"/>
      <c r="BV748" s="4"/>
      <c r="BW748" s="4"/>
      <c r="BX748" s="4"/>
      <c r="BY748" s="4"/>
      <c r="BZ748" s="4"/>
      <c r="CA748" s="4"/>
      <c r="CB748" s="4"/>
      <c r="CC748" s="4"/>
      <c r="CD748" s="4"/>
      <c r="CE748" s="4"/>
      <c r="CF748" s="4"/>
      <c r="CG748" s="4"/>
      <c r="CH748" s="4"/>
    </row>
    <row r="749" spans="1:86" x14ac:dyDescent="0.25">
      <c r="A749" s="12">
        <f t="shared" si="17"/>
        <v>746</v>
      </c>
      <c r="B749" s="4" t="s">
        <v>1905</v>
      </c>
      <c r="C749" s="4" t="s">
        <v>1906</v>
      </c>
      <c r="D749" s="4" t="s">
        <v>2572</v>
      </c>
      <c r="E749" s="4"/>
      <c r="F749" s="14"/>
      <c r="G749" s="14"/>
      <c r="H749" s="14"/>
      <c r="I749" s="5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  <c r="BM749" s="4"/>
      <c r="BN749" s="4"/>
      <c r="BO749" s="4"/>
      <c r="BP749" s="4"/>
      <c r="BQ749" s="4"/>
      <c r="BR749" s="4"/>
      <c r="BS749" s="4"/>
      <c r="BT749" s="4"/>
      <c r="BU749" s="4"/>
      <c r="BV749" s="4"/>
      <c r="BW749" s="4"/>
      <c r="BX749" s="4"/>
      <c r="BY749" s="4"/>
      <c r="BZ749" s="4"/>
      <c r="CA749" s="4"/>
      <c r="CB749" s="4"/>
      <c r="CC749" s="4"/>
      <c r="CD749" s="4"/>
      <c r="CE749" s="4"/>
      <c r="CF749" s="4"/>
      <c r="CG749" s="4"/>
      <c r="CH749" s="4"/>
    </row>
    <row r="750" spans="1:86" x14ac:dyDescent="0.25">
      <c r="A750" s="12">
        <f t="shared" si="17"/>
        <v>747</v>
      </c>
      <c r="B750" s="4" t="s">
        <v>1907</v>
      </c>
      <c r="C750" s="4" t="s">
        <v>1908</v>
      </c>
      <c r="D750" s="4" t="s">
        <v>45</v>
      </c>
      <c r="E750" s="4"/>
      <c r="F750" s="14"/>
      <c r="G750" s="14"/>
      <c r="H750" s="14"/>
      <c r="I750" s="5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  <c r="BP750" s="4"/>
      <c r="BQ750" s="4"/>
      <c r="BR750" s="4"/>
      <c r="BS750" s="4"/>
      <c r="BT750" s="4"/>
      <c r="BU750" s="4"/>
      <c r="BV750" s="4"/>
      <c r="BW750" s="4"/>
      <c r="BX750" s="4"/>
      <c r="BY750" s="4"/>
      <c r="BZ750" s="4"/>
      <c r="CA750" s="4"/>
      <c r="CB750" s="4"/>
      <c r="CC750" s="4"/>
      <c r="CD750" s="4"/>
      <c r="CE750" s="4"/>
      <c r="CF750" s="4"/>
      <c r="CG750" s="4"/>
      <c r="CH750" s="4"/>
    </row>
    <row r="751" spans="1:86" x14ac:dyDescent="0.25">
      <c r="A751" s="12">
        <f t="shared" si="17"/>
        <v>748</v>
      </c>
      <c r="B751" s="4" t="s">
        <v>1909</v>
      </c>
      <c r="C751" s="4" t="s">
        <v>1910</v>
      </c>
      <c r="D751" s="4" t="s">
        <v>2569</v>
      </c>
      <c r="E751" s="4"/>
      <c r="F751" s="14"/>
      <c r="G751" s="14"/>
      <c r="H751" s="14"/>
      <c r="I751" s="5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  <c r="BM751" s="4"/>
      <c r="BN751" s="4"/>
      <c r="BO751" s="4"/>
      <c r="BP751" s="4"/>
      <c r="BQ751" s="4"/>
      <c r="BR751" s="4"/>
      <c r="BS751" s="4"/>
      <c r="BT751" s="4"/>
      <c r="BU751" s="4"/>
      <c r="BV751" s="4"/>
      <c r="BW751" s="4"/>
      <c r="BX751" s="4"/>
      <c r="BY751" s="4"/>
      <c r="BZ751" s="4"/>
      <c r="CA751" s="4"/>
      <c r="CB751" s="4"/>
      <c r="CC751" s="4"/>
      <c r="CD751" s="4"/>
      <c r="CE751" s="4"/>
      <c r="CF751" s="4"/>
      <c r="CG751" s="4"/>
      <c r="CH751" s="4"/>
    </row>
    <row r="752" spans="1:86" x14ac:dyDescent="0.25">
      <c r="A752" s="12">
        <f t="shared" si="17"/>
        <v>749</v>
      </c>
      <c r="B752" s="4" t="s">
        <v>1911</v>
      </c>
      <c r="C752" s="4" t="s">
        <v>1912</v>
      </c>
      <c r="D752" s="4" t="s">
        <v>768</v>
      </c>
      <c r="E752" s="4"/>
      <c r="F752" s="14"/>
      <c r="G752" s="14"/>
      <c r="H752" s="14"/>
      <c r="I752" s="5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  <c r="BM752" s="4"/>
      <c r="BN752" s="4"/>
      <c r="BO752" s="4"/>
      <c r="BP752" s="4"/>
      <c r="BQ752" s="4"/>
      <c r="BR752" s="4"/>
      <c r="BS752" s="4"/>
      <c r="BT752" s="4"/>
      <c r="BU752" s="4"/>
      <c r="BV752" s="4"/>
      <c r="BW752" s="4"/>
      <c r="BX752" s="4"/>
      <c r="BY752" s="4"/>
      <c r="BZ752" s="4"/>
      <c r="CA752" s="4"/>
      <c r="CB752" s="4"/>
      <c r="CC752" s="4"/>
      <c r="CD752" s="4"/>
      <c r="CE752" s="4"/>
      <c r="CF752" s="4"/>
      <c r="CG752" s="4"/>
      <c r="CH752" s="4"/>
    </row>
    <row r="753" spans="1:86" x14ac:dyDescent="0.25">
      <c r="A753" s="12">
        <f t="shared" si="17"/>
        <v>750</v>
      </c>
      <c r="B753" s="4" t="s">
        <v>1913</v>
      </c>
      <c r="C753" s="4" t="s">
        <v>1914</v>
      </c>
      <c r="D753" s="4" t="s">
        <v>1129</v>
      </c>
      <c r="E753" s="4"/>
      <c r="F753" s="14"/>
      <c r="G753" s="14"/>
      <c r="H753" s="14"/>
      <c r="I753" s="5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  <c r="BM753" s="4"/>
      <c r="BN753" s="4"/>
      <c r="BO753" s="4"/>
      <c r="BP753" s="4"/>
      <c r="BQ753" s="4"/>
      <c r="BR753" s="4"/>
      <c r="BS753" s="4"/>
      <c r="BT753" s="4"/>
      <c r="BU753" s="4"/>
      <c r="BV753" s="4"/>
      <c r="BW753" s="4"/>
      <c r="BX753" s="4"/>
      <c r="BY753" s="4"/>
      <c r="BZ753" s="4"/>
      <c r="CA753" s="4"/>
      <c r="CB753" s="4"/>
      <c r="CC753" s="4"/>
      <c r="CD753" s="4"/>
      <c r="CE753" s="4"/>
      <c r="CF753" s="4"/>
      <c r="CG753" s="4"/>
      <c r="CH753" s="4"/>
    </row>
    <row r="754" spans="1:86" x14ac:dyDescent="0.25">
      <c r="A754" s="12">
        <f t="shared" si="17"/>
        <v>751</v>
      </c>
      <c r="B754" s="4" t="s">
        <v>1915</v>
      </c>
      <c r="C754" s="4" t="s">
        <v>1916</v>
      </c>
      <c r="D754" s="4" t="s">
        <v>955</v>
      </c>
      <c r="E754" s="4"/>
      <c r="F754" s="14"/>
      <c r="G754" s="14"/>
      <c r="H754" s="14"/>
      <c r="I754" s="5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  <c r="BM754" s="4"/>
      <c r="BN754" s="4"/>
      <c r="BO754" s="4"/>
      <c r="BP754" s="4"/>
      <c r="BQ754" s="4"/>
      <c r="BR754" s="4"/>
      <c r="BS754" s="4"/>
      <c r="BT754" s="4"/>
      <c r="BU754" s="4"/>
      <c r="BV754" s="4"/>
      <c r="BW754" s="4"/>
      <c r="BX754" s="4"/>
      <c r="BY754" s="4"/>
      <c r="BZ754" s="4"/>
      <c r="CA754" s="4"/>
      <c r="CB754" s="4"/>
      <c r="CC754" s="4"/>
      <c r="CD754" s="4"/>
      <c r="CE754" s="4"/>
      <c r="CF754" s="4"/>
      <c r="CG754" s="4"/>
      <c r="CH754" s="4"/>
    </row>
    <row r="755" spans="1:86" x14ac:dyDescent="0.25">
      <c r="A755" s="12">
        <f t="shared" si="17"/>
        <v>752</v>
      </c>
      <c r="B755" s="4" t="s">
        <v>1917</v>
      </c>
      <c r="C755" s="4" t="s">
        <v>1918</v>
      </c>
      <c r="D755" s="4" t="s">
        <v>45</v>
      </c>
      <c r="E755" s="4"/>
      <c r="F755" s="14"/>
      <c r="G755" s="14"/>
      <c r="H755" s="14"/>
      <c r="I755" s="5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  <c r="BM755" s="4"/>
      <c r="BN755" s="4"/>
      <c r="BO755" s="4"/>
      <c r="BP755" s="4"/>
      <c r="BQ755" s="4"/>
      <c r="BR755" s="4"/>
      <c r="BS755" s="4"/>
      <c r="BT755" s="4"/>
      <c r="BU755" s="4"/>
      <c r="BV755" s="4"/>
      <c r="BW755" s="4"/>
      <c r="BX755" s="4"/>
      <c r="BY755" s="4"/>
      <c r="BZ755" s="4"/>
      <c r="CA755" s="4"/>
      <c r="CB755" s="4"/>
      <c r="CC755" s="4"/>
      <c r="CD755" s="4"/>
      <c r="CE755" s="4"/>
      <c r="CF755" s="4"/>
      <c r="CG755" s="4"/>
      <c r="CH755" s="4"/>
    </row>
    <row r="756" spans="1:86" x14ac:dyDescent="0.25">
      <c r="A756" s="12">
        <f t="shared" si="17"/>
        <v>753</v>
      </c>
      <c r="B756" s="4" t="s">
        <v>1919</v>
      </c>
      <c r="C756" s="4" t="s">
        <v>1920</v>
      </c>
      <c r="D756" s="4" t="s">
        <v>1127</v>
      </c>
      <c r="E756" s="4"/>
      <c r="F756" s="14"/>
      <c r="G756" s="14"/>
      <c r="H756" s="14"/>
      <c r="I756" s="5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  <c r="BM756" s="4"/>
      <c r="BN756" s="4"/>
      <c r="BO756" s="4"/>
      <c r="BP756" s="4"/>
      <c r="BQ756" s="4"/>
      <c r="BR756" s="4"/>
      <c r="BS756" s="4"/>
      <c r="BT756" s="4"/>
      <c r="BU756" s="4"/>
      <c r="BV756" s="4"/>
      <c r="BW756" s="4"/>
      <c r="BX756" s="4"/>
      <c r="BY756" s="4"/>
      <c r="BZ756" s="4"/>
      <c r="CA756" s="4"/>
      <c r="CB756" s="4"/>
      <c r="CC756" s="4"/>
      <c r="CD756" s="4"/>
      <c r="CE756" s="4"/>
      <c r="CF756" s="4"/>
      <c r="CG756" s="4"/>
      <c r="CH756" s="4"/>
    </row>
    <row r="757" spans="1:86" x14ac:dyDescent="0.25">
      <c r="A757" s="12">
        <f t="shared" si="17"/>
        <v>754</v>
      </c>
      <c r="B757" s="4" t="s">
        <v>1921</v>
      </c>
      <c r="C757" s="4" t="s">
        <v>1922</v>
      </c>
      <c r="D757" s="4" t="s">
        <v>45</v>
      </c>
      <c r="E757" s="4"/>
      <c r="F757" s="14"/>
      <c r="G757" s="14"/>
      <c r="H757" s="14"/>
      <c r="I757" s="5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  <c r="BM757" s="4"/>
      <c r="BN757" s="4"/>
      <c r="BO757" s="4"/>
      <c r="BP757" s="4"/>
      <c r="BQ757" s="4"/>
      <c r="BR757" s="4"/>
      <c r="BS757" s="4"/>
      <c r="BT757" s="4"/>
      <c r="BU757" s="4"/>
      <c r="BV757" s="4"/>
      <c r="BW757" s="4"/>
      <c r="BX757" s="4"/>
      <c r="BY757" s="4"/>
      <c r="BZ757" s="4"/>
      <c r="CA757" s="4"/>
      <c r="CB757" s="4"/>
      <c r="CC757" s="4"/>
      <c r="CD757" s="4"/>
      <c r="CE757" s="4"/>
      <c r="CF757" s="4"/>
      <c r="CG757" s="4"/>
      <c r="CH757" s="4"/>
    </row>
    <row r="758" spans="1:86" x14ac:dyDescent="0.25">
      <c r="A758" s="12">
        <f t="shared" si="17"/>
        <v>755</v>
      </c>
      <c r="B758" s="4" t="s">
        <v>1923</v>
      </c>
      <c r="C758" s="4" t="s">
        <v>1924</v>
      </c>
      <c r="D758" s="4" t="s">
        <v>278</v>
      </c>
      <c r="E758" s="4"/>
      <c r="F758" s="14"/>
      <c r="G758" s="14"/>
      <c r="H758" s="14"/>
      <c r="I758" s="5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  <c r="BM758" s="4"/>
      <c r="BN758" s="4"/>
      <c r="BO758" s="4"/>
      <c r="BP758" s="4"/>
      <c r="BQ758" s="4"/>
      <c r="BR758" s="4"/>
      <c r="BS758" s="4"/>
      <c r="BT758" s="4"/>
      <c r="BU758" s="4"/>
      <c r="BV758" s="4"/>
      <c r="BW758" s="4"/>
      <c r="BX758" s="4"/>
      <c r="BY758" s="4"/>
      <c r="BZ758" s="4"/>
      <c r="CA758" s="4"/>
      <c r="CB758" s="4"/>
      <c r="CC758" s="4"/>
      <c r="CD758" s="4"/>
      <c r="CE758" s="4"/>
      <c r="CF758" s="4"/>
      <c r="CG758" s="4"/>
      <c r="CH758" s="4"/>
    </row>
    <row r="759" spans="1:86" x14ac:dyDescent="0.25">
      <c r="A759" s="12">
        <f t="shared" si="17"/>
        <v>756</v>
      </c>
      <c r="B759" s="4" t="s">
        <v>1925</v>
      </c>
      <c r="C759" s="4" t="s">
        <v>1926</v>
      </c>
      <c r="D759" s="4" t="s">
        <v>1129</v>
      </c>
      <c r="E759" s="4"/>
      <c r="F759" s="14"/>
      <c r="G759" s="14"/>
      <c r="H759" s="14"/>
      <c r="I759" s="5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  <c r="BM759" s="4"/>
      <c r="BN759" s="4"/>
      <c r="BO759" s="4"/>
      <c r="BP759" s="4"/>
      <c r="BQ759" s="4"/>
      <c r="BR759" s="4"/>
      <c r="BS759" s="4"/>
      <c r="BT759" s="4"/>
      <c r="BU759" s="4"/>
      <c r="BV759" s="4"/>
      <c r="BW759" s="4"/>
      <c r="BX759" s="4"/>
      <c r="BY759" s="4"/>
      <c r="BZ759" s="4"/>
      <c r="CA759" s="4"/>
      <c r="CB759" s="4"/>
      <c r="CC759" s="4"/>
      <c r="CD759" s="4"/>
      <c r="CE759" s="4"/>
      <c r="CF759" s="4"/>
      <c r="CG759" s="4"/>
      <c r="CH759" s="4"/>
    </row>
    <row r="760" spans="1:86" x14ac:dyDescent="0.25">
      <c r="A760" s="12">
        <f t="shared" si="17"/>
        <v>757</v>
      </c>
      <c r="B760" s="4" t="s">
        <v>1927</v>
      </c>
      <c r="C760" s="4" t="s">
        <v>1928</v>
      </c>
      <c r="D760" s="4" t="s">
        <v>84</v>
      </c>
      <c r="E760" s="4"/>
      <c r="F760" s="14"/>
      <c r="G760" s="14"/>
      <c r="H760" s="14"/>
      <c r="I760" s="5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  <c r="BM760" s="4"/>
      <c r="BN760" s="4"/>
      <c r="BO760" s="4"/>
      <c r="BP760" s="4"/>
      <c r="BQ760" s="4"/>
      <c r="BR760" s="4"/>
      <c r="BS760" s="4"/>
      <c r="BT760" s="4"/>
      <c r="BU760" s="4"/>
      <c r="BV760" s="4"/>
      <c r="BW760" s="4"/>
      <c r="BX760" s="4"/>
      <c r="BY760" s="4"/>
      <c r="BZ760" s="4"/>
      <c r="CA760" s="4"/>
      <c r="CB760" s="4"/>
      <c r="CC760" s="4"/>
      <c r="CD760" s="4"/>
      <c r="CE760" s="4"/>
      <c r="CF760" s="4"/>
      <c r="CG760" s="4"/>
      <c r="CH760" s="4"/>
    </row>
    <row r="761" spans="1:86" x14ac:dyDescent="0.25">
      <c r="A761" s="12">
        <f t="shared" si="17"/>
        <v>758</v>
      </c>
      <c r="B761" s="4" t="s">
        <v>1929</v>
      </c>
      <c r="C761" s="4" t="s">
        <v>1930</v>
      </c>
      <c r="D761" s="4" t="s">
        <v>1129</v>
      </c>
      <c r="E761" s="4"/>
      <c r="F761" s="14"/>
      <c r="G761" s="14"/>
      <c r="H761" s="14"/>
      <c r="I761" s="5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  <c r="BM761" s="4"/>
      <c r="BN761" s="4"/>
      <c r="BO761" s="4"/>
      <c r="BP761" s="4"/>
      <c r="BQ761" s="4"/>
      <c r="BR761" s="4"/>
      <c r="BS761" s="4"/>
      <c r="BT761" s="4"/>
      <c r="BU761" s="4"/>
      <c r="BV761" s="4"/>
      <c r="BW761" s="4"/>
      <c r="BX761" s="4"/>
      <c r="BY761" s="4"/>
      <c r="BZ761" s="4"/>
      <c r="CA761" s="4"/>
      <c r="CB761" s="4"/>
      <c r="CC761" s="4"/>
      <c r="CD761" s="4"/>
      <c r="CE761" s="4"/>
      <c r="CF761" s="4"/>
      <c r="CG761" s="4"/>
      <c r="CH761" s="4"/>
    </row>
    <row r="762" spans="1:86" x14ac:dyDescent="0.25">
      <c r="A762" s="12">
        <f t="shared" si="17"/>
        <v>759</v>
      </c>
      <c r="B762" s="4" t="s">
        <v>1931</v>
      </c>
      <c r="C762" s="4" t="s">
        <v>1932</v>
      </c>
      <c r="D762" s="4" t="s">
        <v>1125</v>
      </c>
      <c r="E762" s="4"/>
      <c r="F762" s="14"/>
      <c r="G762" s="14"/>
      <c r="H762" s="14"/>
      <c r="I762" s="5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  <c r="BM762" s="4"/>
      <c r="BN762" s="4"/>
      <c r="BO762" s="4"/>
      <c r="BP762" s="4"/>
      <c r="BQ762" s="4"/>
      <c r="BR762" s="4"/>
      <c r="BS762" s="4"/>
      <c r="BT762" s="4"/>
      <c r="BU762" s="4"/>
      <c r="BV762" s="4"/>
      <c r="BW762" s="4"/>
      <c r="BX762" s="4"/>
      <c r="BY762" s="4"/>
      <c r="BZ762" s="4"/>
      <c r="CA762" s="4"/>
      <c r="CB762" s="4"/>
      <c r="CC762" s="4"/>
      <c r="CD762" s="4"/>
      <c r="CE762" s="4"/>
      <c r="CF762" s="4"/>
      <c r="CG762" s="4"/>
      <c r="CH762" s="4"/>
    </row>
    <row r="763" spans="1:86" x14ac:dyDescent="0.25">
      <c r="A763" s="12">
        <f t="shared" si="17"/>
        <v>760</v>
      </c>
      <c r="B763" s="4" t="s">
        <v>1933</v>
      </c>
      <c r="C763" s="4" t="s">
        <v>1934</v>
      </c>
      <c r="D763" s="4" t="s">
        <v>2576</v>
      </c>
      <c r="E763" s="4"/>
      <c r="F763" s="14"/>
      <c r="G763" s="14"/>
      <c r="H763" s="14"/>
      <c r="I763" s="5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  <c r="BM763" s="4"/>
      <c r="BN763" s="4"/>
      <c r="BO763" s="4"/>
      <c r="BP763" s="4"/>
      <c r="BQ763" s="4"/>
      <c r="BR763" s="4"/>
      <c r="BS763" s="4"/>
      <c r="BT763" s="4"/>
      <c r="BU763" s="4"/>
      <c r="BV763" s="4"/>
      <c r="BW763" s="4"/>
      <c r="BX763" s="4"/>
      <c r="BY763" s="4"/>
      <c r="BZ763" s="4"/>
      <c r="CA763" s="4"/>
      <c r="CB763" s="4"/>
      <c r="CC763" s="4"/>
      <c r="CD763" s="4"/>
      <c r="CE763" s="4"/>
      <c r="CF763" s="4"/>
      <c r="CG763" s="4"/>
      <c r="CH763" s="4"/>
    </row>
    <row r="764" spans="1:86" x14ac:dyDescent="0.25">
      <c r="A764" s="12">
        <f t="shared" si="17"/>
        <v>761</v>
      </c>
      <c r="B764" s="4" t="s">
        <v>1935</v>
      </c>
      <c r="C764" s="4" t="s">
        <v>1936</v>
      </c>
      <c r="D764" s="4" t="s">
        <v>45</v>
      </c>
      <c r="E764" s="4"/>
      <c r="F764" s="14"/>
      <c r="G764" s="14"/>
      <c r="H764" s="14"/>
      <c r="I764" s="5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  <c r="BM764" s="4"/>
      <c r="BN764" s="4"/>
      <c r="BO764" s="4"/>
      <c r="BP764" s="4"/>
      <c r="BQ764" s="4"/>
      <c r="BR764" s="4"/>
      <c r="BS764" s="4"/>
      <c r="BT764" s="4"/>
      <c r="BU764" s="4"/>
      <c r="BV764" s="4"/>
      <c r="BW764" s="4"/>
      <c r="BX764" s="4"/>
      <c r="BY764" s="4"/>
      <c r="BZ764" s="4"/>
      <c r="CA764" s="4"/>
      <c r="CB764" s="4"/>
      <c r="CC764" s="4"/>
      <c r="CD764" s="4"/>
      <c r="CE764" s="4"/>
      <c r="CF764" s="4"/>
      <c r="CG764" s="4"/>
      <c r="CH764" s="4"/>
    </row>
    <row r="765" spans="1:86" x14ac:dyDescent="0.25">
      <c r="A765" s="12">
        <f t="shared" si="17"/>
        <v>762</v>
      </c>
      <c r="B765" s="4" t="s">
        <v>1937</v>
      </c>
      <c r="C765" s="4" t="s">
        <v>1938</v>
      </c>
      <c r="D765" s="4" t="s">
        <v>508</v>
      </c>
      <c r="E765" s="4"/>
      <c r="F765" s="14"/>
      <c r="G765" s="14"/>
      <c r="H765" s="14"/>
      <c r="I765" s="5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  <c r="BM765" s="4"/>
      <c r="BN765" s="4"/>
      <c r="BO765" s="4"/>
      <c r="BP765" s="4"/>
      <c r="BQ765" s="4"/>
      <c r="BR765" s="4"/>
      <c r="BS765" s="4"/>
      <c r="BT765" s="4"/>
      <c r="BU765" s="4"/>
      <c r="BV765" s="4"/>
      <c r="BW765" s="4"/>
      <c r="BX765" s="4"/>
      <c r="BY765" s="4"/>
      <c r="BZ765" s="4"/>
      <c r="CA765" s="4"/>
      <c r="CB765" s="4"/>
      <c r="CC765" s="4"/>
      <c r="CD765" s="4"/>
      <c r="CE765" s="4"/>
      <c r="CF765" s="4"/>
      <c r="CG765" s="4"/>
      <c r="CH765" s="4"/>
    </row>
    <row r="766" spans="1:86" x14ac:dyDescent="0.25">
      <c r="A766" s="12">
        <f t="shared" si="17"/>
        <v>763</v>
      </c>
      <c r="B766" s="4" t="s">
        <v>1939</v>
      </c>
      <c r="C766" s="4" t="s">
        <v>1940</v>
      </c>
      <c r="D766" s="4" t="s">
        <v>1130</v>
      </c>
      <c r="E766" s="4"/>
      <c r="F766" s="14"/>
      <c r="G766" s="14"/>
      <c r="H766" s="14"/>
      <c r="I766" s="5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  <c r="BM766" s="4"/>
      <c r="BN766" s="4"/>
      <c r="BO766" s="4"/>
      <c r="BP766" s="4"/>
      <c r="BQ766" s="4"/>
      <c r="BR766" s="4"/>
      <c r="BS766" s="4"/>
      <c r="BT766" s="4"/>
      <c r="BU766" s="4"/>
      <c r="BV766" s="4"/>
      <c r="BW766" s="4"/>
      <c r="BX766" s="4"/>
      <c r="BY766" s="4"/>
      <c r="BZ766" s="4"/>
      <c r="CA766" s="4"/>
      <c r="CB766" s="4"/>
      <c r="CC766" s="4"/>
      <c r="CD766" s="4"/>
      <c r="CE766" s="4"/>
      <c r="CF766" s="4"/>
      <c r="CG766" s="4"/>
      <c r="CH766" s="4"/>
    </row>
    <row r="767" spans="1:86" x14ac:dyDescent="0.25">
      <c r="A767" s="12">
        <f t="shared" si="17"/>
        <v>764</v>
      </c>
      <c r="B767" s="4" t="s">
        <v>1941</v>
      </c>
      <c r="C767" s="4" t="s">
        <v>1942</v>
      </c>
      <c r="D767" s="4" t="s">
        <v>45</v>
      </c>
      <c r="E767" s="4"/>
      <c r="F767" s="14"/>
      <c r="G767" s="14"/>
      <c r="H767" s="14"/>
      <c r="I767" s="5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  <c r="BM767" s="4"/>
      <c r="BN767" s="4"/>
      <c r="BO767" s="4"/>
      <c r="BP767" s="4"/>
      <c r="BQ767" s="4"/>
      <c r="BR767" s="4"/>
      <c r="BS767" s="4"/>
      <c r="BT767" s="4"/>
      <c r="BU767" s="4"/>
      <c r="BV767" s="4"/>
      <c r="BW767" s="4"/>
      <c r="BX767" s="4"/>
      <c r="BY767" s="4"/>
      <c r="BZ767" s="4"/>
      <c r="CA767" s="4"/>
      <c r="CB767" s="4"/>
      <c r="CC767" s="4"/>
      <c r="CD767" s="4"/>
      <c r="CE767" s="4"/>
      <c r="CF767" s="4"/>
      <c r="CG767" s="4"/>
      <c r="CH767" s="4"/>
    </row>
    <row r="768" spans="1:86" x14ac:dyDescent="0.25">
      <c r="A768" s="12">
        <f t="shared" si="17"/>
        <v>765</v>
      </c>
      <c r="B768" s="4" t="s">
        <v>1943</v>
      </c>
      <c r="C768" s="4" t="s">
        <v>1944</v>
      </c>
      <c r="D768" s="4" t="s">
        <v>2575</v>
      </c>
      <c r="E768" s="4"/>
      <c r="F768" s="14"/>
      <c r="G768" s="14"/>
      <c r="H768" s="14"/>
      <c r="I768" s="5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  <c r="BM768" s="4"/>
      <c r="BN768" s="4"/>
      <c r="BO768" s="4"/>
      <c r="BP768" s="4"/>
      <c r="BQ768" s="4"/>
      <c r="BR768" s="4"/>
      <c r="BS768" s="4"/>
      <c r="BT768" s="4"/>
      <c r="BU768" s="4"/>
      <c r="BV768" s="4"/>
      <c r="BW768" s="4"/>
      <c r="BX768" s="4"/>
      <c r="BY768" s="4"/>
      <c r="BZ768" s="4"/>
      <c r="CA768" s="4"/>
      <c r="CB768" s="4"/>
      <c r="CC768" s="4"/>
      <c r="CD768" s="4"/>
      <c r="CE768" s="4"/>
      <c r="CF768" s="4"/>
      <c r="CG768" s="4"/>
      <c r="CH768" s="4"/>
    </row>
    <row r="769" spans="1:86" x14ac:dyDescent="0.25">
      <c r="A769" s="12">
        <f t="shared" si="17"/>
        <v>766</v>
      </c>
      <c r="B769" s="4" t="s">
        <v>1945</v>
      </c>
      <c r="C769" s="4" t="s">
        <v>1946</v>
      </c>
      <c r="D769" s="4" t="s">
        <v>770</v>
      </c>
      <c r="E769" s="4"/>
      <c r="F769" s="14"/>
      <c r="G769" s="14"/>
      <c r="H769" s="14"/>
      <c r="I769" s="5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  <c r="BM769" s="4"/>
      <c r="BN769" s="4"/>
      <c r="BO769" s="4"/>
      <c r="BP769" s="4"/>
      <c r="BQ769" s="4"/>
      <c r="BR769" s="4"/>
      <c r="BS769" s="4"/>
      <c r="BT769" s="4"/>
      <c r="BU769" s="4"/>
      <c r="BV769" s="4"/>
      <c r="BW769" s="4"/>
      <c r="BX769" s="4"/>
      <c r="BY769" s="4"/>
      <c r="BZ769" s="4"/>
      <c r="CA769" s="4"/>
      <c r="CB769" s="4"/>
      <c r="CC769" s="4"/>
      <c r="CD769" s="4"/>
      <c r="CE769" s="4"/>
      <c r="CF769" s="4"/>
      <c r="CG769" s="4"/>
      <c r="CH769" s="4"/>
    </row>
    <row r="770" spans="1:86" x14ac:dyDescent="0.25">
      <c r="A770" s="12">
        <f t="shared" si="17"/>
        <v>767</v>
      </c>
      <c r="B770" s="4" t="s">
        <v>1947</v>
      </c>
      <c r="C770" s="4" t="s">
        <v>1948</v>
      </c>
      <c r="D770" s="4" t="s">
        <v>45</v>
      </c>
      <c r="E770" s="4"/>
      <c r="F770" s="14"/>
      <c r="G770" s="14"/>
      <c r="H770" s="14"/>
      <c r="I770" s="5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  <c r="BM770" s="4"/>
      <c r="BN770" s="4"/>
      <c r="BO770" s="4"/>
      <c r="BP770" s="4"/>
      <c r="BQ770" s="4"/>
      <c r="BR770" s="4"/>
      <c r="BS770" s="4"/>
      <c r="BT770" s="4"/>
      <c r="BU770" s="4"/>
      <c r="BV770" s="4"/>
      <c r="BW770" s="4"/>
      <c r="BX770" s="4"/>
      <c r="BY770" s="4"/>
      <c r="BZ770" s="4"/>
      <c r="CA770" s="4"/>
      <c r="CB770" s="4"/>
      <c r="CC770" s="4"/>
      <c r="CD770" s="4"/>
      <c r="CE770" s="4"/>
      <c r="CF770" s="4"/>
      <c r="CG770" s="4"/>
      <c r="CH770" s="4"/>
    </row>
    <row r="771" spans="1:86" x14ac:dyDescent="0.25">
      <c r="A771" s="12">
        <f t="shared" si="17"/>
        <v>768</v>
      </c>
      <c r="B771" s="4" t="s">
        <v>1949</v>
      </c>
      <c r="C771" s="4" t="s">
        <v>1950</v>
      </c>
      <c r="D771" s="4" t="s">
        <v>45</v>
      </c>
      <c r="E771" s="4"/>
      <c r="F771" s="14"/>
      <c r="G771" s="14"/>
      <c r="H771" s="14"/>
      <c r="I771" s="5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  <c r="BM771" s="4"/>
      <c r="BN771" s="4"/>
      <c r="BO771" s="4"/>
      <c r="BP771" s="4"/>
      <c r="BQ771" s="4"/>
      <c r="BR771" s="4"/>
      <c r="BS771" s="4"/>
      <c r="BT771" s="4"/>
      <c r="BU771" s="4"/>
      <c r="BV771" s="4"/>
      <c r="BW771" s="4"/>
      <c r="BX771" s="4"/>
      <c r="BY771" s="4"/>
      <c r="BZ771" s="4"/>
      <c r="CA771" s="4"/>
      <c r="CB771" s="4"/>
      <c r="CC771" s="4"/>
      <c r="CD771" s="4"/>
      <c r="CE771" s="4"/>
      <c r="CF771" s="4"/>
      <c r="CG771" s="4"/>
      <c r="CH771" s="4"/>
    </row>
    <row r="772" spans="1:86" x14ac:dyDescent="0.25">
      <c r="A772" s="12">
        <f t="shared" si="17"/>
        <v>769</v>
      </c>
      <c r="B772" s="4" t="s">
        <v>1951</v>
      </c>
      <c r="C772" s="4" t="s">
        <v>1952</v>
      </c>
      <c r="D772" s="4" t="s">
        <v>45</v>
      </c>
      <c r="E772" s="4"/>
      <c r="F772" s="14"/>
      <c r="G772" s="14"/>
      <c r="H772" s="14"/>
      <c r="I772" s="5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  <c r="BM772" s="4"/>
      <c r="BN772" s="4"/>
      <c r="BO772" s="4"/>
      <c r="BP772" s="4"/>
      <c r="BQ772" s="4"/>
      <c r="BR772" s="4"/>
      <c r="BS772" s="4"/>
      <c r="BT772" s="4"/>
      <c r="BU772" s="4"/>
      <c r="BV772" s="4"/>
      <c r="BW772" s="4"/>
      <c r="BX772" s="4"/>
      <c r="BY772" s="4"/>
      <c r="BZ772" s="4"/>
      <c r="CA772" s="4"/>
      <c r="CB772" s="4"/>
      <c r="CC772" s="4"/>
      <c r="CD772" s="4"/>
      <c r="CE772" s="4"/>
      <c r="CF772" s="4"/>
      <c r="CG772" s="4"/>
      <c r="CH772" s="4"/>
    </row>
    <row r="773" spans="1:86" x14ac:dyDescent="0.25">
      <c r="A773" s="12">
        <f t="shared" si="17"/>
        <v>770</v>
      </c>
      <c r="B773" s="4" t="s">
        <v>1953</v>
      </c>
      <c r="C773" s="4" t="s">
        <v>1954</v>
      </c>
      <c r="D773" s="4" t="s">
        <v>45</v>
      </c>
      <c r="E773" s="4"/>
      <c r="F773" s="14"/>
      <c r="G773" s="14"/>
      <c r="H773" s="14"/>
      <c r="I773" s="5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  <c r="BM773" s="4"/>
      <c r="BN773" s="4"/>
      <c r="BO773" s="4"/>
      <c r="BP773" s="4"/>
      <c r="BQ773" s="4"/>
      <c r="BR773" s="4"/>
      <c r="BS773" s="4"/>
      <c r="BT773" s="4"/>
      <c r="BU773" s="4"/>
      <c r="BV773" s="4"/>
      <c r="BW773" s="4"/>
      <c r="BX773" s="4"/>
      <c r="BY773" s="4"/>
      <c r="BZ773" s="4"/>
      <c r="CA773" s="4"/>
      <c r="CB773" s="4"/>
      <c r="CC773" s="4"/>
      <c r="CD773" s="4"/>
      <c r="CE773" s="4"/>
      <c r="CF773" s="4"/>
      <c r="CG773" s="4"/>
      <c r="CH773" s="4"/>
    </row>
    <row r="774" spans="1:86" x14ac:dyDescent="0.25">
      <c r="A774" s="12">
        <f t="shared" si="17"/>
        <v>771</v>
      </c>
      <c r="B774" s="4" t="s">
        <v>1955</v>
      </c>
      <c r="C774" s="4" t="s">
        <v>107</v>
      </c>
      <c r="D774" s="4" t="s">
        <v>768</v>
      </c>
      <c r="E774" s="4"/>
      <c r="F774" s="14"/>
      <c r="G774" s="14"/>
      <c r="H774" s="14"/>
      <c r="I774" s="5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  <c r="BM774" s="4"/>
      <c r="BN774" s="4"/>
      <c r="BO774" s="4"/>
      <c r="BP774" s="4"/>
      <c r="BQ774" s="4"/>
      <c r="BR774" s="4"/>
      <c r="BS774" s="4"/>
      <c r="BT774" s="4"/>
      <c r="BU774" s="4"/>
      <c r="BV774" s="4"/>
      <c r="BW774" s="4"/>
      <c r="BX774" s="4"/>
      <c r="BY774" s="4"/>
      <c r="BZ774" s="4"/>
      <c r="CA774" s="4"/>
      <c r="CB774" s="4"/>
      <c r="CC774" s="4"/>
      <c r="CD774" s="4"/>
      <c r="CE774" s="4"/>
      <c r="CF774" s="4"/>
      <c r="CG774" s="4"/>
      <c r="CH774" s="4"/>
    </row>
    <row r="775" spans="1:86" x14ac:dyDescent="0.25">
      <c r="A775" s="12">
        <f t="shared" si="17"/>
        <v>772</v>
      </c>
      <c r="B775" s="4" t="s">
        <v>1956</v>
      </c>
      <c r="C775" s="4" t="s">
        <v>1957</v>
      </c>
      <c r="D775" s="4" t="s">
        <v>45</v>
      </c>
      <c r="E775" s="4"/>
      <c r="F775" s="14"/>
      <c r="G775" s="14"/>
      <c r="H775" s="14"/>
      <c r="I775" s="5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  <c r="BM775" s="4"/>
      <c r="BN775" s="4"/>
      <c r="BO775" s="4"/>
      <c r="BP775" s="4"/>
      <c r="BQ775" s="4"/>
      <c r="BR775" s="4"/>
      <c r="BS775" s="4"/>
      <c r="BT775" s="4"/>
      <c r="BU775" s="4"/>
      <c r="BV775" s="4"/>
      <c r="BW775" s="4"/>
      <c r="BX775" s="4"/>
      <c r="BY775" s="4"/>
      <c r="BZ775" s="4"/>
      <c r="CA775" s="4"/>
      <c r="CB775" s="4"/>
      <c r="CC775" s="4"/>
      <c r="CD775" s="4"/>
      <c r="CE775" s="4"/>
      <c r="CF775" s="4"/>
      <c r="CG775" s="4"/>
      <c r="CH775" s="4"/>
    </row>
    <row r="776" spans="1:86" x14ac:dyDescent="0.25">
      <c r="A776" s="12">
        <f t="shared" si="17"/>
        <v>773</v>
      </c>
      <c r="B776" s="4" t="s">
        <v>1041</v>
      </c>
      <c r="C776" s="4" t="s">
        <v>1042</v>
      </c>
      <c r="D776" s="4" t="s">
        <v>45</v>
      </c>
      <c r="E776" s="4"/>
      <c r="F776" s="14"/>
      <c r="G776" s="14"/>
      <c r="H776" s="14"/>
      <c r="I776" s="5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  <c r="BM776" s="4"/>
      <c r="BN776" s="4"/>
      <c r="BO776" s="4"/>
      <c r="BP776" s="4"/>
      <c r="BQ776" s="4"/>
      <c r="BR776" s="4"/>
      <c r="BS776" s="4"/>
      <c r="BT776" s="4"/>
      <c r="BU776" s="4"/>
      <c r="BV776" s="4"/>
      <c r="BW776" s="4"/>
      <c r="BX776" s="4"/>
      <c r="BY776" s="4"/>
      <c r="BZ776" s="4"/>
      <c r="CA776" s="4"/>
      <c r="CB776" s="4"/>
      <c r="CC776" s="4"/>
      <c r="CD776" s="4"/>
      <c r="CE776" s="4"/>
      <c r="CF776" s="4"/>
      <c r="CG776" s="4"/>
      <c r="CH776" s="4"/>
    </row>
    <row r="777" spans="1:86" x14ac:dyDescent="0.25">
      <c r="A777" s="12">
        <f t="shared" si="17"/>
        <v>774</v>
      </c>
      <c r="B777" s="4" t="s">
        <v>1043</v>
      </c>
      <c r="C777" s="4" t="s">
        <v>1044</v>
      </c>
      <c r="D777" s="4" t="s">
        <v>508</v>
      </c>
      <c r="E777" s="4"/>
      <c r="F777" s="14"/>
      <c r="G777" s="14"/>
      <c r="H777" s="14"/>
      <c r="I777" s="5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  <c r="BM777" s="4"/>
      <c r="BN777" s="4"/>
      <c r="BO777" s="4"/>
      <c r="BP777" s="4"/>
      <c r="BQ777" s="4"/>
      <c r="BR777" s="4"/>
      <c r="BS777" s="4"/>
      <c r="BT777" s="4"/>
      <c r="BU777" s="4"/>
      <c r="BV777" s="4"/>
      <c r="BW777" s="4"/>
      <c r="BX777" s="4"/>
      <c r="BY777" s="4"/>
      <c r="BZ777" s="4"/>
      <c r="CA777" s="4"/>
      <c r="CB777" s="4"/>
      <c r="CC777" s="4"/>
      <c r="CD777" s="4"/>
      <c r="CE777" s="4"/>
      <c r="CF777" s="4"/>
      <c r="CG777" s="4"/>
      <c r="CH777" s="4"/>
    </row>
    <row r="778" spans="1:86" x14ac:dyDescent="0.25">
      <c r="A778" s="12">
        <f t="shared" ref="A778:A841" si="18">+A777+1</f>
        <v>775</v>
      </c>
      <c r="B778" s="4" t="s">
        <v>1958</v>
      </c>
      <c r="C778" s="4" t="s">
        <v>1959</v>
      </c>
      <c r="D778" s="4" t="s">
        <v>45</v>
      </c>
      <c r="E778" s="4"/>
      <c r="F778" s="14"/>
      <c r="G778" s="14"/>
      <c r="H778" s="14"/>
      <c r="I778" s="5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  <c r="BM778" s="4"/>
      <c r="BN778" s="4"/>
      <c r="BO778" s="4"/>
      <c r="BP778" s="4"/>
      <c r="BQ778" s="4"/>
      <c r="BR778" s="4"/>
      <c r="BS778" s="4"/>
      <c r="BT778" s="4"/>
      <c r="BU778" s="4"/>
      <c r="BV778" s="4"/>
      <c r="BW778" s="4"/>
      <c r="BX778" s="4"/>
      <c r="BY778" s="4"/>
      <c r="BZ778" s="4"/>
      <c r="CA778" s="4"/>
      <c r="CB778" s="4"/>
      <c r="CC778" s="4"/>
      <c r="CD778" s="4"/>
      <c r="CE778" s="4"/>
      <c r="CF778" s="4"/>
      <c r="CG778" s="4"/>
      <c r="CH778" s="4"/>
    </row>
    <row r="779" spans="1:86" x14ac:dyDescent="0.25">
      <c r="A779" s="12">
        <f t="shared" si="18"/>
        <v>776</v>
      </c>
      <c r="B779" s="4" t="s">
        <v>1960</v>
      </c>
      <c r="C779" s="4" t="s">
        <v>1961</v>
      </c>
      <c r="D779" s="4" t="s">
        <v>1125</v>
      </c>
      <c r="E779" s="4"/>
      <c r="F779" s="14"/>
      <c r="G779" s="14"/>
      <c r="H779" s="14"/>
      <c r="I779" s="5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  <c r="BP779" s="4"/>
      <c r="BQ779" s="4"/>
      <c r="BR779" s="4"/>
      <c r="BS779" s="4"/>
      <c r="BT779" s="4"/>
      <c r="BU779" s="4"/>
      <c r="BV779" s="4"/>
      <c r="BW779" s="4"/>
      <c r="BX779" s="4"/>
      <c r="BY779" s="4"/>
      <c r="BZ779" s="4"/>
      <c r="CA779" s="4"/>
      <c r="CB779" s="4"/>
      <c r="CC779" s="4"/>
      <c r="CD779" s="4"/>
      <c r="CE779" s="4"/>
      <c r="CF779" s="4"/>
      <c r="CG779" s="4"/>
      <c r="CH779" s="4"/>
    </row>
    <row r="780" spans="1:86" x14ac:dyDescent="0.25">
      <c r="A780" s="12">
        <f t="shared" si="18"/>
        <v>777</v>
      </c>
      <c r="B780" s="4" t="s">
        <v>1962</v>
      </c>
      <c r="C780" s="4" t="s">
        <v>1963</v>
      </c>
      <c r="D780" s="4" t="s">
        <v>87</v>
      </c>
      <c r="E780" s="4"/>
      <c r="F780" s="14"/>
      <c r="G780" s="14"/>
      <c r="H780" s="14"/>
      <c r="I780" s="5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  <c r="BM780" s="4"/>
      <c r="BN780" s="4"/>
      <c r="BO780" s="4"/>
      <c r="BP780" s="4"/>
      <c r="BQ780" s="4"/>
      <c r="BR780" s="4"/>
      <c r="BS780" s="4"/>
      <c r="BT780" s="4"/>
      <c r="BU780" s="4"/>
      <c r="BV780" s="4"/>
      <c r="BW780" s="4"/>
      <c r="BX780" s="4"/>
      <c r="BY780" s="4"/>
      <c r="BZ780" s="4"/>
      <c r="CA780" s="4"/>
      <c r="CB780" s="4"/>
      <c r="CC780" s="4"/>
      <c r="CD780" s="4"/>
      <c r="CE780" s="4"/>
      <c r="CF780" s="4"/>
      <c r="CG780" s="4"/>
      <c r="CH780" s="4"/>
    </row>
    <row r="781" spans="1:86" x14ac:dyDescent="0.25">
      <c r="A781" s="12">
        <f t="shared" si="18"/>
        <v>778</v>
      </c>
      <c r="B781" s="4" t="s">
        <v>1964</v>
      </c>
      <c r="C781" s="4" t="s">
        <v>1965</v>
      </c>
      <c r="D781" s="4" t="s">
        <v>768</v>
      </c>
      <c r="E781" s="4"/>
      <c r="F781" s="14"/>
      <c r="G781" s="14"/>
      <c r="H781" s="14"/>
      <c r="I781" s="5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  <c r="BM781" s="4"/>
      <c r="BN781" s="4"/>
      <c r="BO781" s="4"/>
      <c r="BP781" s="4"/>
      <c r="BQ781" s="4"/>
      <c r="BR781" s="4"/>
      <c r="BS781" s="4"/>
      <c r="BT781" s="4"/>
      <c r="BU781" s="4"/>
      <c r="BV781" s="4"/>
      <c r="BW781" s="4"/>
      <c r="BX781" s="4"/>
      <c r="BY781" s="4"/>
      <c r="BZ781" s="4"/>
      <c r="CA781" s="4"/>
      <c r="CB781" s="4"/>
      <c r="CC781" s="4"/>
      <c r="CD781" s="4"/>
      <c r="CE781" s="4"/>
      <c r="CF781" s="4"/>
      <c r="CG781" s="4"/>
      <c r="CH781" s="4"/>
    </row>
    <row r="782" spans="1:86" x14ac:dyDescent="0.25">
      <c r="A782" s="12">
        <f t="shared" si="18"/>
        <v>779</v>
      </c>
      <c r="B782" s="4" t="s">
        <v>1966</v>
      </c>
      <c r="C782" s="4" t="s">
        <v>1967</v>
      </c>
      <c r="D782" s="4" t="s">
        <v>45</v>
      </c>
      <c r="E782" s="4"/>
      <c r="F782" s="14"/>
      <c r="G782" s="14"/>
      <c r="H782" s="14"/>
      <c r="I782" s="5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  <c r="BM782" s="4"/>
      <c r="BN782" s="4"/>
      <c r="BO782" s="4"/>
      <c r="BP782" s="4"/>
      <c r="BQ782" s="4"/>
      <c r="BR782" s="4"/>
      <c r="BS782" s="4"/>
      <c r="BT782" s="4"/>
      <c r="BU782" s="4"/>
      <c r="BV782" s="4"/>
      <c r="BW782" s="4"/>
      <c r="BX782" s="4"/>
      <c r="BY782" s="4"/>
      <c r="BZ782" s="4"/>
      <c r="CA782" s="4"/>
      <c r="CB782" s="4"/>
      <c r="CC782" s="4"/>
      <c r="CD782" s="4"/>
      <c r="CE782" s="4"/>
      <c r="CF782" s="4"/>
      <c r="CG782" s="4"/>
      <c r="CH782" s="4"/>
    </row>
    <row r="783" spans="1:86" x14ac:dyDescent="0.25">
      <c r="A783" s="12">
        <f t="shared" si="18"/>
        <v>780</v>
      </c>
      <c r="B783" s="4" t="s">
        <v>1968</v>
      </c>
      <c r="C783" s="4" t="s">
        <v>1969</v>
      </c>
      <c r="D783" s="4" t="s">
        <v>84</v>
      </c>
      <c r="E783" s="4"/>
      <c r="F783" s="14"/>
      <c r="G783" s="14"/>
      <c r="H783" s="14"/>
      <c r="I783" s="5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  <c r="BM783" s="4"/>
      <c r="BN783" s="4"/>
      <c r="BO783" s="4"/>
      <c r="BP783" s="4"/>
      <c r="BQ783" s="4"/>
      <c r="BR783" s="4"/>
      <c r="BS783" s="4"/>
      <c r="BT783" s="4"/>
      <c r="BU783" s="4"/>
      <c r="BV783" s="4"/>
      <c r="BW783" s="4"/>
      <c r="BX783" s="4"/>
      <c r="BY783" s="4"/>
      <c r="BZ783" s="4"/>
      <c r="CA783" s="4"/>
      <c r="CB783" s="4"/>
      <c r="CC783" s="4"/>
      <c r="CD783" s="4"/>
      <c r="CE783" s="4"/>
      <c r="CF783" s="4"/>
      <c r="CG783" s="4"/>
      <c r="CH783" s="4"/>
    </row>
    <row r="784" spans="1:86" x14ac:dyDescent="0.25">
      <c r="A784" s="12">
        <f t="shared" si="18"/>
        <v>781</v>
      </c>
      <c r="B784" s="4" t="s">
        <v>1970</v>
      </c>
      <c r="C784" s="4" t="s">
        <v>1971</v>
      </c>
      <c r="D784" s="4" t="s">
        <v>1123</v>
      </c>
      <c r="E784" s="4"/>
      <c r="F784" s="14"/>
      <c r="G784" s="14"/>
      <c r="H784" s="14"/>
      <c r="I784" s="5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  <c r="BM784" s="4"/>
      <c r="BN784" s="4"/>
      <c r="BO784" s="4"/>
      <c r="BP784" s="4"/>
      <c r="BQ784" s="4"/>
      <c r="BR784" s="4"/>
      <c r="BS784" s="4"/>
      <c r="BT784" s="4"/>
      <c r="BU784" s="4"/>
      <c r="BV784" s="4"/>
      <c r="BW784" s="4"/>
      <c r="BX784" s="4"/>
      <c r="BY784" s="4"/>
      <c r="BZ784" s="4"/>
      <c r="CA784" s="4"/>
      <c r="CB784" s="4"/>
      <c r="CC784" s="4"/>
      <c r="CD784" s="4"/>
      <c r="CE784" s="4"/>
      <c r="CF784" s="4"/>
      <c r="CG784" s="4"/>
      <c r="CH784" s="4"/>
    </row>
    <row r="785" spans="1:86" x14ac:dyDescent="0.25">
      <c r="A785" s="12">
        <f t="shared" si="18"/>
        <v>782</v>
      </c>
      <c r="B785" s="4" t="s">
        <v>1972</v>
      </c>
      <c r="C785" s="4" t="s">
        <v>1973</v>
      </c>
      <c r="D785" s="4" t="s">
        <v>45</v>
      </c>
      <c r="E785" s="4"/>
      <c r="F785" s="14"/>
      <c r="G785" s="14"/>
      <c r="H785" s="14"/>
      <c r="I785" s="5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  <c r="BP785" s="4"/>
      <c r="BQ785" s="4"/>
      <c r="BR785" s="4"/>
      <c r="BS785" s="4"/>
      <c r="BT785" s="4"/>
      <c r="BU785" s="4"/>
      <c r="BV785" s="4"/>
      <c r="BW785" s="4"/>
      <c r="BX785" s="4"/>
      <c r="BY785" s="4"/>
      <c r="BZ785" s="4"/>
      <c r="CA785" s="4"/>
      <c r="CB785" s="4"/>
      <c r="CC785" s="4"/>
      <c r="CD785" s="4"/>
      <c r="CE785" s="4"/>
      <c r="CF785" s="4"/>
      <c r="CG785" s="4"/>
      <c r="CH785" s="4"/>
    </row>
    <row r="786" spans="1:86" x14ac:dyDescent="0.25">
      <c r="A786" s="12">
        <f t="shared" si="18"/>
        <v>783</v>
      </c>
      <c r="B786" s="4" t="s">
        <v>1974</v>
      </c>
      <c r="C786" s="4" t="s">
        <v>1975</v>
      </c>
      <c r="D786" s="4" t="s">
        <v>770</v>
      </c>
      <c r="E786" s="4"/>
      <c r="F786" s="14"/>
      <c r="G786" s="14"/>
      <c r="H786" s="14"/>
      <c r="I786" s="5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  <c r="BM786" s="4"/>
      <c r="BN786" s="4"/>
      <c r="BO786" s="4"/>
      <c r="BP786" s="4"/>
      <c r="BQ786" s="4"/>
      <c r="BR786" s="4"/>
      <c r="BS786" s="4"/>
      <c r="BT786" s="4"/>
      <c r="BU786" s="4"/>
      <c r="BV786" s="4"/>
      <c r="BW786" s="4"/>
      <c r="BX786" s="4"/>
      <c r="BY786" s="4"/>
      <c r="BZ786" s="4"/>
      <c r="CA786" s="4"/>
      <c r="CB786" s="4"/>
      <c r="CC786" s="4"/>
      <c r="CD786" s="4"/>
      <c r="CE786" s="4"/>
      <c r="CF786" s="4"/>
      <c r="CG786" s="4"/>
      <c r="CH786" s="4"/>
    </row>
    <row r="787" spans="1:86" x14ac:dyDescent="0.25">
      <c r="A787" s="12">
        <f t="shared" si="18"/>
        <v>784</v>
      </c>
      <c r="B787" s="4" t="s">
        <v>1976</v>
      </c>
      <c r="C787" s="4" t="s">
        <v>1977</v>
      </c>
      <c r="D787" s="4" t="s">
        <v>1125</v>
      </c>
      <c r="E787" s="4"/>
      <c r="F787" s="14"/>
      <c r="G787" s="14"/>
      <c r="H787" s="14"/>
      <c r="I787" s="5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  <c r="BM787" s="4"/>
      <c r="BN787" s="4"/>
      <c r="BO787" s="4"/>
      <c r="BP787" s="4"/>
      <c r="BQ787" s="4"/>
      <c r="BR787" s="4"/>
      <c r="BS787" s="4"/>
      <c r="BT787" s="4"/>
      <c r="BU787" s="4"/>
      <c r="BV787" s="4"/>
      <c r="BW787" s="4"/>
      <c r="BX787" s="4"/>
      <c r="BY787" s="4"/>
      <c r="BZ787" s="4"/>
      <c r="CA787" s="4"/>
      <c r="CB787" s="4"/>
      <c r="CC787" s="4"/>
      <c r="CD787" s="4"/>
      <c r="CE787" s="4"/>
      <c r="CF787" s="4"/>
      <c r="CG787" s="4"/>
      <c r="CH787" s="4"/>
    </row>
    <row r="788" spans="1:86" x14ac:dyDescent="0.25">
      <c r="A788" s="12">
        <f t="shared" si="18"/>
        <v>785</v>
      </c>
      <c r="B788" s="4" t="s">
        <v>1978</v>
      </c>
      <c r="C788" s="4" t="s">
        <v>1979</v>
      </c>
      <c r="D788" s="4" t="s">
        <v>84</v>
      </c>
      <c r="E788" s="4"/>
      <c r="F788" s="14"/>
      <c r="G788" s="14"/>
      <c r="H788" s="14"/>
      <c r="I788" s="5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  <c r="BM788" s="4"/>
      <c r="BN788" s="4"/>
      <c r="BO788" s="4"/>
      <c r="BP788" s="4"/>
      <c r="BQ788" s="4"/>
      <c r="BR788" s="4"/>
      <c r="BS788" s="4"/>
      <c r="BT788" s="4"/>
      <c r="BU788" s="4"/>
      <c r="BV788" s="4"/>
      <c r="BW788" s="4"/>
      <c r="BX788" s="4"/>
      <c r="BY788" s="4"/>
      <c r="BZ788" s="4"/>
      <c r="CA788" s="4"/>
      <c r="CB788" s="4"/>
      <c r="CC788" s="4"/>
      <c r="CD788" s="4"/>
      <c r="CE788" s="4"/>
      <c r="CF788" s="4"/>
      <c r="CG788" s="4"/>
      <c r="CH788" s="4"/>
    </row>
    <row r="789" spans="1:86" x14ac:dyDescent="0.25">
      <c r="A789" s="12">
        <f t="shared" si="18"/>
        <v>786</v>
      </c>
      <c r="B789" s="4" t="s">
        <v>1980</v>
      </c>
      <c r="C789" s="4" t="s">
        <v>1981</v>
      </c>
      <c r="D789" s="4" t="s">
        <v>45</v>
      </c>
      <c r="E789" s="4"/>
      <c r="F789" s="14"/>
      <c r="G789" s="14"/>
      <c r="H789" s="14"/>
      <c r="I789" s="5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  <c r="BM789" s="4"/>
      <c r="BN789" s="4"/>
      <c r="BO789" s="4"/>
      <c r="BP789" s="4"/>
      <c r="BQ789" s="4"/>
      <c r="BR789" s="4"/>
      <c r="BS789" s="4"/>
      <c r="BT789" s="4"/>
      <c r="BU789" s="4"/>
      <c r="BV789" s="4"/>
      <c r="BW789" s="4"/>
      <c r="BX789" s="4"/>
      <c r="BY789" s="4"/>
      <c r="BZ789" s="4"/>
      <c r="CA789" s="4"/>
      <c r="CB789" s="4"/>
      <c r="CC789" s="4"/>
      <c r="CD789" s="4"/>
      <c r="CE789" s="4"/>
      <c r="CF789" s="4"/>
      <c r="CG789" s="4"/>
      <c r="CH789" s="4"/>
    </row>
    <row r="790" spans="1:86" x14ac:dyDescent="0.25">
      <c r="A790" s="12">
        <f t="shared" si="18"/>
        <v>787</v>
      </c>
      <c r="B790" s="4" t="s">
        <v>1982</v>
      </c>
      <c r="C790" s="4" t="s">
        <v>1983</v>
      </c>
      <c r="D790" s="4" t="s">
        <v>45</v>
      </c>
      <c r="E790" s="4"/>
      <c r="F790" s="14"/>
      <c r="G790" s="14"/>
      <c r="H790" s="14"/>
      <c r="I790" s="5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  <c r="BM790" s="4"/>
      <c r="BN790" s="4"/>
      <c r="BO790" s="4"/>
      <c r="BP790" s="4"/>
      <c r="BQ790" s="4"/>
      <c r="BR790" s="4"/>
      <c r="BS790" s="4"/>
      <c r="BT790" s="4"/>
      <c r="BU790" s="4"/>
      <c r="BV790" s="4"/>
      <c r="BW790" s="4"/>
      <c r="BX790" s="4"/>
      <c r="BY790" s="4"/>
      <c r="BZ790" s="4"/>
      <c r="CA790" s="4"/>
      <c r="CB790" s="4"/>
      <c r="CC790" s="4"/>
      <c r="CD790" s="4"/>
      <c r="CE790" s="4"/>
      <c r="CF790" s="4"/>
      <c r="CG790" s="4"/>
      <c r="CH790" s="4"/>
    </row>
    <row r="791" spans="1:86" x14ac:dyDescent="0.25">
      <c r="A791" s="12">
        <f t="shared" si="18"/>
        <v>788</v>
      </c>
      <c r="B791" s="4" t="s">
        <v>1984</v>
      </c>
      <c r="C791" s="4" t="s">
        <v>1985</v>
      </c>
      <c r="D791" s="4" t="s">
        <v>1125</v>
      </c>
      <c r="E791" s="4"/>
      <c r="F791" s="14"/>
      <c r="G791" s="14"/>
      <c r="H791" s="14"/>
      <c r="I791" s="5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  <c r="BM791" s="4"/>
      <c r="BN791" s="4"/>
      <c r="BO791" s="4"/>
      <c r="BP791" s="4"/>
      <c r="BQ791" s="4"/>
      <c r="BR791" s="4"/>
      <c r="BS791" s="4"/>
      <c r="BT791" s="4"/>
      <c r="BU791" s="4"/>
      <c r="BV791" s="4"/>
      <c r="BW791" s="4"/>
      <c r="BX791" s="4"/>
      <c r="BY791" s="4"/>
      <c r="BZ791" s="4"/>
      <c r="CA791" s="4"/>
      <c r="CB791" s="4"/>
      <c r="CC791" s="4"/>
      <c r="CD791" s="4"/>
      <c r="CE791" s="4"/>
      <c r="CF791" s="4"/>
      <c r="CG791" s="4"/>
      <c r="CH791" s="4"/>
    </row>
    <row r="792" spans="1:86" x14ac:dyDescent="0.25">
      <c r="A792" s="12">
        <f t="shared" si="18"/>
        <v>789</v>
      </c>
      <c r="B792" s="4" t="s">
        <v>1986</v>
      </c>
      <c r="C792" s="4" t="s">
        <v>1987</v>
      </c>
      <c r="D792" s="4" t="s">
        <v>1129</v>
      </c>
      <c r="E792" s="4"/>
      <c r="F792" s="14"/>
      <c r="G792" s="14"/>
      <c r="H792" s="14"/>
      <c r="I792" s="5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  <c r="BM792" s="4"/>
      <c r="BN792" s="4"/>
      <c r="BO792" s="4"/>
      <c r="BP792" s="4"/>
      <c r="BQ792" s="4"/>
      <c r="BR792" s="4"/>
      <c r="BS792" s="4"/>
      <c r="BT792" s="4"/>
      <c r="BU792" s="4"/>
      <c r="BV792" s="4"/>
      <c r="BW792" s="4"/>
      <c r="BX792" s="4"/>
      <c r="BY792" s="4"/>
      <c r="BZ792" s="4"/>
      <c r="CA792" s="4"/>
      <c r="CB792" s="4"/>
      <c r="CC792" s="4"/>
      <c r="CD792" s="4"/>
      <c r="CE792" s="4"/>
      <c r="CF792" s="4"/>
      <c r="CG792" s="4"/>
      <c r="CH792" s="4"/>
    </row>
    <row r="793" spans="1:86" x14ac:dyDescent="0.25">
      <c r="A793" s="12">
        <f t="shared" si="18"/>
        <v>790</v>
      </c>
      <c r="B793" s="4" t="s">
        <v>1988</v>
      </c>
      <c r="C793" s="4" t="s">
        <v>1989</v>
      </c>
      <c r="D793" s="4" t="s">
        <v>1129</v>
      </c>
      <c r="E793" s="4"/>
      <c r="F793" s="14"/>
      <c r="G793" s="14"/>
      <c r="H793" s="14"/>
      <c r="I793" s="5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  <c r="BM793" s="4"/>
      <c r="BN793" s="4"/>
      <c r="BO793" s="4"/>
      <c r="BP793" s="4"/>
      <c r="BQ793" s="4"/>
      <c r="BR793" s="4"/>
      <c r="BS793" s="4"/>
      <c r="BT793" s="4"/>
      <c r="BU793" s="4"/>
      <c r="BV793" s="4"/>
      <c r="BW793" s="4"/>
      <c r="BX793" s="4"/>
      <c r="BY793" s="4"/>
      <c r="BZ793" s="4"/>
      <c r="CA793" s="4"/>
      <c r="CB793" s="4"/>
      <c r="CC793" s="4"/>
      <c r="CD793" s="4"/>
      <c r="CE793" s="4"/>
      <c r="CF793" s="4"/>
      <c r="CG793" s="4"/>
      <c r="CH793" s="4"/>
    </row>
    <row r="794" spans="1:86" x14ac:dyDescent="0.25">
      <c r="A794" s="12">
        <f t="shared" si="18"/>
        <v>791</v>
      </c>
      <c r="B794" s="4" t="s">
        <v>1990</v>
      </c>
      <c r="C794" s="4" t="s">
        <v>1991</v>
      </c>
      <c r="D794" s="4" t="s">
        <v>45</v>
      </c>
      <c r="E794" s="4"/>
      <c r="F794" s="14"/>
      <c r="G794" s="14"/>
      <c r="H794" s="14"/>
      <c r="I794" s="5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  <c r="BM794" s="4"/>
      <c r="BN794" s="4"/>
      <c r="BO794" s="4"/>
      <c r="BP794" s="4"/>
      <c r="BQ794" s="4"/>
      <c r="BR794" s="4"/>
      <c r="BS794" s="4"/>
      <c r="BT794" s="4"/>
      <c r="BU794" s="4"/>
      <c r="BV794" s="4"/>
      <c r="BW794" s="4"/>
      <c r="BX794" s="4"/>
      <c r="BY794" s="4"/>
      <c r="BZ794" s="4"/>
      <c r="CA794" s="4"/>
      <c r="CB794" s="4"/>
      <c r="CC794" s="4"/>
      <c r="CD794" s="4"/>
      <c r="CE794" s="4"/>
      <c r="CF794" s="4"/>
      <c r="CG794" s="4"/>
      <c r="CH794" s="4"/>
    </row>
    <row r="795" spans="1:86" x14ac:dyDescent="0.25">
      <c r="A795" s="12">
        <f t="shared" si="18"/>
        <v>792</v>
      </c>
      <c r="B795" s="4" t="s">
        <v>1992</v>
      </c>
      <c r="C795" s="4" t="s">
        <v>1993</v>
      </c>
      <c r="D795" s="4" t="s">
        <v>45</v>
      </c>
      <c r="E795" s="4"/>
      <c r="F795" s="14"/>
      <c r="G795" s="14"/>
      <c r="H795" s="14"/>
      <c r="I795" s="5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  <c r="BM795" s="4"/>
      <c r="BN795" s="4"/>
      <c r="BO795" s="4"/>
      <c r="BP795" s="4"/>
      <c r="BQ795" s="4"/>
      <c r="BR795" s="4"/>
      <c r="BS795" s="4"/>
      <c r="BT795" s="4"/>
      <c r="BU795" s="4"/>
      <c r="BV795" s="4"/>
      <c r="BW795" s="4"/>
      <c r="BX795" s="4"/>
      <c r="BY795" s="4"/>
      <c r="BZ795" s="4"/>
      <c r="CA795" s="4"/>
      <c r="CB795" s="4"/>
      <c r="CC795" s="4"/>
      <c r="CD795" s="4"/>
      <c r="CE795" s="4"/>
      <c r="CF795" s="4"/>
      <c r="CG795" s="4"/>
      <c r="CH795" s="4"/>
    </row>
    <row r="796" spans="1:86" x14ac:dyDescent="0.25">
      <c r="A796" s="12">
        <f t="shared" si="18"/>
        <v>793</v>
      </c>
      <c r="B796" s="4" t="s">
        <v>1994</v>
      </c>
      <c r="C796" s="4" t="s">
        <v>1995</v>
      </c>
      <c r="D796" s="4" t="s">
        <v>508</v>
      </c>
      <c r="E796" s="4"/>
      <c r="F796" s="14"/>
      <c r="G796" s="14"/>
      <c r="H796" s="14"/>
      <c r="I796" s="5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  <c r="BM796" s="4"/>
      <c r="BN796" s="4"/>
      <c r="BO796" s="4"/>
      <c r="BP796" s="4"/>
      <c r="BQ796" s="4"/>
      <c r="BR796" s="4"/>
      <c r="BS796" s="4"/>
      <c r="BT796" s="4"/>
      <c r="BU796" s="4"/>
      <c r="BV796" s="4"/>
      <c r="BW796" s="4"/>
      <c r="BX796" s="4"/>
      <c r="BY796" s="4"/>
      <c r="BZ796" s="4"/>
      <c r="CA796" s="4"/>
      <c r="CB796" s="4"/>
      <c r="CC796" s="4"/>
      <c r="CD796" s="4"/>
      <c r="CE796" s="4"/>
      <c r="CF796" s="4"/>
      <c r="CG796" s="4"/>
      <c r="CH796" s="4"/>
    </row>
    <row r="797" spans="1:86" x14ac:dyDescent="0.25">
      <c r="A797" s="12">
        <f t="shared" si="18"/>
        <v>794</v>
      </c>
      <c r="B797" s="4" t="s">
        <v>1996</v>
      </c>
      <c r="C797" s="4" t="s">
        <v>1997</v>
      </c>
      <c r="D797" s="4" t="s">
        <v>45</v>
      </c>
      <c r="E797" s="4"/>
      <c r="F797" s="14"/>
      <c r="G797" s="14"/>
      <c r="H797" s="14"/>
      <c r="I797" s="5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  <c r="BM797" s="4"/>
      <c r="BN797" s="4"/>
      <c r="BO797" s="4"/>
      <c r="BP797" s="4"/>
      <c r="BQ797" s="4"/>
      <c r="BR797" s="4"/>
      <c r="BS797" s="4"/>
      <c r="BT797" s="4"/>
      <c r="BU797" s="4"/>
      <c r="BV797" s="4"/>
      <c r="BW797" s="4"/>
      <c r="BX797" s="4"/>
      <c r="BY797" s="4"/>
      <c r="BZ797" s="4"/>
      <c r="CA797" s="4"/>
      <c r="CB797" s="4"/>
      <c r="CC797" s="4"/>
      <c r="CD797" s="4"/>
      <c r="CE797" s="4"/>
      <c r="CF797" s="4"/>
      <c r="CG797" s="4"/>
      <c r="CH797" s="4"/>
    </row>
    <row r="798" spans="1:86" x14ac:dyDescent="0.25">
      <c r="A798" s="12">
        <f t="shared" si="18"/>
        <v>795</v>
      </c>
      <c r="B798" s="4" t="s">
        <v>1998</v>
      </c>
      <c r="C798" s="4" t="s">
        <v>1999</v>
      </c>
      <c r="D798" s="4" t="s">
        <v>84</v>
      </c>
      <c r="E798" s="4"/>
      <c r="F798" s="14"/>
      <c r="G798" s="14"/>
      <c r="H798" s="14"/>
      <c r="I798" s="5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  <c r="BM798" s="4"/>
      <c r="BN798" s="4"/>
      <c r="BO798" s="4"/>
      <c r="BP798" s="4"/>
      <c r="BQ798" s="4"/>
      <c r="BR798" s="4"/>
      <c r="BS798" s="4"/>
      <c r="BT798" s="4"/>
      <c r="BU798" s="4"/>
      <c r="BV798" s="4"/>
      <c r="BW798" s="4"/>
      <c r="BX798" s="4"/>
      <c r="BY798" s="4"/>
      <c r="BZ798" s="4"/>
      <c r="CA798" s="4"/>
      <c r="CB798" s="4"/>
      <c r="CC798" s="4"/>
      <c r="CD798" s="4"/>
      <c r="CE798" s="4"/>
      <c r="CF798" s="4"/>
      <c r="CG798" s="4"/>
      <c r="CH798" s="4"/>
    </row>
    <row r="799" spans="1:86" x14ac:dyDescent="0.25">
      <c r="A799" s="12">
        <f t="shared" si="18"/>
        <v>796</v>
      </c>
      <c r="B799" s="4" t="s">
        <v>2000</v>
      </c>
      <c r="C799" s="4" t="s">
        <v>2001</v>
      </c>
      <c r="D799" s="4" t="s">
        <v>2569</v>
      </c>
      <c r="E799" s="4"/>
      <c r="F799" s="14"/>
      <c r="G799" s="14"/>
      <c r="H799" s="14"/>
      <c r="I799" s="5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  <c r="BM799" s="4"/>
      <c r="BN799" s="4"/>
      <c r="BO799" s="4"/>
      <c r="BP799" s="4"/>
      <c r="BQ799" s="4"/>
      <c r="BR799" s="4"/>
      <c r="BS799" s="4"/>
      <c r="BT799" s="4"/>
      <c r="BU799" s="4"/>
      <c r="BV799" s="4"/>
      <c r="BW799" s="4"/>
      <c r="BX799" s="4"/>
      <c r="BY799" s="4"/>
      <c r="BZ799" s="4"/>
      <c r="CA799" s="4"/>
      <c r="CB799" s="4"/>
      <c r="CC799" s="4"/>
      <c r="CD799" s="4"/>
      <c r="CE799" s="4"/>
      <c r="CF799" s="4"/>
      <c r="CG799" s="4"/>
      <c r="CH799" s="4"/>
    </row>
    <row r="800" spans="1:86" x14ac:dyDescent="0.25">
      <c r="A800" s="12">
        <f t="shared" si="18"/>
        <v>797</v>
      </c>
      <c r="B800" s="4" t="s">
        <v>2002</v>
      </c>
      <c r="C800" s="4" t="s">
        <v>2003</v>
      </c>
      <c r="D800" s="4" t="s">
        <v>186</v>
      </c>
      <c r="E800" s="4"/>
      <c r="F800" s="14"/>
      <c r="G800" s="14"/>
      <c r="H800" s="14"/>
      <c r="I800" s="5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  <c r="BM800" s="4"/>
      <c r="BN800" s="4"/>
      <c r="BO800" s="4"/>
      <c r="BP800" s="4"/>
      <c r="BQ800" s="4"/>
      <c r="BR800" s="4"/>
      <c r="BS800" s="4"/>
      <c r="BT800" s="4"/>
      <c r="BU800" s="4"/>
      <c r="BV800" s="4"/>
      <c r="BW800" s="4"/>
      <c r="BX800" s="4"/>
      <c r="BY800" s="4"/>
      <c r="BZ800" s="4"/>
      <c r="CA800" s="4"/>
      <c r="CB800" s="4"/>
      <c r="CC800" s="4"/>
      <c r="CD800" s="4"/>
      <c r="CE800" s="4"/>
      <c r="CF800" s="4"/>
      <c r="CG800" s="4"/>
      <c r="CH800" s="4"/>
    </row>
    <row r="801" spans="1:86" x14ac:dyDescent="0.25">
      <c r="A801" s="12">
        <f t="shared" si="18"/>
        <v>798</v>
      </c>
      <c r="B801" s="4" t="s">
        <v>2004</v>
      </c>
      <c r="C801" s="4" t="s">
        <v>2005</v>
      </c>
      <c r="D801" s="4" t="s">
        <v>1129</v>
      </c>
      <c r="E801" s="4"/>
      <c r="F801" s="14"/>
      <c r="G801" s="14"/>
      <c r="H801" s="14"/>
      <c r="I801" s="5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  <c r="BM801" s="4"/>
      <c r="BN801" s="4"/>
      <c r="BO801" s="4"/>
      <c r="BP801" s="4"/>
      <c r="BQ801" s="4"/>
      <c r="BR801" s="4"/>
      <c r="BS801" s="4"/>
      <c r="BT801" s="4"/>
      <c r="BU801" s="4"/>
      <c r="BV801" s="4"/>
      <c r="BW801" s="4"/>
      <c r="BX801" s="4"/>
      <c r="BY801" s="4"/>
      <c r="BZ801" s="4"/>
      <c r="CA801" s="4"/>
      <c r="CB801" s="4"/>
      <c r="CC801" s="4"/>
      <c r="CD801" s="4"/>
      <c r="CE801" s="4"/>
      <c r="CF801" s="4"/>
      <c r="CG801" s="4"/>
      <c r="CH801" s="4"/>
    </row>
    <row r="802" spans="1:86" x14ac:dyDescent="0.25">
      <c r="A802" s="12">
        <f t="shared" si="18"/>
        <v>799</v>
      </c>
      <c r="B802" s="4" t="s">
        <v>2006</v>
      </c>
      <c r="C802" s="4" t="s">
        <v>2007</v>
      </c>
      <c r="D802" s="4" t="s">
        <v>45</v>
      </c>
      <c r="E802" s="4"/>
      <c r="F802" s="14"/>
      <c r="G802" s="14"/>
      <c r="H802" s="14"/>
      <c r="I802" s="5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  <c r="BM802" s="4"/>
      <c r="BN802" s="4"/>
      <c r="BO802" s="4"/>
      <c r="BP802" s="4"/>
      <c r="BQ802" s="4"/>
      <c r="BR802" s="4"/>
      <c r="BS802" s="4"/>
      <c r="BT802" s="4"/>
      <c r="BU802" s="4"/>
      <c r="BV802" s="4"/>
      <c r="BW802" s="4"/>
      <c r="BX802" s="4"/>
      <c r="BY802" s="4"/>
      <c r="BZ802" s="4"/>
      <c r="CA802" s="4"/>
      <c r="CB802" s="4"/>
      <c r="CC802" s="4"/>
      <c r="CD802" s="4"/>
      <c r="CE802" s="4"/>
      <c r="CF802" s="4"/>
      <c r="CG802" s="4"/>
      <c r="CH802" s="4"/>
    </row>
    <row r="803" spans="1:86" x14ac:dyDescent="0.25">
      <c r="A803" s="12">
        <f t="shared" si="18"/>
        <v>800</v>
      </c>
      <c r="B803" s="4" t="s">
        <v>2008</v>
      </c>
      <c r="C803" s="4" t="s">
        <v>2009</v>
      </c>
      <c r="D803" s="4" t="s">
        <v>278</v>
      </c>
      <c r="E803" s="4"/>
      <c r="F803" s="14"/>
      <c r="G803" s="14"/>
      <c r="H803" s="14"/>
      <c r="I803" s="5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  <c r="BM803" s="4"/>
      <c r="BN803" s="4"/>
      <c r="BO803" s="4"/>
      <c r="BP803" s="4"/>
      <c r="BQ803" s="4"/>
      <c r="BR803" s="4"/>
      <c r="BS803" s="4"/>
      <c r="BT803" s="4"/>
      <c r="BU803" s="4"/>
      <c r="BV803" s="4"/>
      <c r="BW803" s="4"/>
      <c r="BX803" s="4"/>
      <c r="BY803" s="4"/>
      <c r="BZ803" s="4"/>
      <c r="CA803" s="4"/>
      <c r="CB803" s="4"/>
      <c r="CC803" s="4"/>
      <c r="CD803" s="4"/>
      <c r="CE803" s="4"/>
      <c r="CF803" s="4"/>
      <c r="CG803" s="4"/>
      <c r="CH803" s="4"/>
    </row>
    <row r="804" spans="1:86" x14ac:dyDescent="0.25">
      <c r="A804" s="12">
        <f t="shared" si="18"/>
        <v>801</v>
      </c>
      <c r="B804" s="4" t="s">
        <v>2010</v>
      </c>
      <c r="C804" s="4" t="s">
        <v>2011</v>
      </c>
      <c r="D804" s="4" t="s">
        <v>768</v>
      </c>
      <c r="E804" s="4"/>
      <c r="F804" s="14"/>
      <c r="G804" s="14"/>
      <c r="H804" s="14"/>
      <c r="I804" s="5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  <c r="BM804" s="4"/>
      <c r="BN804" s="4"/>
      <c r="BO804" s="4"/>
      <c r="BP804" s="4"/>
      <c r="BQ804" s="4"/>
      <c r="BR804" s="4"/>
      <c r="BS804" s="4"/>
      <c r="BT804" s="4"/>
      <c r="BU804" s="4"/>
      <c r="BV804" s="4"/>
      <c r="BW804" s="4"/>
      <c r="BX804" s="4"/>
      <c r="BY804" s="4"/>
      <c r="BZ804" s="4"/>
      <c r="CA804" s="4"/>
      <c r="CB804" s="4"/>
      <c r="CC804" s="4"/>
      <c r="CD804" s="4"/>
      <c r="CE804" s="4"/>
      <c r="CF804" s="4"/>
      <c r="CG804" s="4"/>
      <c r="CH804" s="4"/>
    </row>
    <row r="805" spans="1:86" x14ac:dyDescent="0.25">
      <c r="A805" s="12">
        <f t="shared" si="18"/>
        <v>802</v>
      </c>
      <c r="B805" s="4" t="s">
        <v>2012</v>
      </c>
      <c r="C805" s="4" t="s">
        <v>2013</v>
      </c>
      <c r="D805" s="4" t="s">
        <v>45</v>
      </c>
      <c r="E805" s="4"/>
      <c r="F805" s="14"/>
      <c r="G805" s="14"/>
      <c r="H805" s="14"/>
      <c r="I805" s="5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  <c r="BM805" s="4"/>
      <c r="BN805" s="4"/>
      <c r="BO805" s="4"/>
      <c r="BP805" s="4"/>
      <c r="BQ805" s="4"/>
      <c r="BR805" s="4"/>
      <c r="BS805" s="4"/>
      <c r="BT805" s="4"/>
      <c r="BU805" s="4"/>
      <c r="BV805" s="4"/>
      <c r="BW805" s="4"/>
      <c r="BX805" s="4"/>
      <c r="BY805" s="4"/>
      <c r="BZ805" s="4"/>
      <c r="CA805" s="4"/>
      <c r="CB805" s="4"/>
      <c r="CC805" s="4"/>
      <c r="CD805" s="4"/>
      <c r="CE805" s="4"/>
      <c r="CF805" s="4"/>
      <c r="CG805" s="4"/>
      <c r="CH805" s="4"/>
    </row>
    <row r="806" spans="1:86" x14ac:dyDescent="0.25">
      <c r="A806" s="12">
        <f t="shared" si="18"/>
        <v>803</v>
      </c>
      <c r="B806" s="4" t="s">
        <v>2014</v>
      </c>
      <c r="C806" s="4" t="s">
        <v>2015</v>
      </c>
      <c r="D806" s="4" t="s">
        <v>84</v>
      </c>
      <c r="E806" s="4"/>
      <c r="F806" s="14"/>
      <c r="G806" s="14"/>
      <c r="H806" s="14"/>
      <c r="I806" s="5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  <c r="BM806" s="4"/>
      <c r="BN806" s="4"/>
      <c r="BO806" s="4"/>
      <c r="BP806" s="4"/>
      <c r="BQ806" s="4"/>
      <c r="BR806" s="4"/>
      <c r="BS806" s="4"/>
      <c r="BT806" s="4"/>
      <c r="BU806" s="4"/>
      <c r="BV806" s="4"/>
      <c r="BW806" s="4"/>
      <c r="BX806" s="4"/>
      <c r="BY806" s="4"/>
      <c r="BZ806" s="4"/>
      <c r="CA806" s="4"/>
      <c r="CB806" s="4"/>
      <c r="CC806" s="4"/>
      <c r="CD806" s="4"/>
      <c r="CE806" s="4"/>
      <c r="CF806" s="4"/>
      <c r="CG806" s="4"/>
      <c r="CH806" s="4"/>
    </row>
    <row r="807" spans="1:86" x14ac:dyDescent="0.25">
      <c r="A807" s="12">
        <f t="shared" si="18"/>
        <v>804</v>
      </c>
      <c r="B807" s="4" t="s">
        <v>2016</v>
      </c>
      <c r="C807" s="4" t="s">
        <v>2017</v>
      </c>
      <c r="D807" s="4" t="s">
        <v>87</v>
      </c>
      <c r="E807" s="4"/>
      <c r="F807" s="14"/>
      <c r="G807" s="14"/>
      <c r="H807" s="14"/>
      <c r="I807" s="5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  <c r="BM807" s="4"/>
      <c r="BN807" s="4"/>
      <c r="BO807" s="4"/>
      <c r="BP807" s="4"/>
      <c r="BQ807" s="4"/>
      <c r="BR807" s="4"/>
      <c r="BS807" s="4"/>
      <c r="BT807" s="4"/>
      <c r="BU807" s="4"/>
      <c r="BV807" s="4"/>
      <c r="BW807" s="4"/>
      <c r="BX807" s="4"/>
      <c r="BY807" s="4"/>
      <c r="BZ807" s="4"/>
      <c r="CA807" s="4"/>
      <c r="CB807" s="4"/>
      <c r="CC807" s="4"/>
      <c r="CD807" s="4"/>
      <c r="CE807" s="4"/>
      <c r="CF807" s="4"/>
      <c r="CG807" s="4"/>
      <c r="CH807" s="4"/>
    </row>
    <row r="808" spans="1:86" x14ac:dyDescent="0.25">
      <c r="A808" s="12">
        <f t="shared" si="18"/>
        <v>805</v>
      </c>
      <c r="B808" s="4" t="s">
        <v>2018</v>
      </c>
      <c r="C808" s="4" t="s">
        <v>2019</v>
      </c>
      <c r="D808" s="4" t="s">
        <v>1127</v>
      </c>
      <c r="E808" s="4"/>
      <c r="F808" s="14"/>
      <c r="G808" s="14"/>
      <c r="H808" s="14"/>
      <c r="I808" s="5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  <c r="BM808" s="4"/>
      <c r="BN808" s="4"/>
      <c r="BO808" s="4"/>
      <c r="BP808" s="4"/>
      <c r="BQ808" s="4"/>
      <c r="BR808" s="4"/>
      <c r="BS808" s="4"/>
      <c r="BT808" s="4"/>
      <c r="BU808" s="4"/>
      <c r="BV808" s="4"/>
      <c r="BW808" s="4"/>
      <c r="BX808" s="4"/>
      <c r="BY808" s="4"/>
      <c r="BZ808" s="4"/>
      <c r="CA808" s="4"/>
      <c r="CB808" s="4"/>
      <c r="CC808" s="4"/>
      <c r="CD808" s="4"/>
      <c r="CE808" s="4"/>
      <c r="CF808" s="4"/>
      <c r="CG808" s="4"/>
      <c r="CH808" s="4"/>
    </row>
    <row r="809" spans="1:86" x14ac:dyDescent="0.25">
      <c r="A809" s="12">
        <f t="shared" si="18"/>
        <v>806</v>
      </c>
      <c r="B809" s="4" t="s">
        <v>2020</v>
      </c>
      <c r="C809" s="4" t="s">
        <v>2021</v>
      </c>
      <c r="D809" s="4" t="s">
        <v>1130</v>
      </c>
      <c r="E809" s="4"/>
      <c r="F809" s="14"/>
      <c r="G809" s="14"/>
      <c r="H809" s="14"/>
      <c r="I809" s="5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  <c r="BM809" s="4"/>
      <c r="BN809" s="4"/>
      <c r="BO809" s="4"/>
      <c r="BP809" s="4"/>
      <c r="BQ809" s="4"/>
      <c r="BR809" s="4"/>
      <c r="BS809" s="4"/>
      <c r="BT809" s="4"/>
      <c r="BU809" s="4"/>
      <c r="BV809" s="4"/>
      <c r="BW809" s="4"/>
      <c r="BX809" s="4"/>
      <c r="BY809" s="4"/>
      <c r="BZ809" s="4"/>
      <c r="CA809" s="4"/>
      <c r="CB809" s="4"/>
      <c r="CC809" s="4"/>
      <c r="CD809" s="4"/>
      <c r="CE809" s="4"/>
      <c r="CF809" s="4"/>
      <c r="CG809" s="4"/>
      <c r="CH809" s="4"/>
    </row>
    <row r="810" spans="1:86" x14ac:dyDescent="0.25">
      <c r="A810" s="12">
        <f t="shared" si="18"/>
        <v>807</v>
      </c>
      <c r="B810" s="4" t="s">
        <v>2022</v>
      </c>
      <c r="C810" s="4" t="s">
        <v>2023</v>
      </c>
      <c r="D810" s="4" t="s">
        <v>87</v>
      </c>
      <c r="E810" s="4"/>
      <c r="F810" s="14"/>
      <c r="G810" s="14"/>
      <c r="H810" s="14"/>
      <c r="I810" s="5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  <c r="BM810" s="4"/>
      <c r="BN810" s="4"/>
      <c r="BO810" s="4"/>
      <c r="BP810" s="4"/>
      <c r="BQ810" s="4"/>
      <c r="BR810" s="4"/>
      <c r="BS810" s="4"/>
      <c r="BT810" s="4"/>
      <c r="BU810" s="4"/>
      <c r="BV810" s="4"/>
      <c r="BW810" s="4"/>
      <c r="BX810" s="4"/>
      <c r="BY810" s="4"/>
      <c r="BZ810" s="4"/>
      <c r="CA810" s="4"/>
      <c r="CB810" s="4"/>
      <c r="CC810" s="4"/>
      <c r="CD810" s="4"/>
      <c r="CE810" s="4"/>
      <c r="CF810" s="4"/>
      <c r="CG810" s="4"/>
      <c r="CH810" s="4"/>
    </row>
    <row r="811" spans="1:86" x14ac:dyDescent="0.25">
      <c r="A811" s="12">
        <f t="shared" si="18"/>
        <v>808</v>
      </c>
      <c r="B811" s="4" t="s">
        <v>2024</v>
      </c>
      <c r="C811" s="4" t="s">
        <v>2025</v>
      </c>
      <c r="D811" s="4" t="s">
        <v>84</v>
      </c>
      <c r="E811" s="4"/>
      <c r="F811" s="14"/>
      <c r="G811" s="14"/>
      <c r="H811" s="14"/>
      <c r="I811" s="5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  <c r="BM811" s="4"/>
      <c r="BN811" s="4"/>
      <c r="BO811" s="4"/>
      <c r="BP811" s="4"/>
      <c r="BQ811" s="4"/>
      <c r="BR811" s="4"/>
      <c r="BS811" s="4"/>
      <c r="BT811" s="4"/>
      <c r="BU811" s="4"/>
      <c r="BV811" s="4"/>
      <c r="BW811" s="4"/>
      <c r="BX811" s="4"/>
      <c r="BY811" s="4"/>
      <c r="BZ811" s="4"/>
      <c r="CA811" s="4"/>
      <c r="CB811" s="4"/>
      <c r="CC811" s="4"/>
      <c r="CD811" s="4"/>
      <c r="CE811" s="4"/>
      <c r="CF811" s="4"/>
      <c r="CG811" s="4"/>
      <c r="CH811" s="4"/>
    </row>
    <row r="812" spans="1:86" x14ac:dyDescent="0.25">
      <c r="A812" s="12">
        <f t="shared" si="18"/>
        <v>809</v>
      </c>
      <c r="B812" s="4" t="s">
        <v>2026</v>
      </c>
      <c r="C812" s="4" t="s">
        <v>2027</v>
      </c>
      <c r="D812" s="4" t="s">
        <v>1125</v>
      </c>
      <c r="E812" s="4"/>
      <c r="F812" s="14"/>
      <c r="G812" s="14"/>
      <c r="H812" s="14"/>
      <c r="I812" s="5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  <c r="BM812" s="4"/>
      <c r="BN812" s="4"/>
      <c r="BO812" s="4"/>
      <c r="BP812" s="4"/>
      <c r="BQ812" s="4"/>
      <c r="BR812" s="4"/>
      <c r="BS812" s="4"/>
      <c r="BT812" s="4"/>
      <c r="BU812" s="4"/>
      <c r="BV812" s="4"/>
      <c r="BW812" s="4"/>
      <c r="BX812" s="4"/>
      <c r="BY812" s="4"/>
      <c r="BZ812" s="4"/>
      <c r="CA812" s="4"/>
      <c r="CB812" s="4"/>
      <c r="CC812" s="4"/>
      <c r="CD812" s="4"/>
      <c r="CE812" s="4"/>
      <c r="CF812" s="4"/>
      <c r="CG812" s="4"/>
      <c r="CH812" s="4"/>
    </row>
    <row r="813" spans="1:86" x14ac:dyDescent="0.25">
      <c r="A813" s="12">
        <f t="shared" si="18"/>
        <v>810</v>
      </c>
      <c r="B813" s="4" t="s">
        <v>2028</v>
      </c>
      <c r="C813" s="4" t="s">
        <v>2029</v>
      </c>
      <c r="D813" s="4" t="s">
        <v>1130</v>
      </c>
      <c r="E813" s="4"/>
      <c r="F813" s="14"/>
      <c r="G813" s="14"/>
      <c r="H813" s="14"/>
      <c r="I813" s="5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  <c r="BM813" s="4"/>
      <c r="BN813" s="4"/>
      <c r="BO813" s="4"/>
      <c r="BP813" s="4"/>
      <c r="BQ813" s="4"/>
      <c r="BR813" s="4"/>
      <c r="BS813" s="4"/>
      <c r="BT813" s="4"/>
      <c r="BU813" s="4"/>
      <c r="BV813" s="4"/>
      <c r="BW813" s="4"/>
      <c r="BX813" s="4"/>
      <c r="BY813" s="4"/>
      <c r="BZ813" s="4"/>
      <c r="CA813" s="4"/>
      <c r="CB813" s="4"/>
      <c r="CC813" s="4"/>
      <c r="CD813" s="4"/>
      <c r="CE813" s="4"/>
      <c r="CF813" s="4"/>
      <c r="CG813" s="4"/>
      <c r="CH813" s="4"/>
    </row>
    <row r="814" spans="1:86" x14ac:dyDescent="0.25">
      <c r="A814" s="12">
        <f t="shared" si="18"/>
        <v>811</v>
      </c>
      <c r="B814" s="4" t="s">
        <v>2030</v>
      </c>
      <c r="C814" s="4" t="s">
        <v>2031</v>
      </c>
      <c r="D814" s="4" t="s">
        <v>2578</v>
      </c>
      <c r="E814" s="4"/>
      <c r="F814" s="14"/>
      <c r="G814" s="14"/>
      <c r="H814" s="14"/>
      <c r="I814" s="5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  <c r="BM814" s="4"/>
      <c r="BN814" s="4"/>
      <c r="BO814" s="4"/>
      <c r="BP814" s="4"/>
      <c r="BQ814" s="4"/>
      <c r="BR814" s="4"/>
      <c r="BS814" s="4"/>
      <c r="BT814" s="4"/>
      <c r="BU814" s="4"/>
      <c r="BV814" s="4"/>
      <c r="BW814" s="4"/>
      <c r="BX814" s="4"/>
      <c r="BY814" s="4"/>
      <c r="BZ814" s="4"/>
      <c r="CA814" s="4"/>
      <c r="CB814" s="4"/>
      <c r="CC814" s="4"/>
      <c r="CD814" s="4"/>
      <c r="CE814" s="4"/>
      <c r="CF814" s="4"/>
      <c r="CG814" s="4"/>
      <c r="CH814" s="4"/>
    </row>
    <row r="815" spans="1:86" x14ac:dyDescent="0.25">
      <c r="A815" s="12">
        <f t="shared" si="18"/>
        <v>812</v>
      </c>
      <c r="B815" s="4" t="s">
        <v>2032</v>
      </c>
      <c r="C815" s="4" t="s">
        <v>2033</v>
      </c>
      <c r="D815" s="4" t="s">
        <v>1129</v>
      </c>
      <c r="E815" s="4"/>
      <c r="F815" s="14"/>
      <c r="G815" s="14"/>
      <c r="H815" s="14"/>
      <c r="I815" s="5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  <c r="BM815" s="4"/>
      <c r="BN815" s="4"/>
      <c r="BO815" s="4"/>
      <c r="BP815" s="4"/>
      <c r="BQ815" s="4"/>
      <c r="BR815" s="4"/>
      <c r="BS815" s="4"/>
      <c r="BT815" s="4"/>
      <c r="BU815" s="4"/>
      <c r="BV815" s="4"/>
      <c r="BW815" s="4"/>
      <c r="BX815" s="4"/>
      <c r="BY815" s="4"/>
      <c r="BZ815" s="4"/>
      <c r="CA815" s="4"/>
      <c r="CB815" s="4"/>
      <c r="CC815" s="4"/>
      <c r="CD815" s="4"/>
      <c r="CE815" s="4"/>
      <c r="CF815" s="4"/>
      <c r="CG815" s="4"/>
      <c r="CH815" s="4"/>
    </row>
    <row r="816" spans="1:86" x14ac:dyDescent="0.25">
      <c r="A816" s="12">
        <f t="shared" si="18"/>
        <v>813</v>
      </c>
      <c r="B816" s="4" t="s">
        <v>2034</v>
      </c>
      <c r="C816" s="4" t="s">
        <v>2035</v>
      </c>
      <c r="D816" s="4" t="s">
        <v>45</v>
      </c>
      <c r="E816" s="4"/>
      <c r="F816" s="14"/>
      <c r="G816" s="14"/>
      <c r="H816" s="14"/>
      <c r="I816" s="5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  <c r="BM816" s="4"/>
      <c r="BN816" s="4"/>
      <c r="BO816" s="4"/>
      <c r="BP816" s="4"/>
      <c r="BQ816" s="4"/>
      <c r="BR816" s="4"/>
      <c r="BS816" s="4"/>
      <c r="BT816" s="4"/>
      <c r="BU816" s="4"/>
      <c r="BV816" s="4"/>
      <c r="BW816" s="4"/>
      <c r="BX816" s="4"/>
      <c r="BY816" s="4"/>
      <c r="BZ816" s="4"/>
      <c r="CA816" s="4"/>
      <c r="CB816" s="4"/>
      <c r="CC816" s="4"/>
      <c r="CD816" s="4"/>
      <c r="CE816" s="4"/>
      <c r="CF816" s="4"/>
      <c r="CG816" s="4"/>
      <c r="CH816" s="4"/>
    </row>
    <row r="817" spans="1:86" x14ac:dyDescent="0.25">
      <c r="A817" s="12">
        <f t="shared" si="18"/>
        <v>814</v>
      </c>
      <c r="B817" s="4" t="s">
        <v>2036</v>
      </c>
      <c r="C817" s="4" t="s">
        <v>2037</v>
      </c>
      <c r="D817" s="4" t="s">
        <v>45</v>
      </c>
      <c r="E817" s="4"/>
      <c r="F817" s="14"/>
      <c r="G817" s="14"/>
      <c r="H817" s="14"/>
      <c r="I817" s="5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  <c r="BM817" s="4"/>
      <c r="BN817" s="4"/>
      <c r="BO817" s="4"/>
      <c r="BP817" s="4"/>
      <c r="BQ817" s="4"/>
      <c r="BR817" s="4"/>
      <c r="BS817" s="4"/>
      <c r="BT817" s="4"/>
      <c r="BU817" s="4"/>
      <c r="BV817" s="4"/>
      <c r="BW817" s="4"/>
      <c r="BX817" s="4"/>
      <c r="BY817" s="4"/>
      <c r="BZ817" s="4"/>
      <c r="CA817" s="4"/>
      <c r="CB817" s="4"/>
      <c r="CC817" s="4"/>
      <c r="CD817" s="4"/>
      <c r="CE817" s="4"/>
      <c r="CF817" s="4"/>
      <c r="CG817" s="4"/>
      <c r="CH817" s="4"/>
    </row>
    <row r="818" spans="1:86" x14ac:dyDescent="0.25">
      <c r="A818" s="12">
        <f t="shared" si="18"/>
        <v>815</v>
      </c>
      <c r="B818" s="4" t="s">
        <v>2038</v>
      </c>
      <c r="C818" s="4" t="s">
        <v>2039</v>
      </c>
      <c r="D818" s="4" t="s">
        <v>45</v>
      </c>
      <c r="E818" s="4"/>
      <c r="F818" s="14"/>
      <c r="G818" s="14"/>
      <c r="H818" s="14"/>
      <c r="I818" s="5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  <c r="BM818" s="4"/>
      <c r="BN818" s="4"/>
      <c r="BO818" s="4"/>
      <c r="BP818" s="4"/>
      <c r="BQ818" s="4"/>
      <c r="BR818" s="4"/>
      <c r="BS818" s="4"/>
      <c r="BT818" s="4"/>
      <c r="BU818" s="4"/>
      <c r="BV818" s="4"/>
      <c r="BW818" s="4"/>
      <c r="BX818" s="4"/>
      <c r="BY818" s="4"/>
      <c r="BZ818" s="4"/>
      <c r="CA818" s="4"/>
      <c r="CB818" s="4"/>
      <c r="CC818" s="4"/>
      <c r="CD818" s="4"/>
      <c r="CE818" s="4"/>
      <c r="CF818" s="4"/>
      <c r="CG818" s="4"/>
      <c r="CH818" s="4"/>
    </row>
    <row r="819" spans="1:86" x14ac:dyDescent="0.25">
      <c r="A819" s="12">
        <f t="shared" si="18"/>
        <v>816</v>
      </c>
      <c r="B819" s="4" t="s">
        <v>2040</v>
      </c>
      <c r="C819" s="4" t="s">
        <v>2041</v>
      </c>
      <c r="D819" s="4" t="s">
        <v>278</v>
      </c>
      <c r="E819" s="4"/>
      <c r="F819" s="14"/>
      <c r="G819" s="14"/>
      <c r="H819" s="14"/>
      <c r="I819" s="5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  <c r="BM819" s="4"/>
      <c r="BN819" s="4"/>
      <c r="BO819" s="4"/>
      <c r="BP819" s="4"/>
      <c r="BQ819" s="4"/>
      <c r="BR819" s="4"/>
      <c r="BS819" s="4"/>
      <c r="BT819" s="4"/>
      <c r="BU819" s="4"/>
      <c r="BV819" s="4"/>
      <c r="BW819" s="4"/>
      <c r="BX819" s="4"/>
      <c r="BY819" s="4"/>
      <c r="BZ819" s="4"/>
      <c r="CA819" s="4"/>
      <c r="CB819" s="4"/>
      <c r="CC819" s="4"/>
      <c r="CD819" s="4"/>
      <c r="CE819" s="4"/>
      <c r="CF819" s="4"/>
      <c r="CG819" s="4"/>
      <c r="CH819" s="4"/>
    </row>
    <row r="820" spans="1:86" x14ac:dyDescent="0.25">
      <c r="A820" s="12">
        <f t="shared" si="18"/>
        <v>817</v>
      </c>
      <c r="B820" s="4" t="s">
        <v>2042</v>
      </c>
      <c r="C820" s="4" t="s">
        <v>2043</v>
      </c>
      <c r="D820" s="4" t="s">
        <v>770</v>
      </c>
      <c r="E820" s="4"/>
      <c r="F820" s="14"/>
      <c r="G820" s="14"/>
      <c r="H820" s="14"/>
      <c r="I820" s="5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  <c r="BM820" s="4"/>
      <c r="BN820" s="4"/>
      <c r="BO820" s="4"/>
      <c r="BP820" s="4"/>
      <c r="BQ820" s="4"/>
      <c r="BR820" s="4"/>
      <c r="BS820" s="4"/>
      <c r="BT820" s="4"/>
      <c r="BU820" s="4"/>
      <c r="BV820" s="4"/>
      <c r="BW820" s="4"/>
      <c r="BX820" s="4"/>
      <c r="BY820" s="4"/>
      <c r="BZ820" s="4"/>
      <c r="CA820" s="4"/>
      <c r="CB820" s="4"/>
      <c r="CC820" s="4"/>
      <c r="CD820" s="4"/>
      <c r="CE820" s="4"/>
      <c r="CF820" s="4"/>
      <c r="CG820" s="4"/>
      <c r="CH820" s="4"/>
    </row>
    <row r="821" spans="1:86" x14ac:dyDescent="0.25">
      <c r="A821" s="12">
        <f t="shared" si="18"/>
        <v>818</v>
      </c>
      <c r="B821" s="4" t="s">
        <v>2044</v>
      </c>
      <c r="C821" s="4" t="s">
        <v>2045</v>
      </c>
      <c r="D821" s="4" t="s">
        <v>1125</v>
      </c>
      <c r="E821" s="4"/>
      <c r="F821" s="14"/>
      <c r="G821" s="14"/>
      <c r="H821" s="14"/>
      <c r="I821" s="5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  <c r="BM821" s="4"/>
      <c r="BN821" s="4"/>
      <c r="BO821" s="4"/>
      <c r="BP821" s="4"/>
      <c r="BQ821" s="4"/>
      <c r="BR821" s="4"/>
      <c r="BS821" s="4"/>
      <c r="BT821" s="4"/>
      <c r="BU821" s="4"/>
      <c r="BV821" s="4"/>
      <c r="BW821" s="4"/>
      <c r="BX821" s="4"/>
      <c r="BY821" s="4"/>
      <c r="BZ821" s="4"/>
      <c r="CA821" s="4"/>
      <c r="CB821" s="4"/>
      <c r="CC821" s="4"/>
      <c r="CD821" s="4"/>
      <c r="CE821" s="4"/>
      <c r="CF821" s="4"/>
      <c r="CG821" s="4"/>
      <c r="CH821" s="4"/>
    </row>
    <row r="822" spans="1:86" x14ac:dyDescent="0.25">
      <c r="A822" s="12">
        <f t="shared" si="18"/>
        <v>819</v>
      </c>
      <c r="B822" s="4" t="s">
        <v>2046</v>
      </c>
      <c r="C822" s="4" t="s">
        <v>2047</v>
      </c>
      <c r="D822" s="4" t="s">
        <v>84</v>
      </c>
      <c r="E822" s="4"/>
      <c r="F822" s="14"/>
      <c r="G822" s="14"/>
      <c r="H822" s="14"/>
      <c r="I822" s="5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  <c r="BM822" s="4"/>
      <c r="BN822" s="4"/>
      <c r="BO822" s="4"/>
      <c r="BP822" s="4"/>
      <c r="BQ822" s="4"/>
      <c r="BR822" s="4"/>
      <c r="BS822" s="4"/>
      <c r="BT822" s="4"/>
      <c r="BU822" s="4"/>
      <c r="BV822" s="4"/>
      <c r="BW822" s="4"/>
      <c r="BX822" s="4"/>
      <c r="BY822" s="4"/>
      <c r="BZ822" s="4"/>
      <c r="CA822" s="4"/>
      <c r="CB822" s="4"/>
      <c r="CC822" s="4"/>
      <c r="CD822" s="4"/>
      <c r="CE822" s="4"/>
      <c r="CF822" s="4"/>
      <c r="CG822" s="4"/>
      <c r="CH822" s="4"/>
    </row>
    <row r="823" spans="1:86" x14ac:dyDescent="0.25">
      <c r="A823" s="12">
        <f t="shared" si="18"/>
        <v>820</v>
      </c>
      <c r="B823" s="4" t="s">
        <v>2048</v>
      </c>
      <c r="C823" s="4" t="s">
        <v>2049</v>
      </c>
      <c r="D823" s="4" t="s">
        <v>2570</v>
      </c>
      <c r="E823" s="4"/>
      <c r="F823" s="14"/>
      <c r="G823" s="14"/>
      <c r="H823" s="14"/>
      <c r="I823" s="5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  <c r="BM823" s="4"/>
      <c r="BN823" s="4"/>
      <c r="BO823" s="4"/>
      <c r="BP823" s="4"/>
      <c r="BQ823" s="4"/>
      <c r="BR823" s="4"/>
      <c r="BS823" s="4"/>
      <c r="BT823" s="4"/>
      <c r="BU823" s="4"/>
      <c r="BV823" s="4"/>
      <c r="BW823" s="4"/>
      <c r="BX823" s="4"/>
      <c r="BY823" s="4"/>
      <c r="BZ823" s="4"/>
      <c r="CA823" s="4"/>
      <c r="CB823" s="4"/>
      <c r="CC823" s="4"/>
      <c r="CD823" s="4"/>
      <c r="CE823" s="4"/>
      <c r="CF823" s="4"/>
      <c r="CG823" s="4"/>
      <c r="CH823" s="4"/>
    </row>
    <row r="824" spans="1:86" x14ac:dyDescent="0.25">
      <c r="A824" s="12">
        <f t="shared" si="18"/>
        <v>821</v>
      </c>
      <c r="B824" s="4" t="s">
        <v>2050</v>
      </c>
      <c r="C824" s="4" t="s">
        <v>2051</v>
      </c>
      <c r="D824" s="4" t="s">
        <v>45</v>
      </c>
      <c r="E824" s="4"/>
      <c r="F824" s="14"/>
      <c r="G824" s="14"/>
      <c r="H824" s="14"/>
      <c r="I824" s="5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  <c r="BM824" s="4"/>
      <c r="BN824" s="4"/>
      <c r="BO824" s="4"/>
      <c r="BP824" s="4"/>
      <c r="BQ824" s="4"/>
      <c r="BR824" s="4"/>
      <c r="BS824" s="4"/>
      <c r="BT824" s="4"/>
      <c r="BU824" s="4"/>
      <c r="BV824" s="4"/>
      <c r="BW824" s="4"/>
      <c r="BX824" s="4"/>
      <c r="BY824" s="4"/>
      <c r="BZ824" s="4"/>
      <c r="CA824" s="4"/>
      <c r="CB824" s="4"/>
      <c r="CC824" s="4"/>
      <c r="CD824" s="4"/>
      <c r="CE824" s="4"/>
      <c r="CF824" s="4"/>
      <c r="CG824" s="4"/>
      <c r="CH824" s="4"/>
    </row>
    <row r="825" spans="1:86" x14ac:dyDescent="0.25">
      <c r="A825" s="12">
        <f t="shared" si="18"/>
        <v>822</v>
      </c>
      <c r="B825" s="4" t="s">
        <v>2052</v>
      </c>
      <c r="C825" s="4" t="s">
        <v>2053</v>
      </c>
      <c r="D825" s="4" t="s">
        <v>508</v>
      </c>
      <c r="E825" s="4"/>
      <c r="F825" s="14"/>
      <c r="G825" s="14"/>
      <c r="H825" s="14"/>
      <c r="I825" s="5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  <c r="BP825" s="4"/>
      <c r="BQ825" s="4"/>
      <c r="BR825" s="4"/>
      <c r="BS825" s="4"/>
      <c r="BT825" s="4"/>
      <c r="BU825" s="4"/>
      <c r="BV825" s="4"/>
      <c r="BW825" s="4"/>
      <c r="BX825" s="4"/>
      <c r="BY825" s="4"/>
      <c r="BZ825" s="4"/>
      <c r="CA825" s="4"/>
      <c r="CB825" s="4"/>
      <c r="CC825" s="4"/>
      <c r="CD825" s="4"/>
      <c r="CE825" s="4"/>
      <c r="CF825" s="4"/>
      <c r="CG825" s="4"/>
      <c r="CH825" s="4"/>
    </row>
    <row r="826" spans="1:86" x14ac:dyDescent="0.25">
      <c r="A826" s="12">
        <f t="shared" si="18"/>
        <v>823</v>
      </c>
      <c r="B826" s="4" t="s">
        <v>2054</v>
      </c>
      <c r="C826" s="4" t="s">
        <v>2055</v>
      </c>
      <c r="D826" s="4" t="s">
        <v>1126</v>
      </c>
      <c r="E826" s="4"/>
      <c r="F826" s="14"/>
      <c r="G826" s="14"/>
      <c r="H826" s="14"/>
      <c r="I826" s="5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  <c r="BM826" s="4"/>
      <c r="BN826" s="4"/>
      <c r="BO826" s="4"/>
      <c r="BP826" s="4"/>
      <c r="BQ826" s="4"/>
      <c r="BR826" s="4"/>
      <c r="BS826" s="4"/>
      <c r="BT826" s="4"/>
      <c r="BU826" s="4"/>
      <c r="BV826" s="4"/>
      <c r="BW826" s="4"/>
      <c r="BX826" s="4"/>
      <c r="BY826" s="4"/>
      <c r="BZ826" s="4"/>
      <c r="CA826" s="4"/>
      <c r="CB826" s="4"/>
      <c r="CC826" s="4"/>
      <c r="CD826" s="4"/>
      <c r="CE826" s="4"/>
      <c r="CF826" s="4"/>
      <c r="CG826" s="4"/>
      <c r="CH826" s="4"/>
    </row>
    <row r="827" spans="1:86" x14ac:dyDescent="0.25">
      <c r="A827" s="12">
        <f t="shared" si="18"/>
        <v>824</v>
      </c>
      <c r="B827" s="4" t="s">
        <v>2056</v>
      </c>
      <c r="C827" s="4" t="s">
        <v>2057</v>
      </c>
      <c r="D827" s="4" t="s">
        <v>1123</v>
      </c>
      <c r="E827" s="4"/>
      <c r="F827" s="14"/>
      <c r="G827" s="14"/>
      <c r="H827" s="14"/>
      <c r="I827" s="5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  <c r="BM827" s="4"/>
      <c r="BN827" s="4"/>
      <c r="BO827" s="4"/>
      <c r="BP827" s="4"/>
      <c r="BQ827" s="4"/>
      <c r="BR827" s="4"/>
      <c r="BS827" s="4"/>
      <c r="BT827" s="4"/>
      <c r="BU827" s="4"/>
      <c r="BV827" s="4"/>
      <c r="BW827" s="4"/>
      <c r="BX827" s="4"/>
      <c r="BY827" s="4"/>
      <c r="BZ827" s="4"/>
      <c r="CA827" s="4"/>
      <c r="CB827" s="4"/>
      <c r="CC827" s="4"/>
      <c r="CD827" s="4"/>
      <c r="CE827" s="4"/>
      <c r="CF827" s="4"/>
      <c r="CG827" s="4"/>
      <c r="CH827" s="4"/>
    </row>
    <row r="828" spans="1:86" x14ac:dyDescent="0.25">
      <c r="A828" s="12">
        <f t="shared" si="18"/>
        <v>825</v>
      </c>
      <c r="B828" s="4" t="s">
        <v>2058</v>
      </c>
      <c r="C828" s="4" t="s">
        <v>2059</v>
      </c>
      <c r="D828" s="4" t="s">
        <v>1123</v>
      </c>
      <c r="E828" s="4"/>
      <c r="F828" s="14"/>
      <c r="G828" s="14"/>
      <c r="H828" s="14"/>
      <c r="I828" s="5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  <c r="BM828" s="4"/>
      <c r="BN828" s="4"/>
      <c r="BO828" s="4"/>
      <c r="BP828" s="4"/>
      <c r="BQ828" s="4"/>
      <c r="BR828" s="4"/>
      <c r="BS828" s="4"/>
      <c r="BT828" s="4"/>
      <c r="BU828" s="4"/>
      <c r="BV828" s="4"/>
      <c r="BW828" s="4"/>
      <c r="BX828" s="4"/>
      <c r="BY828" s="4"/>
      <c r="BZ828" s="4"/>
      <c r="CA828" s="4"/>
      <c r="CB828" s="4"/>
      <c r="CC828" s="4"/>
      <c r="CD828" s="4"/>
      <c r="CE828" s="4"/>
      <c r="CF828" s="4"/>
      <c r="CG828" s="4"/>
      <c r="CH828" s="4"/>
    </row>
    <row r="829" spans="1:86" x14ac:dyDescent="0.25">
      <c r="A829" s="12">
        <f t="shared" si="18"/>
        <v>826</v>
      </c>
      <c r="B829" s="4" t="s">
        <v>2060</v>
      </c>
      <c r="C829" s="4" t="s">
        <v>2061</v>
      </c>
      <c r="D829" s="4" t="s">
        <v>87</v>
      </c>
      <c r="E829" s="4"/>
      <c r="F829" s="14"/>
      <c r="G829" s="14"/>
      <c r="H829" s="14"/>
      <c r="I829" s="5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  <c r="BM829" s="4"/>
      <c r="BN829" s="4"/>
      <c r="BO829" s="4"/>
      <c r="BP829" s="4"/>
      <c r="BQ829" s="4"/>
      <c r="BR829" s="4"/>
      <c r="BS829" s="4"/>
      <c r="BT829" s="4"/>
      <c r="BU829" s="4"/>
      <c r="BV829" s="4"/>
      <c r="BW829" s="4"/>
      <c r="BX829" s="4"/>
      <c r="BY829" s="4"/>
      <c r="BZ829" s="4"/>
      <c r="CA829" s="4"/>
      <c r="CB829" s="4"/>
      <c r="CC829" s="4"/>
      <c r="CD829" s="4"/>
      <c r="CE829" s="4"/>
      <c r="CF829" s="4"/>
      <c r="CG829" s="4"/>
      <c r="CH829" s="4"/>
    </row>
    <row r="830" spans="1:86" x14ac:dyDescent="0.25">
      <c r="A830" s="12">
        <f t="shared" si="18"/>
        <v>827</v>
      </c>
      <c r="B830" s="4" t="s">
        <v>2062</v>
      </c>
      <c r="C830" s="4" t="s">
        <v>2063</v>
      </c>
      <c r="D830" s="4" t="s">
        <v>45</v>
      </c>
      <c r="E830" s="4"/>
      <c r="F830" s="14"/>
      <c r="G830" s="14"/>
      <c r="H830" s="14"/>
      <c r="I830" s="5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  <c r="BM830" s="4"/>
      <c r="BN830" s="4"/>
      <c r="BO830" s="4"/>
      <c r="BP830" s="4"/>
      <c r="BQ830" s="4"/>
      <c r="BR830" s="4"/>
      <c r="BS830" s="4"/>
      <c r="BT830" s="4"/>
      <c r="BU830" s="4"/>
      <c r="BV830" s="4"/>
      <c r="BW830" s="4"/>
      <c r="BX830" s="4"/>
      <c r="BY830" s="4"/>
      <c r="BZ830" s="4"/>
      <c r="CA830" s="4"/>
      <c r="CB830" s="4"/>
      <c r="CC830" s="4"/>
      <c r="CD830" s="4"/>
      <c r="CE830" s="4"/>
      <c r="CF830" s="4"/>
      <c r="CG830" s="4"/>
      <c r="CH830" s="4"/>
    </row>
    <row r="831" spans="1:86" x14ac:dyDescent="0.25">
      <c r="A831" s="12">
        <f t="shared" si="18"/>
        <v>828</v>
      </c>
      <c r="B831" s="4" t="s">
        <v>2064</v>
      </c>
      <c r="C831" s="4" t="s">
        <v>2065</v>
      </c>
      <c r="D831" s="4" t="s">
        <v>45</v>
      </c>
      <c r="E831" s="4"/>
      <c r="F831" s="14"/>
      <c r="G831" s="14"/>
      <c r="H831" s="14"/>
      <c r="I831" s="5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  <c r="BM831" s="4"/>
      <c r="BN831" s="4"/>
      <c r="BO831" s="4"/>
      <c r="BP831" s="4"/>
      <c r="BQ831" s="4"/>
      <c r="BR831" s="4"/>
      <c r="BS831" s="4"/>
      <c r="BT831" s="4"/>
      <c r="BU831" s="4"/>
      <c r="BV831" s="4"/>
      <c r="BW831" s="4"/>
      <c r="BX831" s="4"/>
      <c r="BY831" s="4"/>
      <c r="BZ831" s="4"/>
      <c r="CA831" s="4"/>
      <c r="CB831" s="4"/>
      <c r="CC831" s="4"/>
      <c r="CD831" s="4"/>
      <c r="CE831" s="4"/>
      <c r="CF831" s="4"/>
      <c r="CG831" s="4"/>
      <c r="CH831" s="4"/>
    </row>
    <row r="832" spans="1:86" x14ac:dyDescent="0.25">
      <c r="A832" s="12">
        <f t="shared" si="18"/>
        <v>829</v>
      </c>
      <c r="B832" s="4" t="s">
        <v>2066</v>
      </c>
      <c r="C832" s="4" t="s">
        <v>2067</v>
      </c>
      <c r="D832" s="4" t="s">
        <v>1129</v>
      </c>
      <c r="E832" s="4"/>
      <c r="F832" s="14"/>
      <c r="G832" s="14"/>
      <c r="H832" s="14"/>
      <c r="I832" s="5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  <c r="BM832" s="4"/>
      <c r="BN832" s="4"/>
      <c r="BO832" s="4"/>
      <c r="BP832" s="4"/>
      <c r="BQ832" s="4"/>
      <c r="BR832" s="4"/>
      <c r="BS832" s="4"/>
      <c r="BT832" s="4"/>
      <c r="BU832" s="4"/>
      <c r="BV832" s="4"/>
      <c r="BW832" s="4"/>
      <c r="BX832" s="4"/>
      <c r="BY832" s="4"/>
      <c r="BZ832" s="4"/>
      <c r="CA832" s="4"/>
      <c r="CB832" s="4"/>
      <c r="CC832" s="4"/>
      <c r="CD832" s="4"/>
      <c r="CE832" s="4"/>
      <c r="CF832" s="4"/>
      <c r="CG832" s="4"/>
      <c r="CH832" s="4"/>
    </row>
    <row r="833" spans="1:86" x14ac:dyDescent="0.25">
      <c r="A833" s="12">
        <f t="shared" si="18"/>
        <v>830</v>
      </c>
      <c r="B833" s="4" t="s">
        <v>2068</v>
      </c>
      <c r="C833" s="4" t="s">
        <v>2069</v>
      </c>
      <c r="D833" s="4" t="s">
        <v>45</v>
      </c>
      <c r="E833" s="4"/>
      <c r="F833" s="14"/>
      <c r="G833" s="14"/>
      <c r="H833" s="14"/>
      <c r="I833" s="5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  <c r="BM833" s="4"/>
      <c r="BN833" s="4"/>
      <c r="BO833" s="4"/>
      <c r="BP833" s="4"/>
      <c r="BQ833" s="4"/>
      <c r="BR833" s="4"/>
      <c r="BS833" s="4"/>
      <c r="BT833" s="4"/>
      <c r="BU833" s="4"/>
      <c r="BV833" s="4"/>
      <c r="BW833" s="4"/>
      <c r="BX833" s="4"/>
      <c r="BY833" s="4"/>
      <c r="BZ833" s="4"/>
      <c r="CA833" s="4"/>
      <c r="CB833" s="4"/>
      <c r="CC833" s="4"/>
      <c r="CD833" s="4"/>
      <c r="CE833" s="4"/>
      <c r="CF833" s="4"/>
      <c r="CG833" s="4"/>
      <c r="CH833" s="4"/>
    </row>
    <row r="834" spans="1:86" x14ac:dyDescent="0.25">
      <c r="A834" s="12">
        <f t="shared" si="18"/>
        <v>831</v>
      </c>
      <c r="B834" s="4" t="s">
        <v>2070</v>
      </c>
      <c r="C834" s="4" t="s">
        <v>2071</v>
      </c>
      <c r="D834" s="4" t="s">
        <v>2577</v>
      </c>
      <c r="E834" s="4"/>
      <c r="F834" s="14"/>
      <c r="G834" s="14"/>
      <c r="H834" s="14"/>
      <c r="I834" s="5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  <c r="BM834" s="4"/>
      <c r="BN834" s="4"/>
      <c r="BO834" s="4"/>
      <c r="BP834" s="4"/>
      <c r="BQ834" s="4"/>
      <c r="BR834" s="4"/>
      <c r="BS834" s="4"/>
      <c r="BT834" s="4"/>
      <c r="BU834" s="4"/>
      <c r="BV834" s="4"/>
      <c r="BW834" s="4"/>
      <c r="BX834" s="4"/>
      <c r="BY834" s="4"/>
      <c r="BZ834" s="4"/>
      <c r="CA834" s="4"/>
      <c r="CB834" s="4"/>
      <c r="CC834" s="4"/>
      <c r="CD834" s="4"/>
      <c r="CE834" s="4"/>
      <c r="CF834" s="4"/>
      <c r="CG834" s="4"/>
      <c r="CH834" s="4"/>
    </row>
    <row r="835" spans="1:86" x14ac:dyDescent="0.25">
      <c r="A835" s="12">
        <f t="shared" si="18"/>
        <v>832</v>
      </c>
      <c r="B835" s="4" t="s">
        <v>2072</v>
      </c>
      <c r="C835" s="4" t="s">
        <v>2073</v>
      </c>
      <c r="D835" s="4" t="s">
        <v>45</v>
      </c>
      <c r="E835" s="4"/>
      <c r="F835" s="14"/>
      <c r="G835" s="14"/>
      <c r="H835" s="14"/>
      <c r="I835" s="5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  <c r="BM835" s="4"/>
      <c r="BN835" s="4"/>
      <c r="BO835" s="4"/>
      <c r="BP835" s="4"/>
      <c r="BQ835" s="4"/>
      <c r="BR835" s="4"/>
      <c r="BS835" s="4"/>
      <c r="BT835" s="4"/>
      <c r="BU835" s="4"/>
      <c r="BV835" s="4"/>
      <c r="BW835" s="4"/>
      <c r="BX835" s="4"/>
      <c r="BY835" s="4"/>
      <c r="BZ835" s="4"/>
      <c r="CA835" s="4"/>
      <c r="CB835" s="4"/>
      <c r="CC835" s="4"/>
      <c r="CD835" s="4"/>
      <c r="CE835" s="4"/>
      <c r="CF835" s="4"/>
      <c r="CG835" s="4"/>
      <c r="CH835" s="4"/>
    </row>
    <row r="836" spans="1:86" x14ac:dyDescent="0.25">
      <c r="A836" s="12">
        <f t="shared" si="18"/>
        <v>833</v>
      </c>
      <c r="B836" s="4" t="s">
        <v>2074</v>
      </c>
      <c r="C836" s="4" t="s">
        <v>2075</v>
      </c>
      <c r="D836" s="4" t="s">
        <v>1129</v>
      </c>
      <c r="E836" s="4"/>
      <c r="F836" s="14"/>
      <c r="G836" s="14"/>
      <c r="H836" s="14"/>
      <c r="I836" s="5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  <c r="BM836" s="4"/>
      <c r="BN836" s="4"/>
      <c r="BO836" s="4"/>
      <c r="BP836" s="4"/>
      <c r="BQ836" s="4"/>
      <c r="BR836" s="4"/>
      <c r="BS836" s="4"/>
      <c r="BT836" s="4"/>
      <c r="BU836" s="4"/>
      <c r="BV836" s="4"/>
      <c r="BW836" s="4"/>
      <c r="BX836" s="4"/>
      <c r="BY836" s="4"/>
      <c r="BZ836" s="4"/>
      <c r="CA836" s="4"/>
      <c r="CB836" s="4"/>
      <c r="CC836" s="4"/>
      <c r="CD836" s="4"/>
      <c r="CE836" s="4"/>
      <c r="CF836" s="4"/>
      <c r="CG836" s="4"/>
      <c r="CH836" s="4"/>
    </row>
    <row r="837" spans="1:86" x14ac:dyDescent="0.25">
      <c r="A837" s="12">
        <f t="shared" si="18"/>
        <v>834</v>
      </c>
      <c r="B837" s="4" t="s">
        <v>2076</v>
      </c>
      <c r="C837" s="4" t="s">
        <v>2077</v>
      </c>
      <c r="D837" s="4" t="s">
        <v>2569</v>
      </c>
      <c r="E837" s="4"/>
      <c r="F837" s="14"/>
      <c r="G837" s="14"/>
      <c r="H837" s="14"/>
      <c r="I837" s="5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  <c r="BM837" s="4"/>
      <c r="BN837" s="4"/>
      <c r="BO837" s="4"/>
      <c r="BP837" s="4"/>
      <c r="BQ837" s="4"/>
      <c r="BR837" s="4"/>
      <c r="BS837" s="4"/>
      <c r="BT837" s="4"/>
      <c r="BU837" s="4"/>
      <c r="BV837" s="4"/>
      <c r="BW837" s="4"/>
      <c r="BX837" s="4"/>
      <c r="BY837" s="4"/>
      <c r="BZ837" s="4"/>
      <c r="CA837" s="4"/>
      <c r="CB837" s="4"/>
      <c r="CC837" s="4"/>
      <c r="CD837" s="4"/>
      <c r="CE837" s="4"/>
      <c r="CF837" s="4"/>
      <c r="CG837" s="4"/>
      <c r="CH837" s="4"/>
    </row>
    <row r="838" spans="1:86" x14ac:dyDescent="0.25">
      <c r="A838" s="12">
        <f t="shared" si="18"/>
        <v>835</v>
      </c>
      <c r="B838" s="4" t="s">
        <v>2078</v>
      </c>
      <c r="C838" s="4" t="s">
        <v>2079</v>
      </c>
      <c r="D838" s="4" t="s">
        <v>2576</v>
      </c>
      <c r="E838" s="4"/>
      <c r="F838" s="14"/>
      <c r="G838" s="14"/>
      <c r="H838" s="14"/>
      <c r="I838" s="5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  <c r="BM838" s="4"/>
      <c r="BN838" s="4"/>
      <c r="BO838" s="4"/>
      <c r="BP838" s="4"/>
      <c r="BQ838" s="4"/>
      <c r="BR838" s="4"/>
      <c r="BS838" s="4"/>
      <c r="BT838" s="4"/>
      <c r="BU838" s="4"/>
      <c r="BV838" s="4"/>
      <c r="BW838" s="4"/>
      <c r="BX838" s="4"/>
      <c r="BY838" s="4"/>
      <c r="BZ838" s="4"/>
      <c r="CA838" s="4"/>
      <c r="CB838" s="4"/>
      <c r="CC838" s="4"/>
      <c r="CD838" s="4"/>
      <c r="CE838" s="4"/>
      <c r="CF838" s="4"/>
      <c r="CG838" s="4"/>
      <c r="CH838" s="4"/>
    </row>
    <row r="839" spans="1:86" x14ac:dyDescent="0.25">
      <c r="A839" s="12">
        <f t="shared" si="18"/>
        <v>836</v>
      </c>
      <c r="B839" s="4" t="s">
        <v>2080</v>
      </c>
      <c r="C839" s="4" t="s">
        <v>2081</v>
      </c>
      <c r="D839" s="4" t="s">
        <v>45</v>
      </c>
      <c r="E839" s="4"/>
      <c r="F839" s="14"/>
      <c r="G839" s="14"/>
      <c r="H839" s="14"/>
      <c r="I839" s="5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  <c r="BM839" s="4"/>
      <c r="BN839" s="4"/>
      <c r="BO839" s="4"/>
      <c r="BP839" s="4"/>
      <c r="BQ839" s="4"/>
      <c r="BR839" s="4"/>
      <c r="BS839" s="4"/>
      <c r="BT839" s="4"/>
      <c r="BU839" s="4"/>
      <c r="BV839" s="4"/>
      <c r="BW839" s="4"/>
      <c r="BX839" s="4"/>
      <c r="BY839" s="4"/>
      <c r="BZ839" s="4"/>
      <c r="CA839" s="4"/>
      <c r="CB839" s="4"/>
      <c r="CC839" s="4"/>
      <c r="CD839" s="4"/>
      <c r="CE839" s="4"/>
      <c r="CF839" s="4"/>
      <c r="CG839" s="4"/>
      <c r="CH839" s="4"/>
    </row>
    <row r="840" spans="1:86" x14ac:dyDescent="0.25">
      <c r="A840" s="12">
        <f t="shared" si="18"/>
        <v>837</v>
      </c>
      <c r="B840" s="4" t="s">
        <v>2082</v>
      </c>
      <c r="C840" s="4" t="s">
        <v>2083</v>
      </c>
      <c r="D840" s="4" t="s">
        <v>84</v>
      </c>
      <c r="E840" s="4"/>
      <c r="F840" s="14"/>
      <c r="G840" s="14"/>
      <c r="H840" s="14"/>
      <c r="I840" s="5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  <c r="BM840" s="4"/>
      <c r="BN840" s="4"/>
      <c r="BO840" s="4"/>
      <c r="BP840" s="4"/>
      <c r="BQ840" s="4"/>
      <c r="BR840" s="4"/>
      <c r="BS840" s="4"/>
      <c r="BT840" s="4"/>
      <c r="BU840" s="4"/>
      <c r="BV840" s="4"/>
      <c r="BW840" s="4"/>
      <c r="BX840" s="4"/>
      <c r="BY840" s="4"/>
      <c r="BZ840" s="4"/>
      <c r="CA840" s="4"/>
      <c r="CB840" s="4"/>
      <c r="CC840" s="4"/>
      <c r="CD840" s="4"/>
      <c r="CE840" s="4"/>
      <c r="CF840" s="4"/>
      <c r="CG840" s="4"/>
      <c r="CH840" s="4"/>
    </row>
    <row r="841" spans="1:86" x14ac:dyDescent="0.25">
      <c r="A841" s="12">
        <f t="shared" si="18"/>
        <v>838</v>
      </c>
      <c r="B841" s="4" t="s">
        <v>2084</v>
      </c>
      <c r="C841" s="4" t="s">
        <v>2085</v>
      </c>
      <c r="D841" s="4" t="s">
        <v>45</v>
      </c>
      <c r="E841" s="4"/>
      <c r="F841" s="14"/>
      <c r="G841" s="14"/>
      <c r="H841" s="14"/>
      <c r="I841" s="5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  <c r="BM841" s="4"/>
      <c r="BN841" s="4"/>
      <c r="BO841" s="4"/>
      <c r="BP841" s="4"/>
      <c r="BQ841" s="4"/>
      <c r="BR841" s="4"/>
      <c r="BS841" s="4"/>
      <c r="BT841" s="4"/>
      <c r="BU841" s="4"/>
      <c r="BV841" s="4"/>
      <c r="BW841" s="4"/>
      <c r="BX841" s="4"/>
      <c r="BY841" s="4"/>
      <c r="BZ841" s="4"/>
      <c r="CA841" s="4"/>
      <c r="CB841" s="4"/>
      <c r="CC841" s="4"/>
      <c r="CD841" s="4"/>
      <c r="CE841" s="4"/>
      <c r="CF841" s="4"/>
      <c r="CG841" s="4"/>
      <c r="CH841" s="4"/>
    </row>
    <row r="842" spans="1:86" x14ac:dyDescent="0.25">
      <c r="A842" s="12">
        <f t="shared" ref="A842:A905" si="19">+A841+1</f>
        <v>839</v>
      </c>
      <c r="B842" s="4" t="s">
        <v>2086</v>
      </c>
      <c r="C842" s="4" t="s">
        <v>2087</v>
      </c>
      <c r="D842" s="4" t="s">
        <v>84</v>
      </c>
      <c r="E842" s="4"/>
      <c r="F842" s="14"/>
      <c r="G842" s="14"/>
      <c r="H842" s="14"/>
      <c r="I842" s="5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  <c r="BM842" s="4"/>
      <c r="BN842" s="4"/>
      <c r="BO842" s="4"/>
      <c r="BP842" s="4"/>
      <c r="BQ842" s="4"/>
      <c r="BR842" s="4"/>
      <c r="BS842" s="4"/>
      <c r="BT842" s="4"/>
      <c r="BU842" s="4"/>
      <c r="BV842" s="4"/>
      <c r="BW842" s="4"/>
      <c r="BX842" s="4"/>
      <c r="BY842" s="4"/>
      <c r="BZ842" s="4"/>
      <c r="CA842" s="4"/>
      <c r="CB842" s="4"/>
      <c r="CC842" s="4"/>
      <c r="CD842" s="4"/>
      <c r="CE842" s="4"/>
      <c r="CF842" s="4"/>
      <c r="CG842" s="4"/>
      <c r="CH842" s="4"/>
    </row>
    <row r="843" spans="1:86" x14ac:dyDescent="0.25">
      <c r="A843" s="12">
        <f t="shared" si="19"/>
        <v>840</v>
      </c>
      <c r="B843" s="4" t="s">
        <v>2088</v>
      </c>
      <c r="C843" s="4" t="s">
        <v>2089</v>
      </c>
      <c r="D843" s="4" t="s">
        <v>1130</v>
      </c>
      <c r="E843" s="4"/>
      <c r="F843" s="14"/>
      <c r="G843" s="14"/>
      <c r="H843" s="14"/>
      <c r="I843" s="5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  <c r="BM843" s="4"/>
      <c r="BN843" s="4"/>
      <c r="BO843" s="4"/>
      <c r="BP843" s="4"/>
      <c r="BQ843" s="4"/>
      <c r="BR843" s="4"/>
      <c r="BS843" s="4"/>
      <c r="BT843" s="4"/>
      <c r="BU843" s="4"/>
      <c r="BV843" s="4"/>
      <c r="BW843" s="4"/>
      <c r="BX843" s="4"/>
      <c r="BY843" s="4"/>
      <c r="BZ843" s="4"/>
      <c r="CA843" s="4"/>
      <c r="CB843" s="4"/>
      <c r="CC843" s="4"/>
      <c r="CD843" s="4"/>
      <c r="CE843" s="4"/>
      <c r="CF843" s="4"/>
      <c r="CG843" s="4"/>
      <c r="CH843" s="4"/>
    </row>
    <row r="844" spans="1:86" x14ac:dyDescent="0.25">
      <c r="A844" s="12">
        <f t="shared" si="19"/>
        <v>841</v>
      </c>
      <c r="B844" s="4" t="s">
        <v>2090</v>
      </c>
      <c r="C844" s="4" t="s">
        <v>2091</v>
      </c>
      <c r="D844" s="4" t="s">
        <v>536</v>
      </c>
      <c r="E844" s="4"/>
      <c r="F844" s="14"/>
      <c r="G844" s="14"/>
      <c r="H844" s="14"/>
      <c r="I844" s="5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  <c r="BM844" s="4"/>
      <c r="BN844" s="4"/>
      <c r="BO844" s="4"/>
      <c r="BP844" s="4"/>
      <c r="BQ844" s="4"/>
      <c r="BR844" s="4"/>
      <c r="BS844" s="4"/>
      <c r="BT844" s="4"/>
      <c r="BU844" s="4"/>
      <c r="BV844" s="4"/>
      <c r="BW844" s="4"/>
      <c r="BX844" s="4"/>
      <c r="BY844" s="4"/>
      <c r="BZ844" s="4"/>
      <c r="CA844" s="4"/>
      <c r="CB844" s="4"/>
      <c r="CC844" s="4"/>
      <c r="CD844" s="4"/>
      <c r="CE844" s="4"/>
      <c r="CF844" s="4"/>
      <c r="CG844" s="4"/>
      <c r="CH844" s="4"/>
    </row>
    <row r="845" spans="1:86" x14ac:dyDescent="0.25">
      <c r="A845" s="12">
        <f t="shared" si="19"/>
        <v>842</v>
      </c>
      <c r="B845" s="4" t="s">
        <v>2092</v>
      </c>
      <c r="C845" s="4" t="s">
        <v>2093</v>
      </c>
      <c r="D845" s="4" t="s">
        <v>84</v>
      </c>
      <c r="E845" s="4"/>
      <c r="F845" s="14"/>
      <c r="G845" s="14"/>
      <c r="H845" s="14"/>
      <c r="I845" s="5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  <c r="BM845" s="4"/>
      <c r="BN845" s="4"/>
      <c r="BO845" s="4"/>
      <c r="BP845" s="4"/>
      <c r="BQ845" s="4"/>
      <c r="BR845" s="4"/>
      <c r="BS845" s="4"/>
      <c r="BT845" s="4"/>
      <c r="BU845" s="4"/>
      <c r="BV845" s="4"/>
      <c r="BW845" s="4"/>
      <c r="BX845" s="4"/>
      <c r="BY845" s="4"/>
      <c r="BZ845" s="4"/>
      <c r="CA845" s="4"/>
      <c r="CB845" s="4"/>
      <c r="CC845" s="4"/>
      <c r="CD845" s="4"/>
      <c r="CE845" s="4"/>
      <c r="CF845" s="4"/>
      <c r="CG845" s="4"/>
      <c r="CH845" s="4"/>
    </row>
    <row r="846" spans="1:86" x14ac:dyDescent="0.25">
      <c r="A846" s="12">
        <f t="shared" si="19"/>
        <v>843</v>
      </c>
      <c r="B846" s="4" t="s">
        <v>2094</v>
      </c>
      <c r="C846" s="4" t="s">
        <v>2095</v>
      </c>
      <c r="D846" s="4" t="s">
        <v>1123</v>
      </c>
      <c r="E846" s="4"/>
      <c r="F846" s="14"/>
      <c r="G846" s="14"/>
      <c r="H846" s="14"/>
      <c r="I846" s="5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  <c r="BM846" s="4"/>
      <c r="BN846" s="4"/>
      <c r="BO846" s="4"/>
      <c r="BP846" s="4"/>
      <c r="BQ846" s="4"/>
      <c r="BR846" s="4"/>
      <c r="BS846" s="4"/>
      <c r="BT846" s="4"/>
      <c r="BU846" s="4"/>
      <c r="BV846" s="4"/>
      <c r="BW846" s="4"/>
      <c r="BX846" s="4"/>
      <c r="BY846" s="4"/>
      <c r="BZ846" s="4"/>
      <c r="CA846" s="4"/>
      <c r="CB846" s="4"/>
      <c r="CC846" s="4"/>
      <c r="CD846" s="4"/>
      <c r="CE846" s="4"/>
      <c r="CF846" s="4"/>
      <c r="CG846" s="4"/>
      <c r="CH846" s="4"/>
    </row>
    <row r="847" spans="1:86" x14ac:dyDescent="0.25">
      <c r="A847" s="12">
        <f t="shared" si="19"/>
        <v>844</v>
      </c>
      <c r="B847" s="4" t="s">
        <v>2096</v>
      </c>
      <c r="C847" s="4" t="s">
        <v>2097</v>
      </c>
      <c r="D847" s="4" t="s">
        <v>1126</v>
      </c>
      <c r="E847" s="4"/>
      <c r="F847" s="14"/>
      <c r="G847" s="14"/>
      <c r="H847" s="14"/>
      <c r="I847" s="5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  <c r="BM847" s="4"/>
      <c r="BN847" s="4"/>
      <c r="BO847" s="4"/>
      <c r="BP847" s="4"/>
      <c r="BQ847" s="4"/>
      <c r="BR847" s="4"/>
      <c r="BS847" s="4"/>
      <c r="BT847" s="4"/>
      <c r="BU847" s="4"/>
      <c r="BV847" s="4"/>
      <c r="BW847" s="4"/>
      <c r="BX847" s="4"/>
      <c r="BY847" s="4"/>
      <c r="BZ847" s="4"/>
      <c r="CA847" s="4"/>
      <c r="CB847" s="4"/>
      <c r="CC847" s="4"/>
      <c r="CD847" s="4"/>
      <c r="CE847" s="4"/>
      <c r="CF847" s="4"/>
      <c r="CG847" s="4"/>
      <c r="CH847" s="4"/>
    </row>
    <row r="848" spans="1:86" x14ac:dyDescent="0.25">
      <c r="A848" s="12">
        <f t="shared" si="19"/>
        <v>845</v>
      </c>
      <c r="B848" s="4" t="s">
        <v>2098</v>
      </c>
      <c r="C848" s="4" t="s">
        <v>2099</v>
      </c>
      <c r="D848" s="4" t="s">
        <v>1123</v>
      </c>
      <c r="E848" s="4"/>
      <c r="F848" s="14"/>
      <c r="G848" s="14"/>
      <c r="H848" s="14"/>
      <c r="I848" s="5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  <c r="BM848" s="4"/>
      <c r="BN848" s="4"/>
      <c r="BO848" s="4"/>
      <c r="BP848" s="4"/>
      <c r="BQ848" s="4"/>
      <c r="BR848" s="4"/>
      <c r="BS848" s="4"/>
      <c r="BT848" s="4"/>
      <c r="BU848" s="4"/>
      <c r="BV848" s="4"/>
      <c r="BW848" s="4"/>
      <c r="BX848" s="4"/>
      <c r="BY848" s="4"/>
      <c r="BZ848" s="4"/>
      <c r="CA848" s="4"/>
      <c r="CB848" s="4"/>
      <c r="CC848" s="4"/>
      <c r="CD848" s="4"/>
      <c r="CE848" s="4"/>
      <c r="CF848" s="4"/>
      <c r="CG848" s="4"/>
      <c r="CH848" s="4"/>
    </row>
    <row r="849" spans="1:86" x14ac:dyDescent="0.25">
      <c r="A849" s="12">
        <f t="shared" si="19"/>
        <v>846</v>
      </c>
      <c r="B849" s="4" t="s">
        <v>1055</v>
      </c>
      <c r="C849" s="4" t="s">
        <v>1056</v>
      </c>
      <c r="D849" s="4" t="s">
        <v>768</v>
      </c>
      <c r="E849" s="4"/>
      <c r="F849" s="14"/>
      <c r="G849" s="14"/>
      <c r="H849" s="14"/>
      <c r="I849" s="5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  <c r="BM849" s="4"/>
      <c r="BN849" s="4"/>
      <c r="BO849" s="4"/>
      <c r="BP849" s="4"/>
      <c r="BQ849" s="4"/>
      <c r="BR849" s="4"/>
      <c r="BS849" s="4"/>
      <c r="BT849" s="4"/>
      <c r="BU849" s="4"/>
      <c r="BV849" s="4"/>
      <c r="BW849" s="4"/>
      <c r="BX849" s="4"/>
      <c r="BY849" s="4"/>
      <c r="BZ849" s="4"/>
      <c r="CA849" s="4"/>
      <c r="CB849" s="4"/>
      <c r="CC849" s="4"/>
      <c r="CD849" s="4"/>
      <c r="CE849" s="4"/>
      <c r="CF849" s="4"/>
      <c r="CG849" s="4"/>
      <c r="CH849" s="4"/>
    </row>
    <row r="850" spans="1:86" x14ac:dyDescent="0.25">
      <c r="A850" s="12">
        <f t="shared" si="19"/>
        <v>847</v>
      </c>
      <c r="B850" s="4" t="s">
        <v>2100</v>
      </c>
      <c r="C850" s="4" t="s">
        <v>2101</v>
      </c>
      <c r="D850" s="4" t="s">
        <v>45</v>
      </c>
      <c r="E850" s="4"/>
      <c r="F850" s="14"/>
      <c r="G850" s="14"/>
      <c r="H850" s="14"/>
      <c r="I850" s="5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  <c r="BM850" s="4"/>
      <c r="BN850" s="4"/>
      <c r="BO850" s="4"/>
      <c r="BP850" s="4"/>
      <c r="BQ850" s="4"/>
      <c r="BR850" s="4"/>
      <c r="BS850" s="4"/>
      <c r="BT850" s="4"/>
      <c r="BU850" s="4"/>
      <c r="BV850" s="4"/>
      <c r="BW850" s="4"/>
      <c r="BX850" s="4"/>
      <c r="BY850" s="4"/>
      <c r="BZ850" s="4"/>
      <c r="CA850" s="4"/>
      <c r="CB850" s="4"/>
      <c r="CC850" s="4"/>
      <c r="CD850" s="4"/>
      <c r="CE850" s="4"/>
      <c r="CF850" s="4"/>
      <c r="CG850" s="4"/>
      <c r="CH850" s="4"/>
    </row>
    <row r="851" spans="1:86" x14ac:dyDescent="0.25">
      <c r="A851" s="12">
        <f t="shared" si="19"/>
        <v>848</v>
      </c>
      <c r="B851" s="4" t="s">
        <v>2102</v>
      </c>
      <c r="C851" s="4" t="s">
        <v>2103</v>
      </c>
      <c r="D851" s="4" t="s">
        <v>45</v>
      </c>
      <c r="E851" s="4"/>
      <c r="F851" s="14"/>
      <c r="G851" s="14"/>
      <c r="H851" s="14"/>
      <c r="I851" s="5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  <c r="BM851" s="4"/>
      <c r="BN851" s="4"/>
      <c r="BO851" s="4"/>
      <c r="BP851" s="4"/>
      <c r="BQ851" s="4"/>
      <c r="BR851" s="4"/>
      <c r="BS851" s="4"/>
      <c r="BT851" s="4"/>
      <c r="BU851" s="4"/>
      <c r="BV851" s="4"/>
      <c r="BW851" s="4"/>
      <c r="BX851" s="4"/>
      <c r="BY851" s="4"/>
      <c r="BZ851" s="4"/>
      <c r="CA851" s="4"/>
      <c r="CB851" s="4"/>
      <c r="CC851" s="4"/>
      <c r="CD851" s="4"/>
      <c r="CE851" s="4"/>
      <c r="CF851" s="4"/>
      <c r="CG851" s="4"/>
      <c r="CH851" s="4"/>
    </row>
    <row r="852" spans="1:86" x14ac:dyDescent="0.25">
      <c r="A852" s="12">
        <f t="shared" si="19"/>
        <v>849</v>
      </c>
      <c r="B852" s="4" t="s">
        <v>2104</v>
      </c>
      <c r="C852" s="4" t="s">
        <v>2105</v>
      </c>
      <c r="D852" s="4" t="s">
        <v>508</v>
      </c>
      <c r="E852" s="4"/>
      <c r="F852" s="14"/>
      <c r="G852" s="14"/>
      <c r="H852" s="14"/>
      <c r="I852" s="5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  <c r="BM852" s="4"/>
      <c r="BN852" s="4"/>
      <c r="BO852" s="4"/>
      <c r="BP852" s="4"/>
      <c r="BQ852" s="4"/>
      <c r="BR852" s="4"/>
      <c r="BS852" s="4"/>
      <c r="BT852" s="4"/>
      <c r="BU852" s="4"/>
      <c r="BV852" s="4"/>
      <c r="BW852" s="4"/>
      <c r="BX852" s="4"/>
      <c r="BY852" s="4"/>
      <c r="BZ852" s="4"/>
      <c r="CA852" s="4"/>
      <c r="CB852" s="4"/>
      <c r="CC852" s="4"/>
      <c r="CD852" s="4"/>
      <c r="CE852" s="4"/>
      <c r="CF852" s="4"/>
      <c r="CG852" s="4"/>
      <c r="CH852" s="4"/>
    </row>
    <row r="853" spans="1:86" x14ac:dyDescent="0.25">
      <c r="A853" s="12">
        <f t="shared" si="19"/>
        <v>850</v>
      </c>
      <c r="B853" s="4" t="s">
        <v>2106</v>
      </c>
      <c r="C853" s="4" t="s">
        <v>2107</v>
      </c>
      <c r="D853" s="4" t="s">
        <v>1129</v>
      </c>
      <c r="E853" s="4"/>
      <c r="F853" s="14"/>
      <c r="G853" s="14"/>
      <c r="H853" s="14"/>
      <c r="I853" s="5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  <c r="BM853" s="4"/>
      <c r="BN853" s="4"/>
      <c r="BO853" s="4"/>
      <c r="BP853" s="4"/>
      <c r="BQ853" s="4"/>
      <c r="BR853" s="4"/>
      <c r="BS853" s="4"/>
      <c r="BT853" s="4"/>
      <c r="BU853" s="4"/>
      <c r="BV853" s="4"/>
      <c r="BW853" s="4"/>
      <c r="BX853" s="4"/>
      <c r="BY853" s="4"/>
      <c r="BZ853" s="4"/>
      <c r="CA853" s="4"/>
      <c r="CB853" s="4"/>
      <c r="CC853" s="4"/>
      <c r="CD853" s="4"/>
      <c r="CE853" s="4"/>
      <c r="CF853" s="4"/>
      <c r="CG853" s="4"/>
      <c r="CH853" s="4"/>
    </row>
    <row r="854" spans="1:86" x14ac:dyDescent="0.25">
      <c r="A854" s="12">
        <f t="shared" si="19"/>
        <v>851</v>
      </c>
      <c r="B854" s="4" t="s">
        <v>2108</v>
      </c>
      <c r="C854" s="4" t="s">
        <v>2109</v>
      </c>
      <c r="D854" s="4" t="s">
        <v>128</v>
      </c>
      <c r="E854" s="4"/>
      <c r="F854" s="14"/>
      <c r="G854" s="14"/>
      <c r="H854" s="14"/>
      <c r="I854" s="5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  <c r="BM854" s="4"/>
      <c r="BN854" s="4"/>
      <c r="BO854" s="4"/>
      <c r="BP854" s="4"/>
      <c r="BQ854" s="4"/>
      <c r="BR854" s="4"/>
      <c r="BS854" s="4"/>
      <c r="BT854" s="4"/>
      <c r="BU854" s="4"/>
      <c r="BV854" s="4"/>
      <c r="BW854" s="4"/>
      <c r="BX854" s="4"/>
      <c r="BY854" s="4"/>
      <c r="BZ854" s="4"/>
      <c r="CA854" s="4"/>
      <c r="CB854" s="4"/>
      <c r="CC854" s="4"/>
      <c r="CD854" s="4"/>
      <c r="CE854" s="4"/>
      <c r="CF854" s="4"/>
      <c r="CG854" s="4"/>
      <c r="CH854" s="4"/>
    </row>
    <row r="855" spans="1:86" x14ac:dyDescent="0.25">
      <c r="A855" s="12">
        <f t="shared" si="19"/>
        <v>852</v>
      </c>
      <c r="B855" s="4" t="s">
        <v>2110</v>
      </c>
      <c r="C855" s="4" t="s">
        <v>2111</v>
      </c>
      <c r="D855" s="4" t="s">
        <v>45</v>
      </c>
      <c r="E855" s="4"/>
      <c r="F855" s="14"/>
      <c r="G855" s="14"/>
      <c r="H855" s="14"/>
      <c r="I855" s="5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  <c r="BM855" s="4"/>
      <c r="BN855" s="4"/>
      <c r="BO855" s="4"/>
      <c r="BP855" s="4"/>
      <c r="BQ855" s="4"/>
      <c r="BR855" s="4"/>
      <c r="BS855" s="4"/>
      <c r="BT855" s="4"/>
      <c r="BU855" s="4"/>
      <c r="BV855" s="4"/>
      <c r="BW855" s="4"/>
      <c r="BX855" s="4"/>
      <c r="BY855" s="4"/>
      <c r="BZ855" s="4"/>
      <c r="CA855" s="4"/>
      <c r="CB855" s="4"/>
      <c r="CC855" s="4"/>
      <c r="CD855" s="4"/>
      <c r="CE855" s="4"/>
      <c r="CF855" s="4"/>
      <c r="CG855" s="4"/>
      <c r="CH855" s="4"/>
    </row>
    <row r="856" spans="1:86" x14ac:dyDescent="0.25">
      <c r="A856" s="12">
        <f t="shared" si="19"/>
        <v>853</v>
      </c>
      <c r="B856" s="4" t="s">
        <v>2112</v>
      </c>
      <c r="C856" s="4" t="s">
        <v>2113</v>
      </c>
      <c r="D856" s="4" t="s">
        <v>84</v>
      </c>
      <c r="E856" s="4"/>
      <c r="F856" s="14"/>
      <c r="G856" s="14"/>
      <c r="H856" s="14"/>
      <c r="I856" s="5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  <c r="BM856" s="4"/>
      <c r="BN856" s="4"/>
      <c r="BO856" s="4"/>
      <c r="BP856" s="4"/>
      <c r="BQ856" s="4"/>
      <c r="BR856" s="4"/>
      <c r="BS856" s="4"/>
      <c r="BT856" s="4"/>
      <c r="BU856" s="4"/>
      <c r="BV856" s="4"/>
      <c r="BW856" s="4"/>
      <c r="BX856" s="4"/>
      <c r="BY856" s="4"/>
      <c r="BZ856" s="4"/>
      <c r="CA856" s="4"/>
      <c r="CB856" s="4"/>
      <c r="CC856" s="4"/>
      <c r="CD856" s="4"/>
      <c r="CE856" s="4"/>
      <c r="CF856" s="4"/>
      <c r="CG856" s="4"/>
      <c r="CH856" s="4"/>
    </row>
    <row r="857" spans="1:86" x14ac:dyDescent="0.25">
      <c r="A857" s="12">
        <f t="shared" si="19"/>
        <v>854</v>
      </c>
      <c r="B857" s="4" t="s">
        <v>2114</v>
      </c>
      <c r="C857" s="4" t="s">
        <v>2115</v>
      </c>
      <c r="D857" s="4" t="s">
        <v>536</v>
      </c>
      <c r="E857" s="4"/>
      <c r="F857" s="14"/>
      <c r="G857" s="14"/>
      <c r="H857" s="14"/>
      <c r="I857" s="5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  <c r="BM857" s="4"/>
      <c r="BN857" s="4"/>
      <c r="BO857" s="4"/>
      <c r="BP857" s="4"/>
      <c r="BQ857" s="4"/>
      <c r="BR857" s="4"/>
      <c r="BS857" s="4"/>
      <c r="BT857" s="4"/>
      <c r="BU857" s="4"/>
      <c r="BV857" s="4"/>
      <c r="BW857" s="4"/>
      <c r="BX857" s="4"/>
      <c r="BY857" s="4"/>
      <c r="BZ857" s="4"/>
      <c r="CA857" s="4"/>
      <c r="CB857" s="4"/>
      <c r="CC857" s="4"/>
      <c r="CD857" s="4"/>
      <c r="CE857" s="4"/>
      <c r="CF857" s="4"/>
      <c r="CG857" s="4"/>
      <c r="CH857" s="4"/>
    </row>
    <row r="858" spans="1:86" x14ac:dyDescent="0.25">
      <c r="A858" s="12">
        <f t="shared" si="19"/>
        <v>855</v>
      </c>
      <c r="B858" s="4" t="s">
        <v>2116</v>
      </c>
      <c r="C858" s="4" t="b">
        <v>1</v>
      </c>
      <c r="D858" s="4" t="s">
        <v>45</v>
      </c>
      <c r="E858" s="4"/>
      <c r="F858" s="14"/>
      <c r="G858" s="14"/>
      <c r="H858" s="14"/>
      <c r="I858" s="5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  <c r="BM858" s="4"/>
      <c r="BN858" s="4"/>
      <c r="BO858" s="4"/>
      <c r="BP858" s="4"/>
      <c r="BQ858" s="4"/>
      <c r="BR858" s="4"/>
      <c r="BS858" s="4"/>
      <c r="BT858" s="4"/>
      <c r="BU858" s="4"/>
      <c r="BV858" s="4"/>
      <c r="BW858" s="4"/>
      <c r="BX858" s="4"/>
      <c r="BY858" s="4"/>
      <c r="BZ858" s="4"/>
      <c r="CA858" s="4"/>
      <c r="CB858" s="4"/>
      <c r="CC858" s="4"/>
      <c r="CD858" s="4"/>
      <c r="CE858" s="4"/>
      <c r="CF858" s="4"/>
      <c r="CG858" s="4"/>
      <c r="CH858" s="4"/>
    </row>
    <row r="859" spans="1:86" x14ac:dyDescent="0.25">
      <c r="A859" s="12">
        <f t="shared" si="19"/>
        <v>856</v>
      </c>
      <c r="B859" s="4" t="s">
        <v>2117</v>
      </c>
      <c r="C859" s="4" t="s">
        <v>2118</v>
      </c>
      <c r="D859" s="4" t="s">
        <v>45</v>
      </c>
      <c r="E859" s="4"/>
      <c r="F859" s="14"/>
      <c r="G859" s="14"/>
      <c r="H859" s="14"/>
      <c r="I859" s="5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  <c r="BP859" s="4"/>
      <c r="BQ859" s="4"/>
      <c r="BR859" s="4"/>
      <c r="BS859" s="4"/>
      <c r="BT859" s="4"/>
      <c r="BU859" s="4"/>
      <c r="BV859" s="4"/>
      <c r="BW859" s="4"/>
      <c r="BX859" s="4"/>
      <c r="BY859" s="4"/>
      <c r="BZ859" s="4"/>
      <c r="CA859" s="4"/>
      <c r="CB859" s="4"/>
      <c r="CC859" s="4"/>
      <c r="CD859" s="4"/>
      <c r="CE859" s="4"/>
      <c r="CF859" s="4"/>
      <c r="CG859" s="4"/>
      <c r="CH859" s="4"/>
    </row>
    <row r="860" spans="1:86" x14ac:dyDescent="0.25">
      <c r="A860" s="12">
        <f t="shared" si="19"/>
        <v>857</v>
      </c>
      <c r="B860" s="4" t="s">
        <v>2119</v>
      </c>
      <c r="C860" s="4" t="s">
        <v>2120</v>
      </c>
      <c r="D860" s="4" t="s">
        <v>508</v>
      </c>
      <c r="E860" s="4"/>
      <c r="F860" s="14"/>
      <c r="G860" s="14"/>
      <c r="H860" s="14"/>
      <c r="I860" s="5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  <c r="BM860" s="4"/>
      <c r="BN860" s="4"/>
      <c r="BO860" s="4"/>
      <c r="BP860" s="4"/>
      <c r="BQ860" s="4"/>
      <c r="BR860" s="4"/>
      <c r="BS860" s="4"/>
      <c r="BT860" s="4"/>
      <c r="BU860" s="4"/>
      <c r="BV860" s="4"/>
      <c r="BW860" s="4"/>
      <c r="BX860" s="4"/>
      <c r="BY860" s="4"/>
      <c r="BZ860" s="4"/>
      <c r="CA860" s="4"/>
      <c r="CB860" s="4"/>
      <c r="CC860" s="4"/>
      <c r="CD860" s="4"/>
      <c r="CE860" s="4"/>
      <c r="CF860" s="4"/>
      <c r="CG860" s="4"/>
      <c r="CH860" s="4"/>
    </row>
    <row r="861" spans="1:86" x14ac:dyDescent="0.25">
      <c r="A861" s="12">
        <f t="shared" si="19"/>
        <v>858</v>
      </c>
      <c r="B861" s="4" t="s">
        <v>2121</v>
      </c>
      <c r="C861" s="4" t="s">
        <v>2122</v>
      </c>
      <c r="D861" s="4" t="s">
        <v>84</v>
      </c>
      <c r="E861" s="4"/>
      <c r="F861" s="14"/>
      <c r="G861" s="14"/>
      <c r="H861" s="14"/>
      <c r="I861" s="5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  <c r="BM861" s="4"/>
      <c r="BN861" s="4"/>
      <c r="BO861" s="4"/>
      <c r="BP861" s="4"/>
      <c r="BQ861" s="4"/>
      <c r="BR861" s="4"/>
      <c r="BS861" s="4"/>
      <c r="BT861" s="4"/>
      <c r="BU861" s="4"/>
      <c r="BV861" s="4"/>
      <c r="BW861" s="4"/>
      <c r="BX861" s="4"/>
      <c r="BY861" s="4"/>
      <c r="BZ861" s="4"/>
      <c r="CA861" s="4"/>
      <c r="CB861" s="4"/>
      <c r="CC861" s="4"/>
      <c r="CD861" s="4"/>
      <c r="CE861" s="4"/>
      <c r="CF861" s="4"/>
      <c r="CG861" s="4"/>
      <c r="CH861" s="4"/>
    </row>
    <row r="862" spans="1:86" x14ac:dyDescent="0.25">
      <c r="A862" s="12">
        <f t="shared" si="19"/>
        <v>859</v>
      </c>
      <c r="B862" s="4" t="s">
        <v>2123</v>
      </c>
      <c r="C862" s="4" t="s">
        <v>2124</v>
      </c>
      <c r="D862" s="4" t="s">
        <v>1123</v>
      </c>
      <c r="E862" s="4"/>
      <c r="F862" s="14"/>
      <c r="G862" s="14"/>
      <c r="H862" s="14"/>
      <c r="I862" s="5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  <c r="BM862" s="4"/>
      <c r="BN862" s="4"/>
      <c r="BO862" s="4"/>
      <c r="BP862" s="4"/>
      <c r="BQ862" s="4"/>
      <c r="BR862" s="4"/>
      <c r="BS862" s="4"/>
      <c r="BT862" s="4"/>
      <c r="BU862" s="4"/>
      <c r="BV862" s="4"/>
      <c r="BW862" s="4"/>
      <c r="BX862" s="4"/>
      <c r="BY862" s="4"/>
      <c r="BZ862" s="4"/>
      <c r="CA862" s="4"/>
      <c r="CB862" s="4"/>
      <c r="CC862" s="4"/>
      <c r="CD862" s="4"/>
      <c r="CE862" s="4"/>
      <c r="CF862" s="4"/>
      <c r="CG862" s="4"/>
      <c r="CH862" s="4"/>
    </row>
    <row r="863" spans="1:86" x14ac:dyDescent="0.25">
      <c r="A863" s="12">
        <f t="shared" si="19"/>
        <v>860</v>
      </c>
      <c r="B863" s="4" t="s">
        <v>2125</v>
      </c>
      <c r="C863" s="4" t="s">
        <v>2126</v>
      </c>
      <c r="D863" s="4" t="s">
        <v>45</v>
      </c>
      <c r="E863" s="4"/>
      <c r="F863" s="14"/>
      <c r="G863" s="14"/>
      <c r="H863" s="14"/>
      <c r="I863" s="5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  <c r="BP863" s="4"/>
      <c r="BQ863" s="4"/>
      <c r="BR863" s="4"/>
      <c r="BS863" s="4"/>
      <c r="BT863" s="4"/>
      <c r="BU863" s="4"/>
      <c r="BV863" s="4"/>
      <c r="BW863" s="4"/>
      <c r="BX863" s="4"/>
      <c r="BY863" s="4"/>
      <c r="BZ863" s="4"/>
      <c r="CA863" s="4"/>
      <c r="CB863" s="4"/>
      <c r="CC863" s="4"/>
      <c r="CD863" s="4"/>
      <c r="CE863" s="4"/>
      <c r="CF863" s="4"/>
      <c r="CG863" s="4"/>
      <c r="CH863" s="4"/>
    </row>
    <row r="864" spans="1:86" x14ac:dyDescent="0.25">
      <c r="A864" s="12">
        <f t="shared" si="19"/>
        <v>861</v>
      </c>
      <c r="B864" s="4" t="s">
        <v>2127</v>
      </c>
      <c r="C864" s="4" t="s">
        <v>2128</v>
      </c>
      <c r="D864" s="4" t="s">
        <v>508</v>
      </c>
      <c r="E864" s="4"/>
      <c r="F864" s="14"/>
      <c r="G864" s="14"/>
      <c r="H864" s="14"/>
      <c r="I864" s="5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  <c r="BM864" s="4"/>
      <c r="BN864" s="4"/>
      <c r="BO864" s="4"/>
      <c r="BP864" s="4"/>
      <c r="BQ864" s="4"/>
      <c r="BR864" s="4"/>
      <c r="BS864" s="4"/>
      <c r="BT864" s="4"/>
      <c r="BU864" s="4"/>
      <c r="BV864" s="4"/>
      <c r="BW864" s="4"/>
      <c r="BX864" s="4"/>
      <c r="BY864" s="4"/>
      <c r="BZ864" s="4"/>
      <c r="CA864" s="4"/>
      <c r="CB864" s="4"/>
      <c r="CC864" s="4"/>
      <c r="CD864" s="4"/>
      <c r="CE864" s="4"/>
      <c r="CF864" s="4"/>
      <c r="CG864" s="4"/>
      <c r="CH864" s="4"/>
    </row>
    <row r="865" spans="1:86" x14ac:dyDescent="0.25">
      <c r="A865" s="12">
        <f t="shared" si="19"/>
        <v>862</v>
      </c>
      <c r="B865" s="4" t="s">
        <v>2129</v>
      </c>
      <c r="C865" s="4" t="s">
        <v>2130</v>
      </c>
      <c r="D865" s="4" t="s">
        <v>84</v>
      </c>
      <c r="E865" s="4"/>
      <c r="F865" s="14"/>
      <c r="G865" s="14"/>
      <c r="H865" s="14"/>
      <c r="I865" s="5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  <c r="BM865" s="4"/>
      <c r="BN865" s="4"/>
      <c r="BO865" s="4"/>
      <c r="BP865" s="4"/>
      <c r="BQ865" s="4"/>
      <c r="BR865" s="4"/>
      <c r="BS865" s="4"/>
      <c r="BT865" s="4"/>
      <c r="BU865" s="4"/>
      <c r="BV865" s="4"/>
      <c r="BW865" s="4"/>
      <c r="BX865" s="4"/>
      <c r="BY865" s="4"/>
      <c r="BZ865" s="4"/>
      <c r="CA865" s="4"/>
      <c r="CB865" s="4"/>
      <c r="CC865" s="4"/>
      <c r="CD865" s="4"/>
      <c r="CE865" s="4"/>
      <c r="CF865" s="4"/>
      <c r="CG865" s="4"/>
      <c r="CH865" s="4"/>
    </row>
    <row r="866" spans="1:86" x14ac:dyDescent="0.25">
      <c r="A866" s="12">
        <f t="shared" si="19"/>
        <v>863</v>
      </c>
      <c r="B866" s="4" t="s">
        <v>2131</v>
      </c>
      <c r="C866" s="4" t="s">
        <v>2132</v>
      </c>
      <c r="D866" s="4" t="s">
        <v>45</v>
      </c>
      <c r="E866" s="4"/>
      <c r="F866" s="14"/>
      <c r="G866" s="14"/>
      <c r="H866" s="14"/>
      <c r="I866" s="5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  <c r="BM866" s="4"/>
      <c r="BN866" s="4"/>
      <c r="BO866" s="4"/>
      <c r="BP866" s="4"/>
      <c r="BQ866" s="4"/>
      <c r="BR866" s="4"/>
      <c r="BS866" s="4"/>
      <c r="BT866" s="4"/>
      <c r="BU866" s="4"/>
      <c r="BV866" s="4"/>
      <c r="BW866" s="4"/>
      <c r="BX866" s="4"/>
      <c r="BY866" s="4"/>
      <c r="BZ866" s="4"/>
      <c r="CA866" s="4"/>
      <c r="CB866" s="4"/>
      <c r="CC866" s="4"/>
      <c r="CD866" s="4"/>
      <c r="CE866" s="4"/>
      <c r="CF866" s="4"/>
      <c r="CG866" s="4"/>
      <c r="CH866" s="4"/>
    </row>
    <row r="867" spans="1:86" x14ac:dyDescent="0.25">
      <c r="A867" s="12">
        <f t="shared" si="19"/>
        <v>864</v>
      </c>
      <c r="B867" s="4" t="s">
        <v>2133</v>
      </c>
      <c r="C867" s="4" t="s">
        <v>2134</v>
      </c>
      <c r="D867" s="4" t="s">
        <v>87</v>
      </c>
      <c r="E867" s="4"/>
      <c r="F867" s="14"/>
      <c r="G867" s="14"/>
      <c r="H867" s="14"/>
      <c r="I867" s="5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  <c r="BM867" s="4"/>
      <c r="BN867" s="4"/>
      <c r="BO867" s="4"/>
      <c r="BP867" s="4"/>
      <c r="BQ867" s="4"/>
      <c r="BR867" s="4"/>
      <c r="BS867" s="4"/>
      <c r="BT867" s="4"/>
      <c r="BU867" s="4"/>
      <c r="BV867" s="4"/>
      <c r="BW867" s="4"/>
      <c r="BX867" s="4"/>
      <c r="BY867" s="4"/>
      <c r="BZ867" s="4"/>
      <c r="CA867" s="4"/>
      <c r="CB867" s="4"/>
      <c r="CC867" s="4"/>
      <c r="CD867" s="4"/>
      <c r="CE867" s="4"/>
      <c r="CF867" s="4"/>
      <c r="CG867" s="4"/>
      <c r="CH867" s="4"/>
    </row>
    <row r="868" spans="1:86" x14ac:dyDescent="0.25">
      <c r="A868" s="12">
        <f t="shared" si="19"/>
        <v>865</v>
      </c>
      <c r="B868" s="4" t="s">
        <v>2135</v>
      </c>
      <c r="C868" s="4" t="s">
        <v>2136</v>
      </c>
      <c r="D868" s="4" t="s">
        <v>84</v>
      </c>
      <c r="E868" s="4"/>
      <c r="F868" s="14"/>
      <c r="G868" s="14"/>
      <c r="H868" s="14"/>
      <c r="I868" s="5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  <c r="BM868" s="4"/>
      <c r="BN868" s="4"/>
      <c r="BO868" s="4"/>
      <c r="BP868" s="4"/>
      <c r="BQ868" s="4"/>
      <c r="BR868" s="4"/>
      <c r="BS868" s="4"/>
      <c r="BT868" s="4"/>
      <c r="BU868" s="4"/>
      <c r="BV868" s="4"/>
      <c r="BW868" s="4"/>
      <c r="BX868" s="4"/>
      <c r="BY868" s="4"/>
      <c r="BZ868" s="4"/>
      <c r="CA868" s="4"/>
      <c r="CB868" s="4"/>
      <c r="CC868" s="4"/>
      <c r="CD868" s="4"/>
      <c r="CE868" s="4"/>
      <c r="CF868" s="4"/>
      <c r="CG868" s="4"/>
      <c r="CH868" s="4"/>
    </row>
    <row r="869" spans="1:86" x14ac:dyDescent="0.25">
      <c r="A869" s="12">
        <f t="shared" si="19"/>
        <v>866</v>
      </c>
      <c r="B869" s="4" t="s">
        <v>2137</v>
      </c>
      <c r="C869" s="4" t="s">
        <v>2138</v>
      </c>
      <c r="D869" s="4" t="s">
        <v>45</v>
      </c>
      <c r="E869" s="4"/>
      <c r="F869" s="14"/>
      <c r="G869" s="14"/>
      <c r="H869" s="14"/>
      <c r="I869" s="5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  <c r="BM869" s="4"/>
      <c r="BN869" s="4"/>
      <c r="BO869" s="4"/>
      <c r="BP869" s="4"/>
      <c r="BQ869" s="4"/>
      <c r="BR869" s="4"/>
      <c r="BS869" s="4"/>
      <c r="BT869" s="4"/>
      <c r="BU869" s="4"/>
      <c r="BV869" s="4"/>
      <c r="BW869" s="4"/>
      <c r="BX869" s="4"/>
      <c r="BY869" s="4"/>
      <c r="BZ869" s="4"/>
      <c r="CA869" s="4"/>
      <c r="CB869" s="4"/>
      <c r="CC869" s="4"/>
      <c r="CD869" s="4"/>
      <c r="CE869" s="4"/>
      <c r="CF869" s="4"/>
      <c r="CG869" s="4"/>
      <c r="CH869" s="4"/>
    </row>
    <row r="870" spans="1:86" x14ac:dyDescent="0.25">
      <c r="A870" s="12">
        <f t="shared" si="19"/>
        <v>867</v>
      </c>
      <c r="B870" s="4" t="s">
        <v>2139</v>
      </c>
      <c r="C870" s="4" t="s">
        <v>2140</v>
      </c>
      <c r="D870" s="4" t="s">
        <v>45</v>
      </c>
      <c r="E870" s="4"/>
      <c r="F870" s="14"/>
      <c r="G870" s="14"/>
      <c r="H870" s="14"/>
      <c r="I870" s="5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  <c r="BM870" s="4"/>
      <c r="BN870" s="4"/>
      <c r="BO870" s="4"/>
      <c r="BP870" s="4"/>
      <c r="BQ870" s="4"/>
      <c r="BR870" s="4"/>
      <c r="BS870" s="4"/>
      <c r="BT870" s="4"/>
      <c r="BU870" s="4"/>
      <c r="BV870" s="4"/>
      <c r="BW870" s="4"/>
      <c r="BX870" s="4"/>
      <c r="BY870" s="4"/>
      <c r="BZ870" s="4"/>
      <c r="CA870" s="4"/>
      <c r="CB870" s="4"/>
      <c r="CC870" s="4"/>
      <c r="CD870" s="4"/>
      <c r="CE870" s="4"/>
      <c r="CF870" s="4"/>
      <c r="CG870" s="4"/>
      <c r="CH870" s="4"/>
    </row>
    <row r="871" spans="1:86" x14ac:dyDescent="0.25">
      <c r="A871" s="12">
        <f t="shared" si="19"/>
        <v>868</v>
      </c>
      <c r="B871" s="4" t="s">
        <v>2141</v>
      </c>
      <c r="C871" s="4" t="s">
        <v>2142</v>
      </c>
      <c r="D871" s="4" t="s">
        <v>45</v>
      </c>
      <c r="E871" s="4"/>
      <c r="F871" s="14"/>
      <c r="G871" s="14"/>
      <c r="H871" s="14"/>
      <c r="I871" s="5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  <c r="BM871" s="4"/>
      <c r="BN871" s="4"/>
      <c r="BO871" s="4"/>
      <c r="BP871" s="4"/>
      <c r="BQ871" s="4"/>
      <c r="BR871" s="4"/>
      <c r="BS871" s="4"/>
      <c r="BT871" s="4"/>
      <c r="BU871" s="4"/>
      <c r="BV871" s="4"/>
      <c r="BW871" s="4"/>
      <c r="BX871" s="4"/>
      <c r="BY871" s="4"/>
      <c r="BZ871" s="4"/>
      <c r="CA871" s="4"/>
      <c r="CB871" s="4"/>
      <c r="CC871" s="4"/>
      <c r="CD871" s="4"/>
      <c r="CE871" s="4"/>
      <c r="CF871" s="4"/>
      <c r="CG871" s="4"/>
      <c r="CH871" s="4"/>
    </row>
    <row r="872" spans="1:86" x14ac:dyDescent="0.25">
      <c r="A872" s="12">
        <f t="shared" si="19"/>
        <v>869</v>
      </c>
      <c r="B872" s="4" t="s">
        <v>2143</v>
      </c>
      <c r="C872" s="4" t="s">
        <v>2144</v>
      </c>
      <c r="D872" s="4" t="s">
        <v>1125</v>
      </c>
      <c r="E872" s="4"/>
      <c r="F872" s="14"/>
      <c r="G872" s="14"/>
      <c r="H872" s="14"/>
      <c r="I872" s="5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  <c r="BM872" s="4"/>
      <c r="BN872" s="4"/>
      <c r="BO872" s="4"/>
      <c r="BP872" s="4"/>
      <c r="BQ872" s="4"/>
      <c r="BR872" s="4"/>
      <c r="BS872" s="4"/>
      <c r="BT872" s="4"/>
      <c r="BU872" s="4"/>
      <c r="BV872" s="4"/>
      <c r="BW872" s="4"/>
      <c r="BX872" s="4"/>
      <c r="BY872" s="4"/>
      <c r="BZ872" s="4"/>
      <c r="CA872" s="4"/>
      <c r="CB872" s="4"/>
      <c r="CC872" s="4"/>
      <c r="CD872" s="4"/>
      <c r="CE872" s="4"/>
      <c r="CF872" s="4"/>
      <c r="CG872" s="4"/>
      <c r="CH872" s="4"/>
    </row>
    <row r="873" spans="1:86" x14ac:dyDescent="0.25">
      <c r="A873" s="12">
        <f t="shared" si="19"/>
        <v>870</v>
      </c>
      <c r="B873" s="4" t="s">
        <v>2145</v>
      </c>
      <c r="C873" s="4" t="s">
        <v>2146</v>
      </c>
      <c r="D873" s="4" t="s">
        <v>278</v>
      </c>
      <c r="E873" s="4"/>
      <c r="F873" s="14"/>
      <c r="G873" s="14"/>
      <c r="H873" s="14"/>
      <c r="I873" s="5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  <c r="BM873" s="4"/>
      <c r="BN873" s="4"/>
      <c r="BO873" s="4"/>
      <c r="BP873" s="4"/>
      <c r="BQ873" s="4"/>
      <c r="BR873" s="4"/>
      <c r="BS873" s="4"/>
      <c r="BT873" s="4"/>
      <c r="BU873" s="4"/>
      <c r="BV873" s="4"/>
      <c r="BW873" s="4"/>
      <c r="BX873" s="4"/>
      <c r="BY873" s="4"/>
      <c r="BZ873" s="4"/>
      <c r="CA873" s="4"/>
      <c r="CB873" s="4"/>
      <c r="CC873" s="4"/>
      <c r="CD873" s="4"/>
      <c r="CE873" s="4"/>
      <c r="CF873" s="4"/>
      <c r="CG873" s="4"/>
      <c r="CH873" s="4"/>
    </row>
    <row r="874" spans="1:86" x14ac:dyDescent="0.25">
      <c r="A874" s="12">
        <f t="shared" si="19"/>
        <v>871</v>
      </c>
      <c r="B874" s="4" t="s">
        <v>2147</v>
      </c>
      <c r="C874" s="4" t="s">
        <v>2148</v>
      </c>
      <c r="D874" s="4" t="s">
        <v>508</v>
      </c>
      <c r="E874" s="4"/>
      <c r="F874" s="14"/>
      <c r="G874" s="14"/>
      <c r="H874" s="14"/>
      <c r="I874" s="5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  <c r="BM874" s="4"/>
      <c r="BN874" s="4"/>
      <c r="BO874" s="4"/>
      <c r="BP874" s="4"/>
      <c r="BQ874" s="4"/>
      <c r="BR874" s="4"/>
      <c r="BS874" s="4"/>
      <c r="BT874" s="4"/>
      <c r="BU874" s="4"/>
      <c r="BV874" s="4"/>
      <c r="BW874" s="4"/>
      <c r="BX874" s="4"/>
      <c r="BY874" s="4"/>
      <c r="BZ874" s="4"/>
      <c r="CA874" s="4"/>
      <c r="CB874" s="4"/>
      <c r="CC874" s="4"/>
      <c r="CD874" s="4"/>
      <c r="CE874" s="4"/>
      <c r="CF874" s="4"/>
      <c r="CG874" s="4"/>
      <c r="CH874" s="4"/>
    </row>
    <row r="875" spans="1:86" x14ac:dyDescent="0.25">
      <c r="A875" s="12">
        <f t="shared" si="19"/>
        <v>872</v>
      </c>
      <c r="B875" s="4" t="s">
        <v>2149</v>
      </c>
      <c r="C875" s="4" t="s">
        <v>2150</v>
      </c>
      <c r="D875" s="4" t="s">
        <v>84</v>
      </c>
      <c r="E875" s="4"/>
      <c r="F875" s="14"/>
      <c r="G875" s="14"/>
      <c r="H875" s="14"/>
      <c r="I875" s="5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  <c r="BM875" s="4"/>
      <c r="BN875" s="4"/>
      <c r="BO875" s="4"/>
      <c r="BP875" s="4"/>
      <c r="BQ875" s="4"/>
      <c r="BR875" s="4"/>
      <c r="BS875" s="4"/>
      <c r="BT875" s="4"/>
      <c r="BU875" s="4"/>
      <c r="BV875" s="4"/>
      <c r="BW875" s="4"/>
      <c r="BX875" s="4"/>
      <c r="BY875" s="4"/>
      <c r="BZ875" s="4"/>
      <c r="CA875" s="4"/>
      <c r="CB875" s="4"/>
      <c r="CC875" s="4"/>
      <c r="CD875" s="4"/>
      <c r="CE875" s="4"/>
      <c r="CF875" s="4"/>
      <c r="CG875" s="4"/>
      <c r="CH875" s="4"/>
    </row>
    <row r="876" spans="1:86" x14ac:dyDescent="0.25">
      <c r="A876" s="12">
        <f t="shared" si="19"/>
        <v>873</v>
      </c>
      <c r="B876" s="4" t="s">
        <v>2151</v>
      </c>
      <c r="C876" s="4" t="s">
        <v>2152</v>
      </c>
      <c r="D876" s="4" t="s">
        <v>45</v>
      </c>
      <c r="E876" s="4"/>
      <c r="F876" s="14"/>
      <c r="G876" s="14"/>
      <c r="H876" s="14"/>
      <c r="I876" s="5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  <c r="BM876" s="4"/>
      <c r="BN876" s="4"/>
      <c r="BO876" s="4"/>
      <c r="BP876" s="4"/>
      <c r="BQ876" s="4"/>
      <c r="BR876" s="4"/>
      <c r="BS876" s="4"/>
      <c r="BT876" s="4"/>
      <c r="BU876" s="4"/>
      <c r="BV876" s="4"/>
      <c r="BW876" s="4"/>
      <c r="BX876" s="4"/>
      <c r="BY876" s="4"/>
      <c r="BZ876" s="4"/>
      <c r="CA876" s="4"/>
      <c r="CB876" s="4"/>
      <c r="CC876" s="4"/>
      <c r="CD876" s="4"/>
      <c r="CE876" s="4"/>
      <c r="CF876" s="4"/>
      <c r="CG876" s="4"/>
      <c r="CH876" s="4"/>
    </row>
    <row r="877" spans="1:86" x14ac:dyDescent="0.25">
      <c r="A877" s="12">
        <f t="shared" si="19"/>
        <v>874</v>
      </c>
      <c r="B877" s="4" t="s">
        <v>2153</v>
      </c>
      <c r="C877" s="4" t="s">
        <v>2154</v>
      </c>
      <c r="D877" s="4" t="s">
        <v>2569</v>
      </c>
      <c r="E877" s="4"/>
      <c r="F877" s="14"/>
      <c r="G877" s="14"/>
      <c r="H877" s="14"/>
      <c r="I877" s="5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  <c r="BM877" s="4"/>
      <c r="BN877" s="4"/>
      <c r="BO877" s="4"/>
      <c r="BP877" s="4"/>
      <c r="BQ877" s="4"/>
      <c r="BR877" s="4"/>
      <c r="BS877" s="4"/>
      <c r="BT877" s="4"/>
      <c r="BU877" s="4"/>
      <c r="BV877" s="4"/>
      <c r="BW877" s="4"/>
      <c r="BX877" s="4"/>
      <c r="BY877" s="4"/>
      <c r="BZ877" s="4"/>
      <c r="CA877" s="4"/>
      <c r="CB877" s="4"/>
      <c r="CC877" s="4"/>
      <c r="CD877" s="4"/>
      <c r="CE877" s="4"/>
      <c r="CF877" s="4"/>
      <c r="CG877" s="4"/>
      <c r="CH877" s="4"/>
    </row>
    <row r="878" spans="1:86" x14ac:dyDescent="0.25">
      <c r="A878" s="12">
        <f t="shared" si="19"/>
        <v>875</v>
      </c>
      <c r="B878" s="4" t="s">
        <v>2155</v>
      </c>
      <c r="C878" s="4" t="s">
        <v>2156</v>
      </c>
      <c r="D878" s="4" t="s">
        <v>2574</v>
      </c>
      <c r="E878" s="4"/>
      <c r="F878" s="14"/>
      <c r="G878" s="14"/>
      <c r="H878" s="14"/>
      <c r="I878" s="5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  <c r="BM878" s="4"/>
      <c r="BN878" s="4"/>
      <c r="BO878" s="4"/>
      <c r="BP878" s="4"/>
      <c r="BQ878" s="4"/>
      <c r="BR878" s="4"/>
      <c r="BS878" s="4"/>
      <c r="BT878" s="4"/>
      <c r="BU878" s="4"/>
      <c r="BV878" s="4"/>
      <c r="BW878" s="4"/>
      <c r="BX878" s="4"/>
      <c r="BY878" s="4"/>
      <c r="BZ878" s="4"/>
      <c r="CA878" s="4"/>
      <c r="CB878" s="4"/>
      <c r="CC878" s="4"/>
      <c r="CD878" s="4"/>
      <c r="CE878" s="4"/>
      <c r="CF878" s="4"/>
      <c r="CG878" s="4"/>
      <c r="CH878" s="4"/>
    </row>
    <row r="879" spans="1:86" x14ac:dyDescent="0.25">
      <c r="A879" s="12">
        <f t="shared" si="19"/>
        <v>876</v>
      </c>
      <c r="B879" s="4" t="s">
        <v>2157</v>
      </c>
      <c r="C879" s="4" t="s">
        <v>2158</v>
      </c>
      <c r="D879" s="4" t="s">
        <v>1129</v>
      </c>
      <c r="E879" s="4"/>
      <c r="F879" s="14"/>
      <c r="G879" s="14"/>
      <c r="H879" s="14"/>
      <c r="I879" s="5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  <c r="BM879" s="4"/>
      <c r="BN879" s="4"/>
      <c r="BO879" s="4"/>
      <c r="BP879" s="4"/>
      <c r="BQ879" s="4"/>
      <c r="BR879" s="4"/>
      <c r="BS879" s="4"/>
      <c r="BT879" s="4"/>
      <c r="BU879" s="4"/>
      <c r="BV879" s="4"/>
      <c r="BW879" s="4"/>
      <c r="BX879" s="4"/>
      <c r="BY879" s="4"/>
      <c r="BZ879" s="4"/>
      <c r="CA879" s="4"/>
      <c r="CB879" s="4"/>
      <c r="CC879" s="4"/>
      <c r="CD879" s="4"/>
      <c r="CE879" s="4"/>
      <c r="CF879" s="4"/>
      <c r="CG879" s="4"/>
      <c r="CH879" s="4"/>
    </row>
    <row r="880" spans="1:86" x14ac:dyDescent="0.25">
      <c r="A880" s="12">
        <f t="shared" si="19"/>
        <v>877</v>
      </c>
      <c r="B880" s="4" t="s">
        <v>2159</v>
      </c>
      <c r="C880" s="4" t="s">
        <v>2160</v>
      </c>
      <c r="D880" s="4" t="s">
        <v>1125</v>
      </c>
      <c r="E880" s="4"/>
      <c r="F880" s="14"/>
      <c r="G880" s="14"/>
      <c r="H880" s="14"/>
      <c r="I880" s="5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  <c r="BM880" s="4"/>
      <c r="BN880" s="4"/>
      <c r="BO880" s="4"/>
      <c r="BP880" s="4"/>
      <c r="BQ880" s="4"/>
      <c r="BR880" s="4"/>
      <c r="BS880" s="4"/>
      <c r="BT880" s="4"/>
      <c r="BU880" s="4"/>
      <c r="BV880" s="4"/>
      <c r="BW880" s="4"/>
      <c r="BX880" s="4"/>
      <c r="BY880" s="4"/>
      <c r="BZ880" s="4"/>
      <c r="CA880" s="4"/>
      <c r="CB880" s="4"/>
      <c r="CC880" s="4"/>
      <c r="CD880" s="4"/>
      <c r="CE880" s="4"/>
      <c r="CF880" s="4"/>
      <c r="CG880" s="4"/>
      <c r="CH880" s="4"/>
    </row>
    <row r="881" spans="1:86" x14ac:dyDescent="0.25">
      <c r="A881" s="12">
        <f t="shared" si="19"/>
        <v>878</v>
      </c>
      <c r="B881" s="4" t="s">
        <v>2161</v>
      </c>
      <c r="C881" s="4" t="s">
        <v>2162</v>
      </c>
      <c r="D881" s="4" t="s">
        <v>84</v>
      </c>
      <c r="E881" s="4"/>
      <c r="F881" s="14"/>
      <c r="G881" s="14"/>
      <c r="H881" s="14"/>
      <c r="I881" s="5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  <c r="BM881" s="4"/>
      <c r="BN881" s="4"/>
      <c r="BO881" s="4"/>
      <c r="BP881" s="4"/>
      <c r="BQ881" s="4"/>
      <c r="BR881" s="4"/>
      <c r="BS881" s="4"/>
      <c r="BT881" s="4"/>
      <c r="BU881" s="4"/>
      <c r="BV881" s="4"/>
      <c r="BW881" s="4"/>
      <c r="BX881" s="4"/>
      <c r="BY881" s="4"/>
      <c r="BZ881" s="4"/>
      <c r="CA881" s="4"/>
      <c r="CB881" s="4"/>
      <c r="CC881" s="4"/>
      <c r="CD881" s="4"/>
      <c r="CE881" s="4"/>
      <c r="CF881" s="4"/>
      <c r="CG881" s="4"/>
      <c r="CH881" s="4"/>
    </row>
    <row r="882" spans="1:86" x14ac:dyDescent="0.25">
      <c r="A882" s="12">
        <f t="shared" si="19"/>
        <v>879</v>
      </c>
      <c r="B882" s="4" t="s">
        <v>2163</v>
      </c>
      <c r="C882" s="4" t="s">
        <v>2164</v>
      </c>
      <c r="D882" s="4" t="s">
        <v>45</v>
      </c>
      <c r="E882" s="4"/>
      <c r="F882" s="14"/>
      <c r="G882" s="14"/>
      <c r="H882" s="14"/>
      <c r="I882" s="5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  <c r="BM882" s="4"/>
      <c r="BN882" s="4"/>
      <c r="BO882" s="4"/>
      <c r="BP882" s="4"/>
      <c r="BQ882" s="4"/>
      <c r="BR882" s="4"/>
      <c r="BS882" s="4"/>
      <c r="BT882" s="4"/>
      <c r="BU882" s="4"/>
      <c r="BV882" s="4"/>
      <c r="BW882" s="4"/>
      <c r="BX882" s="4"/>
      <c r="BY882" s="4"/>
      <c r="BZ882" s="4"/>
      <c r="CA882" s="4"/>
      <c r="CB882" s="4"/>
      <c r="CC882" s="4"/>
      <c r="CD882" s="4"/>
      <c r="CE882" s="4"/>
      <c r="CF882" s="4"/>
      <c r="CG882" s="4"/>
      <c r="CH882" s="4"/>
    </row>
    <row r="883" spans="1:86" x14ac:dyDescent="0.25">
      <c r="A883" s="12">
        <f t="shared" si="19"/>
        <v>880</v>
      </c>
      <c r="B883" s="4" t="s">
        <v>2165</v>
      </c>
      <c r="C883" s="4" t="s">
        <v>2166</v>
      </c>
      <c r="D883" s="4" t="s">
        <v>1125</v>
      </c>
      <c r="E883" s="4"/>
      <c r="F883" s="14"/>
      <c r="G883" s="14"/>
      <c r="H883" s="14"/>
      <c r="I883" s="5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  <c r="BM883" s="4"/>
      <c r="BN883" s="4"/>
      <c r="BO883" s="4"/>
      <c r="BP883" s="4"/>
      <c r="BQ883" s="4"/>
      <c r="BR883" s="4"/>
      <c r="BS883" s="4"/>
      <c r="BT883" s="4"/>
      <c r="BU883" s="4"/>
      <c r="BV883" s="4"/>
      <c r="BW883" s="4"/>
      <c r="BX883" s="4"/>
      <c r="BY883" s="4"/>
      <c r="BZ883" s="4"/>
      <c r="CA883" s="4"/>
      <c r="CB883" s="4"/>
      <c r="CC883" s="4"/>
      <c r="CD883" s="4"/>
      <c r="CE883" s="4"/>
      <c r="CF883" s="4"/>
      <c r="CG883" s="4"/>
      <c r="CH883" s="4"/>
    </row>
    <row r="884" spans="1:86" x14ac:dyDescent="0.25">
      <c r="A884" s="12">
        <f t="shared" si="19"/>
        <v>881</v>
      </c>
      <c r="B884" s="4" t="s">
        <v>2167</v>
      </c>
      <c r="C884" s="4" t="s">
        <v>2168</v>
      </c>
      <c r="D884" s="4" t="s">
        <v>45</v>
      </c>
      <c r="E884" s="4"/>
      <c r="F884" s="14"/>
      <c r="G884" s="14"/>
      <c r="H884" s="14"/>
      <c r="I884" s="5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  <c r="BM884" s="4"/>
      <c r="BN884" s="4"/>
      <c r="BO884" s="4"/>
      <c r="BP884" s="4"/>
      <c r="BQ884" s="4"/>
      <c r="BR884" s="4"/>
      <c r="BS884" s="4"/>
      <c r="BT884" s="4"/>
      <c r="BU884" s="4"/>
      <c r="BV884" s="4"/>
      <c r="BW884" s="4"/>
      <c r="BX884" s="4"/>
      <c r="BY884" s="4"/>
      <c r="BZ884" s="4"/>
      <c r="CA884" s="4"/>
      <c r="CB884" s="4"/>
      <c r="CC884" s="4"/>
      <c r="CD884" s="4"/>
      <c r="CE884" s="4"/>
      <c r="CF884" s="4"/>
      <c r="CG884" s="4"/>
      <c r="CH884" s="4"/>
    </row>
    <row r="885" spans="1:86" x14ac:dyDescent="0.25">
      <c r="A885" s="12">
        <f t="shared" si="19"/>
        <v>882</v>
      </c>
      <c r="B885" s="4" t="s">
        <v>2169</v>
      </c>
      <c r="C885" s="4" t="s">
        <v>2170</v>
      </c>
      <c r="D885" s="4" t="s">
        <v>278</v>
      </c>
      <c r="E885" s="4"/>
      <c r="F885" s="14"/>
      <c r="G885" s="14"/>
      <c r="H885" s="14"/>
      <c r="I885" s="5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  <c r="BM885" s="4"/>
      <c r="BN885" s="4"/>
      <c r="BO885" s="4"/>
      <c r="BP885" s="4"/>
      <c r="BQ885" s="4"/>
      <c r="BR885" s="4"/>
      <c r="BS885" s="4"/>
      <c r="BT885" s="4"/>
      <c r="BU885" s="4"/>
      <c r="BV885" s="4"/>
      <c r="BW885" s="4"/>
      <c r="BX885" s="4"/>
      <c r="BY885" s="4"/>
      <c r="BZ885" s="4"/>
      <c r="CA885" s="4"/>
      <c r="CB885" s="4"/>
      <c r="CC885" s="4"/>
      <c r="CD885" s="4"/>
      <c r="CE885" s="4"/>
      <c r="CF885" s="4"/>
      <c r="CG885" s="4"/>
      <c r="CH885" s="4"/>
    </row>
    <row r="886" spans="1:86" x14ac:dyDescent="0.25">
      <c r="A886" s="12">
        <f t="shared" si="19"/>
        <v>883</v>
      </c>
      <c r="B886" s="4" t="s">
        <v>2171</v>
      </c>
      <c r="C886" s="4" t="s">
        <v>2172</v>
      </c>
      <c r="D886" s="4" t="s">
        <v>45</v>
      </c>
      <c r="E886" s="4"/>
      <c r="F886" s="14"/>
      <c r="G886" s="14"/>
      <c r="H886" s="14"/>
      <c r="I886" s="5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  <c r="BM886" s="4"/>
      <c r="BN886" s="4"/>
      <c r="BO886" s="4"/>
      <c r="BP886" s="4"/>
      <c r="BQ886" s="4"/>
      <c r="BR886" s="4"/>
      <c r="BS886" s="4"/>
      <c r="BT886" s="4"/>
      <c r="BU886" s="4"/>
      <c r="BV886" s="4"/>
      <c r="BW886" s="4"/>
      <c r="BX886" s="4"/>
      <c r="BY886" s="4"/>
      <c r="BZ886" s="4"/>
      <c r="CA886" s="4"/>
      <c r="CB886" s="4"/>
      <c r="CC886" s="4"/>
      <c r="CD886" s="4"/>
      <c r="CE886" s="4"/>
      <c r="CF886" s="4"/>
      <c r="CG886" s="4"/>
      <c r="CH886" s="4"/>
    </row>
    <row r="887" spans="1:86" x14ac:dyDescent="0.25">
      <c r="A887" s="12">
        <f t="shared" si="19"/>
        <v>884</v>
      </c>
      <c r="B887" s="4" t="s">
        <v>2173</v>
      </c>
      <c r="C887" s="4" t="s">
        <v>2174</v>
      </c>
      <c r="D887" s="4" t="s">
        <v>2569</v>
      </c>
      <c r="E887" s="4"/>
      <c r="F887" s="14"/>
      <c r="G887" s="14"/>
      <c r="H887" s="14"/>
      <c r="I887" s="5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  <c r="BM887" s="4"/>
      <c r="BN887" s="4"/>
      <c r="BO887" s="4"/>
      <c r="BP887" s="4"/>
      <c r="BQ887" s="4"/>
      <c r="BR887" s="4"/>
      <c r="BS887" s="4"/>
      <c r="BT887" s="4"/>
      <c r="BU887" s="4"/>
      <c r="BV887" s="4"/>
      <c r="BW887" s="4"/>
      <c r="BX887" s="4"/>
      <c r="BY887" s="4"/>
      <c r="BZ887" s="4"/>
      <c r="CA887" s="4"/>
      <c r="CB887" s="4"/>
      <c r="CC887" s="4"/>
      <c r="CD887" s="4"/>
      <c r="CE887" s="4"/>
      <c r="CF887" s="4"/>
      <c r="CG887" s="4"/>
      <c r="CH887" s="4"/>
    </row>
    <row r="888" spans="1:86" x14ac:dyDescent="0.25">
      <c r="A888" s="12">
        <f t="shared" si="19"/>
        <v>885</v>
      </c>
      <c r="B888" s="4" t="s">
        <v>1061</v>
      </c>
      <c r="C888" s="4" t="s">
        <v>1062</v>
      </c>
      <c r="D888" s="4" t="s">
        <v>2572</v>
      </c>
      <c r="E888" s="4"/>
      <c r="F888" s="14"/>
      <c r="G888" s="14"/>
      <c r="H888" s="14"/>
      <c r="I888" s="5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  <c r="BM888" s="4"/>
      <c r="BN888" s="4"/>
      <c r="BO888" s="4"/>
      <c r="BP888" s="4"/>
      <c r="BQ888" s="4"/>
      <c r="BR888" s="4"/>
      <c r="BS888" s="4"/>
      <c r="BT888" s="4"/>
      <c r="BU888" s="4"/>
      <c r="BV888" s="4"/>
      <c r="BW888" s="4"/>
      <c r="BX888" s="4"/>
      <c r="BY888" s="4"/>
      <c r="BZ888" s="4"/>
      <c r="CA888" s="4"/>
      <c r="CB888" s="4"/>
      <c r="CC888" s="4"/>
      <c r="CD888" s="4"/>
      <c r="CE888" s="4"/>
      <c r="CF888" s="4"/>
      <c r="CG888" s="4"/>
      <c r="CH888" s="4"/>
    </row>
    <row r="889" spans="1:86" x14ac:dyDescent="0.25">
      <c r="A889" s="12">
        <f t="shared" si="19"/>
        <v>886</v>
      </c>
      <c r="B889" s="4" t="s">
        <v>2175</v>
      </c>
      <c r="C889" s="4" t="s">
        <v>2176</v>
      </c>
      <c r="D889" s="4" t="s">
        <v>768</v>
      </c>
      <c r="E889" s="4"/>
      <c r="F889" s="14"/>
      <c r="G889" s="14"/>
      <c r="H889" s="14"/>
      <c r="I889" s="5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  <c r="BM889" s="4"/>
      <c r="BN889" s="4"/>
      <c r="BO889" s="4"/>
      <c r="BP889" s="4"/>
      <c r="BQ889" s="4"/>
      <c r="BR889" s="4"/>
      <c r="BS889" s="4"/>
      <c r="BT889" s="4"/>
      <c r="BU889" s="4"/>
      <c r="BV889" s="4"/>
      <c r="BW889" s="4"/>
      <c r="BX889" s="4"/>
      <c r="BY889" s="4"/>
      <c r="BZ889" s="4"/>
      <c r="CA889" s="4"/>
      <c r="CB889" s="4"/>
      <c r="CC889" s="4"/>
      <c r="CD889" s="4"/>
      <c r="CE889" s="4"/>
      <c r="CF889" s="4"/>
      <c r="CG889" s="4"/>
      <c r="CH889" s="4"/>
    </row>
    <row r="890" spans="1:86" x14ac:dyDescent="0.25">
      <c r="A890" s="12">
        <f t="shared" si="19"/>
        <v>887</v>
      </c>
      <c r="B890" s="4" t="s">
        <v>2177</v>
      </c>
      <c r="C890" s="4" t="s">
        <v>2178</v>
      </c>
      <c r="D890" s="4" t="s">
        <v>84</v>
      </c>
      <c r="E890" s="4"/>
      <c r="F890" s="14"/>
      <c r="G890" s="14"/>
      <c r="H890" s="14"/>
      <c r="I890" s="5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  <c r="BM890" s="4"/>
      <c r="BN890" s="4"/>
      <c r="BO890" s="4"/>
      <c r="BP890" s="4"/>
      <c r="BQ890" s="4"/>
      <c r="BR890" s="4"/>
      <c r="BS890" s="4"/>
      <c r="BT890" s="4"/>
      <c r="BU890" s="4"/>
      <c r="BV890" s="4"/>
      <c r="BW890" s="4"/>
      <c r="BX890" s="4"/>
      <c r="BY890" s="4"/>
      <c r="BZ890" s="4"/>
      <c r="CA890" s="4"/>
      <c r="CB890" s="4"/>
      <c r="CC890" s="4"/>
      <c r="CD890" s="4"/>
      <c r="CE890" s="4"/>
      <c r="CF890" s="4"/>
      <c r="CG890" s="4"/>
      <c r="CH890" s="4"/>
    </row>
    <row r="891" spans="1:86" x14ac:dyDescent="0.25">
      <c r="A891" s="12">
        <f t="shared" si="19"/>
        <v>888</v>
      </c>
      <c r="B891" s="4" t="s">
        <v>2179</v>
      </c>
      <c r="C891" s="4" t="s">
        <v>2180</v>
      </c>
      <c r="D891" s="4" t="s">
        <v>1130</v>
      </c>
      <c r="E891" s="4"/>
      <c r="F891" s="14"/>
      <c r="G891" s="14"/>
      <c r="H891" s="14"/>
      <c r="I891" s="5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  <c r="BM891" s="4"/>
      <c r="BN891" s="4"/>
      <c r="BO891" s="4"/>
      <c r="BP891" s="4"/>
      <c r="BQ891" s="4"/>
      <c r="BR891" s="4"/>
      <c r="BS891" s="4"/>
      <c r="BT891" s="4"/>
      <c r="BU891" s="4"/>
      <c r="BV891" s="4"/>
      <c r="BW891" s="4"/>
      <c r="BX891" s="4"/>
      <c r="BY891" s="4"/>
      <c r="BZ891" s="4"/>
      <c r="CA891" s="4"/>
      <c r="CB891" s="4"/>
      <c r="CC891" s="4"/>
      <c r="CD891" s="4"/>
      <c r="CE891" s="4"/>
      <c r="CF891" s="4"/>
      <c r="CG891" s="4"/>
      <c r="CH891" s="4"/>
    </row>
    <row r="892" spans="1:86" x14ac:dyDescent="0.25">
      <c r="A892" s="12">
        <f t="shared" si="19"/>
        <v>889</v>
      </c>
      <c r="B892" s="4" t="s">
        <v>2181</v>
      </c>
      <c r="C892" s="4" t="s">
        <v>2182</v>
      </c>
      <c r="D892" s="4" t="s">
        <v>601</v>
      </c>
      <c r="E892" s="4"/>
      <c r="F892" s="14"/>
      <c r="G892" s="14"/>
      <c r="H892" s="14"/>
      <c r="I892" s="5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  <c r="BM892" s="4"/>
      <c r="BN892" s="4"/>
      <c r="BO892" s="4"/>
      <c r="BP892" s="4"/>
      <c r="BQ892" s="4"/>
      <c r="BR892" s="4"/>
      <c r="BS892" s="4"/>
      <c r="BT892" s="4"/>
      <c r="BU892" s="4"/>
      <c r="BV892" s="4"/>
      <c r="BW892" s="4"/>
      <c r="BX892" s="4"/>
      <c r="BY892" s="4"/>
      <c r="BZ892" s="4"/>
      <c r="CA892" s="4"/>
      <c r="CB892" s="4"/>
      <c r="CC892" s="4"/>
      <c r="CD892" s="4"/>
      <c r="CE892" s="4"/>
      <c r="CF892" s="4"/>
      <c r="CG892" s="4"/>
      <c r="CH892" s="4"/>
    </row>
    <row r="893" spans="1:86" x14ac:dyDescent="0.25">
      <c r="A893" s="12">
        <f t="shared" si="19"/>
        <v>890</v>
      </c>
      <c r="B893" s="4" t="s">
        <v>2183</v>
      </c>
      <c r="C893" s="4" t="s">
        <v>2184</v>
      </c>
      <c r="D893" s="4" t="s">
        <v>768</v>
      </c>
      <c r="E893" s="4"/>
      <c r="F893" s="14"/>
      <c r="G893" s="14"/>
      <c r="H893" s="14"/>
      <c r="I893" s="5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  <c r="BM893" s="4"/>
      <c r="BN893" s="4"/>
      <c r="BO893" s="4"/>
      <c r="BP893" s="4"/>
      <c r="BQ893" s="4"/>
      <c r="BR893" s="4"/>
      <c r="BS893" s="4"/>
      <c r="BT893" s="4"/>
      <c r="BU893" s="4"/>
      <c r="BV893" s="4"/>
      <c r="BW893" s="4"/>
      <c r="BX893" s="4"/>
      <c r="BY893" s="4"/>
      <c r="BZ893" s="4"/>
      <c r="CA893" s="4"/>
      <c r="CB893" s="4"/>
      <c r="CC893" s="4"/>
      <c r="CD893" s="4"/>
      <c r="CE893" s="4"/>
      <c r="CF893" s="4"/>
      <c r="CG893" s="4"/>
      <c r="CH893" s="4"/>
    </row>
    <row r="894" spans="1:86" x14ac:dyDescent="0.25">
      <c r="A894" s="12">
        <f t="shared" si="19"/>
        <v>891</v>
      </c>
      <c r="B894" s="4" t="s">
        <v>2185</v>
      </c>
      <c r="C894" s="4" t="s">
        <v>2186</v>
      </c>
      <c r="D894" s="4" t="s">
        <v>45</v>
      </c>
      <c r="E894" s="4"/>
      <c r="F894" s="14"/>
      <c r="G894" s="14"/>
      <c r="H894" s="14"/>
      <c r="I894" s="5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  <c r="BM894" s="4"/>
      <c r="BN894" s="4"/>
      <c r="BO894" s="4"/>
      <c r="BP894" s="4"/>
      <c r="BQ894" s="4"/>
      <c r="BR894" s="4"/>
      <c r="BS894" s="4"/>
      <c r="BT894" s="4"/>
      <c r="BU894" s="4"/>
      <c r="BV894" s="4"/>
      <c r="BW894" s="4"/>
      <c r="BX894" s="4"/>
      <c r="BY894" s="4"/>
      <c r="BZ894" s="4"/>
      <c r="CA894" s="4"/>
      <c r="CB894" s="4"/>
      <c r="CC894" s="4"/>
      <c r="CD894" s="4"/>
      <c r="CE894" s="4"/>
      <c r="CF894" s="4"/>
      <c r="CG894" s="4"/>
      <c r="CH894" s="4"/>
    </row>
    <row r="895" spans="1:86" x14ac:dyDescent="0.25">
      <c r="A895" s="12">
        <f t="shared" si="19"/>
        <v>892</v>
      </c>
      <c r="B895" s="4" t="s">
        <v>2187</v>
      </c>
      <c r="C895" s="4" t="s">
        <v>2188</v>
      </c>
      <c r="D895" s="4" t="s">
        <v>87</v>
      </c>
      <c r="E895" s="4"/>
      <c r="F895" s="14"/>
      <c r="G895" s="14"/>
      <c r="H895" s="14"/>
      <c r="I895" s="5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  <c r="BM895" s="4"/>
      <c r="BN895" s="4"/>
      <c r="BO895" s="4"/>
      <c r="BP895" s="4"/>
      <c r="BQ895" s="4"/>
      <c r="BR895" s="4"/>
      <c r="BS895" s="4"/>
      <c r="BT895" s="4"/>
      <c r="BU895" s="4"/>
      <c r="BV895" s="4"/>
      <c r="BW895" s="4"/>
      <c r="BX895" s="4"/>
      <c r="BY895" s="4"/>
      <c r="BZ895" s="4"/>
      <c r="CA895" s="4"/>
      <c r="CB895" s="4"/>
      <c r="CC895" s="4"/>
      <c r="CD895" s="4"/>
      <c r="CE895" s="4"/>
      <c r="CF895" s="4"/>
      <c r="CG895" s="4"/>
      <c r="CH895" s="4"/>
    </row>
    <row r="896" spans="1:86" x14ac:dyDescent="0.25">
      <c r="A896" s="12">
        <f t="shared" si="19"/>
        <v>893</v>
      </c>
      <c r="B896" s="4" t="s">
        <v>2189</v>
      </c>
      <c r="C896" s="4" t="s">
        <v>2190</v>
      </c>
      <c r="D896" s="4" t="s">
        <v>768</v>
      </c>
      <c r="E896" s="4"/>
      <c r="F896" s="14"/>
      <c r="G896" s="14"/>
      <c r="H896" s="14"/>
      <c r="I896" s="5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  <c r="BM896" s="4"/>
      <c r="BN896" s="4"/>
      <c r="BO896" s="4"/>
      <c r="BP896" s="4"/>
      <c r="BQ896" s="4"/>
      <c r="BR896" s="4"/>
      <c r="BS896" s="4"/>
      <c r="BT896" s="4"/>
      <c r="BU896" s="4"/>
      <c r="BV896" s="4"/>
      <c r="BW896" s="4"/>
      <c r="BX896" s="4"/>
      <c r="BY896" s="4"/>
      <c r="BZ896" s="4"/>
      <c r="CA896" s="4"/>
      <c r="CB896" s="4"/>
      <c r="CC896" s="4"/>
      <c r="CD896" s="4"/>
      <c r="CE896" s="4"/>
      <c r="CF896" s="4"/>
      <c r="CG896" s="4"/>
      <c r="CH896" s="4"/>
    </row>
    <row r="897" spans="1:86" x14ac:dyDescent="0.25">
      <c r="A897" s="12">
        <f t="shared" si="19"/>
        <v>894</v>
      </c>
      <c r="B897" s="4" t="s">
        <v>2191</v>
      </c>
      <c r="C897" s="4" t="s">
        <v>2192</v>
      </c>
      <c r="D897" s="4" t="s">
        <v>84</v>
      </c>
      <c r="E897" s="4"/>
      <c r="F897" s="14"/>
      <c r="G897" s="14"/>
      <c r="H897" s="14"/>
      <c r="I897" s="5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  <c r="BM897" s="4"/>
      <c r="BN897" s="4"/>
      <c r="BO897" s="4"/>
      <c r="BP897" s="4"/>
      <c r="BQ897" s="4"/>
      <c r="BR897" s="4"/>
      <c r="BS897" s="4"/>
      <c r="BT897" s="4"/>
      <c r="BU897" s="4"/>
      <c r="BV897" s="4"/>
      <c r="BW897" s="4"/>
      <c r="BX897" s="4"/>
      <c r="BY897" s="4"/>
      <c r="BZ897" s="4"/>
      <c r="CA897" s="4"/>
      <c r="CB897" s="4"/>
      <c r="CC897" s="4"/>
      <c r="CD897" s="4"/>
      <c r="CE897" s="4"/>
      <c r="CF897" s="4"/>
      <c r="CG897" s="4"/>
      <c r="CH897" s="4"/>
    </row>
    <row r="898" spans="1:86" x14ac:dyDescent="0.25">
      <c r="A898" s="12">
        <f t="shared" si="19"/>
        <v>895</v>
      </c>
      <c r="B898" s="4" t="s">
        <v>2193</v>
      </c>
      <c r="C898" s="4" t="s">
        <v>2194</v>
      </c>
      <c r="D898" s="4" t="s">
        <v>1125</v>
      </c>
      <c r="E898" s="4"/>
      <c r="F898" s="14"/>
      <c r="G898" s="14"/>
      <c r="H898" s="14"/>
      <c r="I898" s="5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  <c r="BM898" s="4"/>
      <c r="BN898" s="4"/>
      <c r="BO898" s="4"/>
      <c r="BP898" s="4"/>
      <c r="BQ898" s="4"/>
      <c r="BR898" s="4"/>
      <c r="BS898" s="4"/>
      <c r="BT898" s="4"/>
      <c r="BU898" s="4"/>
      <c r="BV898" s="4"/>
      <c r="BW898" s="4"/>
      <c r="BX898" s="4"/>
      <c r="BY898" s="4"/>
      <c r="BZ898" s="4"/>
      <c r="CA898" s="4"/>
      <c r="CB898" s="4"/>
      <c r="CC898" s="4"/>
      <c r="CD898" s="4"/>
      <c r="CE898" s="4"/>
      <c r="CF898" s="4"/>
      <c r="CG898" s="4"/>
      <c r="CH898" s="4"/>
    </row>
    <row r="899" spans="1:86" x14ac:dyDescent="0.25">
      <c r="A899" s="12">
        <f t="shared" si="19"/>
        <v>896</v>
      </c>
      <c r="B899" s="4" t="s">
        <v>2195</v>
      </c>
      <c r="C899" s="4" t="s">
        <v>2196</v>
      </c>
      <c r="D899" s="4" t="s">
        <v>1130</v>
      </c>
      <c r="E899" s="4"/>
      <c r="F899" s="14"/>
      <c r="G899" s="14"/>
      <c r="H899" s="14"/>
      <c r="I899" s="5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  <c r="BM899" s="4"/>
      <c r="BN899" s="4"/>
      <c r="BO899" s="4"/>
      <c r="BP899" s="4"/>
      <c r="BQ899" s="4"/>
      <c r="BR899" s="4"/>
      <c r="BS899" s="4"/>
      <c r="BT899" s="4"/>
      <c r="BU899" s="4"/>
      <c r="BV899" s="4"/>
      <c r="BW899" s="4"/>
      <c r="BX899" s="4"/>
      <c r="BY899" s="4"/>
      <c r="BZ899" s="4"/>
      <c r="CA899" s="4"/>
      <c r="CB899" s="4"/>
      <c r="CC899" s="4"/>
      <c r="CD899" s="4"/>
      <c r="CE899" s="4"/>
      <c r="CF899" s="4"/>
      <c r="CG899" s="4"/>
      <c r="CH899" s="4"/>
    </row>
    <row r="900" spans="1:86" x14ac:dyDescent="0.25">
      <c r="A900" s="12">
        <f t="shared" si="19"/>
        <v>897</v>
      </c>
      <c r="B900" s="4" t="s">
        <v>2197</v>
      </c>
      <c r="C900" s="4" t="s">
        <v>2198</v>
      </c>
      <c r="D900" s="4" t="s">
        <v>768</v>
      </c>
      <c r="E900" s="4"/>
      <c r="F900" s="14"/>
      <c r="G900" s="14"/>
      <c r="H900" s="14"/>
      <c r="I900" s="5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  <c r="BM900" s="4"/>
      <c r="BN900" s="4"/>
      <c r="BO900" s="4"/>
      <c r="BP900" s="4"/>
      <c r="BQ900" s="4"/>
      <c r="BR900" s="4"/>
      <c r="BS900" s="4"/>
      <c r="BT900" s="4"/>
      <c r="BU900" s="4"/>
      <c r="BV900" s="4"/>
      <c r="BW900" s="4"/>
      <c r="BX900" s="4"/>
      <c r="BY900" s="4"/>
      <c r="BZ900" s="4"/>
      <c r="CA900" s="4"/>
      <c r="CB900" s="4"/>
      <c r="CC900" s="4"/>
      <c r="CD900" s="4"/>
      <c r="CE900" s="4"/>
      <c r="CF900" s="4"/>
      <c r="CG900" s="4"/>
      <c r="CH900" s="4"/>
    </row>
    <row r="901" spans="1:86" x14ac:dyDescent="0.25">
      <c r="A901" s="12">
        <f t="shared" si="19"/>
        <v>898</v>
      </c>
      <c r="B901" s="4" t="s">
        <v>2199</v>
      </c>
      <c r="C901" s="4" t="s">
        <v>2200</v>
      </c>
      <c r="D901" s="4" t="s">
        <v>2575</v>
      </c>
      <c r="E901" s="4"/>
      <c r="F901" s="14"/>
      <c r="G901" s="14"/>
      <c r="H901" s="14"/>
      <c r="I901" s="5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  <c r="BM901" s="4"/>
      <c r="BN901" s="4"/>
      <c r="BO901" s="4"/>
      <c r="BP901" s="4"/>
      <c r="BQ901" s="4"/>
      <c r="BR901" s="4"/>
      <c r="BS901" s="4"/>
      <c r="BT901" s="4"/>
      <c r="BU901" s="4"/>
      <c r="BV901" s="4"/>
      <c r="BW901" s="4"/>
      <c r="BX901" s="4"/>
      <c r="BY901" s="4"/>
      <c r="BZ901" s="4"/>
      <c r="CA901" s="4"/>
      <c r="CB901" s="4"/>
      <c r="CC901" s="4"/>
      <c r="CD901" s="4"/>
      <c r="CE901" s="4"/>
      <c r="CF901" s="4"/>
      <c r="CG901" s="4"/>
      <c r="CH901" s="4"/>
    </row>
    <row r="902" spans="1:86" x14ac:dyDescent="0.25">
      <c r="A902" s="12">
        <f t="shared" si="19"/>
        <v>899</v>
      </c>
      <c r="B902" s="4" t="s">
        <v>2201</v>
      </c>
      <c r="C902" s="4" t="s">
        <v>2202</v>
      </c>
      <c r="D902" s="4" t="s">
        <v>45</v>
      </c>
      <c r="E902" s="4"/>
      <c r="F902" s="14"/>
      <c r="G902" s="14"/>
      <c r="H902" s="14"/>
      <c r="I902" s="5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  <c r="BM902" s="4"/>
      <c r="BN902" s="4"/>
      <c r="BO902" s="4"/>
      <c r="BP902" s="4"/>
      <c r="BQ902" s="4"/>
      <c r="BR902" s="4"/>
      <c r="BS902" s="4"/>
      <c r="BT902" s="4"/>
      <c r="BU902" s="4"/>
      <c r="BV902" s="4"/>
      <c r="BW902" s="4"/>
      <c r="BX902" s="4"/>
      <c r="BY902" s="4"/>
      <c r="BZ902" s="4"/>
      <c r="CA902" s="4"/>
      <c r="CB902" s="4"/>
      <c r="CC902" s="4"/>
      <c r="CD902" s="4"/>
      <c r="CE902" s="4"/>
      <c r="CF902" s="4"/>
      <c r="CG902" s="4"/>
      <c r="CH902" s="4"/>
    </row>
    <row r="903" spans="1:86" x14ac:dyDescent="0.25">
      <c r="A903" s="12">
        <f t="shared" si="19"/>
        <v>900</v>
      </c>
      <c r="B903" s="4" t="s">
        <v>2203</v>
      </c>
      <c r="C903" s="4" t="s">
        <v>2204</v>
      </c>
      <c r="D903" s="4" t="s">
        <v>536</v>
      </c>
      <c r="E903" s="4"/>
      <c r="F903" s="14"/>
      <c r="G903" s="14"/>
      <c r="H903" s="14"/>
      <c r="I903" s="5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  <c r="BP903" s="4"/>
      <c r="BQ903" s="4"/>
      <c r="BR903" s="4"/>
      <c r="BS903" s="4"/>
      <c r="BT903" s="4"/>
      <c r="BU903" s="4"/>
      <c r="BV903" s="4"/>
      <c r="BW903" s="4"/>
      <c r="BX903" s="4"/>
      <c r="BY903" s="4"/>
      <c r="BZ903" s="4"/>
      <c r="CA903" s="4"/>
      <c r="CB903" s="4"/>
      <c r="CC903" s="4"/>
      <c r="CD903" s="4"/>
      <c r="CE903" s="4"/>
      <c r="CF903" s="4"/>
      <c r="CG903" s="4"/>
      <c r="CH903" s="4"/>
    </row>
    <row r="904" spans="1:86" x14ac:dyDescent="0.25">
      <c r="A904" s="12">
        <f t="shared" si="19"/>
        <v>901</v>
      </c>
      <c r="B904" s="4" t="s">
        <v>2205</v>
      </c>
      <c r="C904" s="4" t="s">
        <v>2206</v>
      </c>
      <c r="D904" s="4" t="s">
        <v>768</v>
      </c>
      <c r="E904" s="4"/>
      <c r="F904" s="14"/>
      <c r="G904" s="14"/>
      <c r="H904" s="14"/>
      <c r="I904" s="5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  <c r="BM904" s="4"/>
      <c r="BN904" s="4"/>
      <c r="BO904" s="4"/>
      <c r="BP904" s="4"/>
      <c r="BQ904" s="4"/>
      <c r="BR904" s="4"/>
      <c r="BS904" s="4"/>
      <c r="BT904" s="4"/>
      <c r="BU904" s="4"/>
      <c r="BV904" s="4"/>
      <c r="BW904" s="4"/>
      <c r="BX904" s="4"/>
      <c r="BY904" s="4"/>
      <c r="BZ904" s="4"/>
      <c r="CA904" s="4"/>
      <c r="CB904" s="4"/>
      <c r="CC904" s="4"/>
      <c r="CD904" s="4"/>
      <c r="CE904" s="4"/>
      <c r="CF904" s="4"/>
      <c r="CG904" s="4"/>
      <c r="CH904" s="4"/>
    </row>
    <row r="905" spans="1:86" x14ac:dyDescent="0.25">
      <c r="A905" s="12">
        <f t="shared" si="19"/>
        <v>902</v>
      </c>
      <c r="B905" s="4" t="s">
        <v>2207</v>
      </c>
      <c r="C905" s="4" t="s">
        <v>2208</v>
      </c>
      <c r="D905" s="4" t="s">
        <v>45</v>
      </c>
      <c r="E905" s="4"/>
      <c r="F905" s="14"/>
      <c r="G905" s="14"/>
      <c r="H905" s="14"/>
      <c r="I905" s="5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  <c r="BM905" s="4"/>
      <c r="BN905" s="4"/>
      <c r="BO905" s="4"/>
      <c r="BP905" s="4"/>
      <c r="BQ905" s="4"/>
      <c r="BR905" s="4"/>
      <c r="BS905" s="4"/>
      <c r="BT905" s="4"/>
      <c r="BU905" s="4"/>
      <c r="BV905" s="4"/>
      <c r="BW905" s="4"/>
      <c r="BX905" s="4"/>
      <c r="BY905" s="4"/>
      <c r="BZ905" s="4"/>
      <c r="CA905" s="4"/>
      <c r="CB905" s="4"/>
      <c r="CC905" s="4"/>
      <c r="CD905" s="4"/>
      <c r="CE905" s="4"/>
      <c r="CF905" s="4"/>
      <c r="CG905" s="4"/>
      <c r="CH905" s="4"/>
    </row>
    <row r="906" spans="1:86" x14ac:dyDescent="0.25">
      <c r="A906" s="12">
        <f t="shared" ref="A906:A969" si="20">+A905+1</f>
        <v>903</v>
      </c>
      <c r="B906" s="4" t="s">
        <v>2209</v>
      </c>
      <c r="C906" s="4" t="s">
        <v>2210</v>
      </c>
      <c r="D906" s="4" t="s">
        <v>1125</v>
      </c>
      <c r="E906" s="4"/>
      <c r="F906" s="14"/>
      <c r="G906" s="14"/>
      <c r="H906" s="14"/>
      <c r="I906" s="5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  <c r="BM906" s="4"/>
      <c r="BN906" s="4"/>
      <c r="BO906" s="4"/>
      <c r="BP906" s="4"/>
      <c r="BQ906" s="4"/>
      <c r="BR906" s="4"/>
      <c r="BS906" s="4"/>
      <c r="BT906" s="4"/>
      <c r="BU906" s="4"/>
      <c r="BV906" s="4"/>
      <c r="BW906" s="4"/>
      <c r="BX906" s="4"/>
      <c r="BY906" s="4"/>
      <c r="BZ906" s="4"/>
      <c r="CA906" s="4"/>
      <c r="CB906" s="4"/>
      <c r="CC906" s="4"/>
      <c r="CD906" s="4"/>
      <c r="CE906" s="4"/>
      <c r="CF906" s="4"/>
      <c r="CG906" s="4"/>
      <c r="CH906" s="4"/>
    </row>
    <row r="907" spans="1:86" x14ac:dyDescent="0.25">
      <c r="A907" s="12">
        <f t="shared" si="20"/>
        <v>904</v>
      </c>
      <c r="B907" s="4" t="s">
        <v>2211</v>
      </c>
      <c r="C907" s="4" t="s">
        <v>2212</v>
      </c>
      <c r="D907" s="4" t="s">
        <v>45</v>
      </c>
      <c r="E907" s="4"/>
      <c r="F907" s="14"/>
      <c r="G907" s="14"/>
      <c r="H907" s="14"/>
      <c r="I907" s="5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  <c r="BM907" s="4"/>
      <c r="BN907" s="4"/>
      <c r="BO907" s="4"/>
      <c r="BP907" s="4"/>
      <c r="BQ907" s="4"/>
      <c r="BR907" s="4"/>
      <c r="BS907" s="4"/>
      <c r="BT907" s="4"/>
      <c r="BU907" s="4"/>
      <c r="BV907" s="4"/>
      <c r="BW907" s="4"/>
      <c r="BX907" s="4"/>
      <c r="BY907" s="4"/>
      <c r="BZ907" s="4"/>
      <c r="CA907" s="4"/>
      <c r="CB907" s="4"/>
      <c r="CC907" s="4"/>
      <c r="CD907" s="4"/>
      <c r="CE907" s="4"/>
      <c r="CF907" s="4"/>
      <c r="CG907" s="4"/>
      <c r="CH907" s="4"/>
    </row>
    <row r="908" spans="1:86" x14ac:dyDescent="0.25">
      <c r="A908" s="12">
        <f t="shared" si="20"/>
        <v>905</v>
      </c>
      <c r="B908" s="4" t="s">
        <v>2213</v>
      </c>
      <c r="C908" s="4" t="s">
        <v>2214</v>
      </c>
      <c r="D908" s="4" t="s">
        <v>128</v>
      </c>
      <c r="E908" s="4"/>
      <c r="F908" s="14"/>
      <c r="G908" s="14"/>
      <c r="H908" s="14"/>
      <c r="I908" s="5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  <c r="BM908" s="4"/>
      <c r="BN908" s="4"/>
      <c r="BO908" s="4"/>
      <c r="BP908" s="4"/>
      <c r="BQ908" s="4"/>
      <c r="BR908" s="4"/>
      <c r="BS908" s="4"/>
      <c r="BT908" s="4"/>
      <c r="BU908" s="4"/>
      <c r="BV908" s="4"/>
      <c r="BW908" s="4"/>
      <c r="BX908" s="4"/>
      <c r="BY908" s="4"/>
      <c r="BZ908" s="4"/>
      <c r="CA908" s="4"/>
      <c r="CB908" s="4"/>
      <c r="CC908" s="4"/>
      <c r="CD908" s="4"/>
      <c r="CE908" s="4"/>
      <c r="CF908" s="4"/>
      <c r="CG908" s="4"/>
      <c r="CH908" s="4"/>
    </row>
    <row r="909" spans="1:86" x14ac:dyDescent="0.25">
      <c r="A909" s="12">
        <f t="shared" si="20"/>
        <v>906</v>
      </c>
      <c r="B909" s="4" t="s">
        <v>2215</v>
      </c>
      <c r="C909" s="4" t="s">
        <v>2216</v>
      </c>
      <c r="D909" s="4" t="s">
        <v>1130</v>
      </c>
      <c r="E909" s="4"/>
      <c r="F909" s="14"/>
      <c r="G909" s="14"/>
      <c r="H909" s="14"/>
      <c r="I909" s="5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  <c r="BM909" s="4"/>
      <c r="BN909" s="4"/>
      <c r="BO909" s="4"/>
      <c r="BP909" s="4"/>
      <c r="BQ909" s="4"/>
      <c r="BR909" s="4"/>
      <c r="BS909" s="4"/>
      <c r="BT909" s="4"/>
      <c r="BU909" s="4"/>
      <c r="BV909" s="4"/>
      <c r="BW909" s="4"/>
      <c r="BX909" s="4"/>
      <c r="BY909" s="4"/>
      <c r="BZ909" s="4"/>
      <c r="CA909" s="4"/>
      <c r="CB909" s="4"/>
      <c r="CC909" s="4"/>
      <c r="CD909" s="4"/>
      <c r="CE909" s="4"/>
      <c r="CF909" s="4"/>
      <c r="CG909" s="4"/>
      <c r="CH909" s="4"/>
    </row>
    <row r="910" spans="1:86" x14ac:dyDescent="0.25">
      <c r="A910" s="12">
        <f t="shared" si="20"/>
        <v>907</v>
      </c>
      <c r="B910" s="4" t="s">
        <v>2217</v>
      </c>
      <c r="C910" s="4" t="s">
        <v>2218</v>
      </c>
      <c r="D910" s="4" t="s">
        <v>47</v>
      </c>
      <c r="E910" s="4"/>
      <c r="F910" s="14"/>
      <c r="G910" s="14"/>
      <c r="H910" s="14"/>
      <c r="I910" s="5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  <c r="BM910" s="4"/>
      <c r="BN910" s="4"/>
      <c r="BO910" s="4"/>
      <c r="BP910" s="4"/>
      <c r="BQ910" s="4"/>
      <c r="BR910" s="4"/>
      <c r="BS910" s="4"/>
      <c r="BT910" s="4"/>
      <c r="BU910" s="4"/>
      <c r="BV910" s="4"/>
      <c r="BW910" s="4"/>
      <c r="BX910" s="4"/>
      <c r="BY910" s="4"/>
      <c r="BZ910" s="4"/>
      <c r="CA910" s="4"/>
      <c r="CB910" s="4"/>
      <c r="CC910" s="4"/>
      <c r="CD910" s="4"/>
      <c r="CE910" s="4"/>
      <c r="CF910" s="4"/>
      <c r="CG910" s="4"/>
      <c r="CH910" s="4"/>
    </row>
    <row r="911" spans="1:86" x14ac:dyDescent="0.25">
      <c r="A911" s="12">
        <f t="shared" si="20"/>
        <v>908</v>
      </c>
      <c r="B911" s="4" t="s">
        <v>2219</v>
      </c>
      <c r="C911" s="4" t="s">
        <v>2220</v>
      </c>
      <c r="D911" s="4" t="s">
        <v>508</v>
      </c>
      <c r="E911" s="4"/>
      <c r="F911" s="14"/>
      <c r="G911" s="14"/>
      <c r="H911" s="14"/>
      <c r="I911" s="5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  <c r="BM911" s="4"/>
      <c r="BN911" s="4"/>
      <c r="BO911" s="4"/>
      <c r="BP911" s="4"/>
      <c r="BQ911" s="4"/>
      <c r="BR911" s="4"/>
      <c r="BS911" s="4"/>
      <c r="BT911" s="4"/>
      <c r="BU911" s="4"/>
      <c r="BV911" s="4"/>
      <c r="BW911" s="4"/>
      <c r="BX911" s="4"/>
      <c r="BY911" s="4"/>
      <c r="BZ911" s="4"/>
      <c r="CA911" s="4"/>
      <c r="CB911" s="4"/>
      <c r="CC911" s="4"/>
      <c r="CD911" s="4"/>
      <c r="CE911" s="4"/>
      <c r="CF911" s="4"/>
      <c r="CG911" s="4"/>
      <c r="CH911" s="4"/>
    </row>
    <row r="912" spans="1:86" x14ac:dyDescent="0.25">
      <c r="A912" s="12">
        <f t="shared" si="20"/>
        <v>909</v>
      </c>
      <c r="B912" s="4" t="s">
        <v>2221</v>
      </c>
      <c r="C912" s="4" t="s">
        <v>2222</v>
      </c>
      <c r="D912" s="4" t="s">
        <v>1130</v>
      </c>
      <c r="E912" s="4"/>
      <c r="F912" s="14"/>
      <c r="G912" s="14"/>
      <c r="H912" s="14"/>
      <c r="I912" s="5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  <c r="BM912" s="4"/>
      <c r="BN912" s="4"/>
      <c r="BO912" s="4"/>
      <c r="BP912" s="4"/>
      <c r="BQ912" s="4"/>
      <c r="BR912" s="4"/>
      <c r="BS912" s="4"/>
      <c r="BT912" s="4"/>
      <c r="BU912" s="4"/>
      <c r="BV912" s="4"/>
      <c r="BW912" s="4"/>
      <c r="BX912" s="4"/>
      <c r="BY912" s="4"/>
      <c r="BZ912" s="4"/>
      <c r="CA912" s="4"/>
      <c r="CB912" s="4"/>
      <c r="CC912" s="4"/>
      <c r="CD912" s="4"/>
      <c r="CE912" s="4"/>
      <c r="CF912" s="4"/>
      <c r="CG912" s="4"/>
      <c r="CH912" s="4"/>
    </row>
    <row r="913" spans="1:86" x14ac:dyDescent="0.25">
      <c r="A913" s="12">
        <f t="shared" si="20"/>
        <v>910</v>
      </c>
      <c r="B913" s="4" t="s">
        <v>2223</v>
      </c>
      <c r="C913" s="4" t="s">
        <v>2224</v>
      </c>
      <c r="D913" s="4" t="s">
        <v>536</v>
      </c>
      <c r="E913" s="4"/>
      <c r="F913" s="14"/>
      <c r="G913" s="14"/>
      <c r="H913" s="14"/>
      <c r="I913" s="5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  <c r="BM913" s="4"/>
      <c r="BN913" s="4"/>
      <c r="BO913" s="4"/>
      <c r="BP913" s="4"/>
      <c r="BQ913" s="4"/>
      <c r="BR913" s="4"/>
      <c r="BS913" s="4"/>
      <c r="BT913" s="4"/>
      <c r="BU913" s="4"/>
      <c r="BV913" s="4"/>
      <c r="BW913" s="4"/>
      <c r="BX913" s="4"/>
      <c r="BY913" s="4"/>
      <c r="BZ913" s="4"/>
      <c r="CA913" s="4"/>
      <c r="CB913" s="4"/>
      <c r="CC913" s="4"/>
      <c r="CD913" s="4"/>
      <c r="CE913" s="4"/>
      <c r="CF913" s="4"/>
      <c r="CG913" s="4"/>
      <c r="CH913" s="4"/>
    </row>
    <row r="914" spans="1:86" x14ac:dyDescent="0.25">
      <c r="A914" s="12">
        <f t="shared" si="20"/>
        <v>911</v>
      </c>
      <c r="B914" s="4" t="s">
        <v>2225</v>
      </c>
      <c r="C914" s="4" t="s">
        <v>2226</v>
      </c>
      <c r="D914" s="4" t="s">
        <v>45</v>
      </c>
      <c r="E914" s="4"/>
      <c r="F914" s="14"/>
      <c r="G914" s="14"/>
      <c r="H914" s="14"/>
      <c r="I914" s="5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  <c r="BM914" s="4"/>
      <c r="BN914" s="4"/>
      <c r="BO914" s="4"/>
      <c r="BP914" s="4"/>
      <c r="BQ914" s="4"/>
      <c r="BR914" s="4"/>
      <c r="BS914" s="4"/>
      <c r="BT914" s="4"/>
      <c r="BU914" s="4"/>
      <c r="BV914" s="4"/>
      <c r="BW914" s="4"/>
      <c r="BX914" s="4"/>
      <c r="BY914" s="4"/>
      <c r="BZ914" s="4"/>
      <c r="CA914" s="4"/>
      <c r="CB914" s="4"/>
      <c r="CC914" s="4"/>
      <c r="CD914" s="4"/>
      <c r="CE914" s="4"/>
      <c r="CF914" s="4"/>
      <c r="CG914" s="4"/>
      <c r="CH914" s="4"/>
    </row>
    <row r="915" spans="1:86" x14ac:dyDescent="0.25">
      <c r="A915" s="12">
        <f t="shared" si="20"/>
        <v>912</v>
      </c>
      <c r="B915" s="4" t="s">
        <v>2227</v>
      </c>
      <c r="C915" s="4" t="s">
        <v>2228</v>
      </c>
      <c r="D915" s="4" t="s">
        <v>45</v>
      </c>
      <c r="E915" s="4"/>
      <c r="F915" s="14"/>
      <c r="G915" s="14"/>
      <c r="H915" s="14"/>
      <c r="I915" s="5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  <c r="BM915" s="4"/>
      <c r="BN915" s="4"/>
      <c r="BO915" s="4"/>
      <c r="BP915" s="4"/>
      <c r="BQ915" s="4"/>
      <c r="BR915" s="4"/>
      <c r="BS915" s="4"/>
      <c r="BT915" s="4"/>
      <c r="BU915" s="4"/>
      <c r="BV915" s="4"/>
      <c r="BW915" s="4"/>
      <c r="BX915" s="4"/>
      <c r="BY915" s="4"/>
      <c r="BZ915" s="4"/>
      <c r="CA915" s="4"/>
      <c r="CB915" s="4"/>
      <c r="CC915" s="4"/>
      <c r="CD915" s="4"/>
      <c r="CE915" s="4"/>
      <c r="CF915" s="4"/>
      <c r="CG915" s="4"/>
      <c r="CH915" s="4"/>
    </row>
    <row r="916" spans="1:86" x14ac:dyDescent="0.25">
      <c r="A916" s="12">
        <f t="shared" si="20"/>
        <v>913</v>
      </c>
      <c r="B916" s="4" t="s">
        <v>2229</v>
      </c>
      <c r="C916" s="4" t="s">
        <v>2230</v>
      </c>
      <c r="D916" s="4" t="s">
        <v>45</v>
      </c>
      <c r="E916" s="4"/>
      <c r="F916" s="14"/>
      <c r="G916" s="14"/>
      <c r="H916" s="14"/>
      <c r="I916" s="5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  <c r="BM916" s="4"/>
      <c r="BN916" s="4"/>
      <c r="BO916" s="4"/>
      <c r="BP916" s="4"/>
      <c r="BQ916" s="4"/>
      <c r="BR916" s="4"/>
      <c r="BS916" s="4"/>
      <c r="BT916" s="4"/>
      <c r="BU916" s="4"/>
      <c r="BV916" s="4"/>
      <c r="BW916" s="4"/>
      <c r="BX916" s="4"/>
      <c r="BY916" s="4"/>
      <c r="BZ916" s="4"/>
      <c r="CA916" s="4"/>
      <c r="CB916" s="4"/>
      <c r="CC916" s="4"/>
      <c r="CD916" s="4"/>
      <c r="CE916" s="4"/>
      <c r="CF916" s="4"/>
      <c r="CG916" s="4"/>
      <c r="CH916" s="4"/>
    </row>
    <row r="917" spans="1:86" x14ac:dyDescent="0.25">
      <c r="A917" s="12">
        <f t="shared" si="20"/>
        <v>914</v>
      </c>
      <c r="B917" s="4" t="s">
        <v>2231</v>
      </c>
      <c r="C917" s="4" t="s">
        <v>2232</v>
      </c>
      <c r="D917" s="4" t="s">
        <v>45</v>
      </c>
      <c r="E917" s="4"/>
      <c r="F917" s="14"/>
      <c r="G917" s="14"/>
      <c r="H917" s="14"/>
      <c r="I917" s="5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  <c r="BM917" s="4"/>
      <c r="BN917" s="4"/>
      <c r="BO917" s="4"/>
      <c r="BP917" s="4"/>
      <c r="BQ917" s="4"/>
      <c r="BR917" s="4"/>
      <c r="BS917" s="4"/>
      <c r="BT917" s="4"/>
      <c r="BU917" s="4"/>
      <c r="BV917" s="4"/>
      <c r="BW917" s="4"/>
      <c r="BX917" s="4"/>
      <c r="BY917" s="4"/>
      <c r="BZ917" s="4"/>
      <c r="CA917" s="4"/>
      <c r="CB917" s="4"/>
      <c r="CC917" s="4"/>
      <c r="CD917" s="4"/>
      <c r="CE917" s="4"/>
      <c r="CF917" s="4"/>
      <c r="CG917" s="4"/>
      <c r="CH917" s="4"/>
    </row>
    <row r="918" spans="1:86" x14ac:dyDescent="0.25">
      <c r="A918" s="12">
        <f t="shared" si="20"/>
        <v>915</v>
      </c>
      <c r="B918" s="4" t="s">
        <v>2233</v>
      </c>
      <c r="C918" s="4" t="s">
        <v>2234</v>
      </c>
      <c r="D918" s="4" t="s">
        <v>45</v>
      </c>
      <c r="E918" s="4"/>
      <c r="F918" s="14"/>
      <c r="G918" s="14"/>
      <c r="H918" s="14"/>
      <c r="I918" s="5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  <c r="BM918" s="4"/>
      <c r="BN918" s="4"/>
      <c r="BO918" s="4"/>
      <c r="BP918" s="4"/>
      <c r="BQ918" s="4"/>
      <c r="BR918" s="4"/>
      <c r="BS918" s="4"/>
      <c r="BT918" s="4"/>
      <c r="BU918" s="4"/>
      <c r="BV918" s="4"/>
      <c r="BW918" s="4"/>
      <c r="BX918" s="4"/>
      <c r="BY918" s="4"/>
      <c r="BZ918" s="4"/>
      <c r="CA918" s="4"/>
      <c r="CB918" s="4"/>
      <c r="CC918" s="4"/>
      <c r="CD918" s="4"/>
      <c r="CE918" s="4"/>
      <c r="CF918" s="4"/>
      <c r="CG918" s="4"/>
      <c r="CH918" s="4"/>
    </row>
    <row r="919" spans="1:86" x14ac:dyDescent="0.25">
      <c r="A919" s="12">
        <f t="shared" si="20"/>
        <v>916</v>
      </c>
      <c r="B919" s="4" t="s">
        <v>2235</v>
      </c>
      <c r="C919" s="4" t="s">
        <v>2236</v>
      </c>
      <c r="D919" s="4" t="s">
        <v>2574</v>
      </c>
      <c r="E919" s="4"/>
      <c r="F919" s="14"/>
      <c r="G919" s="14"/>
      <c r="H919" s="14"/>
      <c r="I919" s="5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  <c r="BM919" s="4"/>
      <c r="BN919" s="4"/>
      <c r="BO919" s="4"/>
      <c r="BP919" s="4"/>
      <c r="BQ919" s="4"/>
      <c r="BR919" s="4"/>
      <c r="BS919" s="4"/>
      <c r="BT919" s="4"/>
      <c r="BU919" s="4"/>
      <c r="BV919" s="4"/>
      <c r="BW919" s="4"/>
      <c r="BX919" s="4"/>
      <c r="BY919" s="4"/>
      <c r="BZ919" s="4"/>
      <c r="CA919" s="4"/>
      <c r="CB919" s="4"/>
      <c r="CC919" s="4"/>
      <c r="CD919" s="4"/>
      <c r="CE919" s="4"/>
      <c r="CF919" s="4"/>
      <c r="CG919" s="4"/>
      <c r="CH919" s="4"/>
    </row>
    <row r="920" spans="1:86" x14ac:dyDescent="0.25">
      <c r="A920" s="12">
        <f t="shared" si="20"/>
        <v>917</v>
      </c>
      <c r="B920" s="4" t="s">
        <v>2237</v>
      </c>
      <c r="C920" s="4" t="s">
        <v>2238</v>
      </c>
      <c r="D920" s="4" t="s">
        <v>45</v>
      </c>
      <c r="E920" s="4"/>
      <c r="F920" s="14"/>
      <c r="G920" s="14"/>
      <c r="H920" s="14"/>
      <c r="I920" s="5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  <c r="BM920" s="4"/>
      <c r="BN920" s="4"/>
      <c r="BO920" s="4"/>
      <c r="BP920" s="4"/>
      <c r="BQ920" s="4"/>
      <c r="BR920" s="4"/>
      <c r="BS920" s="4"/>
      <c r="BT920" s="4"/>
      <c r="BU920" s="4"/>
      <c r="BV920" s="4"/>
      <c r="BW920" s="4"/>
      <c r="BX920" s="4"/>
      <c r="BY920" s="4"/>
      <c r="BZ920" s="4"/>
      <c r="CA920" s="4"/>
      <c r="CB920" s="4"/>
      <c r="CC920" s="4"/>
      <c r="CD920" s="4"/>
      <c r="CE920" s="4"/>
      <c r="CF920" s="4"/>
      <c r="CG920" s="4"/>
      <c r="CH920" s="4"/>
    </row>
    <row r="921" spans="1:86" x14ac:dyDescent="0.25">
      <c r="A921" s="12">
        <f t="shared" si="20"/>
        <v>918</v>
      </c>
      <c r="B921" s="4" t="s">
        <v>2239</v>
      </c>
      <c r="C921" s="4" t="s">
        <v>2240</v>
      </c>
      <c r="D921" s="4" t="s">
        <v>45</v>
      </c>
      <c r="E921" s="4"/>
      <c r="F921" s="14"/>
      <c r="G921" s="14"/>
      <c r="H921" s="14"/>
      <c r="I921" s="5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  <c r="BM921" s="4"/>
      <c r="BN921" s="4"/>
      <c r="BO921" s="4"/>
      <c r="BP921" s="4"/>
      <c r="BQ921" s="4"/>
      <c r="BR921" s="4"/>
      <c r="BS921" s="4"/>
      <c r="BT921" s="4"/>
      <c r="BU921" s="4"/>
      <c r="BV921" s="4"/>
      <c r="BW921" s="4"/>
      <c r="BX921" s="4"/>
      <c r="BY921" s="4"/>
      <c r="BZ921" s="4"/>
      <c r="CA921" s="4"/>
      <c r="CB921" s="4"/>
      <c r="CC921" s="4"/>
      <c r="CD921" s="4"/>
      <c r="CE921" s="4"/>
      <c r="CF921" s="4"/>
      <c r="CG921" s="4"/>
      <c r="CH921" s="4"/>
    </row>
    <row r="922" spans="1:86" x14ac:dyDescent="0.25">
      <c r="A922" s="12">
        <f t="shared" si="20"/>
        <v>919</v>
      </c>
      <c r="B922" s="4" t="s">
        <v>2241</v>
      </c>
      <c r="C922" s="4" t="s">
        <v>2242</v>
      </c>
      <c r="D922" s="4" t="s">
        <v>45</v>
      </c>
      <c r="E922" s="4"/>
      <c r="F922" s="14"/>
      <c r="G922" s="14"/>
      <c r="H922" s="14"/>
      <c r="I922" s="5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  <c r="BM922" s="4"/>
      <c r="BN922" s="4"/>
      <c r="BO922" s="4"/>
      <c r="BP922" s="4"/>
      <c r="BQ922" s="4"/>
      <c r="BR922" s="4"/>
      <c r="BS922" s="4"/>
      <c r="BT922" s="4"/>
      <c r="BU922" s="4"/>
      <c r="BV922" s="4"/>
      <c r="BW922" s="4"/>
      <c r="BX922" s="4"/>
      <c r="BY922" s="4"/>
      <c r="BZ922" s="4"/>
      <c r="CA922" s="4"/>
      <c r="CB922" s="4"/>
      <c r="CC922" s="4"/>
      <c r="CD922" s="4"/>
      <c r="CE922" s="4"/>
      <c r="CF922" s="4"/>
      <c r="CG922" s="4"/>
      <c r="CH922" s="4"/>
    </row>
    <row r="923" spans="1:86" x14ac:dyDescent="0.25">
      <c r="A923" s="12">
        <f t="shared" si="20"/>
        <v>920</v>
      </c>
      <c r="B923" s="4" t="s">
        <v>2243</v>
      </c>
      <c r="C923" s="4" t="s">
        <v>2244</v>
      </c>
      <c r="D923" s="4" t="s">
        <v>1129</v>
      </c>
      <c r="E923" s="4"/>
      <c r="F923" s="14"/>
      <c r="G923" s="14"/>
      <c r="H923" s="14"/>
      <c r="I923" s="5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  <c r="BM923" s="4"/>
      <c r="BN923" s="4"/>
      <c r="BO923" s="4"/>
      <c r="BP923" s="4"/>
      <c r="BQ923" s="4"/>
      <c r="BR923" s="4"/>
      <c r="BS923" s="4"/>
      <c r="BT923" s="4"/>
      <c r="BU923" s="4"/>
      <c r="BV923" s="4"/>
      <c r="BW923" s="4"/>
      <c r="BX923" s="4"/>
      <c r="BY923" s="4"/>
      <c r="BZ923" s="4"/>
      <c r="CA923" s="4"/>
      <c r="CB923" s="4"/>
      <c r="CC923" s="4"/>
      <c r="CD923" s="4"/>
      <c r="CE923" s="4"/>
      <c r="CF923" s="4"/>
      <c r="CG923" s="4"/>
      <c r="CH923" s="4"/>
    </row>
    <row r="924" spans="1:86" x14ac:dyDescent="0.25">
      <c r="A924" s="12">
        <f t="shared" si="20"/>
        <v>921</v>
      </c>
      <c r="B924" s="4" t="s">
        <v>2245</v>
      </c>
      <c r="C924" s="4" t="s">
        <v>2246</v>
      </c>
      <c r="D924" s="4" t="s">
        <v>1125</v>
      </c>
      <c r="E924" s="4"/>
      <c r="F924" s="14"/>
      <c r="G924" s="14"/>
      <c r="H924" s="14"/>
      <c r="I924" s="5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  <c r="BM924" s="4"/>
      <c r="BN924" s="4"/>
      <c r="BO924" s="4"/>
      <c r="BP924" s="4"/>
      <c r="BQ924" s="4"/>
      <c r="BR924" s="4"/>
      <c r="BS924" s="4"/>
      <c r="BT924" s="4"/>
      <c r="BU924" s="4"/>
      <c r="BV924" s="4"/>
      <c r="BW924" s="4"/>
      <c r="BX924" s="4"/>
      <c r="BY924" s="4"/>
      <c r="BZ924" s="4"/>
      <c r="CA924" s="4"/>
      <c r="CB924" s="4"/>
      <c r="CC924" s="4"/>
      <c r="CD924" s="4"/>
      <c r="CE924" s="4"/>
      <c r="CF924" s="4"/>
      <c r="CG924" s="4"/>
      <c r="CH924" s="4"/>
    </row>
    <row r="925" spans="1:86" x14ac:dyDescent="0.25">
      <c r="A925" s="12">
        <f t="shared" si="20"/>
        <v>922</v>
      </c>
      <c r="B925" s="4" t="s">
        <v>2247</v>
      </c>
      <c r="C925" s="4" t="s">
        <v>2248</v>
      </c>
      <c r="D925" s="4" t="s">
        <v>508</v>
      </c>
      <c r="E925" s="4"/>
      <c r="F925" s="14"/>
      <c r="G925" s="14"/>
      <c r="H925" s="14"/>
      <c r="I925" s="5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  <c r="BM925" s="4"/>
      <c r="BN925" s="4"/>
      <c r="BO925" s="4"/>
      <c r="BP925" s="4"/>
      <c r="BQ925" s="4"/>
      <c r="BR925" s="4"/>
      <c r="BS925" s="4"/>
      <c r="BT925" s="4"/>
      <c r="BU925" s="4"/>
      <c r="BV925" s="4"/>
      <c r="BW925" s="4"/>
      <c r="BX925" s="4"/>
      <c r="BY925" s="4"/>
      <c r="BZ925" s="4"/>
      <c r="CA925" s="4"/>
      <c r="CB925" s="4"/>
      <c r="CC925" s="4"/>
      <c r="CD925" s="4"/>
      <c r="CE925" s="4"/>
      <c r="CF925" s="4"/>
      <c r="CG925" s="4"/>
      <c r="CH925" s="4"/>
    </row>
    <row r="926" spans="1:86" x14ac:dyDescent="0.25">
      <c r="A926" s="12">
        <f t="shared" si="20"/>
        <v>923</v>
      </c>
      <c r="B926" s="4" t="s">
        <v>2249</v>
      </c>
      <c r="C926" s="4" t="s">
        <v>2250</v>
      </c>
      <c r="D926" s="4" t="s">
        <v>1129</v>
      </c>
      <c r="E926" s="4"/>
      <c r="F926" s="14"/>
      <c r="G926" s="14"/>
      <c r="H926" s="14"/>
      <c r="I926" s="5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  <c r="BM926" s="4"/>
      <c r="BN926" s="4"/>
      <c r="BO926" s="4"/>
      <c r="BP926" s="4"/>
      <c r="BQ926" s="4"/>
      <c r="BR926" s="4"/>
      <c r="BS926" s="4"/>
      <c r="BT926" s="4"/>
      <c r="BU926" s="4"/>
      <c r="BV926" s="4"/>
      <c r="BW926" s="4"/>
      <c r="BX926" s="4"/>
      <c r="BY926" s="4"/>
      <c r="BZ926" s="4"/>
      <c r="CA926" s="4"/>
      <c r="CB926" s="4"/>
      <c r="CC926" s="4"/>
      <c r="CD926" s="4"/>
      <c r="CE926" s="4"/>
      <c r="CF926" s="4"/>
      <c r="CG926" s="4"/>
      <c r="CH926" s="4"/>
    </row>
    <row r="927" spans="1:86" x14ac:dyDescent="0.25">
      <c r="A927" s="12">
        <f t="shared" si="20"/>
        <v>924</v>
      </c>
      <c r="B927" s="4" t="s">
        <v>2251</v>
      </c>
      <c r="C927" s="4" t="s">
        <v>2252</v>
      </c>
      <c r="D927" s="4" t="s">
        <v>45</v>
      </c>
      <c r="E927" s="4"/>
      <c r="F927" s="14"/>
      <c r="G927" s="14"/>
      <c r="H927" s="14"/>
      <c r="I927" s="5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  <c r="BM927" s="4"/>
      <c r="BN927" s="4"/>
      <c r="BO927" s="4"/>
      <c r="BP927" s="4"/>
      <c r="BQ927" s="4"/>
      <c r="BR927" s="4"/>
      <c r="BS927" s="4"/>
      <c r="BT927" s="4"/>
      <c r="BU927" s="4"/>
      <c r="BV927" s="4"/>
      <c r="BW927" s="4"/>
      <c r="BX927" s="4"/>
      <c r="BY927" s="4"/>
      <c r="BZ927" s="4"/>
      <c r="CA927" s="4"/>
      <c r="CB927" s="4"/>
      <c r="CC927" s="4"/>
      <c r="CD927" s="4"/>
      <c r="CE927" s="4"/>
      <c r="CF927" s="4"/>
      <c r="CG927" s="4"/>
      <c r="CH927" s="4"/>
    </row>
    <row r="928" spans="1:86" x14ac:dyDescent="0.25">
      <c r="A928" s="12">
        <f t="shared" si="20"/>
        <v>925</v>
      </c>
      <c r="B928" s="4" t="s">
        <v>2253</v>
      </c>
      <c r="C928" s="4" t="s">
        <v>2254</v>
      </c>
      <c r="D928" s="4" t="s">
        <v>84</v>
      </c>
      <c r="E928" s="4"/>
      <c r="F928" s="14"/>
      <c r="G928" s="14"/>
      <c r="H928" s="14"/>
      <c r="I928" s="5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  <c r="BM928" s="4"/>
      <c r="BN928" s="4"/>
      <c r="BO928" s="4"/>
      <c r="BP928" s="4"/>
      <c r="BQ928" s="4"/>
      <c r="BR928" s="4"/>
      <c r="BS928" s="4"/>
      <c r="BT928" s="4"/>
      <c r="BU928" s="4"/>
      <c r="BV928" s="4"/>
      <c r="BW928" s="4"/>
      <c r="BX928" s="4"/>
      <c r="BY928" s="4"/>
      <c r="BZ928" s="4"/>
      <c r="CA928" s="4"/>
      <c r="CB928" s="4"/>
      <c r="CC928" s="4"/>
      <c r="CD928" s="4"/>
      <c r="CE928" s="4"/>
      <c r="CF928" s="4"/>
      <c r="CG928" s="4"/>
      <c r="CH928" s="4"/>
    </row>
    <row r="929" spans="1:86" x14ac:dyDescent="0.25">
      <c r="A929" s="12">
        <f t="shared" si="20"/>
        <v>926</v>
      </c>
      <c r="B929" s="4" t="s">
        <v>2255</v>
      </c>
      <c r="C929" s="4" t="s">
        <v>2256</v>
      </c>
      <c r="D929" s="4" t="s">
        <v>2572</v>
      </c>
      <c r="E929" s="4"/>
      <c r="F929" s="14"/>
      <c r="G929" s="14"/>
      <c r="H929" s="14"/>
      <c r="I929" s="5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  <c r="BM929" s="4"/>
      <c r="BN929" s="4"/>
      <c r="BO929" s="4"/>
      <c r="BP929" s="4"/>
      <c r="BQ929" s="4"/>
      <c r="BR929" s="4"/>
      <c r="BS929" s="4"/>
      <c r="BT929" s="4"/>
      <c r="BU929" s="4"/>
      <c r="BV929" s="4"/>
      <c r="BW929" s="4"/>
      <c r="BX929" s="4"/>
      <c r="BY929" s="4"/>
      <c r="BZ929" s="4"/>
      <c r="CA929" s="4"/>
      <c r="CB929" s="4"/>
      <c r="CC929" s="4"/>
      <c r="CD929" s="4"/>
      <c r="CE929" s="4"/>
      <c r="CF929" s="4"/>
      <c r="CG929" s="4"/>
      <c r="CH929" s="4"/>
    </row>
    <row r="930" spans="1:86" x14ac:dyDescent="0.25">
      <c r="A930" s="12">
        <f t="shared" si="20"/>
        <v>927</v>
      </c>
      <c r="B930" s="4" t="s">
        <v>2257</v>
      </c>
      <c r="C930" s="4" t="s">
        <v>2258</v>
      </c>
      <c r="D930" s="4" t="s">
        <v>508</v>
      </c>
      <c r="E930" s="4"/>
      <c r="F930" s="14"/>
      <c r="G930" s="14"/>
      <c r="H930" s="14"/>
      <c r="I930" s="5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  <c r="BM930" s="4"/>
      <c r="BN930" s="4"/>
      <c r="BO930" s="4"/>
      <c r="BP930" s="4"/>
      <c r="BQ930" s="4"/>
      <c r="BR930" s="4"/>
      <c r="BS930" s="4"/>
      <c r="BT930" s="4"/>
      <c r="BU930" s="4"/>
      <c r="BV930" s="4"/>
      <c r="BW930" s="4"/>
      <c r="BX930" s="4"/>
      <c r="BY930" s="4"/>
      <c r="BZ930" s="4"/>
      <c r="CA930" s="4"/>
      <c r="CB930" s="4"/>
      <c r="CC930" s="4"/>
      <c r="CD930" s="4"/>
      <c r="CE930" s="4"/>
      <c r="CF930" s="4"/>
      <c r="CG930" s="4"/>
      <c r="CH930" s="4"/>
    </row>
    <row r="931" spans="1:86" x14ac:dyDescent="0.25">
      <c r="A931" s="12">
        <f t="shared" si="20"/>
        <v>928</v>
      </c>
      <c r="B931" s="4" t="s">
        <v>2259</v>
      </c>
      <c r="C931" s="4" t="s">
        <v>2260</v>
      </c>
      <c r="D931" s="4" t="s">
        <v>45</v>
      </c>
      <c r="E931" s="4"/>
      <c r="F931" s="14"/>
      <c r="G931" s="14"/>
      <c r="H931" s="14"/>
      <c r="I931" s="5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  <c r="BM931" s="4"/>
      <c r="BN931" s="4"/>
      <c r="BO931" s="4"/>
      <c r="BP931" s="4"/>
      <c r="BQ931" s="4"/>
      <c r="BR931" s="4"/>
      <c r="BS931" s="4"/>
      <c r="BT931" s="4"/>
      <c r="BU931" s="4"/>
      <c r="BV931" s="4"/>
      <c r="BW931" s="4"/>
      <c r="BX931" s="4"/>
      <c r="BY931" s="4"/>
      <c r="BZ931" s="4"/>
      <c r="CA931" s="4"/>
      <c r="CB931" s="4"/>
      <c r="CC931" s="4"/>
      <c r="CD931" s="4"/>
      <c r="CE931" s="4"/>
      <c r="CF931" s="4"/>
      <c r="CG931" s="4"/>
      <c r="CH931" s="4"/>
    </row>
    <row r="932" spans="1:86" x14ac:dyDescent="0.25">
      <c r="A932" s="12">
        <f t="shared" si="20"/>
        <v>929</v>
      </c>
      <c r="B932" s="4" t="s">
        <v>2261</v>
      </c>
      <c r="C932" s="4" t="s">
        <v>2262</v>
      </c>
      <c r="D932" s="4" t="s">
        <v>84</v>
      </c>
      <c r="E932" s="4"/>
      <c r="F932" s="14"/>
      <c r="G932" s="14"/>
      <c r="H932" s="14"/>
      <c r="I932" s="5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  <c r="BM932" s="4"/>
      <c r="BN932" s="4"/>
      <c r="BO932" s="4"/>
      <c r="BP932" s="4"/>
      <c r="BQ932" s="4"/>
      <c r="BR932" s="4"/>
      <c r="BS932" s="4"/>
      <c r="BT932" s="4"/>
      <c r="BU932" s="4"/>
      <c r="BV932" s="4"/>
      <c r="BW932" s="4"/>
      <c r="BX932" s="4"/>
      <c r="BY932" s="4"/>
      <c r="BZ932" s="4"/>
      <c r="CA932" s="4"/>
      <c r="CB932" s="4"/>
      <c r="CC932" s="4"/>
      <c r="CD932" s="4"/>
      <c r="CE932" s="4"/>
      <c r="CF932" s="4"/>
      <c r="CG932" s="4"/>
      <c r="CH932" s="4"/>
    </row>
    <row r="933" spans="1:86" x14ac:dyDescent="0.25">
      <c r="A933" s="12">
        <f t="shared" si="20"/>
        <v>930</v>
      </c>
      <c r="B933" s="4" t="s">
        <v>2263</v>
      </c>
      <c r="C933" s="4" t="s">
        <v>2264</v>
      </c>
      <c r="D933" s="4" t="s">
        <v>128</v>
      </c>
      <c r="E933" s="4"/>
      <c r="F933" s="14"/>
      <c r="G933" s="14"/>
      <c r="H933" s="14"/>
      <c r="I933" s="5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  <c r="BM933" s="4"/>
      <c r="BN933" s="4"/>
      <c r="BO933" s="4"/>
      <c r="BP933" s="4"/>
      <c r="BQ933" s="4"/>
      <c r="BR933" s="4"/>
      <c r="BS933" s="4"/>
      <c r="BT933" s="4"/>
      <c r="BU933" s="4"/>
      <c r="BV933" s="4"/>
      <c r="BW933" s="4"/>
      <c r="BX933" s="4"/>
      <c r="BY933" s="4"/>
      <c r="BZ933" s="4"/>
      <c r="CA933" s="4"/>
      <c r="CB933" s="4"/>
      <c r="CC933" s="4"/>
      <c r="CD933" s="4"/>
      <c r="CE933" s="4"/>
      <c r="CF933" s="4"/>
      <c r="CG933" s="4"/>
      <c r="CH933" s="4"/>
    </row>
    <row r="934" spans="1:86" x14ac:dyDescent="0.25">
      <c r="A934" s="12">
        <f t="shared" si="20"/>
        <v>931</v>
      </c>
      <c r="B934" s="4" t="s">
        <v>2265</v>
      </c>
      <c r="C934" s="4" t="s">
        <v>2266</v>
      </c>
      <c r="D934" s="4" t="s">
        <v>2574</v>
      </c>
      <c r="E934" s="4"/>
      <c r="F934" s="14"/>
      <c r="G934" s="14"/>
      <c r="H934" s="14"/>
      <c r="I934" s="5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  <c r="BM934" s="4"/>
      <c r="BN934" s="4"/>
      <c r="BO934" s="4"/>
      <c r="BP934" s="4"/>
      <c r="BQ934" s="4"/>
      <c r="BR934" s="4"/>
      <c r="BS934" s="4"/>
      <c r="BT934" s="4"/>
      <c r="BU934" s="4"/>
      <c r="BV934" s="4"/>
      <c r="BW934" s="4"/>
      <c r="BX934" s="4"/>
      <c r="BY934" s="4"/>
      <c r="BZ934" s="4"/>
      <c r="CA934" s="4"/>
      <c r="CB934" s="4"/>
      <c r="CC934" s="4"/>
      <c r="CD934" s="4"/>
      <c r="CE934" s="4"/>
      <c r="CF934" s="4"/>
      <c r="CG934" s="4"/>
      <c r="CH934" s="4"/>
    </row>
    <row r="935" spans="1:86" x14ac:dyDescent="0.25">
      <c r="A935" s="12">
        <f t="shared" si="20"/>
        <v>932</v>
      </c>
      <c r="B935" s="4" t="s">
        <v>2267</v>
      </c>
      <c r="C935" s="4" t="s">
        <v>2268</v>
      </c>
      <c r="D935" s="4" t="s">
        <v>45</v>
      </c>
      <c r="E935" s="4"/>
      <c r="F935" s="14"/>
      <c r="G935" s="14"/>
      <c r="H935" s="14"/>
      <c r="I935" s="5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  <c r="BM935" s="4"/>
      <c r="BN935" s="4"/>
      <c r="BO935" s="4"/>
      <c r="BP935" s="4"/>
      <c r="BQ935" s="4"/>
      <c r="BR935" s="4"/>
      <c r="BS935" s="4"/>
      <c r="BT935" s="4"/>
      <c r="BU935" s="4"/>
      <c r="BV935" s="4"/>
      <c r="BW935" s="4"/>
      <c r="BX935" s="4"/>
      <c r="BY935" s="4"/>
      <c r="BZ935" s="4"/>
      <c r="CA935" s="4"/>
      <c r="CB935" s="4"/>
      <c r="CC935" s="4"/>
      <c r="CD935" s="4"/>
      <c r="CE935" s="4"/>
      <c r="CF935" s="4"/>
      <c r="CG935" s="4"/>
      <c r="CH935" s="4"/>
    </row>
    <row r="936" spans="1:86" x14ac:dyDescent="0.25">
      <c r="A936" s="12">
        <f t="shared" si="20"/>
        <v>933</v>
      </c>
      <c r="B936" s="4" t="s">
        <v>2269</v>
      </c>
      <c r="C936" s="4" t="s">
        <v>2270</v>
      </c>
      <c r="D936" s="4" t="s">
        <v>45</v>
      </c>
      <c r="E936" s="4"/>
      <c r="F936" s="14"/>
      <c r="G936" s="14"/>
      <c r="H936" s="14"/>
      <c r="I936" s="5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  <c r="BM936" s="4"/>
      <c r="BN936" s="4"/>
      <c r="BO936" s="4"/>
      <c r="BP936" s="4"/>
      <c r="BQ936" s="4"/>
      <c r="BR936" s="4"/>
      <c r="BS936" s="4"/>
      <c r="BT936" s="4"/>
      <c r="BU936" s="4"/>
      <c r="BV936" s="4"/>
      <c r="BW936" s="4"/>
      <c r="BX936" s="4"/>
      <c r="BY936" s="4"/>
      <c r="BZ936" s="4"/>
      <c r="CA936" s="4"/>
      <c r="CB936" s="4"/>
      <c r="CC936" s="4"/>
      <c r="CD936" s="4"/>
      <c r="CE936" s="4"/>
      <c r="CF936" s="4"/>
      <c r="CG936" s="4"/>
      <c r="CH936" s="4"/>
    </row>
    <row r="937" spans="1:86" x14ac:dyDescent="0.25">
      <c r="A937" s="12">
        <f t="shared" si="20"/>
        <v>934</v>
      </c>
      <c r="B937" s="4" t="s">
        <v>1073</v>
      </c>
      <c r="C937" s="4" t="s">
        <v>1074</v>
      </c>
      <c r="D937" s="4" t="s">
        <v>45</v>
      </c>
      <c r="E937" s="4"/>
      <c r="F937" s="14"/>
      <c r="G937" s="14"/>
      <c r="H937" s="14"/>
      <c r="I937" s="5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  <c r="BM937" s="4"/>
      <c r="BN937" s="4"/>
      <c r="BO937" s="4"/>
      <c r="BP937" s="4"/>
      <c r="BQ937" s="4"/>
      <c r="BR937" s="4"/>
      <c r="BS937" s="4"/>
      <c r="BT937" s="4"/>
      <c r="BU937" s="4"/>
      <c r="BV937" s="4"/>
      <c r="BW937" s="4"/>
      <c r="BX937" s="4"/>
      <c r="BY937" s="4"/>
      <c r="BZ937" s="4"/>
      <c r="CA937" s="4"/>
      <c r="CB937" s="4"/>
      <c r="CC937" s="4"/>
      <c r="CD937" s="4"/>
      <c r="CE937" s="4"/>
      <c r="CF937" s="4"/>
      <c r="CG937" s="4"/>
      <c r="CH937" s="4"/>
    </row>
    <row r="938" spans="1:86" x14ac:dyDescent="0.25">
      <c r="A938" s="12">
        <f t="shared" si="20"/>
        <v>935</v>
      </c>
      <c r="B938" s="4" t="s">
        <v>2271</v>
      </c>
      <c r="C938" s="4" t="s">
        <v>2272</v>
      </c>
      <c r="D938" s="4" t="s">
        <v>45</v>
      </c>
      <c r="E938" s="4"/>
      <c r="F938" s="14"/>
      <c r="G938" s="14"/>
      <c r="H938" s="14"/>
      <c r="I938" s="5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  <c r="BP938" s="4"/>
      <c r="BQ938" s="4"/>
      <c r="BR938" s="4"/>
      <c r="BS938" s="4"/>
      <c r="BT938" s="4"/>
      <c r="BU938" s="4"/>
      <c r="BV938" s="4"/>
      <c r="BW938" s="4"/>
      <c r="BX938" s="4"/>
      <c r="BY938" s="4"/>
      <c r="BZ938" s="4"/>
      <c r="CA938" s="4"/>
      <c r="CB938" s="4"/>
      <c r="CC938" s="4"/>
      <c r="CD938" s="4"/>
      <c r="CE938" s="4"/>
      <c r="CF938" s="4"/>
      <c r="CG938" s="4"/>
      <c r="CH938" s="4"/>
    </row>
    <row r="939" spans="1:86" x14ac:dyDescent="0.25">
      <c r="A939" s="12">
        <f t="shared" si="20"/>
        <v>936</v>
      </c>
      <c r="B939" s="4" t="s">
        <v>2273</v>
      </c>
      <c r="C939" s="4" t="s">
        <v>2274</v>
      </c>
      <c r="D939" s="4" t="s">
        <v>768</v>
      </c>
      <c r="E939" s="4"/>
      <c r="F939" s="14"/>
      <c r="G939" s="14"/>
      <c r="H939" s="14"/>
      <c r="I939" s="5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  <c r="BM939" s="4"/>
      <c r="BN939" s="4"/>
      <c r="BO939" s="4"/>
      <c r="BP939" s="4"/>
      <c r="BQ939" s="4"/>
      <c r="BR939" s="4"/>
      <c r="BS939" s="4"/>
      <c r="BT939" s="4"/>
      <c r="BU939" s="4"/>
      <c r="BV939" s="4"/>
      <c r="BW939" s="4"/>
      <c r="BX939" s="4"/>
      <c r="BY939" s="4"/>
      <c r="BZ939" s="4"/>
      <c r="CA939" s="4"/>
      <c r="CB939" s="4"/>
      <c r="CC939" s="4"/>
      <c r="CD939" s="4"/>
      <c r="CE939" s="4"/>
      <c r="CF939" s="4"/>
      <c r="CG939" s="4"/>
      <c r="CH939" s="4"/>
    </row>
    <row r="940" spans="1:86" x14ac:dyDescent="0.25">
      <c r="A940" s="12">
        <f t="shared" si="20"/>
        <v>937</v>
      </c>
      <c r="B940" s="4" t="s">
        <v>2275</v>
      </c>
      <c r="C940" s="4" t="s">
        <v>2276</v>
      </c>
      <c r="D940" s="4" t="s">
        <v>45</v>
      </c>
      <c r="E940" s="4"/>
      <c r="F940" s="14"/>
      <c r="G940" s="14"/>
      <c r="H940" s="14"/>
      <c r="I940" s="5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  <c r="BM940" s="4"/>
      <c r="BN940" s="4"/>
      <c r="BO940" s="4"/>
      <c r="BP940" s="4"/>
      <c r="BQ940" s="4"/>
      <c r="BR940" s="4"/>
      <c r="BS940" s="4"/>
      <c r="BT940" s="4"/>
      <c r="BU940" s="4"/>
      <c r="BV940" s="4"/>
      <c r="BW940" s="4"/>
      <c r="BX940" s="4"/>
      <c r="BY940" s="4"/>
      <c r="BZ940" s="4"/>
      <c r="CA940" s="4"/>
      <c r="CB940" s="4"/>
      <c r="CC940" s="4"/>
      <c r="CD940" s="4"/>
      <c r="CE940" s="4"/>
      <c r="CF940" s="4"/>
      <c r="CG940" s="4"/>
      <c r="CH940" s="4"/>
    </row>
    <row r="941" spans="1:86" x14ac:dyDescent="0.25">
      <c r="A941" s="12">
        <f t="shared" si="20"/>
        <v>938</v>
      </c>
      <c r="B941" s="4" t="s">
        <v>2277</v>
      </c>
      <c r="C941" s="4" t="s">
        <v>2278</v>
      </c>
      <c r="D941" s="4" t="s">
        <v>45</v>
      </c>
      <c r="E941" s="4"/>
      <c r="F941" s="14"/>
      <c r="G941" s="14"/>
      <c r="H941" s="14"/>
      <c r="I941" s="5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  <c r="BM941" s="4"/>
      <c r="BN941" s="4"/>
      <c r="BO941" s="4"/>
      <c r="BP941" s="4"/>
      <c r="BQ941" s="4"/>
      <c r="BR941" s="4"/>
      <c r="BS941" s="4"/>
      <c r="BT941" s="4"/>
      <c r="BU941" s="4"/>
      <c r="BV941" s="4"/>
      <c r="BW941" s="4"/>
      <c r="BX941" s="4"/>
      <c r="BY941" s="4"/>
      <c r="BZ941" s="4"/>
      <c r="CA941" s="4"/>
      <c r="CB941" s="4"/>
      <c r="CC941" s="4"/>
      <c r="CD941" s="4"/>
      <c r="CE941" s="4"/>
      <c r="CF941" s="4"/>
      <c r="CG941" s="4"/>
      <c r="CH941" s="4"/>
    </row>
    <row r="942" spans="1:86" x14ac:dyDescent="0.25">
      <c r="A942" s="12">
        <f t="shared" si="20"/>
        <v>939</v>
      </c>
      <c r="B942" s="4" t="s">
        <v>2279</v>
      </c>
      <c r="C942" s="4" t="s">
        <v>2280</v>
      </c>
      <c r="D942" s="4" t="s">
        <v>1130</v>
      </c>
      <c r="E942" s="4"/>
      <c r="F942" s="14"/>
      <c r="G942" s="14"/>
      <c r="H942" s="14"/>
      <c r="I942" s="5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  <c r="BM942" s="4"/>
      <c r="BN942" s="4"/>
      <c r="BO942" s="4"/>
      <c r="BP942" s="4"/>
      <c r="BQ942" s="4"/>
      <c r="BR942" s="4"/>
      <c r="BS942" s="4"/>
      <c r="BT942" s="4"/>
      <c r="BU942" s="4"/>
      <c r="BV942" s="4"/>
      <c r="BW942" s="4"/>
      <c r="BX942" s="4"/>
      <c r="BY942" s="4"/>
      <c r="BZ942" s="4"/>
      <c r="CA942" s="4"/>
      <c r="CB942" s="4"/>
      <c r="CC942" s="4"/>
      <c r="CD942" s="4"/>
      <c r="CE942" s="4"/>
      <c r="CF942" s="4"/>
      <c r="CG942" s="4"/>
      <c r="CH942" s="4"/>
    </row>
    <row r="943" spans="1:86" x14ac:dyDescent="0.25">
      <c r="A943" s="12">
        <f t="shared" si="20"/>
        <v>940</v>
      </c>
      <c r="B943" s="4" t="s">
        <v>2281</v>
      </c>
      <c r="C943" s="4" t="s">
        <v>2282</v>
      </c>
      <c r="D943" s="4" t="s">
        <v>45</v>
      </c>
      <c r="E943" s="4"/>
      <c r="F943" s="14"/>
      <c r="G943" s="14"/>
      <c r="H943" s="14"/>
      <c r="I943" s="5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  <c r="BM943" s="4"/>
      <c r="BN943" s="4"/>
      <c r="BO943" s="4"/>
      <c r="BP943" s="4"/>
      <c r="BQ943" s="4"/>
      <c r="BR943" s="4"/>
      <c r="BS943" s="4"/>
      <c r="BT943" s="4"/>
      <c r="BU943" s="4"/>
      <c r="BV943" s="4"/>
      <c r="BW943" s="4"/>
      <c r="BX943" s="4"/>
      <c r="BY943" s="4"/>
      <c r="BZ943" s="4"/>
      <c r="CA943" s="4"/>
      <c r="CB943" s="4"/>
      <c r="CC943" s="4"/>
      <c r="CD943" s="4"/>
      <c r="CE943" s="4"/>
      <c r="CF943" s="4"/>
      <c r="CG943" s="4"/>
      <c r="CH943" s="4"/>
    </row>
    <row r="944" spans="1:86" x14ac:dyDescent="0.25">
      <c r="A944" s="12">
        <f t="shared" si="20"/>
        <v>941</v>
      </c>
      <c r="B944" s="4" t="s">
        <v>2283</v>
      </c>
      <c r="C944" s="4" t="s">
        <v>2284</v>
      </c>
      <c r="D944" s="4" t="s">
        <v>45</v>
      </c>
      <c r="E944" s="4"/>
      <c r="F944" s="14"/>
      <c r="G944" s="14"/>
      <c r="H944" s="14"/>
      <c r="I944" s="5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  <c r="BM944" s="4"/>
      <c r="BN944" s="4"/>
      <c r="BO944" s="4"/>
      <c r="BP944" s="4"/>
      <c r="BQ944" s="4"/>
      <c r="BR944" s="4"/>
      <c r="BS944" s="4"/>
      <c r="BT944" s="4"/>
      <c r="BU944" s="4"/>
      <c r="BV944" s="4"/>
      <c r="BW944" s="4"/>
      <c r="BX944" s="4"/>
      <c r="BY944" s="4"/>
      <c r="BZ944" s="4"/>
      <c r="CA944" s="4"/>
      <c r="CB944" s="4"/>
      <c r="CC944" s="4"/>
      <c r="CD944" s="4"/>
      <c r="CE944" s="4"/>
      <c r="CF944" s="4"/>
      <c r="CG944" s="4"/>
      <c r="CH944" s="4"/>
    </row>
    <row r="945" spans="1:86" x14ac:dyDescent="0.25">
      <c r="A945" s="12">
        <f t="shared" si="20"/>
        <v>942</v>
      </c>
      <c r="B945" s="4" t="s">
        <v>2285</v>
      </c>
      <c r="C945" s="4" t="s">
        <v>2286</v>
      </c>
      <c r="D945" s="4" t="s">
        <v>508</v>
      </c>
      <c r="E945" s="4"/>
      <c r="F945" s="14"/>
      <c r="G945" s="14"/>
      <c r="H945" s="14"/>
      <c r="I945" s="5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  <c r="BM945" s="4"/>
      <c r="BN945" s="4"/>
      <c r="BO945" s="4"/>
      <c r="BP945" s="4"/>
      <c r="BQ945" s="4"/>
      <c r="BR945" s="4"/>
      <c r="BS945" s="4"/>
      <c r="BT945" s="4"/>
      <c r="BU945" s="4"/>
      <c r="BV945" s="4"/>
      <c r="BW945" s="4"/>
      <c r="BX945" s="4"/>
      <c r="BY945" s="4"/>
      <c r="BZ945" s="4"/>
      <c r="CA945" s="4"/>
      <c r="CB945" s="4"/>
      <c r="CC945" s="4"/>
      <c r="CD945" s="4"/>
      <c r="CE945" s="4"/>
      <c r="CF945" s="4"/>
      <c r="CG945" s="4"/>
      <c r="CH945" s="4"/>
    </row>
    <row r="946" spans="1:86" x14ac:dyDescent="0.25">
      <c r="A946" s="12">
        <f t="shared" si="20"/>
        <v>943</v>
      </c>
      <c r="B946" s="4" t="s">
        <v>2287</v>
      </c>
      <c r="C946" s="4" t="s">
        <v>2288</v>
      </c>
      <c r="D946" s="4" t="s">
        <v>1124</v>
      </c>
      <c r="E946" s="4"/>
      <c r="F946" s="14"/>
      <c r="G946" s="14"/>
      <c r="H946" s="14"/>
      <c r="I946" s="5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  <c r="BP946" s="4"/>
      <c r="BQ946" s="4"/>
      <c r="BR946" s="4"/>
      <c r="BS946" s="4"/>
      <c r="BT946" s="4"/>
      <c r="BU946" s="4"/>
      <c r="BV946" s="4"/>
      <c r="BW946" s="4"/>
      <c r="BX946" s="4"/>
      <c r="BY946" s="4"/>
      <c r="BZ946" s="4"/>
      <c r="CA946" s="4"/>
      <c r="CB946" s="4"/>
      <c r="CC946" s="4"/>
      <c r="CD946" s="4"/>
      <c r="CE946" s="4"/>
      <c r="CF946" s="4"/>
      <c r="CG946" s="4"/>
      <c r="CH946" s="4"/>
    </row>
    <row r="947" spans="1:86" x14ac:dyDescent="0.25">
      <c r="A947" s="12">
        <f t="shared" si="20"/>
        <v>944</v>
      </c>
      <c r="B947" s="4" t="s">
        <v>2289</v>
      </c>
      <c r="C947" s="4" t="s">
        <v>2290</v>
      </c>
      <c r="D947" s="4" t="s">
        <v>1130</v>
      </c>
      <c r="E947" s="4"/>
      <c r="F947" s="14"/>
      <c r="G947" s="14"/>
      <c r="H947" s="14"/>
      <c r="I947" s="5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  <c r="BM947" s="4"/>
      <c r="BN947" s="4"/>
      <c r="BO947" s="4"/>
      <c r="BP947" s="4"/>
      <c r="BQ947" s="4"/>
      <c r="BR947" s="4"/>
      <c r="BS947" s="4"/>
      <c r="BT947" s="4"/>
      <c r="BU947" s="4"/>
      <c r="BV947" s="4"/>
      <c r="BW947" s="4"/>
      <c r="BX947" s="4"/>
      <c r="BY947" s="4"/>
      <c r="BZ947" s="4"/>
      <c r="CA947" s="4"/>
      <c r="CB947" s="4"/>
      <c r="CC947" s="4"/>
      <c r="CD947" s="4"/>
      <c r="CE947" s="4"/>
      <c r="CF947" s="4"/>
      <c r="CG947" s="4"/>
      <c r="CH947" s="4"/>
    </row>
    <row r="948" spans="1:86" x14ac:dyDescent="0.25">
      <c r="A948" s="12">
        <f t="shared" si="20"/>
        <v>945</v>
      </c>
      <c r="B948" s="4" t="s">
        <v>2291</v>
      </c>
      <c r="C948" s="4" t="s">
        <v>2292</v>
      </c>
      <c r="D948" s="4" t="s">
        <v>45</v>
      </c>
      <c r="E948" s="4"/>
      <c r="F948" s="14"/>
      <c r="G948" s="14"/>
      <c r="H948" s="14"/>
      <c r="I948" s="5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  <c r="BM948" s="4"/>
      <c r="BN948" s="4"/>
      <c r="BO948" s="4"/>
      <c r="BP948" s="4"/>
      <c r="BQ948" s="4"/>
      <c r="BR948" s="4"/>
      <c r="BS948" s="4"/>
      <c r="BT948" s="4"/>
      <c r="BU948" s="4"/>
      <c r="BV948" s="4"/>
      <c r="BW948" s="4"/>
      <c r="BX948" s="4"/>
      <c r="BY948" s="4"/>
      <c r="BZ948" s="4"/>
      <c r="CA948" s="4"/>
      <c r="CB948" s="4"/>
      <c r="CC948" s="4"/>
      <c r="CD948" s="4"/>
      <c r="CE948" s="4"/>
      <c r="CF948" s="4"/>
      <c r="CG948" s="4"/>
      <c r="CH948" s="4"/>
    </row>
    <row r="949" spans="1:86" x14ac:dyDescent="0.25">
      <c r="A949" s="12">
        <f t="shared" si="20"/>
        <v>946</v>
      </c>
      <c r="B949" s="4" t="s">
        <v>2293</v>
      </c>
      <c r="C949" s="4" t="s">
        <v>2294</v>
      </c>
      <c r="D949" s="4" t="s">
        <v>1129</v>
      </c>
      <c r="E949" s="4"/>
      <c r="F949" s="14"/>
      <c r="G949" s="14"/>
      <c r="H949" s="14"/>
      <c r="I949" s="5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  <c r="BM949" s="4"/>
      <c r="BN949" s="4"/>
      <c r="BO949" s="4"/>
      <c r="BP949" s="4"/>
      <c r="BQ949" s="4"/>
      <c r="BR949" s="4"/>
      <c r="BS949" s="4"/>
      <c r="BT949" s="4"/>
      <c r="BU949" s="4"/>
      <c r="BV949" s="4"/>
      <c r="BW949" s="4"/>
      <c r="BX949" s="4"/>
      <c r="BY949" s="4"/>
      <c r="BZ949" s="4"/>
      <c r="CA949" s="4"/>
      <c r="CB949" s="4"/>
      <c r="CC949" s="4"/>
      <c r="CD949" s="4"/>
      <c r="CE949" s="4"/>
      <c r="CF949" s="4"/>
      <c r="CG949" s="4"/>
      <c r="CH949" s="4"/>
    </row>
    <row r="950" spans="1:86" x14ac:dyDescent="0.25">
      <c r="A950" s="12">
        <f t="shared" si="20"/>
        <v>947</v>
      </c>
      <c r="B950" s="4" t="s">
        <v>2295</v>
      </c>
      <c r="C950" s="4" t="s">
        <v>2296</v>
      </c>
      <c r="D950" s="4" t="s">
        <v>1130</v>
      </c>
      <c r="E950" s="4"/>
      <c r="F950" s="14"/>
      <c r="G950" s="14"/>
      <c r="H950" s="14"/>
      <c r="I950" s="5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  <c r="BP950" s="4"/>
      <c r="BQ950" s="4"/>
      <c r="BR950" s="4"/>
      <c r="BS950" s="4"/>
      <c r="BT950" s="4"/>
      <c r="BU950" s="4"/>
      <c r="BV950" s="4"/>
      <c r="BW950" s="4"/>
      <c r="BX950" s="4"/>
      <c r="BY950" s="4"/>
      <c r="BZ950" s="4"/>
      <c r="CA950" s="4"/>
      <c r="CB950" s="4"/>
      <c r="CC950" s="4"/>
      <c r="CD950" s="4"/>
      <c r="CE950" s="4"/>
      <c r="CF950" s="4"/>
      <c r="CG950" s="4"/>
      <c r="CH950" s="4"/>
    </row>
    <row r="951" spans="1:86" x14ac:dyDescent="0.25">
      <c r="A951" s="12">
        <f t="shared" si="20"/>
        <v>948</v>
      </c>
      <c r="B951" s="4" t="s">
        <v>2297</v>
      </c>
      <c r="C951" s="4" t="s">
        <v>2298</v>
      </c>
      <c r="D951" s="4" t="s">
        <v>45</v>
      </c>
      <c r="E951" s="4"/>
      <c r="F951" s="14"/>
      <c r="G951" s="14"/>
      <c r="H951" s="14"/>
      <c r="I951" s="5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  <c r="BP951" s="4"/>
      <c r="BQ951" s="4"/>
      <c r="BR951" s="4"/>
      <c r="BS951" s="4"/>
      <c r="BT951" s="4"/>
      <c r="BU951" s="4"/>
      <c r="BV951" s="4"/>
      <c r="BW951" s="4"/>
      <c r="BX951" s="4"/>
      <c r="BY951" s="4"/>
      <c r="BZ951" s="4"/>
      <c r="CA951" s="4"/>
      <c r="CB951" s="4"/>
      <c r="CC951" s="4"/>
      <c r="CD951" s="4"/>
      <c r="CE951" s="4"/>
      <c r="CF951" s="4"/>
      <c r="CG951" s="4"/>
      <c r="CH951" s="4"/>
    </row>
    <row r="952" spans="1:86" x14ac:dyDescent="0.25">
      <c r="A952" s="12">
        <f t="shared" si="20"/>
        <v>949</v>
      </c>
      <c r="B952" s="4" t="s">
        <v>1077</v>
      </c>
      <c r="C952" s="4" t="s">
        <v>1078</v>
      </c>
      <c r="D952" s="4" t="s">
        <v>45</v>
      </c>
      <c r="E952" s="4"/>
      <c r="F952" s="14"/>
      <c r="G952" s="14"/>
      <c r="H952" s="14"/>
      <c r="I952" s="5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  <c r="BM952" s="4"/>
      <c r="BN952" s="4"/>
      <c r="BO952" s="4"/>
      <c r="BP952" s="4"/>
      <c r="BQ952" s="4"/>
      <c r="BR952" s="4"/>
      <c r="BS952" s="4"/>
      <c r="BT952" s="4"/>
      <c r="BU952" s="4"/>
      <c r="BV952" s="4"/>
      <c r="BW952" s="4"/>
      <c r="BX952" s="4"/>
      <c r="BY952" s="4"/>
      <c r="BZ952" s="4"/>
      <c r="CA952" s="4"/>
      <c r="CB952" s="4"/>
      <c r="CC952" s="4"/>
      <c r="CD952" s="4"/>
      <c r="CE952" s="4"/>
      <c r="CF952" s="4"/>
      <c r="CG952" s="4"/>
      <c r="CH952" s="4"/>
    </row>
    <row r="953" spans="1:86" x14ac:dyDescent="0.25">
      <c r="A953" s="12">
        <f t="shared" si="20"/>
        <v>950</v>
      </c>
      <c r="B953" s="4" t="s">
        <v>2299</v>
      </c>
      <c r="C953" s="4" t="s">
        <v>2300</v>
      </c>
      <c r="D953" s="4" t="s">
        <v>45</v>
      </c>
      <c r="E953" s="4"/>
      <c r="F953" s="14"/>
      <c r="G953" s="14"/>
      <c r="H953" s="14"/>
      <c r="I953" s="5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  <c r="BK953" s="4"/>
      <c r="BL953" s="4"/>
      <c r="BM953" s="4"/>
      <c r="BN953" s="4"/>
      <c r="BO953" s="4"/>
      <c r="BP953" s="4"/>
      <c r="BQ953" s="4"/>
      <c r="BR953" s="4"/>
      <c r="BS953" s="4"/>
      <c r="BT953" s="4"/>
      <c r="BU953" s="4"/>
      <c r="BV953" s="4"/>
      <c r="BW953" s="4"/>
      <c r="BX953" s="4"/>
      <c r="BY953" s="4"/>
      <c r="BZ953" s="4"/>
      <c r="CA953" s="4"/>
      <c r="CB953" s="4"/>
      <c r="CC953" s="4"/>
      <c r="CD953" s="4"/>
      <c r="CE953" s="4"/>
      <c r="CF953" s="4"/>
      <c r="CG953" s="4"/>
      <c r="CH953" s="4"/>
    </row>
    <row r="954" spans="1:86" x14ac:dyDescent="0.25">
      <c r="A954" s="12">
        <f t="shared" si="20"/>
        <v>951</v>
      </c>
      <c r="B954" s="4" t="s">
        <v>2301</v>
      </c>
      <c r="C954" s="4" t="s">
        <v>2302</v>
      </c>
      <c r="D954" s="4" t="s">
        <v>87</v>
      </c>
      <c r="E954" s="4"/>
      <c r="F954" s="14"/>
      <c r="G954" s="14"/>
      <c r="H954" s="14"/>
      <c r="I954" s="5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  <c r="BK954" s="4"/>
      <c r="BL954" s="4"/>
      <c r="BM954" s="4"/>
      <c r="BN954" s="4"/>
      <c r="BO954" s="4"/>
      <c r="BP954" s="4"/>
      <c r="BQ954" s="4"/>
      <c r="BR954" s="4"/>
      <c r="BS954" s="4"/>
      <c r="BT954" s="4"/>
      <c r="BU954" s="4"/>
      <c r="BV954" s="4"/>
      <c r="BW954" s="4"/>
      <c r="BX954" s="4"/>
      <c r="BY954" s="4"/>
      <c r="BZ954" s="4"/>
      <c r="CA954" s="4"/>
      <c r="CB954" s="4"/>
      <c r="CC954" s="4"/>
      <c r="CD954" s="4"/>
      <c r="CE954" s="4"/>
      <c r="CF954" s="4"/>
      <c r="CG954" s="4"/>
      <c r="CH954" s="4"/>
    </row>
    <row r="955" spans="1:86" x14ac:dyDescent="0.25">
      <c r="A955" s="12">
        <f t="shared" si="20"/>
        <v>952</v>
      </c>
      <c r="B955" s="4" t="s">
        <v>2303</v>
      </c>
      <c r="C955" s="4" t="s">
        <v>2304</v>
      </c>
      <c r="D955" s="4" t="s">
        <v>768</v>
      </c>
      <c r="E955" s="4"/>
      <c r="F955" s="14"/>
      <c r="G955" s="14"/>
      <c r="H955" s="14"/>
      <c r="I955" s="5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  <c r="BK955" s="4"/>
      <c r="BL955" s="4"/>
      <c r="BM955" s="4"/>
      <c r="BN955" s="4"/>
      <c r="BO955" s="4"/>
      <c r="BP955" s="4"/>
      <c r="BQ955" s="4"/>
      <c r="BR955" s="4"/>
      <c r="BS955" s="4"/>
      <c r="BT955" s="4"/>
      <c r="BU955" s="4"/>
      <c r="BV955" s="4"/>
      <c r="BW955" s="4"/>
      <c r="BX955" s="4"/>
      <c r="BY955" s="4"/>
      <c r="BZ955" s="4"/>
      <c r="CA955" s="4"/>
      <c r="CB955" s="4"/>
      <c r="CC955" s="4"/>
      <c r="CD955" s="4"/>
      <c r="CE955" s="4"/>
      <c r="CF955" s="4"/>
      <c r="CG955" s="4"/>
      <c r="CH955" s="4"/>
    </row>
    <row r="956" spans="1:86" x14ac:dyDescent="0.25">
      <c r="A956" s="12">
        <f t="shared" si="20"/>
        <v>953</v>
      </c>
      <c r="B956" s="4" t="s">
        <v>2305</v>
      </c>
      <c r="C956" s="4" t="s">
        <v>2306</v>
      </c>
      <c r="D956" s="4" t="s">
        <v>45</v>
      </c>
      <c r="E956" s="4"/>
      <c r="F956" s="14"/>
      <c r="G956" s="14"/>
      <c r="H956" s="14"/>
      <c r="I956" s="5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  <c r="BK956" s="4"/>
      <c r="BL956" s="4"/>
      <c r="BM956" s="4"/>
      <c r="BN956" s="4"/>
      <c r="BO956" s="4"/>
      <c r="BP956" s="4"/>
      <c r="BQ956" s="4"/>
      <c r="BR956" s="4"/>
      <c r="BS956" s="4"/>
      <c r="BT956" s="4"/>
      <c r="BU956" s="4"/>
      <c r="BV956" s="4"/>
      <c r="BW956" s="4"/>
      <c r="BX956" s="4"/>
      <c r="BY956" s="4"/>
      <c r="BZ956" s="4"/>
      <c r="CA956" s="4"/>
      <c r="CB956" s="4"/>
      <c r="CC956" s="4"/>
      <c r="CD956" s="4"/>
      <c r="CE956" s="4"/>
      <c r="CF956" s="4"/>
      <c r="CG956" s="4"/>
      <c r="CH956" s="4"/>
    </row>
    <row r="957" spans="1:86" x14ac:dyDescent="0.25">
      <c r="A957" s="12">
        <f t="shared" si="20"/>
        <v>954</v>
      </c>
      <c r="B957" s="4" t="s">
        <v>2307</v>
      </c>
      <c r="C957" s="4" t="s">
        <v>2308</v>
      </c>
      <c r="D957" s="4" t="s">
        <v>45</v>
      </c>
      <c r="E957" s="4"/>
      <c r="F957" s="14"/>
      <c r="G957" s="14"/>
      <c r="H957" s="14"/>
      <c r="I957" s="5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  <c r="BP957" s="4"/>
      <c r="BQ957" s="4"/>
      <c r="BR957" s="4"/>
      <c r="BS957" s="4"/>
      <c r="BT957" s="4"/>
      <c r="BU957" s="4"/>
      <c r="BV957" s="4"/>
      <c r="BW957" s="4"/>
      <c r="BX957" s="4"/>
      <c r="BY957" s="4"/>
      <c r="BZ957" s="4"/>
      <c r="CA957" s="4"/>
      <c r="CB957" s="4"/>
      <c r="CC957" s="4"/>
      <c r="CD957" s="4"/>
      <c r="CE957" s="4"/>
      <c r="CF957" s="4"/>
      <c r="CG957" s="4"/>
      <c r="CH957" s="4"/>
    </row>
    <row r="958" spans="1:86" x14ac:dyDescent="0.25">
      <c r="A958" s="12">
        <f t="shared" si="20"/>
        <v>955</v>
      </c>
      <c r="B958" s="4" t="s">
        <v>2309</v>
      </c>
      <c r="C958" s="4" t="s">
        <v>2310</v>
      </c>
      <c r="D958" s="4" t="s">
        <v>1130</v>
      </c>
      <c r="E958" s="4"/>
      <c r="F958" s="14"/>
      <c r="G958" s="14"/>
      <c r="H958" s="14"/>
      <c r="I958" s="5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  <c r="BP958" s="4"/>
      <c r="BQ958" s="4"/>
      <c r="BR958" s="4"/>
      <c r="BS958" s="4"/>
      <c r="BT958" s="4"/>
      <c r="BU958" s="4"/>
      <c r="BV958" s="4"/>
      <c r="BW958" s="4"/>
      <c r="BX958" s="4"/>
      <c r="BY958" s="4"/>
      <c r="BZ958" s="4"/>
      <c r="CA958" s="4"/>
      <c r="CB958" s="4"/>
      <c r="CC958" s="4"/>
      <c r="CD958" s="4"/>
      <c r="CE958" s="4"/>
      <c r="CF958" s="4"/>
      <c r="CG958" s="4"/>
      <c r="CH958" s="4"/>
    </row>
    <row r="959" spans="1:86" x14ac:dyDescent="0.25">
      <c r="A959" s="12">
        <f t="shared" si="20"/>
        <v>956</v>
      </c>
      <c r="B959" s="4" t="s">
        <v>2311</v>
      </c>
      <c r="C959" s="4" t="s">
        <v>2312</v>
      </c>
      <c r="D959" s="4" t="s">
        <v>1130</v>
      </c>
      <c r="E959" s="4"/>
      <c r="F959" s="14"/>
      <c r="G959" s="14"/>
      <c r="H959" s="14"/>
      <c r="I959" s="5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  <c r="BP959" s="4"/>
      <c r="BQ959" s="4"/>
      <c r="BR959" s="4"/>
      <c r="BS959" s="4"/>
      <c r="BT959" s="4"/>
      <c r="BU959" s="4"/>
      <c r="BV959" s="4"/>
      <c r="BW959" s="4"/>
      <c r="BX959" s="4"/>
      <c r="BY959" s="4"/>
      <c r="BZ959" s="4"/>
      <c r="CA959" s="4"/>
      <c r="CB959" s="4"/>
      <c r="CC959" s="4"/>
      <c r="CD959" s="4"/>
      <c r="CE959" s="4"/>
      <c r="CF959" s="4"/>
      <c r="CG959" s="4"/>
      <c r="CH959" s="4"/>
    </row>
    <row r="960" spans="1:86" x14ac:dyDescent="0.25">
      <c r="A960" s="12">
        <f t="shared" si="20"/>
        <v>957</v>
      </c>
      <c r="B960" s="4" t="s">
        <v>2313</v>
      </c>
      <c r="C960" s="4" t="s">
        <v>2314</v>
      </c>
      <c r="D960" s="4" t="s">
        <v>45</v>
      </c>
      <c r="E960" s="4"/>
      <c r="F960" s="14"/>
      <c r="G960" s="14"/>
      <c r="H960" s="14"/>
      <c r="I960" s="5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  <c r="BP960" s="4"/>
      <c r="BQ960" s="4"/>
      <c r="BR960" s="4"/>
      <c r="BS960" s="4"/>
      <c r="BT960" s="4"/>
      <c r="BU960" s="4"/>
      <c r="BV960" s="4"/>
      <c r="BW960" s="4"/>
      <c r="BX960" s="4"/>
      <c r="BY960" s="4"/>
      <c r="BZ960" s="4"/>
      <c r="CA960" s="4"/>
      <c r="CB960" s="4"/>
      <c r="CC960" s="4"/>
      <c r="CD960" s="4"/>
      <c r="CE960" s="4"/>
      <c r="CF960" s="4"/>
      <c r="CG960" s="4"/>
      <c r="CH960" s="4"/>
    </row>
    <row r="961" spans="1:86" x14ac:dyDescent="0.25">
      <c r="A961" s="12">
        <f t="shared" si="20"/>
        <v>958</v>
      </c>
      <c r="B961" s="4" t="s">
        <v>2315</v>
      </c>
      <c r="C961" s="4" t="s">
        <v>2316</v>
      </c>
      <c r="D961" s="4" t="s">
        <v>45</v>
      </c>
      <c r="E961" s="4"/>
      <c r="F961" s="14"/>
      <c r="G961" s="14"/>
      <c r="H961" s="14"/>
      <c r="I961" s="5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  <c r="BP961" s="4"/>
      <c r="BQ961" s="4"/>
      <c r="BR961" s="4"/>
      <c r="BS961" s="4"/>
      <c r="BT961" s="4"/>
      <c r="BU961" s="4"/>
      <c r="BV961" s="4"/>
      <c r="BW961" s="4"/>
      <c r="BX961" s="4"/>
      <c r="BY961" s="4"/>
      <c r="BZ961" s="4"/>
      <c r="CA961" s="4"/>
      <c r="CB961" s="4"/>
      <c r="CC961" s="4"/>
      <c r="CD961" s="4"/>
      <c r="CE961" s="4"/>
      <c r="CF961" s="4"/>
      <c r="CG961" s="4"/>
      <c r="CH961" s="4"/>
    </row>
    <row r="962" spans="1:86" x14ac:dyDescent="0.25">
      <c r="A962" s="12">
        <f t="shared" si="20"/>
        <v>959</v>
      </c>
      <c r="B962" s="4" t="s">
        <v>2317</v>
      </c>
      <c r="C962" s="4" t="s">
        <v>2318</v>
      </c>
      <c r="D962" s="4" t="s">
        <v>1126</v>
      </c>
      <c r="E962" s="4"/>
      <c r="F962" s="14"/>
      <c r="G962" s="14"/>
      <c r="H962" s="14"/>
      <c r="I962" s="5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  <c r="BP962" s="4"/>
      <c r="BQ962" s="4"/>
      <c r="BR962" s="4"/>
      <c r="BS962" s="4"/>
      <c r="BT962" s="4"/>
      <c r="BU962" s="4"/>
      <c r="BV962" s="4"/>
      <c r="BW962" s="4"/>
      <c r="BX962" s="4"/>
      <c r="BY962" s="4"/>
      <c r="BZ962" s="4"/>
      <c r="CA962" s="4"/>
      <c r="CB962" s="4"/>
      <c r="CC962" s="4"/>
      <c r="CD962" s="4"/>
      <c r="CE962" s="4"/>
      <c r="CF962" s="4"/>
      <c r="CG962" s="4"/>
      <c r="CH962" s="4"/>
    </row>
    <row r="963" spans="1:86" x14ac:dyDescent="0.25">
      <c r="A963" s="12">
        <f t="shared" si="20"/>
        <v>960</v>
      </c>
      <c r="B963" s="4" t="s">
        <v>1081</v>
      </c>
      <c r="C963" s="4" t="s">
        <v>1082</v>
      </c>
      <c r="D963" s="4" t="s">
        <v>508</v>
      </c>
      <c r="E963" s="4"/>
      <c r="F963" s="14"/>
      <c r="G963" s="14"/>
      <c r="H963" s="14"/>
      <c r="I963" s="5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  <c r="BP963" s="4"/>
      <c r="BQ963" s="4"/>
      <c r="BR963" s="4"/>
      <c r="BS963" s="4"/>
      <c r="BT963" s="4"/>
      <c r="BU963" s="4"/>
      <c r="BV963" s="4"/>
      <c r="BW963" s="4"/>
      <c r="BX963" s="4"/>
      <c r="BY963" s="4"/>
      <c r="BZ963" s="4"/>
      <c r="CA963" s="4"/>
      <c r="CB963" s="4"/>
      <c r="CC963" s="4"/>
      <c r="CD963" s="4"/>
      <c r="CE963" s="4"/>
      <c r="CF963" s="4"/>
      <c r="CG963" s="4"/>
      <c r="CH963" s="4"/>
    </row>
    <row r="964" spans="1:86" x14ac:dyDescent="0.25">
      <c r="A964" s="12">
        <f t="shared" si="20"/>
        <v>961</v>
      </c>
      <c r="B964" s="4" t="s">
        <v>1083</v>
      </c>
      <c r="C964" s="4" t="s">
        <v>1084</v>
      </c>
      <c r="D964" s="4" t="s">
        <v>45</v>
      </c>
      <c r="E964" s="4"/>
      <c r="F964" s="14"/>
      <c r="G964" s="14"/>
      <c r="H964" s="14"/>
      <c r="I964" s="5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  <c r="BP964" s="4"/>
      <c r="BQ964" s="4"/>
      <c r="BR964" s="4"/>
      <c r="BS964" s="4"/>
      <c r="BT964" s="4"/>
      <c r="BU964" s="4"/>
      <c r="BV964" s="4"/>
      <c r="BW964" s="4"/>
      <c r="BX964" s="4"/>
      <c r="BY964" s="4"/>
      <c r="BZ964" s="4"/>
      <c r="CA964" s="4"/>
      <c r="CB964" s="4"/>
      <c r="CC964" s="4"/>
      <c r="CD964" s="4"/>
      <c r="CE964" s="4"/>
      <c r="CF964" s="4"/>
      <c r="CG964" s="4"/>
      <c r="CH964" s="4"/>
    </row>
    <row r="965" spans="1:86" x14ac:dyDescent="0.25">
      <c r="A965" s="12">
        <f t="shared" si="20"/>
        <v>962</v>
      </c>
      <c r="B965" s="4" t="s">
        <v>2319</v>
      </c>
      <c r="C965" s="4" t="s">
        <v>2320</v>
      </c>
      <c r="D965" s="4" t="s">
        <v>45</v>
      </c>
      <c r="E965" s="4"/>
      <c r="F965" s="14"/>
      <c r="G965" s="14"/>
      <c r="H965" s="14"/>
      <c r="I965" s="5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  <c r="BP965" s="4"/>
      <c r="BQ965" s="4"/>
      <c r="BR965" s="4"/>
      <c r="BS965" s="4"/>
      <c r="BT965" s="4"/>
      <c r="BU965" s="4"/>
      <c r="BV965" s="4"/>
      <c r="BW965" s="4"/>
      <c r="BX965" s="4"/>
      <c r="BY965" s="4"/>
      <c r="BZ965" s="4"/>
      <c r="CA965" s="4"/>
      <c r="CB965" s="4"/>
      <c r="CC965" s="4"/>
      <c r="CD965" s="4"/>
      <c r="CE965" s="4"/>
      <c r="CF965" s="4"/>
      <c r="CG965" s="4"/>
      <c r="CH965" s="4"/>
    </row>
    <row r="966" spans="1:86" x14ac:dyDescent="0.25">
      <c r="A966" s="12">
        <f t="shared" si="20"/>
        <v>963</v>
      </c>
      <c r="B966" s="4" t="s">
        <v>2321</v>
      </c>
      <c r="C966" s="4" t="s">
        <v>2322</v>
      </c>
      <c r="D966" s="4" t="s">
        <v>1130</v>
      </c>
      <c r="E966" s="4"/>
      <c r="F966" s="14"/>
      <c r="G966" s="14"/>
      <c r="H966" s="14"/>
      <c r="I966" s="5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  <c r="BP966" s="4"/>
      <c r="BQ966" s="4"/>
      <c r="BR966" s="4"/>
      <c r="BS966" s="4"/>
      <c r="BT966" s="4"/>
      <c r="BU966" s="4"/>
      <c r="BV966" s="4"/>
      <c r="BW966" s="4"/>
      <c r="BX966" s="4"/>
      <c r="BY966" s="4"/>
      <c r="BZ966" s="4"/>
      <c r="CA966" s="4"/>
      <c r="CB966" s="4"/>
      <c r="CC966" s="4"/>
      <c r="CD966" s="4"/>
      <c r="CE966" s="4"/>
      <c r="CF966" s="4"/>
      <c r="CG966" s="4"/>
      <c r="CH966" s="4"/>
    </row>
    <row r="967" spans="1:86" x14ac:dyDescent="0.25">
      <c r="A967" s="12">
        <f t="shared" si="20"/>
        <v>964</v>
      </c>
      <c r="B967" s="4" t="s">
        <v>2323</v>
      </c>
      <c r="C967" s="4" t="s">
        <v>2324</v>
      </c>
      <c r="D967" s="4" t="s">
        <v>128</v>
      </c>
      <c r="E967" s="4"/>
      <c r="F967" s="14"/>
      <c r="G967" s="14"/>
      <c r="H967" s="14"/>
      <c r="I967" s="5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  <c r="BP967" s="4"/>
      <c r="BQ967" s="4"/>
      <c r="BR967" s="4"/>
      <c r="BS967" s="4"/>
      <c r="BT967" s="4"/>
      <c r="BU967" s="4"/>
      <c r="BV967" s="4"/>
      <c r="BW967" s="4"/>
      <c r="BX967" s="4"/>
      <c r="BY967" s="4"/>
      <c r="BZ967" s="4"/>
      <c r="CA967" s="4"/>
      <c r="CB967" s="4"/>
      <c r="CC967" s="4"/>
      <c r="CD967" s="4"/>
      <c r="CE967" s="4"/>
      <c r="CF967" s="4"/>
      <c r="CG967" s="4"/>
      <c r="CH967" s="4"/>
    </row>
    <row r="968" spans="1:86" x14ac:dyDescent="0.25">
      <c r="A968" s="12">
        <f t="shared" si="20"/>
        <v>965</v>
      </c>
      <c r="B968" s="4" t="s">
        <v>2325</v>
      </c>
      <c r="C968" s="4" t="s">
        <v>2326</v>
      </c>
      <c r="D968" s="4" t="s">
        <v>45</v>
      </c>
      <c r="E968" s="4"/>
      <c r="F968" s="14"/>
      <c r="G968" s="14"/>
      <c r="H968" s="14"/>
      <c r="I968" s="5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  <c r="BP968" s="4"/>
      <c r="BQ968" s="4"/>
      <c r="BR968" s="4"/>
      <c r="BS968" s="4"/>
      <c r="BT968" s="4"/>
      <c r="BU968" s="4"/>
      <c r="BV968" s="4"/>
      <c r="BW968" s="4"/>
      <c r="BX968" s="4"/>
      <c r="BY968" s="4"/>
      <c r="BZ968" s="4"/>
      <c r="CA968" s="4"/>
      <c r="CB968" s="4"/>
      <c r="CC968" s="4"/>
      <c r="CD968" s="4"/>
      <c r="CE968" s="4"/>
      <c r="CF968" s="4"/>
      <c r="CG968" s="4"/>
      <c r="CH968" s="4"/>
    </row>
    <row r="969" spans="1:86" x14ac:dyDescent="0.25">
      <c r="A969" s="12">
        <f t="shared" si="20"/>
        <v>966</v>
      </c>
      <c r="B969" s="4" t="s">
        <v>2327</v>
      </c>
      <c r="C969" s="4" t="s">
        <v>2328</v>
      </c>
      <c r="D969" s="4" t="s">
        <v>2573</v>
      </c>
      <c r="E969" s="4"/>
      <c r="F969" s="14"/>
      <c r="G969" s="14"/>
      <c r="H969" s="14"/>
      <c r="I969" s="5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  <c r="BP969" s="4"/>
      <c r="BQ969" s="4"/>
      <c r="BR969" s="4"/>
      <c r="BS969" s="4"/>
      <c r="BT969" s="4"/>
      <c r="BU969" s="4"/>
      <c r="BV969" s="4"/>
      <c r="BW969" s="4"/>
      <c r="BX969" s="4"/>
      <c r="BY969" s="4"/>
      <c r="BZ969" s="4"/>
      <c r="CA969" s="4"/>
      <c r="CB969" s="4"/>
      <c r="CC969" s="4"/>
      <c r="CD969" s="4"/>
      <c r="CE969" s="4"/>
      <c r="CF969" s="4"/>
      <c r="CG969" s="4"/>
      <c r="CH969" s="4"/>
    </row>
    <row r="970" spans="1:86" x14ac:dyDescent="0.25">
      <c r="A970" s="12">
        <f t="shared" ref="A970:A1033" si="21">+A969+1</f>
        <v>967</v>
      </c>
      <c r="B970" s="4" t="s">
        <v>2329</v>
      </c>
      <c r="C970" s="4" t="s">
        <v>2330</v>
      </c>
      <c r="D970" s="4" t="s">
        <v>45</v>
      </c>
      <c r="E970" s="4"/>
      <c r="F970" s="14"/>
      <c r="G970" s="14"/>
      <c r="H970" s="14"/>
      <c r="I970" s="5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  <c r="BP970" s="4"/>
      <c r="BQ970" s="4"/>
      <c r="BR970" s="4"/>
      <c r="BS970" s="4"/>
      <c r="BT970" s="4"/>
      <c r="BU970" s="4"/>
      <c r="BV970" s="4"/>
      <c r="BW970" s="4"/>
      <c r="BX970" s="4"/>
      <c r="BY970" s="4"/>
      <c r="BZ970" s="4"/>
      <c r="CA970" s="4"/>
      <c r="CB970" s="4"/>
      <c r="CC970" s="4"/>
      <c r="CD970" s="4"/>
      <c r="CE970" s="4"/>
      <c r="CF970" s="4"/>
      <c r="CG970" s="4"/>
      <c r="CH970" s="4"/>
    </row>
    <row r="971" spans="1:86" x14ac:dyDescent="0.25">
      <c r="A971" s="12">
        <f t="shared" si="21"/>
        <v>968</v>
      </c>
      <c r="B971" s="4" t="s">
        <v>2331</v>
      </c>
      <c r="C971" s="4" t="s">
        <v>2332</v>
      </c>
      <c r="D971" s="4" t="s">
        <v>87</v>
      </c>
      <c r="E971" s="4"/>
      <c r="F971" s="14"/>
      <c r="G971" s="14"/>
      <c r="H971" s="14"/>
      <c r="I971" s="5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  <c r="BP971" s="4"/>
      <c r="BQ971" s="4"/>
      <c r="BR971" s="4"/>
      <c r="BS971" s="4"/>
      <c r="BT971" s="4"/>
      <c r="BU971" s="4"/>
      <c r="BV971" s="4"/>
      <c r="BW971" s="4"/>
      <c r="BX971" s="4"/>
      <c r="BY971" s="4"/>
      <c r="BZ971" s="4"/>
      <c r="CA971" s="4"/>
      <c r="CB971" s="4"/>
      <c r="CC971" s="4"/>
      <c r="CD971" s="4"/>
      <c r="CE971" s="4"/>
      <c r="CF971" s="4"/>
      <c r="CG971" s="4"/>
      <c r="CH971" s="4"/>
    </row>
    <row r="972" spans="1:86" x14ac:dyDescent="0.25">
      <c r="A972" s="12">
        <f t="shared" si="21"/>
        <v>969</v>
      </c>
      <c r="B972" s="4" t="s">
        <v>2333</v>
      </c>
      <c r="C972" s="4" t="s">
        <v>2334</v>
      </c>
      <c r="D972" s="4" t="s">
        <v>2572</v>
      </c>
      <c r="E972" s="4"/>
      <c r="F972" s="14"/>
      <c r="G972" s="14"/>
      <c r="H972" s="14"/>
      <c r="I972" s="5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  <c r="BP972" s="4"/>
      <c r="BQ972" s="4"/>
      <c r="BR972" s="4"/>
      <c r="BS972" s="4"/>
      <c r="BT972" s="4"/>
      <c r="BU972" s="4"/>
      <c r="BV972" s="4"/>
      <c r="BW972" s="4"/>
      <c r="BX972" s="4"/>
      <c r="BY972" s="4"/>
      <c r="BZ972" s="4"/>
      <c r="CA972" s="4"/>
      <c r="CB972" s="4"/>
      <c r="CC972" s="4"/>
      <c r="CD972" s="4"/>
      <c r="CE972" s="4"/>
      <c r="CF972" s="4"/>
      <c r="CG972" s="4"/>
      <c r="CH972" s="4"/>
    </row>
    <row r="973" spans="1:86" x14ac:dyDescent="0.25">
      <c r="A973" s="12">
        <f t="shared" si="21"/>
        <v>970</v>
      </c>
      <c r="B973" s="4" t="s">
        <v>2335</v>
      </c>
      <c r="C973" s="4" t="s">
        <v>2336</v>
      </c>
      <c r="D973" s="4" t="s">
        <v>45</v>
      </c>
      <c r="E973" s="4"/>
      <c r="F973" s="14"/>
      <c r="G973" s="14"/>
      <c r="H973" s="14"/>
      <c r="I973" s="5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  <c r="BP973" s="4"/>
      <c r="BQ973" s="4"/>
      <c r="BR973" s="4"/>
      <c r="BS973" s="4"/>
      <c r="BT973" s="4"/>
      <c r="BU973" s="4"/>
      <c r="BV973" s="4"/>
      <c r="BW973" s="4"/>
      <c r="BX973" s="4"/>
      <c r="BY973" s="4"/>
      <c r="BZ973" s="4"/>
      <c r="CA973" s="4"/>
      <c r="CB973" s="4"/>
      <c r="CC973" s="4"/>
      <c r="CD973" s="4"/>
      <c r="CE973" s="4"/>
      <c r="CF973" s="4"/>
      <c r="CG973" s="4"/>
      <c r="CH973" s="4"/>
    </row>
    <row r="974" spans="1:86" x14ac:dyDescent="0.25">
      <c r="A974" s="12">
        <f t="shared" si="21"/>
        <v>971</v>
      </c>
      <c r="B974" s="4" t="s">
        <v>2337</v>
      </c>
      <c r="C974" s="4" t="s">
        <v>2338</v>
      </c>
      <c r="D974" s="4" t="s">
        <v>84</v>
      </c>
      <c r="E974" s="4"/>
      <c r="F974" s="14"/>
      <c r="G974" s="14"/>
      <c r="H974" s="14"/>
      <c r="I974" s="5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  <c r="BP974" s="4"/>
      <c r="BQ974" s="4"/>
      <c r="BR974" s="4"/>
      <c r="BS974" s="4"/>
      <c r="BT974" s="4"/>
      <c r="BU974" s="4"/>
      <c r="BV974" s="4"/>
      <c r="BW974" s="4"/>
      <c r="BX974" s="4"/>
      <c r="BY974" s="4"/>
      <c r="BZ974" s="4"/>
      <c r="CA974" s="4"/>
      <c r="CB974" s="4"/>
      <c r="CC974" s="4"/>
      <c r="CD974" s="4"/>
      <c r="CE974" s="4"/>
      <c r="CF974" s="4"/>
      <c r="CG974" s="4"/>
      <c r="CH974" s="4"/>
    </row>
    <row r="975" spans="1:86" x14ac:dyDescent="0.25">
      <c r="A975" s="12">
        <f t="shared" si="21"/>
        <v>972</v>
      </c>
      <c r="B975" s="4" t="s">
        <v>2339</v>
      </c>
      <c r="C975" s="4" t="s">
        <v>2340</v>
      </c>
      <c r="D975" s="4" t="s">
        <v>1125</v>
      </c>
      <c r="E975" s="4"/>
      <c r="F975" s="14"/>
      <c r="G975" s="14"/>
      <c r="H975" s="14"/>
      <c r="I975" s="5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  <c r="BP975" s="4"/>
      <c r="BQ975" s="4"/>
      <c r="BR975" s="4"/>
      <c r="BS975" s="4"/>
      <c r="BT975" s="4"/>
      <c r="BU975" s="4"/>
      <c r="BV975" s="4"/>
      <c r="BW975" s="4"/>
      <c r="BX975" s="4"/>
      <c r="BY975" s="4"/>
      <c r="BZ975" s="4"/>
      <c r="CA975" s="4"/>
      <c r="CB975" s="4"/>
      <c r="CC975" s="4"/>
      <c r="CD975" s="4"/>
      <c r="CE975" s="4"/>
      <c r="CF975" s="4"/>
      <c r="CG975" s="4"/>
      <c r="CH975" s="4"/>
    </row>
    <row r="976" spans="1:86" x14ac:dyDescent="0.25">
      <c r="A976" s="12">
        <f t="shared" si="21"/>
        <v>973</v>
      </c>
      <c r="B976" s="4" t="s">
        <v>2341</v>
      </c>
      <c r="C976" s="4" t="s">
        <v>2342</v>
      </c>
      <c r="D976" s="4" t="s">
        <v>45</v>
      </c>
      <c r="E976" s="4"/>
      <c r="F976" s="14"/>
      <c r="G976" s="14"/>
      <c r="H976" s="14"/>
      <c r="I976" s="5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  <c r="BP976" s="4"/>
      <c r="BQ976" s="4"/>
      <c r="BR976" s="4"/>
      <c r="BS976" s="4"/>
      <c r="BT976" s="4"/>
      <c r="BU976" s="4"/>
      <c r="BV976" s="4"/>
      <c r="BW976" s="4"/>
      <c r="BX976" s="4"/>
      <c r="BY976" s="4"/>
      <c r="BZ976" s="4"/>
      <c r="CA976" s="4"/>
      <c r="CB976" s="4"/>
      <c r="CC976" s="4"/>
      <c r="CD976" s="4"/>
      <c r="CE976" s="4"/>
      <c r="CF976" s="4"/>
      <c r="CG976" s="4"/>
      <c r="CH976" s="4"/>
    </row>
    <row r="977" spans="1:86" x14ac:dyDescent="0.25">
      <c r="A977" s="12">
        <f t="shared" si="21"/>
        <v>974</v>
      </c>
      <c r="B977" s="4" t="s">
        <v>2343</v>
      </c>
      <c r="C977" s="4" t="s">
        <v>2344</v>
      </c>
      <c r="D977" s="4" t="s">
        <v>1127</v>
      </c>
      <c r="E977" s="4"/>
      <c r="F977" s="14"/>
      <c r="G977" s="14"/>
      <c r="H977" s="14"/>
      <c r="I977" s="5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  <c r="BP977" s="4"/>
      <c r="BQ977" s="4"/>
      <c r="BR977" s="4"/>
      <c r="BS977" s="4"/>
      <c r="BT977" s="4"/>
      <c r="BU977" s="4"/>
      <c r="BV977" s="4"/>
      <c r="BW977" s="4"/>
      <c r="BX977" s="4"/>
      <c r="BY977" s="4"/>
      <c r="BZ977" s="4"/>
      <c r="CA977" s="4"/>
      <c r="CB977" s="4"/>
      <c r="CC977" s="4"/>
      <c r="CD977" s="4"/>
      <c r="CE977" s="4"/>
      <c r="CF977" s="4"/>
      <c r="CG977" s="4"/>
      <c r="CH977" s="4"/>
    </row>
    <row r="978" spans="1:86" x14ac:dyDescent="0.25">
      <c r="A978" s="12">
        <f t="shared" si="21"/>
        <v>975</v>
      </c>
      <c r="B978" s="4" t="s">
        <v>2345</v>
      </c>
      <c r="C978" s="4" t="s">
        <v>2346</v>
      </c>
      <c r="D978" s="4" t="s">
        <v>770</v>
      </c>
      <c r="E978" s="4"/>
      <c r="F978" s="14"/>
      <c r="G978" s="14"/>
      <c r="H978" s="14"/>
      <c r="I978" s="5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  <c r="BP978" s="4"/>
      <c r="BQ978" s="4"/>
      <c r="BR978" s="4"/>
      <c r="BS978" s="4"/>
      <c r="BT978" s="4"/>
      <c r="BU978" s="4"/>
      <c r="BV978" s="4"/>
      <c r="BW978" s="4"/>
      <c r="BX978" s="4"/>
      <c r="BY978" s="4"/>
      <c r="BZ978" s="4"/>
      <c r="CA978" s="4"/>
      <c r="CB978" s="4"/>
      <c r="CC978" s="4"/>
      <c r="CD978" s="4"/>
      <c r="CE978" s="4"/>
      <c r="CF978" s="4"/>
      <c r="CG978" s="4"/>
      <c r="CH978" s="4"/>
    </row>
    <row r="979" spans="1:86" x14ac:dyDescent="0.25">
      <c r="A979" s="12">
        <f t="shared" si="21"/>
        <v>976</v>
      </c>
      <c r="B979" s="4" t="s">
        <v>2347</v>
      </c>
      <c r="C979" s="4" t="s">
        <v>2348</v>
      </c>
      <c r="D979" s="4" t="s">
        <v>87</v>
      </c>
      <c r="E979" s="4"/>
      <c r="F979" s="14"/>
      <c r="G979" s="14"/>
      <c r="H979" s="14"/>
      <c r="I979" s="5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  <c r="BP979" s="4"/>
      <c r="BQ979" s="4"/>
      <c r="BR979" s="4"/>
      <c r="BS979" s="4"/>
      <c r="BT979" s="4"/>
      <c r="BU979" s="4"/>
      <c r="BV979" s="4"/>
      <c r="BW979" s="4"/>
      <c r="BX979" s="4"/>
      <c r="BY979" s="4"/>
      <c r="BZ979" s="4"/>
      <c r="CA979" s="4"/>
      <c r="CB979" s="4"/>
      <c r="CC979" s="4"/>
      <c r="CD979" s="4"/>
      <c r="CE979" s="4"/>
      <c r="CF979" s="4"/>
      <c r="CG979" s="4"/>
      <c r="CH979" s="4"/>
    </row>
    <row r="980" spans="1:86" x14ac:dyDescent="0.25">
      <c r="A980" s="12">
        <f t="shared" si="21"/>
        <v>977</v>
      </c>
      <c r="B980" s="4" t="s">
        <v>2349</v>
      </c>
      <c r="C980" s="4" t="s">
        <v>2349</v>
      </c>
      <c r="D980" s="4" t="s">
        <v>45</v>
      </c>
      <c r="E980" s="4"/>
      <c r="F980" s="14"/>
      <c r="G980" s="14"/>
      <c r="H980" s="14"/>
      <c r="I980" s="5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  <c r="BP980" s="4"/>
      <c r="BQ980" s="4"/>
      <c r="BR980" s="4"/>
      <c r="BS980" s="4"/>
      <c r="BT980" s="4"/>
      <c r="BU980" s="4"/>
      <c r="BV980" s="4"/>
      <c r="BW980" s="4"/>
      <c r="BX980" s="4"/>
      <c r="BY980" s="4"/>
      <c r="BZ980" s="4"/>
      <c r="CA980" s="4"/>
      <c r="CB980" s="4"/>
      <c r="CC980" s="4"/>
      <c r="CD980" s="4"/>
      <c r="CE980" s="4"/>
      <c r="CF980" s="4"/>
      <c r="CG980" s="4"/>
      <c r="CH980" s="4"/>
    </row>
    <row r="981" spans="1:86" x14ac:dyDescent="0.25">
      <c r="A981" s="12">
        <f t="shared" si="21"/>
        <v>978</v>
      </c>
      <c r="B981" s="4" t="s">
        <v>2350</v>
      </c>
      <c r="C981" s="4" t="s">
        <v>2351</v>
      </c>
      <c r="D981" s="4" t="s">
        <v>45</v>
      </c>
      <c r="E981" s="4"/>
      <c r="F981" s="14"/>
      <c r="G981" s="14"/>
      <c r="H981" s="14"/>
      <c r="I981" s="5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  <c r="BP981" s="4"/>
      <c r="BQ981" s="4"/>
      <c r="BR981" s="4"/>
      <c r="BS981" s="4"/>
      <c r="BT981" s="4"/>
      <c r="BU981" s="4"/>
      <c r="BV981" s="4"/>
      <c r="BW981" s="4"/>
      <c r="BX981" s="4"/>
      <c r="BY981" s="4"/>
      <c r="BZ981" s="4"/>
      <c r="CA981" s="4"/>
      <c r="CB981" s="4"/>
      <c r="CC981" s="4"/>
      <c r="CD981" s="4"/>
      <c r="CE981" s="4"/>
      <c r="CF981" s="4"/>
      <c r="CG981" s="4"/>
      <c r="CH981" s="4"/>
    </row>
    <row r="982" spans="1:86" x14ac:dyDescent="0.25">
      <c r="A982" s="12">
        <f t="shared" si="21"/>
        <v>979</v>
      </c>
      <c r="B982" s="4" t="s">
        <v>2352</v>
      </c>
      <c r="C982" s="4" t="s">
        <v>2353</v>
      </c>
      <c r="D982" s="4" t="s">
        <v>1125</v>
      </c>
      <c r="E982" s="4"/>
      <c r="F982" s="14"/>
      <c r="G982" s="14"/>
      <c r="H982" s="14"/>
      <c r="I982" s="5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  <c r="BP982" s="4"/>
      <c r="BQ982" s="4"/>
      <c r="BR982" s="4"/>
      <c r="BS982" s="4"/>
      <c r="BT982" s="4"/>
      <c r="BU982" s="4"/>
      <c r="BV982" s="4"/>
      <c r="BW982" s="4"/>
      <c r="BX982" s="4"/>
      <c r="BY982" s="4"/>
      <c r="BZ982" s="4"/>
      <c r="CA982" s="4"/>
      <c r="CB982" s="4"/>
      <c r="CC982" s="4"/>
      <c r="CD982" s="4"/>
      <c r="CE982" s="4"/>
      <c r="CF982" s="4"/>
      <c r="CG982" s="4"/>
      <c r="CH982" s="4"/>
    </row>
    <row r="983" spans="1:86" x14ac:dyDescent="0.25">
      <c r="A983" s="12">
        <f t="shared" si="21"/>
        <v>980</v>
      </c>
      <c r="B983" s="4" t="s">
        <v>1091</v>
      </c>
      <c r="C983" s="4" t="s">
        <v>1092</v>
      </c>
      <c r="D983" s="4" t="s">
        <v>45</v>
      </c>
      <c r="E983" s="4"/>
      <c r="F983" s="14"/>
      <c r="G983" s="14"/>
      <c r="H983" s="14"/>
      <c r="I983" s="5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  <c r="BP983" s="4"/>
      <c r="BQ983" s="4"/>
      <c r="BR983" s="4"/>
      <c r="BS983" s="4"/>
      <c r="BT983" s="4"/>
      <c r="BU983" s="4"/>
      <c r="BV983" s="4"/>
      <c r="BW983" s="4"/>
      <c r="BX983" s="4"/>
      <c r="BY983" s="4"/>
      <c r="BZ983" s="4"/>
      <c r="CA983" s="4"/>
      <c r="CB983" s="4"/>
      <c r="CC983" s="4"/>
      <c r="CD983" s="4"/>
      <c r="CE983" s="4"/>
      <c r="CF983" s="4"/>
      <c r="CG983" s="4"/>
      <c r="CH983" s="4"/>
    </row>
    <row r="984" spans="1:86" x14ac:dyDescent="0.25">
      <c r="A984" s="12">
        <f t="shared" si="21"/>
        <v>981</v>
      </c>
      <c r="B984" s="4" t="s">
        <v>2354</v>
      </c>
      <c r="C984" s="4" t="s">
        <v>2355</v>
      </c>
      <c r="D984" s="4" t="s">
        <v>398</v>
      </c>
      <c r="E984" s="4"/>
      <c r="F984" s="14"/>
      <c r="G984" s="14"/>
      <c r="H984" s="14"/>
      <c r="I984" s="5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  <c r="BP984" s="4"/>
      <c r="BQ984" s="4"/>
      <c r="BR984" s="4"/>
      <c r="BS984" s="4"/>
      <c r="BT984" s="4"/>
      <c r="BU984" s="4"/>
      <c r="BV984" s="4"/>
      <c r="BW984" s="4"/>
      <c r="BX984" s="4"/>
      <c r="BY984" s="4"/>
      <c r="BZ984" s="4"/>
      <c r="CA984" s="4"/>
      <c r="CB984" s="4"/>
      <c r="CC984" s="4"/>
      <c r="CD984" s="4"/>
      <c r="CE984" s="4"/>
      <c r="CF984" s="4"/>
      <c r="CG984" s="4"/>
      <c r="CH984" s="4"/>
    </row>
    <row r="985" spans="1:86" x14ac:dyDescent="0.25">
      <c r="A985" s="12">
        <f t="shared" si="21"/>
        <v>982</v>
      </c>
      <c r="B985" s="4" t="s">
        <v>2356</v>
      </c>
      <c r="C985" s="4" t="s">
        <v>2357</v>
      </c>
      <c r="D985" s="4" t="s">
        <v>45</v>
      </c>
      <c r="E985" s="4"/>
      <c r="F985" s="14"/>
      <c r="G985" s="14"/>
      <c r="H985" s="14"/>
      <c r="I985" s="5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  <c r="BP985" s="4"/>
      <c r="BQ985" s="4"/>
      <c r="BR985" s="4"/>
      <c r="BS985" s="4"/>
      <c r="BT985" s="4"/>
      <c r="BU985" s="4"/>
      <c r="BV985" s="4"/>
      <c r="BW985" s="4"/>
      <c r="BX985" s="4"/>
      <c r="BY985" s="4"/>
      <c r="BZ985" s="4"/>
      <c r="CA985" s="4"/>
      <c r="CB985" s="4"/>
      <c r="CC985" s="4"/>
      <c r="CD985" s="4"/>
      <c r="CE985" s="4"/>
      <c r="CF985" s="4"/>
      <c r="CG985" s="4"/>
      <c r="CH985" s="4"/>
    </row>
    <row r="986" spans="1:86" x14ac:dyDescent="0.25">
      <c r="A986" s="12">
        <f t="shared" si="21"/>
        <v>983</v>
      </c>
      <c r="B986" s="4" t="s">
        <v>2358</v>
      </c>
      <c r="C986" s="4" t="s">
        <v>2359</v>
      </c>
      <c r="D986" s="4" t="s">
        <v>45</v>
      </c>
      <c r="E986" s="4"/>
      <c r="F986" s="14"/>
      <c r="G986" s="14"/>
      <c r="H986" s="14"/>
      <c r="I986" s="5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  <c r="BP986" s="4"/>
      <c r="BQ986" s="4"/>
      <c r="BR986" s="4"/>
      <c r="BS986" s="4"/>
      <c r="BT986" s="4"/>
      <c r="BU986" s="4"/>
      <c r="BV986" s="4"/>
      <c r="BW986" s="4"/>
      <c r="BX986" s="4"/>
      <c r="BY986" s="4"/>
      <c r="BZ986" s="4"/>
      <c r="CA986" s="4"/>
      <c r="CB986" s="4"/>
      <c r="CC986" s="4"/>
      <c r="CD986" s="4"/>
      <c r="CE986" s="4"/>
      <c r="CF986" s="4"/>
      <c r="CG986" s="4"/>
      <c r="CH986" s="4"/>
    </row>
    <row r="987" spans="1:86" x14ac:dyDescent="0.25">
      <c r="A987" s="12">
        <f t="shared" si="21"/>
        <v>984</v>
      </c>
      <c r="B987" s="4" t="s">
        <v>2360</v>
      </c>
      <c r="C987" s="4" t="s">
        <v>2361</v>
      </c>
      <c r="D987" s="4" t="s">
        <v>45</v>
      </c>
      <c r="E987" s="4"/>
      <c r="F987" s="14"/>
      <c r="G987" s="14"/>
      <c r="H987" s="14"/>
      <c r="I987" s="5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4"/>
      <c r="BQ987" s="4"/>
      <c r="BR987" s="4"/>
      <c r="BS987" s="4"/>
      <c r="BT987" s="4"/>
      <c r="BU987" s="4"/>
      <c r="BV987" s="4"/>
      <c r="BW987" s="4"/>
      <c r="BX987" s="4"/>
      <c r="BY987" s="4"/>
      <c r="BZ987" s="4"/>
      <c r="CA987" s="4"/>
      <c r="CB987" s="4"/>
      <c r="CC987" s="4"/>
      <c r="CD987" s="4"/>
      <c r="CE987" s="4"/>
      <c r="CF987" s="4"/>
      <c r="CG987" s="4"/>
      <c r="CH987" s="4"/>
    </row>
    <row r="988" spans="1:86" x14ac:dyDescent="0.25">
      <c r="A988" s="12">
        <f t="shared" si="21"/>
        <v>985</v>
      </c>
      <c r="B988" s="4" t="s">
        <v>2362</v>
      </c>
      <c r="C988" s="4" t="s">
        <v>2363</v>
      </c>
      <c r="D988" s="4" t="s">
        <v>768</v>
      </c>
      <c r="E988" s="4"/>
      <c r="F988" s="14"/>
      <c r="G988" s="14"/>
      <c r="H988" s="14"/>
      <c r="I988" s="5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  <c r="BP988" s="4"/>
      <c r="BQ988" s="4"/>
      <c r="BR988" s="4"/>
      <c r="BS988" s="4"/>
      <c r="BT988" s="4"/>
      <c r="BU988" s="4"/>
      <c r="BV988" s="4"/>
      <c r="BW988" s="4"/>
      <c r="BX988" s="4"/>
      <c r="BY988" s="4"/>
      <c r="BZ988" s="4"/>
      <c r="CA988" s="4"/>
      <c r="CB988" s="4"/>
      <c r="CC988" s="4"/>
      <c r="CD988" s="4"/>
      <c r="CE988" s="4"/>
      <c r="CF988" s="4"/>
      <c r="CG988" s="4"/>
      <c r="CH988" s="4"/>
    </row>
    <row r="989" spans="1:86" x14ac:dyDescent="0.25">
      <c r="A989" s="12">
        <f t="shared" si="21"/>
        <v>986</v>
      </c>
      <c r="B989" s="4" t="s">
        <v>2364</v>
      </c>
      <c r="C989" s="4" t="s">
        <v>2365</v>
      </c>
      <c r="D989" s="4" t="s">
        <v>45</v>
      </c>
      <c r="E989" s="4"/>
      <c r="F989" s="14"/>
      <c r="G989" s="14"/>
      <c r="H989" s="14"/>
      <c r="I989" s="5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  <c r="BP989" s="4"/>
      <c r="BQ989" s="4"/>
      <c r="BR989" s="4"/>
      <c r="BS989" s="4"/>
      <c r="BT989" s="4"/>
      <c r="BU989" s="4"/>
      <c r="BV989" s="4"/>
      <c r="BW989" s="4"/>
      <c r="BX989" s="4"/>
      <c r="BY989" s="4"/>
      <c r="BZ989" s="4"/>
      <c r="CA989" s="4"/>
      <c r="CB989" s="4"/>
      <c r="CC989" s="4"/>
      <c r="CD989" s="4"/>
      <c r="CE989" s="4"/>
      <c r="CF989" s="4"/>
      <c r="CG989" s="4"/>
      <c r="CH989" s="4"/>
    </row>
    <row r="990" spans="1:86" x14ac:dyDescent="0.25">
      <c r="A990" s="12">
        <f t="shared" si="21"/>
        <v>987</v>
      </c>
      <c r="B990" s="4" t="s">
        <v>2366</v>
      </c>
      <c r="C990" s="4" t="s">
        <v>2367</v>
      </c>
      <c r="D990" s="4" t="s">
        <v>87</v>
      </c>
      <c r="E990" s="4"/>
      <c r="F990" s="14"/>
      <c r="G990" s="14"/>
      <c r="H990" s="14"/>
      <c r="I990" s="5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  <c r="BP990" s="4"/>
      <c r="BQ990" s="4"/>
      <c r="BR990" s="4"/>
      <c r="BS990" s="4"/>
      <c r="BT990" s="4"/>
      <c r="BU990" s="4"/>
      <c r="BV990" s="4"/>
      <c r="BW990" s="4"/>
      <c r="BX990" s="4"/>
      <c r="BY990" s="4"/>
      <c r="BZ990" s="4"/>
      <c r="CA990" s="4"/>
      <c r="CB990" s="4"/>
      <c r="CC990" s="4"/>
      <c r="CD990" s="4"/>
      <c r="CE990" s="4"/>
      <c r="CF990" s="4"/>
      <c r="CG990" s="4"/>
      <c r="CH990" s="4"/>
    </row>
    <row r="991" spans="1:86" x14ac:dyDescent="0.25">
      <c r="A991" s="12">
        <f t="shared" si="21"/>
        <v>988</v>
      </c>
      <c r="B991" s="4" t="s">
        <v>2368</v>
      </c>
      <c r="C991" s="4" t="s">
        <v>2369</v>
      </c>
      <c r="D991" s="4" t="s">
        <v>45</v>
      </c>
      <c r="E991" s="4"/>
      <c r="F991" s="14"/>
      <c r="G991" s="14"/>
      <c r="H991" s="14"/>
      <c r="I991" s="5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  <c r="BP991" s="4"/>
      <c r="BQ991" s="4"/>
      <c r="BR991" s="4"/>
      <c r="BS991" s="4"/>
      <c r="BT991" s="4"/>
      <c r="BU991" s="4"/>
      <c r="BV991" s="4"/>
      <c r="BW991" s="4"/>
      <c r="BX991" s="4"/>
      <c r="BY991" s="4"/>
      <c r="BZ991" s="4"/>
      <c r="CA991" s="4"/>
      <c r="CB991" s="4"/>
      <c r="CC991" s="4"/>
      <c r="CD991" s="4"/>
      <c r="CE991" s="4"/>
      <c r="CF991" s="4"/>
      <c r="CG991" s="4"/>
      <c r="CH991" s="4"/>
    </row>
    <row r="992" spans="1:86" x14ac:dyDescent="0.25">
      <c r="A992" s="12">
        <f t="shared" si="21"/>
        <v>989</v>
      </c>
      <c r="B992" s="4" t="s">
        <v>2370</v>
      </c>
      <c r="C992" s="4" t="s">
        <v>2371</v>
      </c>
      <c r="D992" s="4" t="s">
        <v>1123</v>
      </c>
      <c r="E992" s="4"/>
      <c r="F992" s="14"/>
      <c r="G992" s="14"/>
      <c r="H992" s="14"/>
      <c r="I992" s="5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  <c r="BP992" s="4"/>
      <c r="BQ992" s="4"/>
      <c r="BR992" s="4"/>
      <c r="BS992" s="4"/>
      <c r="BT992" s="4"/>
      <c r="BU992" s="4"/>
      <c r="BV992" s="4"/>
      <c r="BW992" s="4"/>
      <c r="BX992" s="4"/>
      <c r="BY992" s="4"/>
      <c r="BZ992" s="4"/>
      <c r="CA992" s="4"/>
      <c r="CB992" s="4"/>
      <c r="CC992" s="4"/>
      <c r="CD992" s="4"/>
      <c r="CE992" s="4"/>
      <c r="CF992" s="4"/>
      <c r="CG992" s="4"/>
      <c r="CH992" s="4"/>
    </row>
    <row r="993" spans="1:86" x14ac:dyDescent="0.25">
      <c r="A993" s="12">
        <f t="shared" si="21"/>
        <v>990</v>
      </c>
      <c r="B993" s="4" t="s">
        <v>2372</v>
      </c>
      <c r="C993" s="4" t="s">
        <v>2373</v>
      </c>
      <c r="D993" s="4" t="s">
        <v>1125</v>
      </c>
      <c r="E993" s="4"/>
      <c r="F993" s="14"/>
      <c r="G993" s="14"/>
      <c r="H993" s="14"/>
      <c r="I993" s="5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  <c r="BP993" s="4"/>
      <c r="BQ993" s="4"/>
      <c r="BR993" s="4"/>
      <c r="BS993" s="4"/>
      <c r="BT993" s="4"/>
      <c r="BU993" s="4"/>
      <c r="BV993" s="4"/>
      <c r="BW993" s="4"/>
      <c r="BX993" s="4"/>
      <c r="BY993" s="4"/>
      <c r="BZ993" s="4"/>
      <c r="CA993" s="4"/>
      <c r="CB993" s="4"/>
      <c r="CC993" s="4"/>
      <c r="CD993" s="4"/>
      <c r="CE993" s="4"/>
      <c r="CF993" s="4"/>
      <c r="CG993" s="4"/>
      <c r="CH993" s="4"/>
    </row>
    <row r="994" spans="1:86" x14ac:dyDescent="0.25">
      <c r="A994" s="12">
        <f t="shared" si="21"/>
        <v>991</v>
      </c>
      <c r="B994" s="4" t="s">
        <v>1097</v>
      </c>
      <c r="C994" s="4" t="s">
        <v>1098</v>
      </c>
      <c r="D994" s="4" t="s">
        <v>508</v>
      </c>
      <c r="E994" s="4"/>
      <c r="F994" s="14"/>
      <c r="G994" s="14"/>
      <c r="H994" s="14"/>
      <c r="I994" s="5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  <c r="BK994" s="4"/>
      <c r="BL994" s="4"/>
      <c r="BM994" s="4"/>
      <c r="BN994" s="4"/>
      <c r="BO994" s="4"/>
      <c r="BP994" s="4"/>
      <c r="BQ994" s="4"/>
      <c r="BR994" s="4"/>
      <c r="BS994" s="4"/>
      <c r="BT994" s="4"/>
      <c r="BU994" s="4"/>
      <c r="BV994" s="4"/>
      <c r="BW994" s="4"/>
      <c r="BX994" s="4"/>
      <c r="BY994" s="4"/>
      <c r="BZ994" s="4"/>
      <c r="CA994" s="4"/>
      <c r="CB994" s="4"/>
      <c r="CC994" s="4"/>
      <c r="CD994" s="4"/>
      <c r="CE994" s="4"/>
      <c r="CF994" s="4"/>
      <c r="CG994" s="4"/>
      <c r="CH994" s="4"/>
    </row>
    <row r="995" spans="1:86" x14ac:dyDescent="0.25">
      <c r="A995" s="12">
        <f t="shared" si="21"/>
        <v>992</v>
      </c>
      <c r="B995" s="4" t="s">
        <v>2374</v>
      </c>
      <c r="C995" s="4" t="s">
        <v>2375</v>
      </c>
      <c r="D995" s="4" t="s">
        <v>87</v>
      </c>
      <c r="E995" s="4"/>
      <c r="F995" s="14"/>
      <c r="G995" s="14"/>
      <c r="H995" s="14"/>
      <c r="I995" s="5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  <c r="BK995" s="4"/>
      <c r="BL995" s="4"/>
      <c r="BM995" s="4"/>
      <c r="BN995" s="4"/>
      <c r="BO995" s="4"/>
      <c r="BP995" s="4"/>
      <c r="BQ995" s="4"/>
      <c r="BR995" s="4"/>
      <c r="BS995" s="4"/>
      <c r="BT995" s="4"/>
      <c r="BU995" s="4"/>
      <c r="BV995" s="4"/>
      <c r="BW995" s="4"/>
      <c r="BX995" s="4"/>
      <c r="BY995" s="4"/>
      <c r="BZ995" s="4"/>
      <c r="CA995" s="4"/>
      <c r="CB995" s="4"/>
      <c r="CC995" s="4"/>
      <c r="CD995" s="4"/>
      <c r="CE995" s="4"/>
      <c r="CF995" s="4"/>
      <c r="CG995" s="4"/>
      <c r="CH995" s="4"/>
    </row>
    <row r="996" spans="1:86" x14ac:dyDescent="0.25">
      <c r="A996" s="12">
        <f t="shared" si="21"/>
        <v>993</v>
      </c>
      <c r="B996" s="4" t="s">
        <v>2376</v>
      </c>
      <c r="C996" s="4" t="s">
        <v>2377</v>
      </c>
      <c r="D996" s="4" t="s">
        <v>45</v>
      </c>
      <c r="E996" s="4"/>
      <c r="F996" s="14"/>
      <c r="G996" s="14"/>
      <c r="H996" s="14"/>
      <c r="I996" s="5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  <c r="BK996" s="4"/>
      <c r="BL996" s="4"/>
      <c r="BM996" s="4"/>
      <c r="BN996" s="4"/>
      <c r="BO996" s="4"/>
      <c r="BP996" s="4"/>
      <c r="BQ996" s="4"/>
      <c r="BR996" s="4"/>
      <c r="BS996" s="4"/>
      <c r="BT996" s="4"/>
      <c r="BU996" s="4"/>
      <c r="BV996" s="4"/>
      <c r="BW996" s="4"/>
      <c r="BX996" s="4"/>
      <c r="BY996" s="4"/>
      <c r="BZ996" s="4"/>
      <c r="CA996" s="4"/>
      <c r="CB996" s="4"/>
      <c r="CC996" s="4"/>
      <c r="CD996" s="4"/>
      <c r="CE996" s="4"/>
      <c r="CF996" s="4"/>
      <c r="CG996" s="4"/>
      <c r="CH996" s="4"/>
    </row>
    <row r="997" spans="1:86" x14ac:dyDescent="0.25">
      <c r="A997" s="12">
        <f t="shared" si="21"/>
        <v>994</v>
      </c>
      <c r="B997" s="4" t="s">
        <v>2378</v>
      </c>
      <c r="C997" s="4" t="s">
        <v>2379</v>
      </c>
      <c r="D997" s="4" t="s">
        <v>2571</v>
      </c>
      <c r="E997" s="4"/>
      <c r="F997" s="14"/>
      <c r="G997" s="14"/>
      <c r="H997" s="14"/>
      <c r="I997" s="5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  <c r="BK997" s="4"/>
      <c r="BL997" s="4"/>
      <c r="BM997" s="4"/>
      <c r="BN997" s="4"/>
      <c r="BO997" s="4"/>
      <c r="BP997" s="4"/>
      <c r="BQ997" s="4"/>
      <c r="BR997" s="4"/>
      <c r="BS997" s="4"/>
      <c r="BT997" s="4"/>
      <c r="BU997" s="4"/>
      <c r="BV997" s="4"/>
      <c r="BW997" s="4"/>
      <c r="BX997" s="4"/>
      <c r="BY997" s="4"/>
      <c r="BZ997" s="4"/>
      <c r="CA997" s="4"/>
      <c r="CB997" s="4"/>
      <c r="CC997" s="4"/>
      <c r="CD997" s="4"/>
      <c r="CE997" s="4"/>
      <c r="CF997" s="4"/>
      <c r="CG997" s="4"/>
      <c r="CH997" s="4"/>
    </row>
    <row r="998" spans="1:86" x14ac:dyDescent="0.25">
      <c r="A998" s="12">
        <f t="shared" si="21"/>
        <v>995</v>
      </c>
      <c r="B998" s="4" t="s">
        <v>2380</v>
      </c>
      <c r="C998" s="4" t="s">
        <v>2381</v>
      </c>
      <c r="D998" s="4" t="s">
        <v>128</v>
      </c>
      <c r="E998" s="4"/>
      <c r="F998" s="14"/>
      <c r="G998" s="14"/>
      <c r="H998" s="14"/>
      <c r="I998" s="5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  <c r="BK998" s="4"/>
      <c r="BL998" s="4"/>
      <c r="BM998" s="4"/>
      <c r="BN998" s="4"/>
      <c r="BO998" s="4"/>
      <c r="BP998" s="4"/>
      <c r="BQ998" s="4"/>
      <c r="BR998" s="4"/>
      <c r="BS998" s="4"/>
      <c r="BT998" s="4"/>
      <c r="BU998" s="4"/>
      <c r="BV998" s="4"/>
      <c r="BW998" s="4"/>
      <c r="BX998" s="4"/>
      <c r="BY998" s="4"/>
      <c r="BZ998" s="4"/>
      <c r="CA998" s="4"/>
      <c r="CB998" s="4"/>
      <c r="CC998" s="4"/>
      <c r="CD998" s="4"/>
      <c r="CE998" s="4"/>
      <c r="CF998" s="4"/>
      <c r="CG998" s="4"/>
      <c r="CH998" s="4"/>
    </row>
    <row r="999" spans="1:86" x14ac:dyDescent="0.25">
      <c r="A999" s="12">
        <f t="shared" si="21"/>
        <v>996</v>
      </c>
      <c r="B999" s="4" t="s">
        <v>2382</v>
      </c>
      <c r="C999" s="4" t="s">
        <v>2383</v>
      </c>
      <c r="D999" s="4" t="s">
        <v>768</v>
      </c>
      <c r="E999" s="4"/>
      <c r="F999" s="14"/>
      <c r="G999" s="14"/>
      <c r="H999" s="14"/>
      <c r="I999" s="5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4"/>
      <c r="BE999" s="4"/>
      <c r="BF999" s="4"/>
      <c r="BG999" s="4"/>
      <c r="BH999" s="4"/>
      <c r="BI999" s="4"/>
      <c r="BJ999" s="4"/>
      <c r="BK999" s="4"/>
      <c r="BL999" s="4"/>
      <c r="BM999" s="4"/>
      <c r="BN999" s="4"/>
      <c r="BO999" s="4"/>
      <c r="BP999" s="4"/>
      <c r="BQ999" s="4"/>
      <c r="BR999" s="4"/>
      <c r="BS999" s="4"/>
      <c r="BT999" s="4"/>
      <c r="BU999" s="4"/>
      <c r="BV999" s="4"/>
      <c r="BW999" s="4"/>
      <c r="BX999" s="4"/>
      <c r="BY999" s="4"/>
      <c r="BZ999" s="4"/>
      <c r="CA999" s="4"/>
      <c r="CB999" s="4"/>
      <c r="CC999" s="4"/>
      <c r="CD999" s="4"/>
      <c r="CE999" s="4"/>
      <c r="CF999" s="4"/>
      <c r="CG999" s="4"/>
      <c r="CH999" s="4"/>
    </row>
    <row r="1000" spans="1:86" x14ac:dyDescent="0.25">
      <c r="A1000" s="12">
        <f t="shared" si="21"/>
        <v>997</v>
      </c>
      <c r="B1000" s="4" t="s">
        <v>2384</v>
      </c>
      <c r="C1000" s="4" t="s">
        <v>2385</v>
      </c>
      <c r="D1000" s="4" t="s">
        <v>45</v>
      </c>
      <c r="E1000" s="4"/>
      <c r="F1000" s="14"/>
      <c r="G1000" s="14"/>
      <c r="H1000" s="14"/>
      <c r="I1000" s="5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  <c r="AY1000" s="4"/>
      <c r="AZ1000" s="4"/>
      <c r="BA1000" s="4"/>
      <c r="BB1000" s="4"/>
      <c r="BC1000" s="4"/>
      <c r="BD1000" s="4"/>
      <c r="BE1000" s="4"/>
      <c r="BF1000" s="4"/>
      <c r="BG1000" s="4"/>
      <c r="BH1000" s="4"/>
      <c r="BI1000" s="4"/>
      <c r="BJ1000" s="4"/>
      <c r="BK1000" s="4"/>
      <c r="BL1000" s="4"/>
      <c r="BM1000" s="4"/>
      <c r="BN1000" s="4"/>
      <c r="BO1000" s="4"/>
      <c r="BP1000" s="4"/>
      <c r="BQ1000" s="4"/>
      <c r="BR1000" s="4"/>
      <c r="BS1000" s="4"/>
      <c r="BT1000" s="4"/>
      <c r="BU1000" s="4"/>
      <c r="BV1000" s="4"/>
      <c r="BW1000" s="4"/>
      <c r="BX1000" s="4"/>
      <c r="BY1000" s="4"/>
      <c r="BZ1000" s="4"/>
      <c r="CA1000" s="4"/>
      <c r="CB1000" s="4"/>
      <c r="CC1000" s="4"/>
      <c r="CD1000" s="4"/>
      <c r="CE1000" s="4"/>
      <c r="CF1000" s="4"/>
      <c r="CG1000" s="4"/>
      <c r="CH1000" s="4"/>
    </row>
    <row r="1001" spans="1:86" x14ac:dyDescent="0.25">
      <c r="A1001" s="12">
        <f t="shared" si="21"/>
        <v>998</v>
      </c>
      <c r="B1001" s="4" t="s">
        <v>2386</v>
      </c>
      <c r="C1001" s="4" t="s">
        <v>2387</v>
      </c>
      <c r="D1001" s="4" t="s">
        <v>1130</v>
      </c>
      <c r="E1001" s="4"/>
      <c r="F1001" s="14"/>
      <c r="G1001" s="14"/>
      <c r="H1001" s="14"/>
      <c r="I1001" s="5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  <c r="AY1001" s="4"/>
      <c r="AZ1001" s="4"/>
      <c r="BA1001" s="4"/>
      <c r="BB1001" s="4"/>
      <c r="BC1001" s="4"/>
      <c r="BD1001" s="4"/>
      <c r="BE1001" s="4"/>
      <c r="BF1001" s="4"/>
      <c r="BG1001" s="4"/>
      <c r="BH1001" s="4"/>
      <c r="BI1001" s="4"/>
      <c r="BJ1001" s="4"/>
      <c r="BK1001" s="4"/>
      <c r="BL1001" s="4"/>
      <c r="BM1001" s="4"/>
      <c r="BN1001" s="4"/>
      <c r="BO1001" s="4"/>
      <c r="BP1001" s="4"/>
      <c r="BQ1001" s="4"/>
      <c r="BR1001" s="4"/>
      <c r="BS1001" s="4"/>
      <c r="BT1001" s="4"/>
      <c r="BU1001" s="4"/>
      <c r="BV1001" s="4"/>
      <c r="BW1001" s="4"/>
      <c r="BX1001" s="4"/>
      <c r="BY1001" s="4"/>
      <c r="BZ1001" s="4"/>
      <c r="CA1001" s="4"/>
      <c r="CB1001" s="4"/>
      <c r="CC1001" s="4"/>
      <c r="CD1001" s="4"/>
      <c r="CE1001" s="4"/>
      <c r="CF1001" s="4"/>
      <c r="CG1001" s="4"/>
      <c r="CH1001" s="4"/>
    </row>
    <row r="1002" spans="1:86" x14ac:dyDescent="0.25">
      <c r="A1002" s="12">
        <f t="shared" si="21"/>
        <v>999</v>
      </c>
      <c r="B1002" s="4" t="s">
        <v>2388</v>
      </c>
      <c r="C1002" s="4" t="s">
        <v>2389</v>
      </c>
      <c r="D1002" s="4" t="s">
        <v>45</v>
      </c>
      <c r="E1002" s="4"/>
      <c r="F1002" s="14"/>
      <c r="G1002" s="14"/>
      <c r="H1002" s="14"/>
      <c r="I1002" s="5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  <c r="AY1002" s="4"/>
      <c r="AZ1002" s="4"/>
      <c r="BA1002" s="4"/>
      <c r="BB1002" s="4"/>
      <c r="BC1002" s="4"/>
      <c r="BD1002" s="4"/>
      <c r="BE1002" s="4"/>
      <c r="BF1002" s="4"/>
      <c r="BG1002" s="4"/>
      <c r="BH1002" s="4"/>
      <c r="BI1002" s="4"/>
      <c r="BJ1002" s="4"/>
      <c r="BK1002" s="4"/>
      <c r="BL1002" s="4"/>
      <c r="BM1002" s="4"/>
      <c r="BN1002" s="4"/>
      <c r="BO1002" s="4"/>
      <c r="BP1002" s="4"/>
      <c r="BQ1002" s="4"/>
      <c r="BR1002" s="4"/>
      <c r="BS1002" s="4"/>
      <c r="BT1002" s="4"/>
      <c r="BU1002" s="4"/>
      <c r="BV1002" s="4"/>
      <c r="BW1002" s="4"/>
      <c r="BX1002" s="4"/>
      <c r="BY1002" s="4"/>
      <c r="BZ1002" s="4"/>
      <c r="CA1002" s="4"/>
      <c r="CB1002" s="4"/>
      <c r="CC1002" s="4"/>
      <c r="CD1002" s="4"/>
      <c r="CE1002" s="4"/>
      <c r="CF1002" s="4"/>
      <c r="CG1002" s="4"/>
      <c r="CH1002" s="4"/>
    </row>
    <row r="1003" spans="1:86" x14ac:dyDescent="0.25">
      <c r="A1003" s="12">
        <f t="shared" si="21"/>
        <v>1000</v>
      </c>
      <c r="B1003" s="4" t="s">
        <v>2390</v>
      </c>
      <c r="C1003" s="4" t="s">
        <v>2391</v>
      </c>
      <c r="D1003" s="4" t="s">
        <v>1130</v>
      </c>
      <c r="E1003" s="4"/>
      <c r="F1003" s="14"/>
      <c r="G1003" s="14"/>
      <c r="H1003" s="14"/>
      <c r="I1003" s="5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  <c r="AT1003" s="4"/>
      <c r="AU1003" s="4"/>
      <c r="AV1003" s="4"/>
      <c r="AW1003" s="4"/>
      <c r="AX1003" s="4"/>
      <c r="AY1003" s="4"/>
      <c r="AZ1003" s="4"/>
      <c r="BA1003" s="4"/>
      <c r="BB1003" s="4"/>
      <c r="BC1003" s="4"/>
      <c r="BD1003" s="4"/>
      <c r="BE1003" s="4"/>
      <c r="BF1003" s="4"/>
      <c r="BG1003" s="4"/>
      <c r="BH1003" s="4"/>
      <c r="BI1003" s="4"/>
      <c r="BJ1003" s="4"/>
      <c r="BK1003" s="4"/>
      <c r="BL1003" s="4"/>
      <c r="BM1003" s="4"/>
      <c r="BN1003" s="4"/>
      <c r="BO1003" s="4"/>
      <c r="BP1003" s="4"/>
      <c r="BQ1003" s="4"/>
      <c r="BR1003" s="4"/>
      <c r="BS1003" s="4"/>
      <c r="BT1003" s="4"/>
      <c r="BU1003" s="4"/>
      <c r="BV1003" s="4"/>
      <c r="BW1003" s="4"/>
      <c r="BX1003" s="4"/>
      <c r="BY1003" s="4"/>
      <c r="BZ1003" s="4"/>
      <c r="CA1003" s="4"/>
      <c r="CB1003" s="4"/>
      <c r="CC1003" s="4"/>
      <c r="CD1003" s="4"/>
      <c r="CE1003" s="4"/>
      <c r="CF1003" s="4"/>
      <c r="CG1003" s="4"/>
      <c r="CH1003" s="4"/>
    </row>
    <row r="1004" spans="1:86" x14ac:dyDescent="0.25">
      <c r="A1004" s="12">
        <f t="shared" si="21"/>
        <v>1001</v>
      </c>
      <c r="B1004" s="4" t="s">
        <v>2392</v>
      </c>
      <c r="C1004" s="4" t="s">
        <v>2393</v>
      </c>
      <c r="D1004" s="4" t="s">
        <v>768</v>
      </c>
      <c r="E1004" s="4"/>
      <c r="F1004" s="14"/>
      <c r="G1004" s="14"/>
      <c r="H1004" s="14"/>
      <c r="I1004" s="5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  <c r="AP1004" s="4"/>
      <c r="AQ1004" s="4"/>
      <c r="AR1004" s="4"/>
      <c r="AS1004" s="4"/>
      <c r="AT1004" s="4"/>
      <c r="AU1004" s="4"/>
      <c r="AV1004" s="4"/>
      <c r="AW1004" s="4"/>
      <c r="AX1004" s="4"/>
      <c r="AY1004" s="4"/>
      <c r="AZ1004" s="4"/>
      <c r="BA1004" s="4"/>
      <c r="BB1004" s="4"/>
      <c r="BC1004" s="4"/>
      <c r="BD1004" s="4"/>
      <c r="BE1004" s="4"/>
      <c r="BF1004" s="4"/>
      <c r="BG1004" s="4"/>
      <c r="BH1004" s="4"/>
      <c r="BI1004" s="4"/>
      <c r="BJ1004" s="4"/>
      <c r="BK1004" s="4"/>
      <c r="BL1004" s="4"/>
      <c r="BM1004" s="4"/>
      <c r="BN1004" s="4"/>
      <c r="BO1004" s="4"/>
      <c r="BP1004" s="4"/>
      <c r="BQ1004" s="4"/>
      <c r="BR1004" s="4"/>
      <c r="BS1004" s="4"/>
      <c r="BT1004" s="4"/>
      <c r="BU1004" s="4"/>
      <c r="BV1004" s="4"/>
      <c r="BW1004" s="4"/>
      <c r="BX1004" s="4"/>
      <c r="BY1004" s="4"/>
      <c r="BZ1004" s="4"/>
      <c r="CA1004" s="4"/>
      <c r="CB1004" s="4"/>
      <c r="CC1004" s="4"/>
      <c r="CD1004" s="4"/>
      <c r="CE1004" s="4"/>
      <c r="CF1004" s="4"/>
      <c r="CG1004" s="4"/>
      <c r="CH1004" s="4"/>
    </row>
    <row r="1005" spans="1:86" x14ac:dyDescent="0.25">
      <c r="A1005" s="12">
        <f t="shared" si="21"/>
        <v>1002</v>
      </c>
      <c r="B1005" s="4" t="s">
        <v>2394</v>
      </c>
      <c r="C1005" s="4" t="s">
        <v>2395</v>
      </c>
      <c r="D1005" s="4" t="s">
        <v>87</v>
      </c>
      <c r="E1005" s="4"/>
      <c r="F1005" s="14"/>
      <c r="G1005" s="14"/>
      <c r="H1005" s="14"/>
      <c r="I1005" s="5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  <c r="AP1005" s="4"/>
      <c r="AQ1005" s="4"/>
      <c r="AR1005" s="4"/>
      <c r="AS1005" s="4"/>
      <c r="AT1005" s="4"/>
      <c r="AU1005" s="4"/>
      <c r="AV1005" s="4"/>
      <c r="AW1005" s="4"/>
      <c r="AX1005" s="4"/>
      <c r="AY1005" s="4"/>
      <c r="AZ1005" s="4"/>
      <c r="BA1005" s="4"/>
      <c r="BB1005" s="4"/>
      <c r="BC1005" s="4"/>
      <c r="BD1005" s="4"/>
      <c r="BE1005" s="4"/>
      <c r="BF1005" s="4"/>
      <c r="BG1005" s="4"/>
      <c r="BH1005" s="4"/>
      <c r="BI1005" s="4"/>
      <c r="BJ1005" s="4"/>
      <c r="BK1005" s="4"/>
      <c r="BL1005" s="4"/>
      <c r="BM1005" s="4"/>
      <c r="BN1005" s="4"/>
      <c r="BO1005" s="4"/>
      <c r="BP1005" s="4"/>
      <c r="BQ1005" s="4"/>
      <c r="BR1005" s="4"/>
      <c r="BS1005" s="4"/>
      <c r="BT1005" s="4"/>
      <c r="BU1005" s="4"/>
      <c r="BV1005" s="4"/>
      <c r="BW1005" s="4"/>
      <c r="BX1005" s="4"/>
      <c r="BY1005" s="4"/>
      <c r="BZ1005" s="4"/>
      <c r="CA1005" s="4"/>
      <c r="CB1005" s="4"/>
      <c r="CC1005" s="4"/>
      <c r="CD1005" s="4"/>
      <c r="CE1005" s="4"/>
      <c r="CF1005" s="4"/>
      <c r="CG1005" s="4"/>
      <c r="CH1005" s="4"/>
    </row>
    <row r="1006" spans="1:86" x14ac:dyDescent="0.25">
      <c r="A1006" s="12">
        <f t="shared" si="21"/>
        <v>1003</v>
      </c>
      <c r="B1006" s="4" t="s">
        <v>2396</v>
      </c>
      <c r="C1006" s="4" t="s">
        <v>2397</v>
      </c>
      <c r="D1006" s="4" t="s">
        <v>45</v>
      </c>
      <c r="E1006" s="4"/>
      <c r="F1006" s="14"/>
      <c r="G1006" s="14"/>
      <c r="H1006" s="14"/>
      <c r="I1006" s="5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  <c r="AM1006" s="4"/>
      <c r="AN1006" s="4"/>
      <c r="AO1006" s="4"/>
      <c r="AP1006" s="4"/>
      <c r="AQ1006" s="4"/>
      <c r="AR1006" s="4"/>
      <c r="AS1006" s="4"/>
      <c r="AT1006" s="4"/>
      <c r="AU1006" s="4"/>
      <c r="AV1006" s="4"/>
      <c r="AW1006" s="4"/>
      <c r="AX1006" s="4"/>
      <c r="AY1006" s="4"/>
      <c r="AZ1006" s="4"/>
      <c r="BA1006" s="4"/>
      <c r="BB1006" s="4"/>
      <c r="BC1006" s="4"/>
      <c r="BD1006" s="4"/>
      <c r="BE1006" s="4"/>
      <c r="BF1006" s="4"/>
      <c r="BG1006" s="4"/>
      <c r="BH1006" s="4"/>
      <c r="BI1006" s="4"/>
      <c r="BJ1006" s="4"/>
      <c r="BK1006" s="4"/>
      <c r="BL1006" s="4"/>
      <c r="BM1006" s="4"/>
      <c r="BN1006" s="4"/>
      <c r="BO1006" s="4"/>
      <c r="BP1006" s="4"/>
      <c r="BQ1006" s="4"/>
      <c r="BR1006" s="4"/>
      <c r="BS1006" s="4"/>
      <c r="BT1006" s="4"/>
      <c r="BU1006" s="4"/>
      <c r="BV1006" s="4"/>
      <c r="BW1006" s="4"/>
      <c r="BX1006" s="4"/>
      <c r="BY1006" s="4"/>
      <c r="BZ1006" s="4"/>
      <c r="CA1006" s="4"/>
      <c r="CB1006" s="4"/>
      <c r="CC1006" s="4"/>
      <c r="CD1006" s="4"/>
      <c r="CE1006" s="4"/>
      <c r="CF1006" s="4"/>
      <c r="CG1006" s="4"/>
      <c r="CH1006" s="4"/>
    </row>
    <row r="1007" spans="1:86" x14ac:dyDescent="0.25">
      <c r="A1007" s="12">
        <f t="shared" si="21"/>
        <v>1004</v>
      </c>
      <c r="B1007" s="4" t="s">
        <v>2398</v>
      </c>
      <c r="C1007" s="4" t="s">
        <v>2399</v>
      </c>
      <c r="D1007" s="4" t="s">
        <v>84</v>
      </c>
      <c r="E1007" s="4"/>
      <c r="F1007" s="14"/>
      <c r="G1007" s="14"/>
      <c r="H1007" s="14"/>
      <c r="I1007" s="5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  <c r="AF1007" s="4"/>
      <c r="AG1007" s="4"/>
      <c r="AH1007" s="4"/>
      <c r="AI1007" s="4"/>
      <c r="AJ1007" s="4"/>
      <c r="AK1007" s="4"/>
      <c r="AL1007" s="4"/>
      <c r="AM1007" s="4"/>
      <c r="AN1007" s="4"/>
      <c r="AO1007" s="4"/>
      <c r="AP1007" s="4"/>
      <c r="AQ1007" s="4"/>
      <c r="AR1007" s="4"/>
      <c r="AS1007" s="4"/>
      <c r="AT1007" s="4"/>
      <c r="AU1007" s="4"/>
      <c r="AV1007" s="4"/>
      <c r="AW1007" s="4"/>
      <c r="AX1007" s="4"/>
      <c r="AY1007" s="4"/>
      <c r="AZ1007" s="4"/>
      <c r="BA1007" s="4"/>
      <c r="BB1007" s="4"/>
      <c r="BC1007" s="4"/>
      <c r="BD1007" s="4"/>
      <c r="BE1007" s="4"/>
      <c r="BF1007" s="4"/>
      <c r="BG1007" s="4"/>
      <c r="BH1007" s="4"/>
      <c r="BI1007" s="4"/>
      <c r="BJ1007" s="4"/>
      <c r="BK1007" s="4"/>
      <c r="BL1007" s="4"/>
      <c r="BM1007" s="4"/>
      <c r="BN1007" s="4"/>
      <c r="BO1007" s="4"/>
      <c r="BP1007" s="4"/>
      <c r="BQ1007" s="4"/>
      <c r="BR1007" s="4"/>
      <c r="BS1007" s="4"/>
      <c r="BT1007" s="4"/>
      <c r="BU1007" s="4"/>
      <c r="BV1007" s="4"/>
      <c r="BW1007" s="4"/>
      <c r="BX1007" s="4"/>
      <c r="BY1007" s="4"/>
      <c r="BZ1007" s="4"/>
      <c r="CA1007" s="4"/>
      <c r="CB1007" s="4"/>
      <c r="CC1007" s="4"/>
      <c r="CD1007" s="4"/>
      <c r="CE1007" s="4"/>
      <c r="CF1007" s="4"/>
      <c r="CG1007" s="4"/>
      <c r="CH1007" s="4"/>
    </row>
    <row r="1008" spans="1:86" x14ac:dyDescent="0.25">
      <c r="A1008" s="12">
        <f t="shared" si="21"/>
        <v>1005</v>
      </c>
      <c r="B1008" s="4" t="s">
        <v>2400</v>
      </c>
      <c r="C1008" s="4" t="s">
        <v>2401</v>
      </c>
      <c r="D1008" s="4" t="s">
        <v>1125</v>
      </c>
      <c r="E1008" s="4"/>
      <c r="F1008" s="14"/>
      <c r="G1008" s="14"/>
      <c r="H1008" s="14"/>
      <c r="I1008" s="5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  <c r="AF1008" s="4"/>
      <c r="AG1008" s="4"/>
      <c r="AH1008" s="4"/>
      <c r="AI1008" s="4"/>
      <c r="AJ1008" s="4"/>
      <c r="AK1008" s="4"/>
      <c r="AL1008" s="4"/>
      <c r="AM1008" s="4"/>
      <c r="AN1008" s="4"/>
      <c r="AO1008" s="4"/>
      <c r="AP1008" s="4"/>
      <c r="AQ1008" s="4"/>
      <c r="AR1008" s="4"/>
      <c r="AS1008" s="4"/>
      <c r="AT1008" s="4"/>
      <c r="AU1008" s="4"/>
      <c r="AV1008" s="4"/>
      <c r="AW1008" s="4"/>
      <c r="AX1008" s="4"/>
      <c r="AY1008" s="4"/>
      <c r="AZ1008" s="4"/>
      <c r="BA1008" s="4"/>
      <c r="BB1008" s="4"/>
      <c r="BC1008" s="4"/>
      <c r="BD1008" s="4"/>
      <c r="BE1008" s="4"/>
      <c r="BF1008" s="4"/>
      <c r="BG1008" s="4"/>
      <c r="BH1008" s="4"/>
      <c r="BI1008" s="4"/>
      <c r="BJ1008" s="4"/>
      <c r="BK1008" s="4"/>
      <c r="BL1008" s="4"/>
      <c r="BM1008" s="4"/>
      <c r="BN1008" s="4"/>
      <c r="BO1008" s="4"/>
      <c r="BP1008" s="4"/>
      <c r="BQ1008" s="4"/>
      <c r="BR1008" s="4"/>
      <c r="BS1008" s="4"/>
      <c r="BT1008" s="4"/>
      <c r="BU1008" s="4"/>
      <c r="BV1008" s="4"/>
      <c r="BW1008" s="4"/>
      <c r="BX1008" s="4"/>
      <c r="BY1008" s="4"/>
      <c r="BZ1008" s="4"/>
      <c r="CA1008" s="4"/>
      <c r="CB1008" s="4"/>
      <c r="CC1008" s="4"/>
      <c r="CD1008" s="4"/>
      <c r="CE1008" s="4"/>
      <c r="CF1008" s="4"/>
      <c r="CG1008" s="4"/>
      <c r="CH1008" s="4"/>
    </row>
    <row r="1009" spans="1:86" x14ac:dyDescent="0.25">
      <c r="A1009" s="12">
        <f t="shared" si="21"/>
        <v>1006</v>
      </c>
      <c r="B1009" s="4" t="s">
        <v>2402</v>
      </c>
      <c r="C1009" s="4" t="s">
        <v>2403</v>
      </c>
      <c r="D1009" s="4" t="s">
        <v>768</v>
      </c>
      <c r="E1009" s="4"/>
      <c r="F1009" s="14"/>
      <c r="G1009" s="14"/>
      <c r="H1009" s="14"/>
      <c r="I1009" s="5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  <c r="AF1009" s="4"/>
      <c r="AG1009" s="4"/>
      <c r="AH1009" s="4"/>
      <c r="AI1009" s="4"/>
      <c r="AJ1009" s="4"/>
      <c r="AK1009" s="4"/>
      <c r="AL1009" s="4"/>
      <c r="AM1009" s="4"/>
      <c r="AN1009" s="4"/>
      <c r="AO1009" s="4"/>
      <c r="AP1009" s="4"/>
      <c r="AQ1009" s="4"/>
      <c r="AR1009" s="4"/>
      <c r="AS1009" s="4"/>
      <c r="AT1009" s="4"/>
      <c r="AU1009" s="4"/>
      <c r="AV1009" s="4"/>
      <c r="AW1009" s="4"/>
      <c r="AX1009" s="4"/>
      <c r="AY1009" s="4"/>
      <c r="AZ1009" s="4"/>
      <c r="BA1009" s="4"/>
      <c r="BB1009" s="4"/>
      <c r="BC1009" s="4"/>
      <c r="BD1009" s="4"/>
      <c r="BE1009" s="4"/>
      <c r="BF1009" s="4"/>
      <c r="BG1009" s="4"/>
      <c r="BH1009" s="4"/>
      <c r="BI1009" s="4"/>
      <c r="BJ1009" s="4"/>
      <c r="BK1009" s="4"/>
      <c r="BL1009" s="4"/>
      <c r="BM1009" s="4"/>
      <c r="BN1009" s="4"/>
      <c r="BO1009" s="4"/>
      <c r="BP1009" s="4"/>
      <c r="BQ1009" s="4"/>
      <c r="BR1009" s="4"/>
      <c r="BS1009" s="4"/>
      <c r="BT1009" s="4"/>
      <c r="BU1009" s="4"/>
      <c r="BV1009" s="4"/>
      <c r="BW1009" s="4"/>
      <c r="BX1009" s="4"/>
      <c r="BY1009" s="4"/>
      <c r="BZ1009" s="4"/>
      <c r="CA1009" s="4"/>
      <c r="CB1009" s="4"/>
      <c r="CC1009" s="4"/>
      <c r="CD1009" s="4"/>
      <c r="CE1009" s="4"/>
      <c r="CF1009" s="4"/>
      <c r="CG1009" s="4"/>
      <c r="CH1009" s="4"/>
    </row>
    <row r="1010" spans="1:86" x14ac:dyDescent="0.25">
      <c r="A1010" s="12">
        <f t="shared" si="21"/>
        <v>1007</v>
      </c>
      <c r="B1010" s="4" t="s">
        <v>2404</v>
      </c>
      <c r="C1010" s="4" t="s">
        <v>2405</v>
      </c>
      <c r="D1010" s="4" t="s">
        <v>45</v>
      </c>
      <c r="E1010" s="4"/>
      <c r="F1010" s="14"/>
      <c r="G1010" s="14"/>
      <c r="H1010" s="14"/>
      <c r="I1010" s="5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  <c r="AF1010" s="4"/>
      <c r="AG1010" s="4"/>
      <c r="AH1010" s="4"/>
      <c r="AI1010" s="4"/>
      <c r="AJ1010" s="4"/>
      <c r="AK1010" s="4"/>
      <c r="AL1010" s="4"/>
      <c r="AM1010" s="4"/>
      <c r="AN1010" s="4"/>
      <c r="AO1010" s="4"/>
      <c r="AP1010" s="4"/>
      <c r="AQ1010" s="4"/>
      <c r="AR1010" s="4"/>
      <c r="AS1010" s="4"/>
      <c r="AT1010" s="4"/>
      <c r="AU1010" s="4"/>
      <c r="AV1010" s="4"/>
      <c r="AW1010" s="4"/>
      <c r="AX1010" s="4"/>
      <c r="AY1010" s="4"/>
      <c r="AZ1010" s="4"/>
      <c r="BA1010" s="4"/>
      <c r="BB1010" s="4"/>
      <c r="BC1010" s="4"/>
      <c r="BD1010" s="4"/>
      <c r="BE1010" s="4"/>
      <c r="BF1010" s="4"/>
      <c r="BG1010" s="4"/>
      <c r="BH1010" s="4"/>
      <c r="BI1010" s="4"/>
      <c r="BJ1010" s="4"/>
      <c r="BK1010" s="4"/>
      <c r="BL1010" s="4"/>
      <c r="BM1010" s="4"/>
      <c r="BN1010" s="4"/>
      <c r="BO1010" s="4"/>
      <c r="BP1010" s="4"/>
      <c r="BQ1010" s="4"/>
      <c r="BR1010" s="4"/>
      <c r="BS1010" s="4"/>
      <c r="BT1010" s="4"/>
      <c r="BU1010" s="4"/>
      <c r="BV1010" s="4"/>
      <c r="BW1010" s="4"/>
      <c r="BX1010" s="4"/>
      <c r="BY1010" s="4"/>
      <c r="BZ1010" s="4"/>
      <c r="CA1010" s="4"/>
      <c r="CB1010" s="4"/>
      <c r="CC1010" s="4"/>
      <c r="CD1010" s="4"/>
      <c r="CE1010" s="4"/>
      <c r="CF1010" s="4"/>
      <c r="CG1010" s="4"/>
      <c r="CH1010" s="4"/>
    </row>
    <row r="1011" spans="1:86" x14ac:dyDescent="0.25">
      <c r="A1011" s="12">
        <f t="shared" si="21"/>
        <v>1008</v>
      </c>
      <c r="B1011" s="4" t="s">
        <v>2406</v>
      </c>
      <c r="C1011" s="4" t="s">
        <v>2407</v>
      </c>
      <c r="D1011" s="4" t="s">
        <v>87</v>
      </c>
      <c r="E1011" s="4"/>
      <c r="F1011" s="14"/>
      <c r="G1011" s="14"/>
      <c r="H1011" s="14"/>
      <c r="I1011" s="5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  <c r="AF1011" s="4"/>
      <c r="AG1011" s="4"/>
      <c r="AH1011" s="4"/>
      <c r="AI1011" s="4"/>
      <c r="AJ1011" s="4"/>
      <c r="AK1011" s="4"/>
      <c r="AL1011" s="4"/>
      <c r="AM1011" s="4"/>
      <c r="AN1011" s="4"/>
      <c r="AO1011" s="4"/>
      <c r="AP1011" s="4"/>
      <c r="AQ1011" s="4"/>
      <c r="AR1011" s="4"/>
      <c r="AS1011" s="4"/>
      <c r="AT1011" s="4"/>
      <c r="AU1011" s="4"/>
      <c r="AV1011" s="4"/>
      <c r="AW1011" s="4"/>
      <c r="AX1011" s="4"/>
      <c r="AY1011" s="4"/>
      <c r="AZ1011" s="4"/>
      <c r="BA1011" s="4"/>
      <c r="BB1011" s="4"/>
      <c r="BC1011" s="4"/>
      <c r="BD1011" s="4"/>
      <c r="BE1011" s="4"/>
      <c r="BF1011" s="4"/>
      <c r="BG1011" s="4"/>
      <c r="BH1011" s="4"/>
      <c r="BI1011" s="4"/>
      <c r="BJ1011" s="4"/>
      <c r="BK1011" s="4"/>
      <c r="BL1011" s="4"/>
      <c r="BM1011" s="4"/>
      <c r="BN1011" s="4"/>
      <c r="BO1011" s="4"/>
      <c r="BP1011" s="4"/>
      <c r="BQ1011" s="4"/>
      <c r="BR1011" s="4"/>
      <c r="BS1011" s="4"/>
      <c r="BT1011" s="4"/>
      <c r="BU1011" s="4"/>
      <c r="BV1011" s="4"/>
      <c r="BW1011" s="4"/>
      <c r="BX1011" s="4"/>
      <c r="BY1011" s="4"/>
      <c r="BZ1011" s="4"/>
      <c r="CA1011" s="4"/>
      <c r="CB1011" s="4"/>
      <c r="CC1011" s="4"/>
      <c r="CD1011" s="4"/>
      <c r="CE1011" s="4"/>
      <c r="CF1011" s="4"/>
      <c r="CG1011" s="4"/>
      <c r="CH1011" s="4"/>
    </row>
    <row r="1012" spans="1:86" x14ac:dyDescent="0.25">
      <c r="A1012" s="12">
        <f t="shared" si="21"/>
        <v>1009</v>
      </c>
      <c r="B1012" s="4" t="s">
        <v>2408</v>
      </c>
      <c r="C1012" s="4" t="s">
        <v>2409</v>
      </c>
      <c r="D1012" s="4" t="s">
        <v>45</v>
      </c>
      <c r="E1012" s="4"/>
      <c r="F1012" s="14"/>
      <c r="G1012" s="14"/>
      <c r="H1012" s="14"/>
      <c r="I1012" s="5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  <c r="AF1012" s="4"/>
      <c r="AG1012" s="4"/>
      <c r="AH1012" s="4"/>
      <c r="AI1012" s="4"/>
      <c r="AJ1012" s="4"/>
      <c r="AK1012" s="4"/>
      <c r="AL1012" s="4"/>
      <c r="AM1012" s="4"/>
      <c r="AN1012" s="4"/>
      <c r="AO1012" s="4"/>
      <c r="AP1012" s="4"/>
      <c r="AQ1012" s="4"/>
      <c r="AR1012" s="4"/>
      <c r="AS1012" s="4"/>
      <c r="AT1012" s="4"/>
      <c r="AU1012" s="4"/>
      <c r="AV1012" s="4"/>
      <c r="AW1012" s="4"/>
      <c r="AX1012" s="4"/>
      <c r="AY1012" s="4"/>
      <c r="AZ1012" s="4"/>
      <c r="BA1012" s="4"/>
      <c r="BB1012" s="4"/>
      <c r="BC1012" s="4"/>
      <c r="BD1012" s="4"/>
      <c r="BE1012" s="4"/>
      <c r="BF1012" s="4"/>
      <c r="BG1012" s="4"/>
      <c r="BH1012" s="4"/>
      <c r="BI1012" s="4"/>
      <c r="BJ1012" s="4"/>
      <c r="BK1012" s="4"/>
      <c r="BL1012" s="4"/>
      <c r="BM1012" s="4"/>
      <c r="BN1012" s="4"/>
      <c r="BO1012" s="4"/>
      <c r="BP1012" s="4"/>
      <c r="BQ1012" s="4"/>
      <c r="BR1012" s="4"/>
      <c r="BS1012" s="4"/>
      <c r="BT1012" s="4"/>
      <c r="BU1012" s="4"/>
      <c r="BV1012" s="4"/>
      <c r="BW1012" s="4"/>
      <c r="BX1012" s="4"/>
      <c r="BY1012" s="4"/>
      <c r="BZ1012" s="4"/>
      <c r="CA1012" s="4"/>
      <c r="CB1012" s="4"/>
      <c r="CC1012" s="4"/>
      <c r="CD1012" s="4"/>
      <c r="CE1012" s="4"/>
      <c r="CF1012" s="4"/>
      <c r="CG1012" s="4"/>
      <c r="CH1012" s="4"/>
    </row>
    <row r="1013" spans="1:86" x14ac:dyDescent="0.25">
      <c r="A1013" s="12">
        <f t="shared" si="21"/>
        <v>1010</v>
      </c>
      <c r="B1013" s="4" t="s">
        <v>2410</v>
      </c>
      <c r="C1013" s="4" t="s">
        <v>2411</v>
      </c>
      <c r="D1013" s="4" t="s">
        <v>87</v>
      </c>
      <c r="E1013" s="4"/>
      <c r="F1013" s="14"/>
      <c r="G1013" s="14"/>
      <c r="H1013" s="14"/>
      <c r="I1013" s="5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  <c r="AF1013" s="4"/>
      <c r="AG1013" s="4"/>
      <c r="AH1013" s="4"/>
      <c r="AI1013" s="4"/>
      <c r="AJ1013" s="4"/>
      <c r="AK1013" s="4"/>
      <c r="AL1013" s="4"/>
      <c r="AM1013" s="4"/>
      <c r="AN1013" s="4"/>
      <c r="AO1013" s="4"/>
      <c r="AP1013" s="4"/>
      <c r="AQ1013" s="4"/>
      <c r="AR1013" s="4"/>
      <c r="AS1013" s="4"/>
      <c r="AT1013" s="4"/>
      <c r="AU1013" s="4"/>
      <c r="AV1013" s="4"/>
      <c r="AW1013" s="4"/>
      <c r="AX1013" s="4"/>
      <c r="AY1013" s="4"/>
      <c r="AZ1013" s="4"/>
      <c r="BA1013" s="4"/>
      <c r="BB1013" s="4"/>
      <c r="BC1013" s="4"/>
      <c r="BD1013" s="4"/>
      <c r="BE1013" s="4"/>
      <c r="BF1013" s="4"/>
      <c r="BG1013" s="4"/>
      <c r="BH1013" s="4"/>
      <c r="BI1013" s="4"/>
      <c r="BJ1013" s="4"/>
      <c r="BK1013" s="4"/>
      <c r="BL1013" s="4"/>
      <c r="BM1013" s="4"/>
      <c r="BN1013" s="4"/>
      <c r="BO1013" s="4"/>
      <c r="BP1013" s="4"/>
      <c r="BQ1013" s="4"/>
      <c r="BR1013" s="4"/>
      <c r="BS1013" s="4"/>
      <c r="BT1013" s="4"/>
      <c r="BU1013" s="4"/>
      <c r="BV1013" s="4"/>
      <c r="BW1013" s="4"/>
      <c r="BX1013" s="4"/>
      <c r="BY1013" s="4"/>
      <c r="BZ1013" s="4"/>
      <c r="CA1013" s="4"/>
      <c r="CB1013" s="4"/>
      <c r="CC1013" s="4"/>
      <c r="CD1013" s="4"/>
      <c r="CE1013" s="4"/>
      <c r="CF1013" s="4"/>
      <c r="CG1013" s="4"/>
      <c r="CH1013" s="4"/>
    </row>
    <row r="1014" spans="1:86" x14ac:dyDescent="0.25">
      <c r="A1014" s="12">
        <f t="shared" si="21"/>
        <v>1011</v>
      </c>
      <c r="B1014" s="4" t="s">
        <v>2412</v>
      </c>
      <c r="C1014" s="4" t="s">
        <v>2413</v>
      </c>
      <c r="D1014" s="4" t="s">
        <v>87</v>
      </c>
      <c r="E1014" s="4"/>
      <c r="F1014" s="14"/>
      <c r="G1014" s="14"/>
      <c r="H1014" s="14"/>
      <c r="I1014" s="5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  <c r="AF1014" s="4"/>
      <c r="AG1014" s="4"/>
      <c r="AH1014" s="4"/>
      <c r="AI1014" s="4"/>
      <c r="AJ1014" s="4"/>
      <c r="AK1014" s="4"/>
      <c r="AL1014" s="4"/>
      <c r="AM1014" s="4"/>
      <c r="AN1014" s="4"/>
      <c r="AO1014" s="4"/>
      <c r="AP1014" s="4"/>
      <c r="AQ1014" s="4"/>
      <c r="AR1014" s="4"/>
      <c r="AS1014" s="4"/>
      <c r="AT1014" s="4"/>
      <c r="AU1014" s="4"/>
      <c r="AV1014" s="4"/>
      <c r="AW1014" s="4"/>
      <c r="AX1014" s="4"/>
      <c r="AY1014" s="4"/>
      <c r="AZ1014" s="4"/>
      <c r="BA1014" s="4"/>
      <c r="BB1014" s="4"/>
      <c r="BC1014" s="4"/>
      <c r="BD1014" s="4"/>
      <c r="BE1014" s="4"/>
      <c r="BF1014" s="4"/>
      <c r="BG1014" s="4"/>
      <c r="BH1014" s="4"/>
      <c r="BI1014" s="4"/>
      <c r="BJ1014" s="4"/>
      <c r="BK1014" s="4"/>
      <c r="BL1014" s="4"/>
      <c r="BM1014" s="4"/>
      <c r="BN1014" s="4"/>
      <c r="BO1014" s="4"/>
      <c r="BP1014" s="4"/>
      <c r="BQ1014" s="4"/>
      <c r="BR1014" s="4"/>
      <c r="BS1014" s="4"/>
      <c r="BT1014" s="4"/>
      <c r="BU1014" s="4"/>
      <c r="BV1014" s="4"/>
      <c r="BW1014" s="4"/>
      <c r="BX1014" s="4"/>
      <c r="BY1014" s="4"/>
      <c r="BZ1014" s="4"/>
      <c r="CA1014" s="4"/>
      <c r="CB1014" s="4"/>
      <c r="CC1014" s="4"/>
      <c r="CD1014" s="4"/>
      <c r="CE1014" s="4"/>
      <c r="CF1014" s="4"/>
      <c r="CG1014" s="4"/>
      <c r="CH1014" s="4"/>
    </row>
    <row r="1015" spans="1:86" x14ac:dyDescent="0.25">
      <c r="A1015" s="12">
        <f t="shared" si="21"/>
        <v>1012</v>
      </c>
      <c r="B1015" s="4" t="s">
        <v>2414</v>
      </c>
      <c r="C1015" s="4" t="s">
        <v>2415</v>
      </c>
      <c r="D1015" s="4" t="s">
        <v>161</v>
      </c>
      <c r="E1015" s="4"/>
      <c r="F1015" s="14"/>
      <c r="G1015" s="14"/>
      <c r="H1015" s="14"/>
      <c r="I1015" s="5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  <c r="AF1015" s="4"/>
      <c r="AG1015" s="4"/>
      <c r="AH1015" s="4"/>
      <c r="AI1015" s="4"/>
      <c r="AJ1015" s="4"/>
      <c r="AK1015" s="4"/>
      <c r="AL1015" s="4"/>
      <c r="AM1015" s="4"/>
      <c r="AN1015" s="4"/>
      <c r="AO1015" s="4"/>
      <c r="AP1015" s="4"/>
      <c r="AQ1015" s="4"/>
      <c r="AR1015" s="4"/>
      <c r="AS1015" s="4"/>
      <c r="AT1015" s="4"/>
      <c r="AU1015" s="4"/>
      <c r="AV1015" s="4"/>
      <c r="AW1015" s="4"/>
      <c r="AX1015" s="4"/>
      <c r="AY1015" s="4"/>
      <c r="AZ1015" s="4"/>
      <c r="BA1015" s="4"/>
      <c r="BB1015" s="4"/>
      <c r="BC1015" s="4"/>
      <c r="BD1015" s="4"/>
      <c r="BE1015" s="4"/>
      <c r="BF1015" s="4"/>
      <c r="BG1015" s="4"/>
      <c r="BH1015" s="4"/>
      <c r="BI1015" s="4"/>
      <c r="BJ1015" s="4"/>
      <c r="BK1015" s="4"/>
      <c r="BL1015" s="4"/>
      <c r="BM1015" s="4"/>
      <c r="BN1015" s="4"/>
      <c r="BO1015" s="4"/>
      <c r="BP1015" s="4"/>
      <c r="BQ1015" s="4"/>
      <c r="BR1015" s="4"/>
      <c r="BS1015" s="4"/>
      <c r="BT1015" s="4"/>
      <c r="BU1015" s="4"/>
      <c r="BV1015" s="4"/>
      <c r="BW1015" s="4"/>
      <c r="BX1015" s="4"/>
      <c r="BY1015" s="4"/>
      <c r="BZ1015" s="4"/>
      <c r="CA1015" s="4"/>
      <c r="CB1015" s="4"/>
      <c r="CC1015" s="4"/>
      <c r="CD1015" s="4"/>
      <c r="CE1015" s="4"/>
      <c r="CF1015" s="4"/>
      <c r="CG1015" s="4"/>
      <c r="CH1015" s="4"/>
    </row>
    <row r="1016" spans="1:86" x14ac:dyDescent="0.25">
      <c r="A1016" s="12">
        <f t="shared" si="21"/>
        <v>1013</v>
      </c>
      <c r="B1016" s="4" t="s">
        <v>2416</v>
      </c>
      <c r="C1016" s="4" t="s">
        <v>2417</v>
      </c>
      <c r="D1016" s="4" t="s">
        <v>508</v>
      </c>
      <c r="E1016" s="4"/>
      <c r="F1016" s="14"/>
      <c r="G1016" s="14"/>
      <c r="H1016" s="14"/>
      <c r="I1016" s="5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  <c r="AF1016" s="4"/>
      <c r="AG1016" s="4"/>
      <c r="AH1016" s="4"/>
      <c r="AI1016" s="4"/>
      <c r="AJ1016" s="4"/>
      <c r="AK1016" s="4"/>
      <c r="AL1016" s="4"/>
      <c r="AM1016" s="4"/>
      <c r="AN1016" s="4"/>
      <c r="AO1016" s="4"/>
      <c r="AP1016" s="4"/>
      <c r="AQ1016" s="4"/>
      <c r="AR1016" s="4"/>
      <c r="AS1016" s="4"/>
      <c r="AT1016" s="4"/>
      <c r="AU1016" s="4"/>
      <c r="AV1016" s="4"/>
      <c r="AW1016" s="4"/>
      <c r="AX1016" s="4"/>
      <c r="AY1016" s="4"/>
      <c r="AZ1016" s="4"/>
      <c r="BA1016" s="4"/>
      <c r="BB1016" s="4"/>
      <c r="BC1016" s="4"/>
      <c r="BD1016" s="4"/>
      <c r="BE1016" s="4"/>
      <c r="BF1016" s="4"/>
      <c r="BG1016" s="4"/>
      <c r="BH1016" s="4"/>
      <c r="BI1016" s="4"/>
      <c r="BJ1016" s="4"/>
      <c r="BK1016" s="4"/>
      <c r="BL1016" s="4"/>
      <c r="BM1016" s="4"/>
      <c r="BN1016" s="4"/>
      <c r="BO1016" s="4"/>
      <c r="BP1016" s="4"/>
      <c r="BQ1016" s="4"/>
      <c r="BR1016" s="4"/>
      <c r="BS1016" s="4"/>
      <c r="BT1016" s="4"/>
      <c r="BU1016" s="4"/>
      <c r="BV1016" s="4"/>
      <c r="BW1016" s="4"/>
      <c r="BX1016" s="4"/>
      <c r="BY1016" s="4"/>
      <c r="BZ1016" s="4"/>
      <c r="CA1016" s="4"/>
      <c r="CB1016" s="4"/>
      <c r="CC1016" s="4"/>
      <c r="CD1016" s="4"/>
      <c r="CE1016" s="4"/>
      <c r="CF1016" s="4"/>
      <c r="CG1016" s="4"/>
      <c r="CH1016" s="4"/>
    </row>
    <row r="1017" spans="1:86" x14ac:dyDescent="0.25">
      <c r="A1017" s="12">
        <f t="shared" si="21"/>
        <v>1014</v>
      </c>
      <c r="B1017" s="4" t="s">
        <v>2418</v>
      </c>
      <c r="C1017" s="4" t="s">
        <v>2419</v>
      </c>
      <c r="D1017" s="4" t="s">
        <v>955</v>
      </c>
      <c r="E1017" s="4"/>
      <c r="F1017" s="14"/>
      <c r="G1017" s="14"/>
      <c r="H1017" s="14"/>
      <c r="I1017" s="5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  <c r="AF1017" s="4"/>
      <c r="AG1017" s="4"/>
      <c r="AH1017" s="4"/>
      <c r="AI1017" s="4"/>
      <c r="AJ1017" s="4"/>
      <c r="AK1017" s="4"/>
      <c r="AL1017" s="4"/>
      <c r="AM1017" s="4"/>
      <c r="AN1017" s="4"/>
      <c r="AO1017" s="4"/>
      <c r="AP1017" s="4"/>
      <c r="AQ1017" s="4"/>
      <c r="AR1017" s="4"/>
      <c r="AS1017" s="4"/>
      <c r="AT1017" s="4"/>
      <c r="AU1017" s="4"/>
      <c r="AV1017" s="4"/>
      <c r="AW1017" s="4"/>
      <c r="AX1017" s="4"/>
      <c r="AY1017" s="4"/>
      <c r="AZ1017" s="4"/>
      <c r="BA1017" s="4"/>
      <c r="BB1017" s="4"/>
      <c r="BC1017" s="4"/>
      <c r="BD1017" s="4"/>
      <c r="BE1017" s="4"/>
      <c r="BF1017" s="4"/>
      <c r="BG1017" s="4"/>
      <c r="BH1017" s="4"/>
      <c r="BI1017" s="4"/>
      <c r="BJ1017" s="4"/>
      <c r="BK1017" s="4"/>
      <c r="BL1017" s="4"/>
      <c r="BM1017" s="4"/>
      <c r="BN1017" s="4"/>
      <c r="BO1017" s="4"/>
      <c r="BP1017" s="4"/>
      <c r="BQ1017" s="4"/>
      <c r="BR1017" s="4"/>
      <c r="BS1017" s="4"/>
      <c r="BT1017" s="4"/>
      <c r="BU1017" s="4"/>
      <c r="BV1017" s="4"/>
      <c r="BW1017" s="4"/>
      <c r="BX1017" s="4"/>
      <c r="BY1017" s="4"/>
      <c r="BZ1017" s="4"/>
      <c r="CA1017" s="4"/>
      <c r="CB1017" s="4"/>
      <c r="CC1017" s="4"/>
      <c r="CD1017" s="4"/>
      <c r="CE1017" s="4"/>
      <c r="CF1017" s="4"/>
      <c r="CG1017" s="4"/>
      <c r="CH1017" s="4"/>
    </row>
    <row r="1018" spans="1:86" x14ac:dyDescent="0.25">
      <c r="A1018" s="12">
        <f t="shared" si="21"/>
        <v>1015</v>
      </c>
      <c r="B1018" s="4" t="s">
        <v>2420</v>
      </c>
      <c r="C1018" s="4" t="s">
        <v>2421</v>
      </c>
      <c r="D1018" s="4" t="s">
        <v>45</v>
      </c>
      <c r="E1018" s="4"/>
      <c r="F1018" s="14"/>
      <c r="G1018" s="14"/>
      <c r="H1018" s="14"/>
      <c r="I1018" s="5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  <c r="AF1018" s="4"/>
      <c r="AG1018" s="4"/>
      <c r="AH1018" s="4"/>
      <c r="AI1018" s="4"/>
      <c r="AJ1018" s="4"/>
      <c r="AK1018" s="4"/>
      <c r="AL1018" s="4"/>
      <c r="AM1018" s="4"/>
      <c r="AN1018" s="4"/>
      <c r="AO1018" s="4"/>
      <c r="AP1018" s="4"/>
      <c r="AQ1018" s="4"/>
      <c r="AR1018" s="4"/>
      <c r="AS1018" s="4"/>
      <c r="AT1018" s="4"/>
      <c r="AU1018" s="4"/>
      <c r="AV1018" s="4"/>
      <c r="AW1018" s="4"/>
      <c r="AX1018" s="4"/>
      <c r="AY1018" s="4"/>
      <c r="AZ1018" s="4"/>
      <c r="BA1018" s="4"/>
      <c r="BB1018" s="4"/>
      <c r="BC1018" s="4"/>
      <c r="BD1018" s="4"/>
      <c r="BE1018" s="4"/>
      <c r="BF1018" s="4"/>
      <c r="BG1018" s="4"/>
      <c r="BH1018" s="4"/>
      <c r="BI1018" s="4"/>
      <c r="BJ1018" s="4"/>
      <c r="BK1018" s="4"/>
      <c r="BL1018" s="4"/>
      <c r="BM1018" s="4"/>
      <c r="BN1018" s="4"/>
      <c r="BO1018" s="4"/>
      <c r="BP1018" s="4"/>
      <c r="BQ1018" s="4"/>
      <c r="BR1018" s="4"/>
      <c r="BS1018" s="4"/>
      <c r="BT1018" s="4"/>
      <c r="BU1018" s="4"/>
      <c r="BV1018" s="4"/>
      <c r="BW1018" s="4"/>
      <c r="BX1018" s="4"/>
      <c r="BY1018" s="4"/>
      <c r="BZ1018" s="4"/>
      <c r="CA1018" s="4"/>
      <c r="CB1018" s="4"/>
      <c r="CC1018" s="4"/>
      <c r="CD1018" s="4"/>
      <c r="CE1018" s="4"/>
      <c r="CF1018" s="4"/>
      <c r="CG1018" s="4"/>
      <c r="CH1018" s="4"/>
    </row>
    <row r="1019" spans="1:86" x14ac:dyDescent="0.25">
      <c r="A1019" s="12">
        <f t="shared" si="21"/>
        <v>1016</v>
      </c>
      <c r="B1019" s="4" t="s">
        <v>2422</v>
      </c>
      <c r="C1019" s="4" t="s">
        <v>2423</v>
      </c>
      <c r="D1019" s="4" t="s">
        <v>768</v>
      </c>
      <c r="E1019" s="4"/>
      <c r="F1019" s="14"/>
      <c r="G1019" s="14"/>
      <c r="H1019" s="14"/>
      <c r="I1019" s="5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  <c r="AF1019" s="4"/>
      <c r="AG1019" s="4"/>
      <c r="AH1019" s="4"/>
      <c r="AI1019" s="4"/>
      <c r="AJ1019" s="4"/>
      <c r="AK1019" s="4"/>
      <c r="AL1019" s="4"/>
      <c r="AM1019" s="4"/>
      <c r="AN1019" s="4"/>
      <c r="AO1019" s="4"/>
      <c r="AP1019" s="4"/>
      <c r="AQ1019" s="4"/>
      <c r="AR1019" s="4"/>
      <c r="AS1019" s="4"/>
      <c r="AT1019" s="4"/>
      <c r="AU1019" s="4"/>
      <c r="AV1019" s="4"/>
      <c r="AW1019" s="4"/>
      <c r="AX1019" s="4"/>
      <c r="AY1019" s="4"/>
      <c r="AZ1019" s="4"/>
      <c r="BA1019" s="4"/>
      <c r="BB1019" s="4"/>
      <c r="BC1019" s="4"/>
      <c r="BD1019" s="4"/>
      <c r="BE1019" s="4"/>
      <c r="BF1019" s="4"/>
      <c r="BG1019" s="4"/>
      <c r="BH1019" s="4"/>
      <c r="BI1019" s="4"/>
      <c r="BJ1019" s="4"/>
      <c r="BK1019" s="4"/>
      <c r="BL1019" s="4"/>
      <c r="BM1019" s="4"/>
      <c r="BN1019" s="4"/>
      <c r="BO1019" s="4"/>
      <c r="BP1019" s="4"/>
      <c r="BQ1019" s="4"/>
      <c r="BR1019" s="4"/>
      <c r="BS1019" s="4"/>
      <c r="BT1019" s="4"/>
      <c r="BU1019" s="4"/>
      <c r="BV1019" s="4"/>
      <c r="BW1019" s="4"/>
      <c r="BX1019" s="4"/>
      <c r="BY1019" s="4"/>
      <c r="BZ1019" s="4"/>
      <c r="CA1019" s="4"/>
      <c r="CB1019" s="4"/>
      <c r="CC1019" s="4"/>
      <c r="CD1019" s="4"/>
      <c r="CE1019" s="4"/>
      <c r="CF1019" s="4"/>
      <c r="CG1019" s="4"/>
      <c r="CH1019" s="4"/>
    </row>
    <row r="1020" spans="1:86" x14ac:dyDescent="0.25">
      <c r="A1020" s="12">
        <f t="shared" si="21"/>
        <v>1017</v>
      </c>
      <c r="B1020" s="4" t="s">
        <v>2424</v>
      </c>
      <c r="C1020" s="4" t="s">
        <v>2425</v>
      </c>
      <c r="D1020" s="4" t="s">
        <v>1125</v>
      </c>
      <c r="E1020" s="4"/>
      <c r="F1020" s="14"/>
      <c r="G1020" s="14"/>
      <c r="H1020" s="14"/>
      <c r="I1020" s="5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  <c r="AF1020" s="4"/>
      <c r="AG1020" s="4"/>
      <c r="AH1020" s="4"/>
      <c r="AI1020" s="4"/>
      <c r="AJ1020" s="4"/>
      <c r="AK1020" s="4"/>
      <c r="AL1020" s="4"/>
      <c r="AM1020" s="4"/>
      <c r="AN1020" s="4"/>
      <c r="AO1020" s="4"/>
      <c r="AP1020" s="4"/>
      <c r="AQ1020" s="4"/>
      <c r="AR1020" s="4"/>
      <c r="AS1020" s="4"/>
      <c r="AT1020" s="4"/>
      <c r="AU1020" s="4"/>
      <c r="AV1020" s="4"/>
      <c r="AW1020" s="4"/>
      <c r="AX1020" s="4"/>
      <c r="AY1020" s="4"/>
      <c r="AZ1020" s="4"/>
      <c r="BA1020" s="4"/>
      <c r="BB1020" s="4"/>
      <c r="BC1020" s="4"/>
      <c r="BD1020" s="4"/>
      <c r="BE1020" s="4"/>
      <c r="BF1020" s="4"/>
      <c r="BG1020" s="4"/>
      <c r="BH1020" s="4"/>
      <c r="BI1020" s="4"/>
      <c r="BJ1020" s="4"/>
      <c r="BK1020" s="4"/>
      <c r="BL1020" s="4"/>
      <c r="BM1020" s="4"/>
      <c r="BN1020" s="4"/>
      <c r="BO1020" s="4"/>
      <c r="BP1020" s="4"/>
      <c r="BQ1020" s="4"/>
      <c r="BR1020" s="4"/>
      <c r="BS1020" s="4"/>
      <c r="BT1020" s="4"/>
      <c r="BU1020" s="4"/>
      <c r="BV1020" s="4"/>
      <c r="BW1020" s="4"/>
      <c r="BX1020" s="4"/>
      <c r="BY1020" s="4"/>
      <c r="BZ1020" s="4"/>
      <c r="CA1020" s="4"/>
      <c r="CB1020" s="4"/>
      <c r="CC1020" s="4"/>
      <c r="CD1020" s="4"/>
      <c r="CE1020" s="4"/>
      <c r="CF1020" s="4"/>
      <c r="CG1020" s="4"/>
      <c r="CH1020" s="4"/>
    </row>
    <row r="1021" spans="1:86" x14ac:dyDescent="0.25">
      <c r="A1021" s="12">
        <f t="shared" si="21"/>
        <v>1018</v>
      </c>
      <c r="B1021" s="4" t="s">
        <v>2426</v>
      </c>
      <c r="C1021" s="4" t="s">
        <v>2427</v>
      </c>
      <c r="D1021" s="4" t="s">
        <v>87</v>
      </c>
      <c r="E1021" s="4"/>
      <c r="F1021" s="14"/>
      <c r="G1021" s="14"/>
      <c r="H1021" s="14"/>
      <c r="I1021" s="5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  <c r="AF1021" s="4"/>
      <c r="AG1021" s="4"/>
      <c r="AH1021" s="4"/>
      <c r="AI1021" s="4"/>
      <c r="AJ1021" s="4"/>
      <c r="AK1021" s="4"/>
      <c r="AL1021" s="4"/>
      <c r="AM1021" s="4"/>
      <c r="AN1021" s="4"/>
      <c r="AO1021" s="4"/>
      <c r="AP1021" s="4"/>
      <c r="AQ1021" s="4"/>
      <c r="AR1021" s="4"/>
      <c r="AS1021" s="4"/>
      <c r="AT1021" s="4"/>
      <c r="AU1021" s="4"/>
      <c r="AV1021" s="4"/>
      <c r="AW1021" s="4"/>
      <c r="AX1021" s="4"/>
      <c r="AY1021" s="4"/>
      <c r="AZ1021" s="4"/>
      <c r="BA1021" s="4"/>
      <c r="BB1021" s="4"/>
      <c r="BC1021" s="4"/>
      <c r="BD1021" s="4"/>
      <c r="BE1021" s="4"/>
      <c r="BF1021" s="4"/>
      <c r="BG1021" s="4"/>
      <c r="BH1021" s="4"/>
      <c r="BI1021" s="4"/>
      <c r="BJ1021" s="4"/>
      <c r="BK1021" s="4"/>
      <c r="BL1021" s="4"/>
      <c r="BM1021" s="4"/>
      <c r="BN1021" s="4"/>
      <c r="BO1021" s="4"/>
      <c r="BP1021" s="4"/>
      <c r="BQ1021" s="4"/>
      <c r="BR1021" s="4"/>
      <c r="BS1021" s="4"/>
      <c r="BT1021" s="4"/>
      <c r="BU1021" s="4"/>
      <c r="BV1021" s="4"/>
      <c r="BW1021" s="4"/>
      <c r="BX1021" s="4"/>
      <c r="BY1021" s="4"/>
      <c r="BZ1021" s="4"/>
      <c r="CA1021" s="4"/>
      <c r="CB1021" s="4"/>
      <c r="CC1021" s="4"/>
      <c r="CD1021" s="4"/>
      <c r="CE1021" s="4"/>
      <c r="CF1021" s="4"/>
      <c r="CG1021" s="4"/>
      <c r="CH1021" s="4"/>
    </row>
    <row r="1022" spans="1:86" x14ac:dyDescent="0.25">
      <c r="A1022" s="12">
        <f t="shared" si="21"/>
        <v>1019</v>
      </c>
      <c r="B1022" s="4" t="s">
        <v>2428</v>
      </c>
      <c r="C1022" s="4" t="s">
        <v>2429</v>
      </c>
      <c r="D1022" s="4" t="s">
        <v>45</v>
      </c>
      <c r="E1022" s="4"/>
      <c r="F1022" s="14"/>
      <c r="G1022" s="14"/>
      <c r="H1022" s="14"/>
      <c r="I1022" s="5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  <c r="AF1022" s="4"/>
      <c r="AG1022" s="4"/>
      <c r="AH1022" s="4"/>
      <c r="AI1022" s="4"/>
      <c r="AJ1022" s="4"/>
      <c r="AK1022" s="4"/>
      <c r="AL1022" s="4"/>
      <c r="AM1022" s="4"/>
      <c r="AN1022" s="4"/>
      <c r="AO1022" s="4"/>
      <c r="AP1022" s="4"/>
      <c r="AQ1022" s="4"/>
      <c r="AR1022" s="4"/>
      <c r="AS1022" s="4"/>
      <c r="AT1022" s="4"/>
      <c r="AU1022" s="4"/>
      <c r="AV1022" s="4"/>
      <c r="AW1022" s="4"/>
      <c r="AX1022" s="4"/>
      <c r="AY1022" s="4"/>
      <c r="AZ1022" s="4"/>
      <c r="BA1022" s="4"/>
      <c r="BB1022" s="4"/>
      <c r="BC1022" s="4"/>
      <c r="BD1022" s="4"/>
      <c r="BE1022" s="4"/>
      <c r="BF1022" s="4"/>
      <c r="BG1022" s="4"/>
      <c r="BH1022" s="4"/>
      <c r="BI1022" s="4"/>
      <c r="BJ1022" s="4"/>
      <c r="BK1022" s="4"/>
      <c r="BL1022" s="4"/>
      <c r="BM1022" s="4"/>
      <c r="BN1022" s="4"/>
      <c r="BO1022" s="4"/>
      <c r="BP1022" s="4"/>
      <c r="BQ1022" s="4"/>
      <c r="BR1022" s="4"/>
      <c r="BS1022" s="4"/>
      <c r="BT1022" s="4"/>
      <c r="BU1022" s="4"/>
      <c r="BV1022" s="4"/>
      <c r="BW1022" s="4"/>
      <c r="BX1022" s="4"/>
      <c r="BY1022" s="4"/>
      <c r="BZ1022" s="4"/>
      <c r="CA1022" s="4"/>
      <c r="CB1022" s="4"/>
      <c r="CC1022" s="4"/>
      <c r="CD1022" s="4"/>
      <c r="CE1022" s="4"/>
      <c r="CF1022" s="4"/>
      <c r="CG1022" s="4"/>
      <c r="CH1022" s="4"/>
    </row>
    <row r="1023" spans="1:86" x14ac:dyDescent="0.25">
      <c r="A1023" s="12">
        <f t="shared" si="21"/>
        <v>1020</v>
      </c>
      <c r="B1023" s="4" t="s">
        <v>2430</v>
      </c>
      <c r="C1023" s="4" t="s">
        <v>2431</v>
      </c>
      <c r="D1023" s="4" t="s">
        <v>45</v>
      </c>
      <c r="E1023" s="4"/>
      <c r="F1023" s="14"/>
      <c r="G1023" s="14"/>
      <c r="H1023" s="14"/>
      <c r="I1023" s="5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  <c r="AF1023" s="4"/>
      <c r="AG1023" s="4"/>
      <c r="AH1023" s="4"/>
      <c r="AI1023" s="4"/>
      <c r="AJ1023" s="4"/>
      <c r="AK1023" s="4"/>
      <c r="AL1023" s="4"/>
      <c r="AM1023" s="4"/>
      <c r="AN1023" s="4"/>
      <c r="AO1023" s="4"/>
      <c r="AP1023" s="4"/>
      <c r="AQ1023" s="4"/>
      <c r="AR1023" s="4"/>
      <c r="AS1023" s="4"/>
      <c r="AT1023" s="4"/>
      <c r="AU1023" s="4"/>
      <c r="AV1023" s="4"/>
      <c r="AW1023" s="4"/>
      <c r="AX1023" s="4"/>
      <c r="AY1023" s="4"/>
      <c r="AZ1023" s="4"/>
      <c r="BA1023" s="4"/>
      <c r="BB1023" s="4"/>
      <c r="BC1023" s="4"/>
      <c r="BD1023" s="4"/>
      <c r="BE1023" s="4"/>
      <c r="BF1023" s="4"/>
      <c r="BG1023" s="4"/>
      <c r="BH1023" s="4"/>
      <c r="BI1023" s="4"/>
      <c r="BJ1023" s="4"/>
      <c r="BK1023" s="4"/>
      <c r="BL1023" s="4"/>
      <c r="BM1023" s="4"/>
      <c r="BN1023" s="4"/>
      <c r="BO1023" s="4"/>
      <c r="BP1023" s="4"/>
      <c r="BQ1023" s="4"/>
      <c r="BR1023" s="4"/>
      <c r="BS1023" s="4"/>
      <c r="BT1023" s="4"/>
      <c r="BU1023" s="4"/>
      <c r="BV1023" s="4"/>
      <c r="BW1023" s="4"/>
      <c r="BX1023" s="4"/>
      <c r="BY1023" s="4"/>
      <c r="BZ1023" s="4"/>
      <c r="CA1023" s="4"/>
      <c r="CB1023" s="4"/>
      <c r="CC1023" s="4"/>
      <c r="CD1023" s="4"/>
      <c r="CE1023" s="4"/>
      <c r="CF1023" s="4"/>
      <c r="CG1023" s="4"/>
      <c r="CH1023" s="4"/>
    </row>
    <row r="1024" spans="1:86" x14ac:dyDescent="0.25">
      <c r="A1024" s="12">
        <f t="shared" si="21"/>
        <v>1021</v>
      </c>
      <c r="B1024" s="4" t="s">
        <v>2432</v>
      </c>
      <c r="C1024" s="4" t="s">
        <v>2433</v>
      </c>
      <c r="D1024" s="4" t="s">
        <v>45</v>
      </c>
      <c r="E1024" s="4"/>
      <c r="F1024" s="14"/>
      <c r="G1024" s="14"/>
      <c r="H1024" s="14"/>
      <c r="I1024" s="5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  <c r="AF1024" s="4"/>
      <c r="AG1024" s="4"/>
      <c r="AH1024" s="4"/>
      <c r="AI1024" s="4"/>
      <c r="AJ1024" s="4"/>
      <c r="AK1024" s="4"/>
      <c r="AL1024" s="4"/>
      <c r="AM1024" s="4"/>
      <c r="AN1024" s="4"/>
      <c r="AO1024" s="4"/>
      <c r="AP1024" s="4"/>
      <c r="AQ1024" s="4"/>
      <c r="AR1024" s="4"/>
      <c r="AS1024" s="4"/>
      <c r="AT1024" s="4"/>
      <c r="AU1024" s="4"/>
      <c r="AV1024" s="4"/>
      <c r="AW1024" s="4"/>
      <c r="AX1024" s="4"/>
      <c r="AY1024" s="4"/>
      <c r="AZ1024" s="4"/>
      <c r="BA1024" s="4"/>
      <c r="BB1024" s="4"/>
      <c r="BC1024" s="4"/>
      <c r="BD1024" s="4"/>
      <c r="BE1024" s="4"/>
      <c r="BF1024" s="4"/>
      <c r="BG1024" s="4"/>
      <c r="BH1024" s="4"/>
      <c r="BI1024" s="4"/>
      <c r="BJ1024" s="4"/>
      <c r="BK1024" s="4"/>
      <c r="BL1024" s="4"/>
      <c r="BM1024" s="4"/>
      <c r="BN1024" s="4"/>
      <c r="BO1024" s="4"/>
      <c r="BP1024" s="4"/>
      <c r="BQ1024" s="4"/>
      <c r="BR1024" s="4"/>
      <c r="BS1024" s="4"/>
      <c r="BT1024" s="4"/>
      <c r="BU1024" s="4"/>
      <c r="BV1024" s="4"/>
      <c r="BW1024" s="4"/>
      <c r="BX1024" s="4"/>
      <c r="BY1024" s="4"/>
      <c r="BZ1024" s="4"/>
      <c r="CA1024" s="4"/>
      <c r="CB1024" s="4"/>
      <c r="CC1024" s="4"/>
      <c r="CD1024" s="4"/>
      <c r="CE1024" s="4"/>
      <c r="CF1024" s="4"/>
      <c r="CG1024" s="4"/>
      <c r="CH1024" s="4"/>
    </row>
    <row r="1025" spans="1:86" x14ac:dyDescent="0.25">
      <c r="A1025" s="12">
        <f t="shared" si="21"/>
        <v>1022</v>
      </c>
      <c r="B1025" s="4" t="s">
        <v>2434</v>
      </c>
      <c r="C1025" s="4" t="s">
        <v>2435</v>
      </c>
      <c r="D1025" s="4" t="s">
        <v>768</v>
      </c>
      <c r="E1025" s="4"/>
      <c r="F1025" s="14"/>
      <c r="G1025" s="14"/>
      <c r="H1025" s="14"/>
      <c r="I1025" s="5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  <c r="AF1025" s="4"/>
      <c r="AG1025" s="4"/>
      <c r="AH1025" s="4"/>
      <c r="AI1025" s="4"/>
      <c r="AJ1025" s="4"/>
      <c r="AK1025" s="4"/>
      <c r="AL1025" s="4"/>
      <c r="AM1025" s="4"/>
      <c r="AN1025" s="4"/>
      <c r="AO1025" s="4"/>
      <c r="AP1025" s="4"/>
      <c r="AQ1025" s="4"/>
      <c r="AR1025" s="4"/>
      <c r="AS1025" s="4"/>
      <c r="AT1025" s="4"/>
      <c r="AU1025" s="4"/>
      <c r="AV1025" s="4"/>
      <c r="AW1025" s="4"/>
      <c r="AX1025" s="4"/>
      <c r="AY1025" s="4"/>
      <c r="AZ1025" s="4"/>
      <c r="BA1025" s="4"/>
      <c r="BB1025" s="4"/>
      <c r="BC1025" s="4"/>
      <c r="BD1025" s="4"/>
      <c r="BE1025" s="4"/>
      <c r="BF1025" s="4"/>
      <c r="BG1025" s="4"/>
      <c r="BH1025" s="4"/>
      <c r="BI1025" s="4"/>
      <c r="BJ1025" s="4"/>
      <c r="BK1025" s="4"/>
      <c r="BL1025" s="4"/>
      <c r="BM1025" s="4"/>
      <c r="BN1025" s="4"/>
      <c r="BO1025" s="4"/>
      <c r="BP1025" s="4"/>
      <c r="BQ1025" s="4"/>
      <c r="BR1025" s="4"/>
      <c r="BS1025" s="4"/>
      <c r="BT1025" s="4"/>
      <c r="BU1025" s="4"/>
      <c r="BV1025" s="4"/>
      <c r="BW1025" s="4"/>
      <c r="BX1025" s="4"/>
      <c r="BY1025" s="4"/>
      <c r="BZ1025" s="4"/>
      <c r="CA1025" s="4"/>
      <c r="CB1025" s="4"/>
      <c r="CC1025" s="4"/>
      <c r="CD1025" s="4"/>
      <c r="CE1025" s="4"/>
      <c r="CF1025" s="4"/>
      <c r="CG1025" s="4"/>
      <c r="CH1025" s="4"/>
    </row>
    <row r="1026" spans="1:86" x14ac:dyDescent="0.25">
      <c r="A1026" s="12">
        <f t="shared" si="21"/>
        <v>1023</v>
      </c>
      <c r="B1026" s="4" t="s">
        <v>2436</v>
      </c>
      <c r="C1026" s="4" t="s">
        <v>2437</v>
      </c>
      <c r="D1026" s="4" t="s">
        <v>87</v>
      </c>
      <c r="E1026" s="4"/>
      <c r="F1026" s="14"/>
      <c r="G1026" s="14"/>
      <c r="H1026" s="14"/>
      <c r="I1026" s="5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  <c r="AF1026" s="4"/>
      <c r="AG1026" s="4"/>
      <c r="AH1026" s="4"/>
      <c r="AI1026" s="4"/>
      <c r="AJ1026" s="4"/>
      <c r="AK1026" s="4"/>
      <c r="AL1026" s="4"/>
      <c r="AM1026" s="4"/>
      <c r="AN1026" s="4"/>
      <c r="AO1026" s="4"/>
      <c r="AP1026" s="4"/>
      <c r="AQ1026" s="4"/>
      <c r="AR1026" s="4"/>
      <c r="AS1026" s="4"/>
      <c r="AT1026" s="4"/>
      <c r="AU1026" s="4"/>
      <c r="AV1026" s="4"/>
      <c r="AW1026" s="4"/>
      <c r="AX1026" s="4"/>
      <c r="AY1026" s="4"/>
      <c r="AZ1026" s="4"/>
      <c r="BA1026" s="4"/>
      <c r="BB1026" s="4"/>
      <c r="BC1026" s="4"/>
      <c r="BD1026" s="4"/>
      <c r="BE1026" s="4"/>
      <c r="BF1026" s="4"/>
      <c r="BG1026" s="4"/>
      <c r="BH1026" s="4"/>
      <c r="BI1026" s="4"/>
      <c r="BJ1026" s="4"/>
      <c r="BK1026" s="4"/>
      <c r="BL1026" s="4"/>
      <c r="BM1026" s="4"/>
      <c r="BN1026" s="4"/>
      <c r="BO1026" s="4"/>
      <c r="BP1026" s="4"/>
      <c r="BQ1026" s="4"/>
      <c r="BR1026" s="4"/>
      <c r="BS1026" s="4"/>
      <c r="BT1026" s="4"/>
      <c r="BU1026" s="4"/>
      <c r="BV1026" s="4"/>
      <c r="BW1026" s="4"/>
      <c r="BX1026" s="4"/>
      <c r="BY1026" s="4"/>
      <c r="BZ1026" s="4"/>
      <c r="CA1026" s="4"/>
      <c r="CB1026" s="4"/>
      <c r="CC1026" s="4"/>
      <c r="CD1026" s="4"/>
      <c r="CE1026" s="4"/>
      <c r="CF1026" s="4"/>
      <c r="CG1026" s="4"/>
      <c r="CH1026" s="4"/>
    </row>
    <row r="1027" spans="1:86" x14ac:dyDescent="0.25">
      <c r="A1027" s="12">
        <f t="shared" si="21"/>
        <v>1024</v>
      </c>
      <c r="B1027" s="4" t="s">
        <v>2438</v>
      </c>
      <c r="C1027" s="4" t="s">
        <v>2439</v>
      </c>
      <c r="D1027" s="4" t="s">
        <v>1129</v>
      </c>
      <c r="E1027" s="4"/>
      <c r="F1027" s="14"/>
      <c r="G1027" s="14"/>
      <c r="H1027" s="14"/>
      <c r="I1027" s="5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  <c r="AF1027" s="4"/>
      <c r="AG1027" s="4"/>
      <c r="AH1027" s="4"/>
      <c r="AI1027" s="4"/>
      <c r="AJ1027" s="4"/>
      <c r="AK1027" s="4"/>
      <c r="AL1027" s="4"/>
      <c r="AM1027" s="4"/>
      <c r="AN1027" s="4"/>
      <c r="AO1027" s="4"/>
      <c r="AP1027" s="4"/>
      <c r="AQ1027" s="4"/>
      <c r="AR1027" s="4"/>
      <c r="AS1027" s="4"/>
      <c r="AT1027" s="4"/>
      <c r="AU1027" s="4"/>
      <c r="AV1027" s="4"/>
      <c r="AW1027" s="4"/>
      <c r="AX1027" s="4"/>
      <c r="AY1027" s="4"/>
      <c r="AZ1027" s="4"/>
      <c r="BA1027" s="4"/>
      <c r="BB1027" s="4"/>
      <c r="BC1027" s="4"/>
      <c r="BD1027" s="4"/>
      <c r="BE1027" s="4"/>
      <c r="BF1027" s="4"/>
      <c r="BG1027" s="4"/>
      <c r="BH1027" s="4"/>
      <c r="BI1027" s="4"/>
      <c r="BJ1027" s="4"/>
      <c r="BK1027" s="4"/>
      <c r="BL1027" s="4"/>
      <c r="BM1027" s="4"/>
      <c r="BN1027" s="4"/>
      <c r="BO1027" s="4"/>
      <c r="BP1027" s="4"/>
      <c r="BQ1027" s="4"/>
      <c r="BR1027" s="4"/>
      <c r="BS1027" s="4"/>
      <c r="BT1027" s="4"/>
      <c r="BU1027" s="4"/>
      <c r="BV1027" s="4"/>
      <c r="BW1027" s="4"/>
      <c r="BX1027" s="4"/>
      <c r="BY1027" s="4"/>
      <c r="BZ1027" s="4"/>
      <c r="CA1027" s="4"/>
      <c r="CB1027" s="4"/>
      <c r="CC1027" s="4"/>
      <c r="CD1027" s="4"/>
      <c r="CE1027" s="4"/>
      <c r="CF1027" s="4"/>
      <c r="CG1027" s="4"/>
      <c r="CH1027" s="4"/>
    </row>
    <row r="1028" spans="1:86" x14ac:dyDescent="0.25">
      <c r="A1028" s="12">
        <f t="shared" si="21"/>
        <v>1025</v>
      </c>
      <c r="B1028" s="4" t="s">
        <v>2440</v>
      </c>
      <c r="C1028" s="4" t="s">
        <v>2441</v>
      </c>
      <c r="D1028" s="4" t="s">
        <v>45</v>
      </c>
      <c r="E1028" s="4"/>
      <c r="F1028" s="14"/>
      <c r="G1028" s="14"/>
      <c r="H1028" s="14"/>
      <c r="I1028" s="5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  <c r="AF1028" s="4"/>
      <c r="AG1028" s="4"/>
      <c r="AH1028" s="4"/>
      <c r="AI1028" s="4"/>
      <c r="AJ1028" s="4"/>
      <c r="AK1028" s="4"/>
      <c r="AL1028" s="4"/>
      <c r="AM1028" s="4"/>
      <c r="AN1028" s="4"/>
      <c r="AO1028" s="4"/>
      <c r="AP1028" s="4"/>
      <c r="AQ1028" s="4"/>
      <c r="AR1028" s="4"/>
      <c r="AS1028" s="4"/>
      <c r="AT1028" s="4"/>
      <c r="AU1028" s="4"/>
      <c r="AV1028" s="4"/>
      <c r="AW1028" s="4"/>
      <c r="AX1028" s="4"/>
      <c r="AY1028" s="4"/>
      <c r="AZ1028" s="4"/>
      <c r="BA1028" s="4"/>
      <c r="BB1028" s="4"/>
      <c r="BC1028" s="4"/>
      <c r="BD1028" s="4"/>
      <c r="BE1028" s="4"/>
      <c r="BF1028" s="4"/>
      <c r="BG1028" s="4"/>
      <c r="BH1028" s="4"/>
      <c r="BI1028" s="4"/>
      <c r="BJ1028" s="4"/>
      <c r="BK1028" s="4"/>
      <c r="BL1028" s="4"/>
      <c r="BM1028" s="4"/>
      <c r="BN1028" s="4"/>
      <c r="BO1028" s="4"/>
      <c r="BP1028" s="4"/>
      <c r="BQ1028" s="4"/>
      <c r="BR1028" s="4"/>
      <c r="BS1028" s="4"/>
      <c r="BT1028" s="4"/>
      <c r="BU1028" s="4"/>
      <c r="BV1028" s="4"/>
      <c r="BW1028" s="4"/>
      <c r="BX1028" s="4"/>
      <c r="BY1028" s="4"/>
      <c r="BZ1028" s="4"/>
      <c r="CA1028" s="4"/>
      <c r="CB1028" s="4"/>
      <c r="CC1028" s="4"/>
      <c r="CD1028" s="4"/>
      <c r="CE1028" s="4"/>
      <c r="CF1028" s="4"/>
      <c r="CG1028" s="4"/>
      <c r="CH1028" s="4"/>
    </row>
    <row r="1029" spans="1:86" x14ac:dyDescent="0.25">
      <c r="A1029" s="12">
        <f t="shared" si="21"/>
        <v>1026</v>
      </c>
      <c r="B1029" s="4" t="s">
        <v>2442</v>
      </c>
      <c r="C1029" s="4" t="s">
        <v>2443</v>
      </c>
      <c r="D1029" s="4" t="s">
        <v>768</v>
      </c>
      <c r="E1029" s="4"/>
      <c r="F1029" s="14"/>
      <c r="G1029" s="14"/>
      <c r="H1029" s="14"/>
      <c r="I1029" s="5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  <c r="AF1029" s="4"/>
      <c r="AG1029" s="4"/>
      <c r="AH1029" s="4"/>
      <c r="AI1029" s="4"/>
      <c r="AJ1029" s="4"/>
      <c r="AK1029" s="4"/>
      <c r="AL1029" s="4"/>
      <c r="AM1029" s="4"/>
      <c r="AN1029" s="4"/>
      <c r="AO1029" s="4"/>
      <c r="AP1029" s="4"/>
      <c r="AQ1029" s="4"/>
      <c r="AR1029" s="4"/>
      <c r="AS1029" s="4"/>
      <c r="AT1029" s="4"/>
      <c r="AU1029" s="4"/>
      <c r="AV1029" s="4"/>
      <c r="AW1029" s="4"/>
      <c r="AX1029" s="4"/>
      <c r="AY1029" s="4"/>
      <c r="AZ1029" s="4"/>
      <c r="BA1029" s="4"/>
      <c r="BB1029" s="4"/>
      <c r="BC1029" s="4"/>
      <c r="BD1029" s="4"/>
      <c r="BE1029" s="4"/>
      <c r="BF1029" s="4"/>
      <c r="BG1029" s="4"/>
      <c r="BH1029" s="4"/>
      <c r="BI1029" s="4"/>
      <c r="BJ1029" s="4"/>
      <c r="BK1029" s="4"/>
      <c r="BL1029" s="4"/>
      <c r="BM1029" s="4"/>
      <c r="BN1029" s="4"/>
      <c r="BO1029" s="4"/>
      <c r="BP1029" s="4"/>
      <c r="BQ1029" s="4"/>
      <c r="BR1029" s="4"/>
      <c r="BS1029" s="4"/>
      <c r="BT1029" s="4"/>
      <c r="BU1029" s="4"/>
      <c r="BV1029" s="4"/>
      <c r="BW1029" s="4"/>
      <c r="BX1029" s="4"/>
      <c r="BY1029" s="4"/>
      <c r="BZ1029" s="4"/>
      <c r="CA1029" s="4"/>
      <c r="CB1029" s="4"/>
      <c r="CC1029" s="4"/>
      <c r="CD1029" s="4"/>
      <c r="CE1029" s="4"/>
      <c r="CF1029" s="4"/>
      <c r="CG1029" s="4"/>
      <c r="CH1029" s="4"/>
    </row>
    <row r="1030" spans="1:86" x14ac:dyDescent="0.25">
      <c r="A1030" s="12">
        <f t="shared" si="21"/>
        <v>1027</v>
      </c>
      <c r="B1030" s="4" t="s">
        <v>2444</v>
      </c>
      <c r="C1030" s="4" t="s">
        <v>2445</v>
      </c>
      <c r="D1030" s="4" t="s">
        <v>1125</v>
      </c>
      <c r="E1030" s="4"/>
      <c r="F1030" s="14"/>
      <c r="G1030" s="14"/>
      <c r="H1030" s="14"/>
      <c r="I1030" s="5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  <c r="AF1030" s="4"/>
      <c r="AG1030" s="4"/>
      <c r="AH1030" s="4"/>
      <c r="AI1030" s="4"/>
      <c r="AJ1030" s="4"/>
      <c r="AK1030" s="4"/>
      <c r="AL1030" s="4"/>
      <c r="AM1030" s="4"/>
      <c r="AN1030" s="4"/>
      <c r="AO1030" s="4"/>
      <c r="AP1030" s="4"/>
      <c r="AQ1030" s="4"/>
      <c r="AR1030" s="4"/>
      <c r="AS1030" s="4"/>
      <c r="AT1030" s="4"/>
      <c r="AU1030" s="4"/>
      <c r="AV1030" s="4"/>
      <c r="AW1030" s="4"/>
      <c r="AX1030" s="4"/>
      <c r="AY1030" s="4"/>
      <c r="AZ1030" s="4"/>
      <c r="BA1030" s="4"/>
      <c r="BB1030" s="4"/>
      <c r="BC1030" s="4"/>
      <c r="BD1030" s="4"/>
      <c r="BE1030" s="4"/>
      <c r="BF1030" s="4"/>
      <c r="BG1030" s="4"/>
      <c r="BH1030" s="4"/>
      <c r="BI1030" s="4"/>
      <c r="BJ1030" s="4"/>
      <c r="BK1030" s="4"/>
      <c r="BL1030" s="4"/>
      <c r="BM1030" s="4"/>
      <c r="BN1030" s="4"/>
      <c r="BO1030" s="4"/>
      <c r="BP1030" s="4"/>
      <c r="BQ1030" s="4"/>
      <c r="BR1030" s="4"/>
      <c r="BS1030" s="4"/>
      <c r="BT1030" s="4"/>
      <c r="BU1030" s="4"/>
      <c r="BV1030" s="4"/>
      <c r="BW1030" s="4"/>
      <c r="BX1030" s="4"/>
      <c r="BY1030" s="4"/>
      <c r="BZ1030" s="4"/>
      <c r="CA1030" s="4"/>
      <c r="CB1030" s="4"/>
      <c r="CC1030" s="4"/>
      <c r="CD1030" s="4"/>
      <c r="CE1030" s="4"/>
      <c r="CF1030" s="4"/>
      <c r="CG1030" s="4"/>
      <c r="CH1030" s="4"/>
    </row>
    <row r="1031" spans="1:86" x14ac:dyDescent="0.25">
      <c r="A1031" s="12">
        <f t="shared" si="21"/>
        <v>1028</v>
      </c>
      <c r="B1031" s="4" t="s">
        <v>2446</v>
      </c>
      <c r="C1031" s="4" t="s">
        <v>2447</v>
      </c>
      <c r="D1031" s="4" t="s">
        <v>1129</v>
      </c>
      <c r="E1031" s="4"/>
      <c r="F1031" s="14"/>
      <c r="G1031" s="14"/>
      <c r="H1031" s="14"/>
      <c r="I1031" s="5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/>
      <c r="AC1031" s="4"/>
      <c r="AD1031" s="4"/>
      <c r="AE1031" s="4"/>
      <c r="AF1031" s="4"/>
      <c r="AG1031" s="4"/>
      <c r="AH1031" s="4"/>
      <c r="AI1031" s="4"/>
      <c r="AJ1031" s="4"/>
      <c r="AK1031" s="4"/>
      <c r="AL1031" s="4"/>
      <c r="AM1031" s="4"/>
      <c r="AN1031" s="4"/>
      <c r="AO1031" s="4"/>
      <c r="AP1031" s="4"/>
      <c r="AQ1031" s="4"/>
      <c r="AR1031" s="4"/>
      <c r="AS1031" s="4"/>
      <c r="AT1031" s="4"/>
      <c r="AU1031" s="4"/>
      <c r="AV1031" s="4"/>
      <c r="AW1031" s="4"/>
      <c r="AX1031" s="4"/>
      <c r="AY1031" s="4"/>
      <c r="AZ1031" s="4"/>
      <c r="BA1031" s="4"/>
      <c r="BB1031" s="4"/>
      <c r="BC1031" s="4"/>
      <c r="BD1031" s="4"/>
      <c r="BE1031" s="4"/>
      <c r="BF1031" s="4"/>
      <c r="BG1031" s="4"/>
      <c r="BH1031" s="4"/>
      <c r="BI1031" s="4"/>
      <c r="BJ1031" s="4"/>
      <c r="BK1031" s="4"/>
      <c r="BL1031" s="4"/>
      <c r="BM1031" s="4"/>
      <c r="BN1031" s="4"/>
      <c r="BO1031" s="4"/>
      <c r="BP1031" s="4"/>
      <c r="BQ1031" s="4"/>
      <c r="BR1031" s="4"/>
      <c r="BS1031" s="4"/>
      <c r="BT1031" s="4"/>
      <c r="BU1031" s="4"/>
      <c r="BV1031" s="4"/>
      <c r="BW1031" s="4"/>
      <c r="BX1031" s="4"/>
      <c r="BY1031" s="4"/>
      <c r="BZ1031" s="4"/>
      <c r="CA1031" s="4"/>
      <c r="CB1031" s="4"/>
      <c r="CC1031" s="4"/>
      <c r="CD1031" s="4"/>
      <c r="CE1031" s="4"/>
      <c r="CF1031" s="4"/>
      <c r="CG1031" s="4"/>
      <c r="CH1031" s="4"/>
    </row>
    <row r="1032" spans="1:86" x14ac:dyDescent="0.25">
      <c r="A1032" s="12">
        <f t="shared" si="21"/>
        <v>1029</v>
      </c>
      <c r="B1032" s="4" t="s">
        <v>2448</v>
      </c>
      <c r="C1032" s="4" t="s">
        <v>2449</v>
      </c>
      <c r="D1032" s="4" t="s">
        <v>45</v>
      </c>
      <c r="E1032" s="4"/>
      <c r="F1032" s="14"/>
      <c r="G1032" s="14"/>
      <c r="H1032" s="14"/>
      <c r="I1032" s="5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  <c r="AC1032" s="4"/>
      <c r="AD1032" s="4"/>
      <c r="AE1032" s="4"/>
      <c r="AF1032" s="4"/>
      <c r="AG1032" s="4"/>
      <c r="AH1032" s="4"/>
      <c r="AI1032" s="4"/>
      <c r="AJ1032" s="4"/>
      <c r="AK1032" s="4"/>
      <c r="AL1032" s="4"/>
      <c r="AM1032" s="4"/>
      <c r="AN1032" s="4"/>
      <c r="AO1032" s="4"/>
      <c r="AP1032" s="4"/>
      <c r="AQ1032" s="4"/>
      <c r="AR1032" s="4"/>
      <c r="AS1032" s="4"/>
      <c r="AT1032" s="4"/>
      <c r="AU1032" s="4"/>
      <c r="AV1032" s="4"/>
      <c r="AW1032" s="4"/>
      <c r="AX1032" s="4"/>
      <c r="AY1032" s="4"/>
      <c r="AZ1032" s="4"/>
      <c r="BA1032" s="4"/>
      <c r="BB1032" s="4"/>
      <c r="BC1032" s="4"/>
      <c r="BD1032" s="4"/>
      <c r="BE1032" s="4"/>
      <c r="BF1032" s="4"/>
      <c r="BG1032" s="4"/>
      <c r="BH1032" s="4"/>
      <c r="BI1032" s="4"/>
      <c r="BJ1032" s="4"/>
      <c r="BK1032" s="4"/>
      <c r="BL1032" s="4"/>
      <c r="BM1032" s="4"/>
      <c r="BN1032" s="4"/>
      <c r="BO1032" s="4"/>
      <c r="BP1032" s="4"/>
      <c r="BQ1032" s="4"/>
      <c r="BR1032" s="4"/>
      <c r="BS1032" s="4"/>
      <c r="BT1032" s="4"/>
      <c r="BU1032" s="4"/>
      <c r="BV1032" s="4"/>
      <c r="BW1032" s="4"/>
      <c r="BX1032" s="4"/>
      <c r="BY1032" s="4"/>
      <c r="BZ1032" s="4"/>
      <c r="CA1032" s="4"/>
      <c r="CB1032" s="4"/>
      <c r="CC1032" s="4"/>
      <c r="CD1032" s="4"/>
      <c r="CE1032" s="4"/>
      <c r="CF1032" s="4"/>
      <c r="CG1032" s="4"/>
      <c r="CH1032" s="4"/>
    </row>
    <row r="1033" spans="1:86" x14ac:dyDescent="0.25">
      <c r="A1033" s="12">
        <f t="shared" si="21"/>
        <v>1030</v>
      </c>
      <c r="B1033" s="4" t="s">
        <v>2450</v>
      </c>
      <c r="C1033" s="4" t="s">
        <v>2451</v>
      </c>
      <c r="D1033" s="4" t="s">
        <v>45</v>
      </c>
      <c r="E1033" s="4"/>
      <c r="F1033" s="14"/>
      <c r="G1033" s="14"/>
      <c r="H1033" s="14"/>
      <c r="I1033" s="5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/>
      <c r="AC1033" s="4"/>
      <c r="AD1033" s="4"/>
      <c r="AE1033" s="4"/>
      <c r="AF1033" s="4"/>
      <c r="AG1033" s="4"/>
      <c r="AH1033" s="4"/>
      <c r="AI1033" s="4"/>
      <c r="AJ1033" s="4"/>
      <c r="AK1033" s="4"/>
      <c r="AL1033" s="4"/>
      <c r="AM1033" s="4"/>
      <c r="AN1033" s="4"/>
      <c r="AO1033" s="4"/>
      <c r="AP1033" s="4"/>
      <c r="AQ1033" s="4"/>
      <c r="AR1033" s="4"/>
      <c r="AS1033" s="4"/>
      <c r="AT1033" s="4"/>
      <c r="AU1033" s="4"/>
      <c r="AV1033" s="4"/>
      <c r="AW1033" s="4"/>
      <c r="AX1033" s="4"/>
      <c r="AY1033" s="4"/>
      <c r="AZ1033" s="4"/>
      <c r="BA1033" s="4"/>
      <c r="BB1033" s="4"/>
      <c r="BC1033" s="4"/>
      <c r="BD1033" s="4"/>
      <c r="BE1033" s="4"/>
      <c r="BF1033" s="4"/>
      <c r="BG1033" s="4"/>
      <c r="BH1033" s="4"/>
      <c r="BI1033" s="4"/>
      <c r="BJ1033" s="4"/>
      <c r="BK1033" s="4"/>
      <c r="BL1033" s="4"/>
      <c r="BM1033" s="4"/>
      <c r="BN1033" s="4"/>
      <c r="BO1033" s="4"/>
      <c r="BP1033" s="4"/>
      <c r="BQ1033" s="4"/>
      <c r="BR1033" s="4"/>
      <c r="BS1033" s="4"/>
      <c r="BT1033" s="4"/>
      <c r="BU1033" s="4"/>
      <c r="BV1033" s="4"/>
      <c r="BW1033" s="4"/>
      <c r="BX1033" s="4"/>
      <c r="BY1033" s="4"/>
      <c r="BZ1033" s="4"/>
      <c r="CA1033" s="4"/>
      <c r="CB1033" s="4"/>
      <c r="CC1033" s="4"/>
      <c r="CD1033" s="4"/>
      <c r="CE1033" s="4"/>
      <c r="CF1033" s="4"/>
      <c r="CG1033" s="4"/>
      <c r="CH1033" s="4"/>
    </row>
    <row r="1034" spans="1:86" x14ac:dyDescent="0.25">
      <c r="A1034" s="12">
        <f t="shared" ref="A1034:A1097" si="22">+A1033+1</f>
        <v>1031</v>
      </c>
      <c r="B1034" s="4" t="s">
        <v>2452</v>
      </c>
      <c r="C1034" s="4" t="s">
        <v>2453</v>
      </c>
      <c r="D1034" s="4" t="s">
        <v>770</v>
      </c>
      <c r="E1034" s="4"/>
      <c r="F1034" s="14"/>
      <c r="G1034" s="14"/>
      <c r="H1034" s="14"/>
      <c r="I1034" s="5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/>
      <c r="AC1034" s="4"/>
      <c r="AD1034" s="4"/>
      <c r="AE1034" s="4"/>
      <c r="AF1034" s="4"/>
      <c r="AG1034" s="4"/>
      <c r="AH1034" s="4"/>
      <c r="AI1034" s="4"/>
      <c r="AJ1034" s="4"/>
      <c r="AK1034" s="4"/>
      <c r="AL1034" s="4"/>
      <c r="AM1034" s="4"/>
      <c r="AN1034" s="4"/>
      <c r="AO1034" s="4"/>
      <c r="AP1034" s="4"/>
      <c r="AQ1034" s="4"/>
      <c r="AR1034" s="4"/>
      <c r="AS1034" s="4"/>
      <c r="AT1034" s="4"/>
      <c r="AU1034" s="4"/>
      <c r="AV1034" s="4"/>
      <c r="AW1034" s="4"/>
      <c r="AX1034" s="4"/>
      <c r="AY1034" s="4"/>
      <c r="AZ1034" s="4"/>
      <c r="BA1034" s="4"/>
      <c r="BB1034" s="4"/>
      <c r="BC1034" s="4"/>
      <c r="BD1034" s="4"/>
      <c r="BE1034" s="4"/>
      <c r="BF1034" s="4"/>
      <c r="BG1034" s="4"/>
      <c r="BH1034" s="4"/>
      <c r="BI1034" s="4"/>
      <c r="BJ1034" s="4"/>
      <c r="BK1034" s="4"/>
      <c r="BL1034" s="4"/>
      <c r="BM1034" s="4"/>
      <c r="BN1034" s="4"/>
      <c r="BO1034" s="4"/>
      <c r="BP1034" s="4"/>
      <c r="BQ1034" s="4"/>
      <c r="BR1034" s="4"/>
      <c r="BS1034" s="4"/>
      <c r="BT1034" s="4"/>
      <c r="BU1034" s="4"/>
      <c r="BV1034" s="4"/>
      <c r="BW1034" s="4"/>
      <c r="BX1034" s="4"/>
      <c r="BY1034" s="4"/>
      <c r="BZ1034" s="4"/>
      <c r="CA1034" s="4"/>
      <c r="CB1034" s="4"/>
      <c r="CC1034" s="4"/>
      <c r="CD1034" s="4"/>
      <c r="CE1034" s="4"/>
      <c r="CF1034" s="4"/>
      <c r="CG1034" s="4"/>
      <c r="CH1034" s="4"/>
    </row>
    <row r="1035" spans="1:86" x14ac:dyDescent="0.25">
      <c r="A1035" s="12">
        <f t="shared" si="22"/>
        <v>1032</v>
      </c>
      <c r="B1035" s="4" t="s">
        <v>2454</v>
      </c>
      <c r="C1035" s="4" t="s">
        <v>2455</v>
      </c>
      <c r="D1035" s="4" t="s">
        <v>45</v>
      </c>
      <c r="E1035" s="4"/>
      <c r="F1035" s="14"/>
      <c r="G1035" s="14"/>
      <c r="H1035" s="14"/>
      <c r="I1035" s="5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/>
      <c r="AC1035" s="4"/>
      <c r="AD1035" s="4"/>
      <c r="AE1035" s="4"/>
      <c r="AF1035" s="4"/>
      <c r="AG1035" s="4"/>
      <c r="AH1035" s="4"/>
      <c r="AI1035" s="4"/>
      <c r="AJ1035" s="4"/>
      <c r="AK1035" s="4"/>
      <c r="AL1035" s="4"/>
      <c r="AM1035" s="4"/>
      <c r="AN1035" s="4"/>
      <c r="AO1035" s="4"/>
      <c r="AP1035" s="4"/>
      <c r="AQ1035" s="4"/>
      <c r="AR1035" s="4"/>
      <c r="AS1035" s="4"/>
      <c r="AT1035" s="4"/>
      <c r="AU1035" s="4"/>
      <c r="AV1035" s="4"/>
      <c r="AW1035" s="4"/>
      <c r="AX1035" s="4"/>
      <c r="AY1035" s="4"/>
      <c r="AZ1035" s="4"/>
      <c r="BA1035" s="4"/>
      <c r="BB1035" s="4"/>
      <c r="BC1035" s="4"/>
      <c r="BD1035" s="4"/>
      <c r="BE1035" s="4"/>
      <c r="BF1035" s="4"/>
      <c r="BG1035" s="4"/>
      <c r="BH1035" s="4"/>
      <c r="BI1035" s="4"/>
      <c r="BJ1035" s="4"/>
      <c r="BK1035" s="4"/>
      <c r="BL1035" s="4"/>
      <c r="BM1035" s="4"/>
      <c r="BN1035" s="4"/>
      <c r="BO1035" s="4"/>
      <c r="BP1035" s="4"/>
      <c r="BQ1035" s="4"/>
      <c r="BR1035" s="4"/>
      <c r="BS1035" s="4"/>
      <c r="BT1035" s="4"/>
      <c r="BU1035" s="4"/>
      <c r="BV1035" s="4"/>
      <c r="BW1035" s="4"/>
      <c r="BX1035" s="4"/>
      <c r="BY1035" s="4"/>
      <c r="BZ1035" s="4"/>
      <c r="CA1035" s="4"/>
      <c r="CB1035" s="4"/>
      <c r="CC1035" s="4"/>
      <c r="CD1035" s="4"/>
      <c r="CE1035" s="4"/>
      <c r="CF1035" s="4"/>
      <c r="CG1035" s="4"/>
      <c r="CH1035" s="4"/>
    </row>
    <row r="1036" spans="1:86" x14ac:dyDescent="0.25">
      <c r="A1036" s="12">
        <f t="shared" si="22"/>
        <v>1033</v>
      </c>
      <c r="B1036" s="4" t="s">
        <v>2456</v>
      </c>
      <c r="C1036" s="4" t="s">
        <v>2457</v>
      </c>
      <c r="D1036" s="4" t="s">
        <v>1123</v>
      </c>
      <c r="E1036" s="4"/>
      <c r="F1036" s="14"/>
      <c r="G1036" s="14"/>
      <c r="H1036" s="14"/>
      <c r="I1036" s="5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/>
      <c r="AC1036" s="4"/>
      <c r="AD1036" s="4"/>
      <c r="AE1036" s="4"/>
      <c r="AF1036" s="4"/>
      <c r="AG1036" s="4"/>
      <c r="AH1036" s="4"/>
      <c r="AI1036" s="4"/>
      <c r="AJ1036" s="4"/>
      <c r="AK1036" s="4"/>
      <c r="AL1036" s="4"/>
      <c r="AM1036" s="4"/>
      <c r="AN1036" s="4"/>
      <c r="AO1036" s="4"/>
      <c r="AP1036" s="4"/>
      <c r="AQ1036" s="4"/>
      <c r="AR1036" s="4"/>
      <c r="AS1036" s="4"/>
      <c r="AT1036" s="4"/>
      <c r="AU1036" s="4"/>
      <c r="AV1036" s="4"/>
      <c r="AW1036" s="4"/>
      <c r="AX1036" s="4"/>
      <c r="AY1036" s="4"/>
      <c r="AZ1036" s="4"/>
      <c r="BA1036" s="4"/>
      <c r="BB1036" s="4"/>
      <c r="BC1036" s="4"/>
      <c r="BD1036" s="4"/>
      <c r="BE1036" s="4"/>
      <c r="BF1036" s="4"/>
      <c r="BG1036" s="4"/>
      <c r="BH1036" s="4"/>
      <c r="BI1036" s="4"/>
      <c r="BJ1036" s="4"/>
      <c r="BK1036" s="4"/>
      <c r="BL1036" s="4"/>
      <c r="BM1036" s="4"/>
      <c r="BN1036" s="4"/>
      <c r="BO1036" s="4"/>
      <c r="BP1036" s="4"/>
      <c r="BQ1036" s="4"/>
      <c r="BR1036" s="4"/>
      <c r="BS1036" s="4"/>
      <c r="BT1036" s="4"/>
      <c r="BU1036" s="4"/>
      <c r="BV1036" s="4"/>
      <c r="BW1036" s="4"/>
      <c r="BX1036" s="4"/>
      <c r="BY1036" s="4"/>
      <c r="BZ1036" s="4"/>
      <c r="CA1036" s="4"/>
      <c r="CB1036" s="4"/>
      <c r="CC1036" s="4"/>
      <c r="CD1036" s="4"/>
      <c r="CE1036" s="4"/>
      <c r="CF1036" s="4"/>
      <c r="CG1036" s="4"/>
      <c r="CH1036" s="4"/>
    </row>
    <row r="1037" spans="1:86" x14ac:dyDescent="0.25">
      <c r="A1037" s="12">
        <f t="shared" si="22"/>
        <v>1034</v>
      </c>
      <c r="B1037" s="4" t="s">
        <v>2458</v>
      </c>
      <c r="C1037" s="4" t="s">
        <v>2459</v>
      </c>
      <c r="D1037" s="4" t="s">
        <v>45</v>
      </c>
      <c r="E1037" s="4"/>
      <c r="F1037" s="14"/>
      <c r="G1037" s="14"/>
      <c r="H1037" s="14"/>
      <c r="I1037" s="5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/>
      <c r="AC1037" s="4"/>
      <c r="AD1037" s="4"/>
      <c r="AE1037" s="4"/>
      <c r="AF1037" s="4"/>
      <c r="AG1037" s="4"/>
      <c r="AH1037" s="4"/>
      <c r="AI1037" s="4"/>
      <c r="AJ1037" s="4"/>
      <c r="AK1037" s="4"/>
      <c r="AL1037" s="4"/>
      <c r="AM1037" s="4"/>
      <c r="AN1037" s="4"/>
      <c r="AO1037" s="4"/>
      <c r="AP1037" s="4"/>
      <c r="AQ1037" s="4"/>
      <c r="AR1037" s="4"/>
      <c r="AS1037" s="4"/>
      <c r="AT1037" s="4"/>
      <c r="AU1037" s="4"/>
      <c r="AV1037" s="4"/>
      <c r="AW1037" s="4"/>
      <c r="AX1037" s="4"/>
      <c r="AY1037" s="4"/>
      <c r="AZ1037" s="4"/>
      <c r="BA1037" s="4"/>
      <c r="BB1037" s="4"/>
      <c r="BC1037" s="4"/>
      <c r="BD1037" s="4"/>
      <c r="BE1037" s="4"/>
      <c r="BF1037" s="4"/>
      <c r="BG1037" s="4"/>
      <c r="BH1037" s="4"/>
      <c r="BI1037" s="4"/>
      <c r="BJ1037" s="4"/>
      <c r="BK1037" s="4"/>
      <c r="BL1037" s="4"/>
      <c r="BM1037" s="4"/>
      <c r="BN1037" s="4"/>
      <c r="BO1037" s="4"/>
      <c r="BP1037" s="4"/>
      <c r="BQ1037" s="4"/>
      <c r="BR1037" s="4"/>
      <c r="BS1037" s="4"/>
      <c r="BT1037" s="4"/>
      <c r="BU1037" s="4"/>
      <c r="BV1037" s="4"/>
      <c r="BW1037" s="4"/>
      <c r="BX1037" s="4"/>
      <c r="BY1037" s="4"/>
      <c r="BZ1037" s="4"/>
      <c r="CA1037" s="4"/>
      <c r="CB1037" s="4"/>
      <c r="CC1037" s="4"/>
      <c r="CD1037" s="4"/>
      <c r="CE1037" s="4"/>
      <c r="CF1037" s="4"/>
      <c r="CG1037" s="4"/>
      <c r="CH1037" s="4"/>
    </row>
    <row r="1038" spans="1:86" x14ac:dyDescent="0.25">
      <c r="A1038" s="12">
        <f t="shared" si="22"/>
        <v>1035</v>
      </c>
      <c r="B1038" s="4" t="s">
        <v>2460</v>
      </c>
      <c r="C1038" s="4" t="s">
        <v>2461</v>
      </c>
      <c r="D1038" s="4" t="s">
        <v>45</v>
      </c>
      <c r="E1038" s="4"/>
      <c r="F1038" s="14"/>
      <c r="G1038" s="14"/>
      <c r="H1038" s="14"/>
      <c r="I1038" s="5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/>
      <c r="AC1038" s="4"/>
      <c r="AD1038" s="4"/>
      <c r="AE1038" s="4"/>
      <c r="AF1038" s="4"/>
      <c r="AG1038" s="4"/>
      <c r="AH1038" s="4"/>
      <c r="AI1038" s="4"/>
      <c r="AJ1038" s="4"/>
      <c r="AK1038" s="4"/>
      <c r="AL1038" s="4"/>
      <c r="AM1038" s="4"/>
      <c r="AN1038" s="4"/>
      <c r="AO1038" s="4"/>
      <c r="AP1038" s="4"/>
      <c r="AQ1038" s="4"/>
      <c r="AR1038" s="4"/>
      <c r="AS1038" s="4"/>
      <c r="AT1038" s="4"/>
      <c r="AU1038" s="4"/>
      <c r="AV1038" s="4"/>
      <c r="AW1038" s="4"/>
      <c r="AX1038" s="4"/>
      <c r="AY1038" s="4"/>
      <c r="AZ1038" s="4"/>
      <c r="BA1038" s="4"/>
      <c r="BB1038" s="4"/>
      <c r="BC1038" s="4"/>
      <c r="BD1038" s="4"/>
      <c r="BE1038" s="4"/>
      <c r="BF1038" s="4"/>
      <c r="BG1038" s="4"/>
      <c r="BH1038" s="4"/>
      <c r="BI1038" s="4"/>
      <c r="BJ1038" s="4"/>
      <c r="BK1038" s="4"/>
      <c r="BL1038" s="4"/>
      <c r="BM1038" s="4"/>
      <c r="BN1038" s="4"/>
      <c r="BO1038" s="4"/>
      <c r="BP1038" s="4"/>
      <c r="BQ1038" s="4"/>
      <c r="BR1038" s="4"/>
      <c r="BS1038" s="4"/>
      <c r="BT1038" s="4"/>
      <c r="BU1038" s="4"/>
      <c r="BV1038" s="4"/>
      <c r="BW1038" s="4"/>
      <c r="BX1038" s="4"/>
      <c r="BY1038" s="4"/>
      <c r="BZ1038" s="4"/>
      <c r="CA1038" s="4"/>
      <c r="CB1038" s="4"/>
      <c r="CC1038" s="4"/>
      <c r="CD1038" s="4"/>
      <c r="CE1038" s="4"/>
      <c r="CF1038" s="4"/>
      <c r="CG1038" s="4"/>
      <c r="CH1038" s="4"/>
    </row>
    <row r="1039" spans="1:86" x14ac:dyDescent="0.25">
      <c r="A1039" s="12">
        <f t="shared" si="22"/>
        <v>1036</v>
      </c>
      <c r="B1039" s="4" t="s">
        <v>2462</v>
      </c>
      <c r="C1039" s="4" t="s">
        <v>2463</v>
      </c>
      <c r="D1039" s="4" t="s">
        <v>45</v>
      </c>
      <c r="E1039" s="4"/>
      <c r="F1039" s="14"/>
      <c r="G1039" s="14"/>
      <c r="H1039" s="14"/>
      <c r="I1039" s="5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  <c r="AD1039" s="4"/>
      <c r="AE1039" s="4"/>
      <c r="AF1039" s="4"/>
      <c r="AG1039" s="4"/>
      <c r="AH1039" s="4"/>
      <c r="AI1039" s="4"/>
      <c r="AJ1039" s="4"/>
      <c r="AK1039" s="4"/>
      <c r="AL1039" s="4"/>
      <c r="AM1039" s="4"/>
      <c r="AN1039" s="4"/>
      <c r="AO1039" s="4"/>
      <c r="AP1039" s="4"/>
      <c r="AQ1039" s="4"/>
      <c r="AR1039" s="4"/>
      <c r="AS1039" s="4"/>
      <c r="AT1039" s="4"/>
      <c r="AU1039" s="4"/>
      <c r="AV1039" s="4"/>
      <c r="AW1039" s="4"/>
      <c r="AX1039" s="4"/>
      <c r="AY1039" s="4"/>
      <c r="AZ1039" s="4"/>
      <c r="BA1039" s="4"/>
      <c r="BB1039" s="4"/>
      <c r="BC1039" s="4"/>
      <c r="BD1039" s="4"/>
      <c r="BE1039" s="4"/>
      <c r="BF1039" s="4"/>
      <c r="BG1039" s="4"/>
      <c r="BH1039" s="4"/>
      <c r="BI1039" s="4"/>
      <c r="BJ1039" s="4"/>
      <c r="BK1039" s="4"/>
      <c r="BL1039" s="4"/>
      <c r="BM1039" s="4"/>
      <c r="BN1039" s="4"/>
      <c r="BO1039" s="4"/>
      <c r="BP1039" s="4"/>
      <c r="BQ1039" s="4"/>
      <c r="BR1039" s="4"/>
      <c r="BS1039" s="4"/>
      <c r="BT1039" s="4"/>
      <c r="BU1039" s="4"/>
      <c r="BV1039" s="4"/>
      <c r="BW1039" s="4"/>
      <c r="BX1039" s="4"/>
      <c r="BY1039" s="4"/>
      <c r="BZ1039" s="4"/>
      <c r="CA1039" s="4"/>
      <c r="CB1039" s="4"/>
      <c r="CC1039" s="4"/>
      <c r="CD1039" s="4"/>
      <c r="CE1039" s="4"/>
      <c r="CF1039" s="4"/>
      <c r="CG1039" s="4"/>
      <c r="CH1039" s="4"/>
    </row>
    <row r="1040" spans="1:86" x14ac:dyDescent="0.25">
      <c r="A1040" s="12">
        <f t="shared" si="22"/>
        <v>1037</v>
      </c>
      <c r="B1040" s="4" t="s">
        <v>2464</v>
      </c>
      <c r="C1040" s="4" t="s">
        <v>2465</v>
      </c>
      <c r="D1040" s="4" t="s">
        <v>1123</v>
      </c>
      <c r="E1040" s="4"/>
      <c r="F1040" s="14"/>
      <c r="G1040" s="14"/>
      <c r="H1040" s="14"/>
      <c r="I1040" s="5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/>
      <c r="AC1040" s="4"/>
      <c r="AD1040" s="4"/>
      <c r="AE1040" s="4"/>
      <c r="AF1040" s="4"/>
      <c r="AG1040" s="4"/>
      <c r="AH1040" s="4"/>
      <c r="AI1040" s="4"/>
      <c r="AJ1040" s="4"/>
      <c r="AK1040" s="4"/>
      <c r="AL1040" s="4"/>
      <c r="AM1040" s="4"/>
      <c r="AN1040" s="4"/>
      <c r="AO1040" s="4"/>
      <c r="AP1040" s="4"/>
      <c r="AQ1040" s="4"/>
      <c r="AR1040" s="4"/>
      <c r="AS1040" s="4"/>
      <c r="AT1040" s="4"/>
      <c r="AU1040" s="4"/>
      <c r="AV1040" s="4"/>
      <c r="AW1040" s="4"/>
      <c r="AX1040" s="4"/>
      <c r="AY1040" s="4"/>
      <c r="AZ1040" s="4"/>
      <c r="BA1040" s="4"/>
      <c r="BB1040" s="4"/>
      <c r="BC1040" s="4"/>
      <c r="BD1040" s="4"/>
      <c r="BE1040" s="4"/>
      <c r="BF1040" s="4"/>
      <c r="BG1040" s="4"/>
      <c r="BH1040" s="4"/>
      <c r="BI1040" s="4"/>
      <c r="BJ1040" s="4"/>
      <c r="BK1040" s="4"/>
      <c r="BL1040" s="4"/>
      <c r="BM1040" s="4"/>
      <c r="BN1040" s="4"/>
      <c r="BO1040" s="4"/>
      <c r="BP1040" s="4"/>
      <c r="BQ1040" s="4"/>
      <c r="BR1040" s="4"/>
      <c r="BS1040" s="4"/>
      <c r="BT1040" s="4"/>
      <c r="BU1040" s="4"/>
      <c r="BV1040" s="4"/>
      <c r="BW1040" s="4"/>
      <c r="BX1040" s="4"/>
      <c r="BY1040" s="4"/>
      <c r="BZ1040" s="4"/>
      <c r="CA1040" s="4"/>
      <c r="CB1040" s="4"/>
      <c r="CC1040" s="4"/>
      <c r="CD1040" s="4"/>
      <c r="CE1040" s="4"/>
      <c r="CF1040" s="4"/>
      <c r="CG1040" s="4"/>
      <c r="CH1040" s="4"/>
    </row>
    <row r="1041" spans="1:86" x14ac:dyDescent="0.25">
      <c r="A1041" s="12">
        <f t="shared" si="22"/>
        <v>1038</v>
      </c>
      <c r="B1041" s="4" t="s">
        <v>2466</v>
      </c>
      <c r="C1041" s="4" t="s">
        <v>2467</v>
      </c>
      <c r="D1041" s="4" t="s">
        <v>45</v>
      </c>
      <c r="E1041" s="4"/>
      <c r="F1041" s="14"/>
      <c r="G1041" s="14"/>
      <c r="H1041" s="14"/>
      <c r="I1041" s="5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/>
      <c r="AC1041" s="4"/>
      <c r="AD1041" s="4"/>
      <c r="AE1041" s="4"/>
      <c r="AF1041" s="4"/>
      <c r="AG1041" s="4"/>
      <c r="AH1041" s="4"/>
      <c r="AI1041" s="4"/>
      <c r="AJ1041" s="4"/>
      <c r="AK1041" s="4"/>
      <c r="AL1041" s="4"/>
      <c r="AM1041" s="4"/>
      <c r="AN1041" s="4"/>
      <c r="AO1041" s="4"/>
      <c r="AP1041" s="4"/>
      <c r="AQ1041" s="4"/>
      <c r="AR1041" s="4"/>
      <c r="AS1041" s="4"/>
      <c r="AT1041" s="4"/>
      <c r="AU1041" s="4"/>
      <c r="AV1041" s="4"/>
      <c r="AW1041" s="4"/>
      <c r="AX1041" s="4"/>
      <c r="AY1041" s="4"/>
      <c r="AZ1041" s="4"/>
      <c r="BA1041" s="4"/>
      <c r="BB1041" s="4"/>
      <c r="BC1041" s="4"/>
      <c r="BD1041" s="4"/>
      <c r="BE1041" s="4"/>
      <c r="BF1041" s="4"/>
      <c r="BG1041" s="4"/>
      <c r="BH1041" s="4"/>
      <c r="BI1041" s="4"/>
      <c r="BJ1041" s="4"/>
      <c r="BK1041" s="4"/>
      <c r="BL1041" s="4"/>
      <c r="BM1041" s="4"/>
      <c r="BN1041" s="4"/>
      <c r="BO1041" s="4"/>
      <c r="BP1041" s="4"/>
      <c r="BQ1041" s="4"/>
      <c r="BR1041" s="4"/>
      <c r="BS1041" s="4"/>
      <c r="BT1041" s="4"/>
      <c r="BU1041" s="4"/>
      <c r="BV1041" s="4"/>
      <c r="BW1041" s="4"/>
      <c r="BX1041" s="4"/>
      <c r="BY1041" s="4"/>
      <c r="BZ1041" s="4"/>
      <c r="CA1041" s="4"/>
      <c r="CB1041" s="4"/>
      <c r="CC1041" s="4"/>
      <c r="CD1041" s="4"/>
      <c r="CE1041" s="4"/>
      <c r="CF1041" s="4"/>
      <c r="CG1041" s="4"/>
      <c r="CH1041" s="4"/>
    </row>
    <row r="1042" spans="1:86" x14ac:dyDescent="0.25">
      <c r="A1042" s="12">
        <f t="shared" si="22"/>
        <v>1039</v>
      </c>
      <c r="B1042" s="4" t="s">
        <v>2468</v>
      </c>
      <c r="C1042" s="4" t="s">
        <v>2469</v>
      </c>
      <c r="D1042" s="4" t="s">
        <v>1130</v>
      </c>
      <c r="E1042" s="4"/>
      <c r="F1042" s="14"/>
      <c r="G1042" s="14"/>
      <c r="H1042" s="14"/>
      <c r="I1042" s="5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  <c r="AF1042" s="4"/>
      <c r="AG1042" s="4"/>
      <c r="AH1042" s="4"/>
      <c r="AI1042" s="4"/>
      <c r="AJ1042" s="4"/>
      <c r="AK1042" s="4"/>
      <c r="AL1042" s="4"/>
      <c r="AM1042" s="4"/>
      <c r="AN1042" s="4"/>
      <c r="AO1042" s="4"/>
      <c r="AP1042" s="4"/>
      <c r="AQ1042" s="4"/>
      <c r="AR1042" s="4"/>
      <c r="AS1042" s="4"/>
      <c r="AT1042" s="4"/>
      <c r="AU1042" s="4"/>
      <c r="AV1042" s="4"/>
      <c r="AW1042" s="4"/>
      <c r="AX1042" s="4"/>
      <c r="AY1042" s="4"/>
      <c r="AZ1042" s="4"/>
      <c r="BA1042" s="4"/>
      <c r="BB1042" s="4"/>
      <c r="BC1042" s="4"/>
      <c r="BD1042" s="4"/>
      <c r="BE1042" s="4"/>
      <c r="BF1042" s="4"/>
      <c r="BG1042" s="4"/>
      <c r="BH1042" s="4"/>
      <c r="BI1042" s="4"/>
      <c r="BJ1042" s="4"/>
      <c r="BK1042" s="4"/>
      <c r="BL1042" s="4"/>
      <c r="BM1042" s="4"/>
      <c r="BN1042" s="4"/>
      <c r="BO1042" s="4"/>
      <c r="BP1042" s="4"/>
      <c r="BQ1042" s="4"/>
      <c r="BR1042" s="4"/>
      <c r="BS1042" s="4"/>
      <c r="BT1042" s="4"/>
      <c r="BU1042" s="4"/>
      <c r="BV1042" s="4"/>
      <c r="BW1042" s="4"/>
      <c r="BX1042" s="4"/>
      <c r="BY1042" s="4"/>
      <c r="BZ1042" s="4"/>
      <c r="CA1042" s="4"/>
      <c r="CB1042" s="4"/>
      <c r="CC1042" s="4"/>
      <c r="CD1042" s="4"/>
      <c r="CE1042" s="4"/>
      <c r="CF1042" s="4"/>
      <c r="CG1042" s="4"/>
      <c r="CH1042" s="4"/>
    </row>
    <row r="1043" spans="1:86" x14ac:dyDescent="0.25">
      <c r="A1043" s="12">
        <f t="shared" si="22"/>
        <v>1040</v>
      </c>
      <c r="B1043" s="4" t="s">
        <v>2470</v>
      </c>
      <c r="C1043" s="4" t="s">
        <v>2471</v>
      </c>
      <c r="D1043" s="4" t="s">
        <v>161</v>
      </c>
      <c r="E1043" s="4"/>
      <c r="F1043" s="14"/>
      <c r="G1043" s="14"/>
      <c r="H1043" s="14"/>
      <c r="I1043" s="5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/>
      <c r="AC1043" s="4"/>
      <c r="AD1043" s="4"/>
      <c r="AE1043" s="4"/>
      <c r="AF1043" s="4"/>
      <c r="AG1043" s="4"/>
      <c r="AH1043" s="4"/>
      <c r="AI1043" s="4"/>
      <c r="AJ1043" s="4"/>
      <c r="AK1043" s="4"/>
      <c r="AL1043" s="4"/>
      <c r="AM1043" s="4"/>
      <c r="AN1043" s="4"/>
      <c r="AO1043" s="4"/>
      <c r="AP1043" s="4"/>
      <c r="AQ1043" s="4"/>
      <c r="AR1043" s="4"/>
      <c r="AS1043" s="4"/>
      <c r="AT1043" s="4"/>
      <c r="AU1043" s="4"/>
      <c r="AV1043" s="4"/>
      <c r="AW1043" s="4"/>
      <c r="AX1043" s="4"/>
      <c r="AY1043" s="4"/>
      <c r="AZ1043" s="4"/>
      <c r="BA1043" s="4"/>
      <c r="BB1043" s="4"/>
      <c r="BC1043" s="4"/>
      <c r="BD1043" s="4"/>
      <c r="BE1043" s="4"/>
      <c r="BF1043" s="4"/>
      <c r="BG1043" s="4"/>
      <c r="BH1043" s="4"/>
      <c r="BI1043" s="4"/>
      <c r="BJ1043" s="4"/>
      <c r="BK1043" s="4"/>
      <c r="BL1043" s="4"/>
      <c r="BM1043" s="4"/>
      <c r="BN1043" s="4"/>
      <c r="BO1043" s="4"/>
      <c r="BP1043" s="4"/>
      <c r="BQ1043" s="4"/>
      <c r="BR1043" s="4"/>
      <c r="BS1043" s="4"/>
      <c r="BT1043" s="4"/>
      <c r="BU1043" s="4"/>
      <c r="BV1043" s="4"/>
      <c r="BW1043" s="4"/>
      <c r="BX1043" s="4"/>
      <c r="BY1043" s="4"/>
      <c r="BZ1043" s="4"/>
      <c r="CA1043" s="4"/>
      <c r="CB1043" s="4"/>
      <c r="CC1043" s="4"/>
      <c r="CD1043" s="4"/>
      <c r="CE1043" s="4"/>
      <c r="CF1043" s="4"/>
      <c r="CG1043" s="4"/>
      <c r="CH1043" s="4"/>
    </row>
    <row r="1044" spans="1:86" x14ac:dyDescent="0.25">
      <c r="A1044" s="12">
        <f t="shared" si="22"/>
        <v>1041</v>
      </c>
      <c r="B1044" s="4" t="s">
        <v>2472</v>
      </c>
      <c r="C1044" s="4" t="s">
        <v>2473</v>
      </c>
      <c r="D1044" s="4" t="s">
        <v>45</v>
      </c>
      <c r="E1044" s="4"/>
      <c r="F1044" s="14"/>
      <c r="G1044" s="14"/>
      <c r="H1044" s="14"/>
      <c r="I1044" s="5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  <c r="AE1044" s="4"/>
      <c r="AF1044" s="4"/>
      <c r="AG1044" s="4"/>
      <c r="AH1044" s="4"/>
      <c r="AI1044" s="4"/>
      <c r="AJ1044" s="4"/>
      <c r="AK1044" s="4"/>
      <c r="AL1044" s="4"/>
      <c r="AM1044" s="4"/>
      <c r="AN1044" s="4"/>
      <c r="AO1044" s="4"/>
      <c r="AP1044" s="4"/>
      <c r="AQ1044" s="4"/>
      <c r="AR1044" s="4"/>
      <c r="AS1044" s="4"/>
      <c r="AT1044" s="4"/>
      <c r="AU1044" s="4"/>
      <c r="AV1044" s="4"/>
      <c r="AW1044" s="4"/>
      <c r="AX1044" s="4"/>
      <c r="AY1044" s="4"/>
      <c r="AZ1044" s="4"/>
      <c r="BA1044" s="4"/>
      <c r="BB1044" s="4"/>
      <c r="BC1044" s="4"/>
      <c r="BD1044" s="4"/>
      <c r="BE1044" s="4"/>
      <c r="BF1044" s="4"/>
      <c r="BG1044" s="4"/>
      <c r="BH1044" s="4"/>
      <c r="BI1044" s="4"/>
      <c r="BJ1044" s="4"/>
      <c r="BK1044" s="4"/>
      <c r="BL1044" s="4"/>
      <c r="BM1044" s="4"/>
      <c r="BN1044" s="4"/>
      <c r="BO1044" s="4"/>
      <c r="BP1044" s="4"/>
      <c r="BQ1044" s="4"/>
      <c r="BR1044" s="4"/>
      <c r="BS1044" s="4"/>
      <c r="BT1044" s="4"/>
      <c r="BU1044" s="4"/>
      <c r="BV1044" s="4"/>
      <c r="BW1044" s="4"/>
      <c r="BX1044" s="4"/>
      <c r="BY1044" s="4"/>
      <c r="BZ1044" s="4"/>
      <c r="CA1044" s="4"/>
      <c r="CB1044" s="4"/>
      <c r="CC1044" s="4"/>
      <c r="CD1044" s="4"/>
      <c r="CE1044" s="4"/>
      <c r="CF1044" s="4"/>
      <c r="CG1044" s="4"/>
      <c r="CH1044" s="4"/>
    </row>
    <row r="1045" spans="1:86" x14ac:dyDescent="0.25">
      <c r="A1045" s="12">
        <f t="shared" si="22"/>
        <v>1042</v>
      </c>
      <c r="B1045" s="4" t="s">
        <v>2474</v>
      </c>
      <c r="C1045" s="4" t="s">
        <v>2475</v>
      </c>
      <c r="D1045" s="4" t="s">
        <v>45</v>
      </c>
      <c r="E1045" s="4"/>
      <c r="F1045" s="14"/>
      <c r="G1045" s="14"/>
      <c r="H1045" s="14"/>
      <c r="I1045" s="5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  <c r="AB1045" s="4"/>
      <c r="AC1045" s="4"/>
      <c r="AD1045" s="4"/>
      <c r="AE1045" s="4"/>
      <c r="AF1045" s="4"/>
      <c r="AG1045" s="4"/>
      <c r="AH1045" s="4"/>
      <c r="AI1045" s="4"/>
      <c r="AJ1045" s="4"/>
      <c r="AK1045" s="4"/>
      <c r="AL1045" s="4"/>
      <c r="AM1045" s="4"/>
      <c r="AN1045" s="4"/>
      <c r="AO1045" s="4"/>
      <c r="AP1045" s="4"/>
      <c r="AQ1045" s="4"/>
      <c r="AR1045" s="4"/>
      <c r="AS1045" s="4"/>
      <c r="AT1045" s="4"/>
      <c r="AU1045" s="4"/>
      <c r="AV1045" s="4"/>
      <c r="AW1045" s="4"/>
      <c r="AX1045" s="4"/>
      <c r="AY1045" s="4"/>
      <c r="AZ1045" s="4"/>
      <c r="BA1045" s="4"/>
      <c r="BB1045" s="4"/>
      <c r="BC1045" s="4"/>
      <c r="BD1045" s="4"/>
      <c r="BE1045" s="4"/>
      <c r="BF1045" s="4"/>
      <c r="BG1045" s="4"/>
      <c r="BH1045" s="4"/>
      <c r="BI1045" s="4"/>
      <c r="BJ1045" s="4"/>
      <c r="BK1045" s="4"/>
      <c r="BL1045" s="4"/>
      <c r="BM1045" s="4"/>
      <c r="BN1045" s="4"/>
      <c r="BO1045" s="4"/>
      <c r="BP1045" s="4"/>
      <c r="BQ1045" s="4"/>
      <c r="BR1045" s="4"/>
      <c r="BS1045" s="4"/>
      <c r="BT1045" s="4"/>
      <c r="BU1045" s="4"/>
      <c r="BV1045" s="4"/>
      <c r="BW1045" s="4"/>
      <c r="BX1045" s="4"/>
      <c r="BY1045" s="4"/>
      <c r="BZ1045" s="4"/>
      <c r="CA1045" s="4"/>
      <c r="CB1045" s="4"/>
      <c r="CC1045" s="4"/>
      <c r="CD1045" s="4"/>
      <c r="CE1045" s="4"/>
      <c r="CF1045" s="4"/>
      <c r="CG1045" s="4"/>
      <c r="CH1045" s="4"/>
    </row>
    <row r="1046" spans="1:86" x14ac:dyDescent="0.25">
      <c r="A1046" s="12">
        <f t="shared" si="22"/>
        <v>1043</v>
      </c>
      <c r="B1046" s="4" t="s">
        <v>2476</v>
      </c>
      <c r="C1046" s="4" t="s">
        <v>2477</v>
      </c>
      <c r="D1046" s="4" t="s">
        <v>45</v>
      </c>
      <c r="E1046" s="4"/>
      <c r="F1046" s="14"/>
      <c r="G1046" s="14"/>
      <c r="H1046" s="14"/>
      <c r="I1046" s="5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  <c r="AB1046" s="4"/>
      <c r="AC1046" s="4"/>
      <c r="AD1046" s="4"/>
      <c r="AE1046" s="4"/>
      <c r="AF1046" s="4"/>
      <c r="AG1046" s="4"/>
      <c r="AH1046" s="4"/>
      <c r="AI1046" s="4"/>
      <c r="AJ1046" s="4"/>
      <c r="AK1046" s="4"/>
      <c r="AL1046" s="4"/>
      <c r="AM1046" s="4"/>
      <c r="AN1046" s="4"/>
      <c r="AO1046" s="4"/>
      <c r="AP1046" s="4"/>
      <c r="AQ1046" s="4"/>
      <c r="AR1046" s="4"/>
      <c r="AS1046" s="4"/>
      <c r="AT1046" s="4"/>
      <c r="AU1046" s="4"/>
      <c r="AV1046" s="4"/>
      <c r="AW1046" s="4"/>
      <c r="AX1046" s="4"/>
      <c r="AY1046" s="4"/>
      <c r="AZ1046" s="4"/>
      <c r="BA1046" s="4"/>
      <c r="BB1046" s="4"/>
      <c r="BC1046" s="4"/>
      <c r="BD1046" s="4"/>
      <c r="BE1046" s="4"/>
      <c r="BF1046" s="4"/>
      <c r="BG1046" s="4"/>
      <c r="BH1046" s="4"/>
      <c r="BI1046" s="4"/>
      <c r="BJ1046" s="4"/>
      <c r="BK1046" s="4"/>
      <c r="BL1046" s="4"/>
      <c r="BM1046" s="4"/>
      <c r="BN1046" s="4"/>
      <c r="BO1046" s="4"/>
      <c r="BP1046" s="4"/>
      <c r="BQ1046" s="4"/>
      <c r="BR1046" s="4"/>
      <c r="BS1046" s="4"/>
      <c r="BT1046" s="4"/>
      <c r="BU1046" s="4"/>
      <c r="BV1046" s="4"/>
      <c r="BW1046" s="4"/>
      <c r="BX1046" s="4"/>
      <c r="BY1046" s="4"/>
      <c r="BZ1046" s="4"/>
      <c r="CA1046" s="4"/>
      <c r="CB1046" s="4"/>
      <c r="CC1046" s="4"/>
      <c r="CD1046" s="4"/>
      <c r="CE1046" s="4"/>
      <c r="CF1046" s="4"/>
      <c r="CG1046" s="4"/>
      <c r="CH1046" s="4"/>
    </row>
    <row r="1047" spans="1:86" x14ac:dyDescent="0.25">
      <c r="A1047" s="12">
        <f t="shared" si="22"/>
        <v>1044</v>
      </c>
      <c r="B1047" s="4" t="s">
        <v>1105</v>
      </c>
      <c r="C1047" s="4" t="s">
        <v>1106</v>
      </c>
      <c r="D1047" s="4" t="s">
        <v>768</v>
      </c>
      <c r="E1047" s="4"/>
      <c r="F1047" s="14"/>
      <c r="G1047" s="14"/>
      <c r="H1047" s="14"/>
      <c r="I1047" s="5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  <c r="AB1047" s="4"/>
      <c r="AC1047" s="4"/>
      <c r="AD1047" s="4"/>
      <c r="AE1047" s="4"/>
      <c r="AF1047" s="4"/>
      <c r="AG1047" s="4"/>
      <c r="AH1047" s="4"/>
      <c r="AI1047" s="4"/>
      <c r="AJ1047" s="4"/>
      <c r="AK1047" s="4"/>
      <c r="AL1047" s="4"/>
      <c r="AM1047" s="4"/>
      <c r="AN1047" s="4"/>
      <c r="AO1047" s="4"/>
      <c r="AP1047" s="4"/>
      <c r="AQ1047" s="4"/>
      <c r="AR1047" s="4"/>
      <c r="AS1047" s="4"/>
      <c r="AT1047" s="4"/>
      <c r="AU1047" s="4"/>
      <c r="AV1047" s="4"/>
      <c r="AW1047" s="4"/>
      <c r="AX1047" s="4"/>
      <c r="AY1047" s="4"/>
      <c r="AZ1047" s="4"/>
      <c r="BA1047" s="4"/>
      <c r="BB1047" s="4"/>
      <c r="BC1047" s="4"/>
      <c r="BD1047" s="4"/>
      <c r="BE1047" s="4"/>
      <c r="BF1047" s="4"/>
      <c r="BG1047" s="4"/>
      <c r="BH1047" s="4"/>
      <c r="BI1047" s="4"/>
      <c r="BJ1047" s="4"/>
      <c r="BK1047" s="4"/>
      <c r="BL1047" s="4"/>
      <c r="BM1047" s="4"/>
      <c r="BN1047" s="4"/>
      <c r="BO1047" s="4"/>
      <c r="BP1047" s="4"/>
      <c r="BQ1047" s="4"/>
      <c r="BR1047" s="4"/>
      <c r="BS1047" s="4"/>
      <c r="BT1047" s="4"/>
      <c r="BU1047" s="4"/>
      <c r="BV1047" s="4"/>
      <c r="BW1047" s="4"/>
      <c r="BX1047" s="4"/>
      <c r="BY1047" s="4"/>
      <c r="BZ1047" s="4"/>
      <c r="CA1047" s="4"/>
      <c r="CB1047" s="4"/>
      <c r="CC1047" s="4"/>
      <c r="CD1047" s="4"/>
      <c r="CE1047" s="4"/>
      <c r="CF1047" s="4"/>
      <c r="CG1047" s="4"/>
      <c r="CH1047" s="4"/>
    </row>
    <row r="1048" spans="1:86" x14ac:dyDescent="0.25">
      <c r="A1048" s="12">
        <f t="shared" si="22"/>
        <v>1045</v>
      </c>
      <c r="B1048" s="4" t="s">
        <v>1107</v>
      </c>
      <c r="C1048" s="4" t="s">
        <v>1108</v>
      </c>
      <c r="D1048" s="4" t="s">
        <v>768</v>
      </c>
      <c r="E1048" s="4"/>
      <c r="F1048" s="14"/>
      <c r="G1048" s="14"/>
      <c r="H1048" s="14"/>
      <c r="I1048" s="5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  <c r="AB1048" s="4"/>
      <c r="AC1048" s="4"/>
      <c r="AD1048" s="4"/>
      <c r="AE1048" s="4"/>
      <c r="AF1048" s="4"/>
      <c r="AG1048" s="4"/>
      <c r="AH1048" s="4"/>
      <c r="AI1048" s="4"/>
      <c r="AJ1048" s="4"/>
      <c r="AK1048" s="4"/>
      <c r="AL1048" s="4"/>
      <c r="AM1048" s="4"/>
      <c r="AN1048" s="4"/>
      <c r="AO1048" s="4"/>
      <c r="AP1048" s="4"/>
      <c r="AQ1048" s="4"/>
      <c r="AR1048" s="4"/>
      <c r="AS1048" s="4"/>
      <c r="AT1048" s="4"/>
      <c r="AU1048" s="4"/>
      <c r="AV1048" s="4"/>
      <c r="AW1048" s="4"/>
      <c r="AX1048" s="4"/>
      <c r="AY1048" s="4"/>
      <c r="AZ1048" s="4"/>
      <c r="BA1048" s="4"/>
      <c r="BB1048" s="4"/>
      <c r="BC1048" s="4"/>
      <c r="BD1048" s="4"/>
      <c r="BE1048" s="4"/>
      <c r="BF1048" s="4"/>
      <c r="BG1048" s="4"/>
      <c r="BH1048" s="4"/>
      <c r="BI1048" s="4"/>
      <c r="BJ1048" s="4"/>
      <c r="BK1048" s="4"/>
      <c r="BL1048" s="4"/>
      <c r="BM1048" s="4"/>
      <c r="BN1048" s="4"/>
      <c r="BO1048" s="4"/>
      <c r="BP1048" s="4"/>
      <c r="BQ1048" s="4"/>
      <c r="BR1048" s="4"/>
      <c r="BS1048" s="4"/>
      <c r="BT1048" s="4"/>
      <c r="BU1048" s="4"/>
      <c r="BV1048" s="4"/>
      <c r="BW1048" s="4"/>
      <c r="BX1048" s="4"/>
      <c r="BY1048" s="4"/>
      <c r="BZ1048" s="4"/>
      <c r="CA1048" s="4"/>
      <c r="CB1048" s="4"/>
      <c r="CC1048" s="4"/>
      <c r="CD1048" s="4"/>
      <c r="CE1048" s="4"/>
      <c r="CF1048" s="4"/>
      <c r="CG1048" s="4"/>
      <c r="CH1048" s="4"/>
    </row>
    <row r="1049" spans="1:86" x14ac:dyDescent="0.25">
      <c r="A1049" s="12">
        <f t="shared" si="22"/>
        <v>1046</v>
      </c>
      <c r="B1049" s="4" t="s">
        <v>2478</v>
      </c>
      <c r="C1049" s="4" t="s">
        <v>2479</v>
      </c>
      <c r="D1049" s="4" t="s">
        <v>45</v>
      </c>
      <c r="E1049" s="4"/>
      <c r="F1049" s="14"/>
      <c r="G1049" s="14"/>
      <c r="H1049" s="14"/>
      <c r="I1049" s="5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  <c r="AB1049" s="4"/>
      <c r="AC1049" s="4"/>
      <c r="AD1049" s="4"/>
      <c r="AE1049" s="4"/>
      <c r="AF1049" s="4"/>
      <c r="AG1049" s="4"/>
      <c r="AH1049" s="4"/>
      <c r="AI1049" s="4"/>
      <c r="AJ1049" s="4"/>
      <c r="AK1049" s="4"/>
      <c r="AL1049" s="4"/>
      <c r="AM1049" s="4"/>
      <c r="AN1049" s="4"/>
      <c r="AO1049" s="4"/>
      <c r="AP1049" s="4"/>
      <c r="AQ1049" s="4"/>
      <c r="AR1049" s="4"/>
      <c r="AS1049" s="4"/>
      <c r="AT1049" s="4"/>
      <c r="AU1049" s="4"/>
      <c r="AV1049" s="4"/>
      <c r="AW1049" s="4"/>
      <c r="AX1049" s="4"/>
      <c r="AY1049" s="4"/>
      <c r="AZ1049" s="4"/>
      <c r="BA1049" s="4"/>
      <c r="BB1049" s="4"/>
      <c r="BC1049" s="4"/>
      <c r="BD1049" s="4"/>
      <c r="BE1049" s="4"/>
      <c r="BF1049" s="4"/>
      <c r="BG1049" s="4"/>
      <c r="BH1049" s="4"/>
      <c r="BI1049" s="4"/>
      <c r="BJ1049" s="4"/>
      <c r="BK1049" s="4"/>
      <c r="BL1049" s="4"/>
      <c r="BM1049" s="4"/>
      <c r="BN1049" s="4"/>
      <c r="BO1049" s="4"/>
      <c r="BP1049" s="4"/>
      <c r="BQ1049" s="4"/>
      <c r="BR1049" s="4"/>
      <c r="BS1049" s="4"/>
      <c r="BT1049" s="4"/>
      <c r="BU1049" s="4"/>
      <c r="BV1049" s="4"/>
      <c r="BW1049" s="4"/>
      <c r="BX1049" s="4"/>
      <c r="BY1049" s="4"/>
      <c r="BZ1049" s="4"/>
      <c r="CA1049" s="4"/>
      <c r="CB1049" s="4"/>
      <c r="CC1049" s="4"/>
      <c r="CD1049" s="4"/>
      <c r="CE1049" s="4"/>
      <c r="CF1049" s="4"/>
      <c r="CG1049" s="4"/>
      <c r="CH1049" s="4"/>
    </row>
    <row r="1050" spans="1:86" x14ac:dyDescent="0.25">
      <c r="A1050" s="12">
        <f t="shared" si="22"/>
        <v>1047</v>
      </c>
      <c r="B1050" s="4" t="s">
        <v>2480</v>
      </c>
      <c r="C1050" s="4" t="s">
        <v>2481</v>
      </c>
      <c r="D1050" s="4" t="s">
        <v>1130</v>
      </c>
      <c r="E1050" s="4"/>
      <c r="F1050" s="14"/>
      <c r="G1050" s="14"/>
      <c r="H1050" s="14"/>
      <c r="I1050" s="5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  <c r="AB1050" s="4"/>
      <c r="AC1050" s="4"/>
      <c r="AD1050" s="4"/>
      <c r="AE1050" s="4"/>
      <c r="AF1050" s="4"/>
      <c r="AG1050" s="4"/>
      <c r="AH1050" s="4"/>
      <c r="AI1050" s="4"/>
      <c r="AJ1050" s="4"/>
      <c r="AK1050" s="4"/>
      <c r="AL1050" s="4"/>
      <c r="AM1050" s="4"/>
      <c r="AN1050" s="4"/>
      <c r="AO1050" s="4"/>
      <c r="AP1050" s="4"/>
      <c r="AQ1050" s="4"/>
      <c r="AR1050" s="4"/>
      <c r="AS1050" s="4"/>
      <c r="AT1050" s="4"/>
      <c r="AU1050" s="4"/>
      <c r="AV1050" s="4"/>
      <c r="AW1050" s="4"/>
      <c r="AX1050" s="4"/>
      <c r="AY1050" s="4"/>
      <c r="AZ1050" s="4"/>
      <c r="BA1050" s="4"/>
      <c r="BB1050" s="4"/>
      <c r="BC1050" s="4"/>
      <c r="BD1050" s="4"/>
      <c r="BE1050" s="4"/>
      <c r="BF1050" s="4"/>
      <c r="BG1050" s="4"/>
      <c r="BH1050" s="4"/>
      <c r="BI1050" s="4"/>
      <c r="BJ1050" s="4"/>
      <c r="BK1050" s="4"/>
      <c r="BL1050" s="4"/>
      <c r="BM1050" s="4"/>
      <c r="BN1050" s="4"/>
      <c r="BO1050" s="4"/>
      <c r="BP1050" s="4"/>
      <c r="BQ1050" s="4"/>
      <c r="BR1050" s="4"/>
      <c r="BS1050" s="4"/>
      <c r="BT1050" s="4"/>
      <c r="BU1050" s="4"/>
      <c r="BV1050" s="4"/>
      <c r="BW1050" s="4"/>
      <c r="BX1050" s="4"/>
      <c r="BY1050" s="4"/>
      <c r="BZ1050" s="4"/>
      <c r="CA1050" s="4"/>
      <c r="CB1050" s="4"/>
      <c r="CC1050" s="4"/>
      <c r="CD1050" s="4"/>
      <c r="CE1050" s="4"/>
      <c r="CF1050" s="4"/>
      <c r="CG1050" s="4"/>
      <c r="CH1050" s="4"/>
    </row>
    <row r="1051" spans="1:86" x14ac:dyDescent="0.25">
      <c r="A1051" s="12">
        <f t="shared" si="22"/>
        <v>1048</v>
      </c>
      <c r="B1051" s="4" t="s">
        <v>2482</v>
      </c>
      <c r="C1051" s="4" t="s">
        <v>2483</v>
      </c>
      <c r="D1051" s="4" t="s">
        <v>508</v>
      </c>
      <c r="E1051" s="4"/>
      <c r="F1051" s="14"/>
      <c r="G1051" s="14"/>
      <c r="H1051" s="14"/>
      <c r="I1051" s="5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  <c r="AB1051" s="4"/>
      <c r="AC1051" s="4"/>
      <c r="AD1051" s="4"/>
      <c r="AE1051" s="4"/>
      <c r="AF1051" s="4"/>
      <c r="AG1051" s="4"/>
      <c r="AH1051" s="4"/>
      <c r="AI1051" s="4"/>
      <c r="AJ1051" s="4"/>
      <c r="AK1051" s="4"/>
      <c r="AL1051" s="4"/>
      <c r="AM1051" s="4"/>
      <c r="AN1051" s="4"/>
      <c r="AO1051" s="4"/>
      <c r="AP1051" s="4"/>
      <c r="AQ1051" s="4"/>
      <c r="AR1051" s="4"/>
      <c r="AS1051" s="4"/>
      <c r="AT1051" s="4"/>
      <c r="AU1051" s="4"/>
      <c r="AV1051" s="4"/>
      <c r="AW1051" s="4"/>
      <c r="AX1051" s="4"/>
      <c r="AY1051" s="4"/>
      <c r="AZ1051" s="4"/>
      <c r="BA1051" s="4"/>
      <c r="BB1051" s="4"/>
      <c r="BC1051" s="4"/>
      <c r="BD1051" s="4"/>
      <c r="BE1051" s="4"/>
      <c r="BF1051" s="4"/>
      <c r="BG1051" s="4"/>
      <c r="BH1051" s="4"/>
      <c r="BI1051" s="4"/>
      <c r="BJ1051" s="4"/>
      <c r="BK1051" s="4"/>
      <c r="BL1051" s="4"/>
      <c r="BM1051" s="4"/>
      <c r="BN1051" s="4"/>
      <c r="BO1051" s="4"/>
      <c r="BP1051" s="4"/>
      <c r="BQ1051" s="4"/>
      <c r="BR1051" s="4"/>
      <c r="BS1051" s="4"/>
      <c r="BT1051" s="4"/>
      <c r="BU1051" s="4"/>
      <c r="BV1051" s="4"/>
      <c r="BW1051" s="4"/>
      <c r="BX1051" s="4"/>
      <c r="BY1051" s="4"/>
      <c r="BZ1051" s="4"/>
      <c r="CA1051" s="4"/>
      <c r="CB1051" s="4"/>
      <c r="CC1051" s="4"/>
      <c r="CD1051" s="4"/>
      <c r="CE1051" s="4"/>
      <c r="CF1051" s="4"/>
      <c r="CG1051" s="4"/>
      <c r="CH1051" s="4"/>
    </row>
    <row r="1052" spans="1:86" x14ac:dyDescent="0.25">
      <c r="A1052" s="12">
        <f t="shared" si="22"/>
        <v>1049</v>
      </c>
      <c r="B1052" s="4" t="s">
        <v>2484</v>
      </c>
      <c r="C1052" s="4" t="s">
        <v>2485</v>
      </c>
      <c r="D1052" s="4" t="s">
        <v>45</v>
      </c>
      <c r="E1052" s="4"/>
      <c r="F1052" s="14"/>
      <c r="G1052" s="14"/>
      <c r="H1052" s="14"/>
      <c r="I1052" s="5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  <c r="AB1052" s="4"/>
      <c r="AC1052" s="4"/>
      <c r="AD1052" s="4"/>
      <c r="AE1052" s="4"/>
      <c r="AF1052" s="4"/>
      <c r="AG1052" s="4"/>
      <c r="AH1052" s="4"/>
      <c r="AI1052" s="4"/>
      <c r="AJ1052" s="4"/>
      <c r="AK1052" s="4"/>
      <c r="AL1052" s="4"/>
      <c r="AM1052" s="4"/>
      <c r="AN1052" s="4"/>
      <c r="AO1052" s="4"/>
      <c r="AP1052" s="4"/>
      <c r="AQ1052" s="4"/>
      <c r="AR1052" s="4"/>
      <c r="AS1052" s="4"/>
      <c r="AT1052" s="4"/>
      <c r="AU1052" s="4"/>
      <c r="AV1052" s="4"/>
      <c r="AW1052" s="4"/>
      <c r="AX1052" s="4"/>
      <c r="AY1052" s="4"/>
      <c r="AZ1052" s="4"/>
      <c r="BA1052" s="4"/>
      <c r="BB1052" s="4"/>
      <c r="BC1052" s="4"/>
      <c r="BD1052" s="4"/>
      <c r="BE1052" s="4"/>
      <c r="BF1052" s="4"/>
      <c r="BG1052" s="4"/>
      <c r="BH1052" s="4"/>
      <c r="BI1052" s="4"/>
      <c r="BJ1052" s="4"/>
      <c r="BK1052" s="4"/>
      <c r="BL1052" s="4"/>
      <c r="BM1052" s="4"/>
      <c r="BN1052" s="4"/>
      <c r="BO1052" s="4"/>
      <c r="BP1052" s="4"/>
      <c r="BQ1052" s="4"/>
      <c r="BR1052" s="4"/>
      <c r="BS1052" s="4"/>
      <c r="BT1052" s="4"/>
      <c r="BU1052" s="4"/>
      <c r="BV1052" s="4"/>
      <c r="BW1052" s="4"/>
      <c r="BX1052" s="4"/>
      <c r="BY1052" s="4"/>
      <c r="BZ1052" s="4"/>
      <c r="CA1052" s="4"/>
      <c r="CB1052" s="4"/>
      <c r="CC1052" s="4"/>
      <c r="CD1052" s="4"/>
      <c r="CE1052" s="4"/>
      <c r="CF1052" s="4"/>
      <c r="CG1052" s="4"/>
      <c r="CH1052" s="4"/>
    </row>
    <row r="1053" spans="1:86" x14ac:dyDescent="0.25">
      <c r="A1053" s="12">
        <f t="shared" si="22"/>
        <v>1050</v>
      </c>
      <c r="B1053" s="4" t="s">
        <v>2486</v>
      </c>
      <c r="C1053" s="4" t="s">
        <v>2487</v>
      </c>
      <c r="D1053" s="4" t="s">
        <v>45</v>
      </c>
      <c r="E1053" s="4"/>
      <c r="F1053" s="14"/>
      <c r="G1053" s="14"/>
      <c r="H1053" s="14"/>
      <c r="I1053" s="5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  <c r="AB1053" s="4"/>
      <c r="AC1053" s="4"/>
      <c r="AD1053" s="4"/>
      <c r="AE1053" s="4"/>
      <c r="AF1053" s="4"/>
      <c r="AG1053" s="4"/>
      <c r="AH1053" s="4"/>
      <c r="AI1053" s="4"/>
      <c r="AJ1053" s="4"/>
      <c r="AK1053" s="4"/>
      <c r="AL1053" s="4"/>
      <c r="AM1053" s="4"/>
      <c r="AN1053" s="4"/>
      <c r="AO1053" s="4"/>
      <c r="AP1053" s="4"/>
      <c r="AQ1053" s="4"/>
      <c r="AR1053" s="4"/>
      <c r="AS1053" s="4"/>
      <c r="AT1053" s="4"/>
      <c r="AU1053" s="4"/>
      <c r="AV1053" s="4"/>
      <c r="AW1053" s="4"/>
      <c r="AX1053" s="4"/>
      <c r="AY1053" s="4"/>
      <c r="AZ1053" s="4"/>
      <c r="BA1053" s="4"/>
      <c r="BB1053" s="4"/>
      <c r="BC1053" s="4"/>
      <c r="BD1053" s="4"/>
      <c r="BE1053" s="4"/>
      <c r="BF1053" s="4"/>
      <c r="BG1053" s="4"/>
      <c r="BH1053" s="4"/>
      <c r="BI1053" s="4"/>
      <c r="BJ1053" s="4"/>
      <c r="BK1053" s="4"/>
      <c r="BL1053" s="4"/>
      <c r="BM1053" s="4"/>
      <c r="BN1053" s="4"/>
      <c r="BO1053" s="4"/>
      <c r="BP1053" s="4"/>
      <c r="BQ1053" s="4"/>
      <c r="BR1053" s="4"/>
      <c r="BS1053" s="4"/>
      <c r="BT1053" s="4"/>
      <c r="BU1053" s="4"/>
      <c r="BV1053" s="4"/>
      <c r="BW1053" s="4"/>
      <c r="BX1053" s="4"/>
      <c r="BY1053" s="4"/>
      <c r="BZ1053" s="4"/>
      <c r="CA1053" s="4"/>
      <c r="CB1053" s="4"/>
      <c r="CC1053" s="4"/>
      <c r="CD1053" s="4"/>
      <c r="CE1053" s="4"/>
      <c r="CF1053" s="4"/>
      <c r="CG1053" s="4"/>
      <c r="CH1053" s="4"/>
    </row>
    <row r="1054" spans="1:86" x14ac:dyDescent="0.25">
      <c r="A1054" s="12">
        <f t="shared" si="22"/>
        <v>1051</v>
      </c>
      <c r="B1054" s="4" t="s">
        <v>2488</v>
      </c>
      <c r="C1054" s="4" t="s">
        <v>2489</v>
      </c>
      <c r="D1054" s="4" t="s">
        <v>1125</v>
      </c>
      <c r="E1054" s="4"/>
      <c r="F1054" s="14"/>
      <c r="G1054" s="14"/>
      <c r="H1054" s="14"/>
      <c r="I1054" s="5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  <c r="AB1054" s="4"/>
      <c r="AC1054" s="4"/>
      <c r="AD1054" s="4"/>
      <c r="AE1054" s="4"/>
      <c r="AF1054" s="4"/>
      <c r="AG1054" s="4"/>
      <c r="AH1054" s="4"/>
      <c r="AI1054" s="4"/>
      <c r="AJ1054" s="4"/>
      <c r="AK1054" s="4"/>
      <c r="AL1054" s="4"/>
      <c r="AM1054" s="4"/>
      <c r="AN1054" s="4"/>
      <c r="AO1054" s="4"/>
      <c r="AP1054" s="4"/>
      <c r="AQ1054" s="4"/>
      <c r="AR1054" s="4"/>
      <c r="AS1054" s="4"/>
      <c r="AT1054" s="4"/>
      <c r="AU1054" s="4"/>
      <c r="AV1054" s="4"/>
      <c r="AW1054" s="4"/>
      <c r="AX1054" s="4"/>
      <c r="AY1054" s="4"/>
      <c r="AZ1054" s="4"/>
      <c r="BA1054" s="4"/>
      <c r="BB1054" s="4"/>
      <c r="BC1054" s="4"/>
      <c r="BD1054" s="4"/>
      <c r="BE1054" s="4"/>
      <c r="BF1054" s="4"/>
      <c r="BG1054" s="4"/>
      <c r="BH1054" s="4"/>
      <c r="BI1054" s="4"/>
      <c r="BJ1054" s="4"/>
      <c r="BK1054" s="4"/>
      <c r="BL1054" s="4"/>
      <c r="BM1054" s="4"/>
      <c r="BN1054" s="4"/>
      <c r="BO1054" s="4"/>
      <c r="BP1054" s="4"/>
      <c r="BQ1054" s="4"/>
      <c r="BR1054" s="4"/>
      <c r="BS1054" s="4"/>
      <c r="BT1054" s="4"/>
      <c r="BU1054" s="4"/>
      <c r="BV1054" s="4"/>
      <c r="BW1054" s="4"/>
      <c r="BX1054" s="4"/>
      <c r="BY1054" s="4"/>
      <c r="BZ1054" s="4"/>
      <c r="CA1054" s="4"/>
      <c r="CB1054" s="4"/>
      <c r="CC1054" s="4"/>
      <c r="CD1054" s="4"/>
      <c r="CE1054" s="4"/>
      <c r="CF1054" s="4"/>
      <c r="CG1054" s="4"/>
      <c r="CH1054" s="4"/>
    </row>
    <row r="1055" spans="1:86" x14ac:dyDescent="0.25">
      <c r="A1055" s="12">
        <f t="shared" si="22"/>
        <v>1052</v>
      </c>
      <c r="B1055" s="4" t="s">
        <v>2490</v>
      </c>
      <c r="C1055" s="4" t="s">
        <v>2491</v>
      </c>
      <c r="D1055" s="4" t="s">
        <v>45</v>
      </c>
      <c r="E1055" s="4"/>
      <c r="F1055" s="14"/>
      <c r="G1055" s="14"/>
      <c r="H1055" s="14"/>
      <c r="I1055" s="5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  <c r="AB1055" s="4"/>
      <c r="AC1055" s="4"/>
      <c r="AD1055" s="4"/>
      <c r="AE1055" s="4"/>
      <c r="AF1055" s="4"/>
      <c r="AG1055" s="4"/>
      <c r="AH1055" s="4"/>
      <c r="AI1055" s="4"/>
      <c r="AJ1055" s="4"/>
      <c r="AK1055" s="4"/>
      <c r="AL1055" s="4"/>
      <c r="AM1055" s="4"/>
      <c r="AN1055" s="4"/>
      <c r="AO1055" s="4"/>
      <c r="AP1055" s="4"/>
      <c r="AQ1055" s="4"/>
      <c r="AR1055" s="4"/>
      <c r="AS1055" s="4"/>
      <c r="AT1055" s="4"/>
      <c r="AU1055" s="4"/>
      <c r="AV1055" s="4"/>
      <c r="AW1055" s="4"/>
      <c r="AX1055" s="4"/>
      <c r="AY1055" s="4"/>
      <c r="AZ1055" s="4"/>
      <c r="BA1055" s="4"/>
      <c r="BB1055" s="4"/>
      <c r="BC1055" s="4"/>
      <c r="BD1055" s="4"/>
      <c r="BE1055" s="4"/>
      <c r="BF1055" s="4"/>
      <c r="BG1055" s="4"/>
      <c r="BH1055" s="4"/>
      <c r="BI1055" s="4"/>
      <c r="BJ1055" s="4"/>
      <c r="BK1055" s="4"/>
      <c r="BL1055" s="4"/>
      <c r="BM1055" s="4"/>
      <c r="BN1055" s="4"/>
      <c r="BO1055" s="4"/>
      <c r="BP1055" s="4"/>
      <c r="BQ1055" s="4"/>
      <c r="BR1055" s="4"/>
      <c r="BS1055" s="4"/>
      <c r="BT1055" s="4"/>
      <c r="BU1055" s="4"/>
      <c r="BV1055" s="4"/>
      <c r="BW1055" s="4"/>
      <c r="BX1055" s="4"/>
      <c r="BY1055" s="4"/>
      <c r="BZ1055" s="4"/>
      <c r="CA1055" s="4"/>
      <c r="CB1055" s="4"/>
      <c r="CC1055" s="4"/>
      <c r="CD1055" s="4"/>
      <c r="CE1055" s="4"/>
      <c r="CF1055" s="4"/>
      <c r="CG1055" s="4"/>
      <c r="CH1055" s="4"/>
    </row>
    <row r="1056" spans="1:86" x14ac:dyDescent="0.25">
      <c r="A1056" s="12">
        <f t="shared" si="22"/>
        <v>1053</v>
      </c>
      <c r="B1056" s="4" t="s">
        <v>2492</v>
      </c>
      <c r="C1056" s="4" t="s">
        <v>2493</v>
      </c>
      <c r="D1056" s="4" t="s">
        <v>87</v>
      </c>
      <c r="E1056" s="4"/>
      <c r="F1056" s="14"/>
      <c r="G1056" s="14"/>
      <c r="H1056" s="14"/>
      <c r="I1056" s="5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  <c r="AB1056" s="4"/>
      <c r="AC1056" s="4"/>
      <c r="AD1056" s="4"/>
      <c r="AE1056" s="4"/>
      <c r="AF1056" s="4"/>
      <c r="AG1056" s="4"/>
      <c r="AH1056" s="4"/>
      <c r="AI1056" s="4"/>
      <c r="AJ1056" s="4"/>
      <c r="AK1056" s="4"/>
      <c r="AL1056" s="4"/>
      <c r="AM1056" s="4"/>
      <c r="AN1056" s="4"/>
      <c r="AO1056" s="4"/>
      <c r="AP1056" s="4"/>
      <c r="AQ1056" s="4"/>
      <c r="AR1056" s="4"/>
      <c r="AS1056" s="4"/>
      <c r="AT1056" s="4"/>
      <c r="AU1056" s="4"/>
      <c r="AV1056" s="4"/>
      <c r="AW1056" s="4"/>
      <c r="AX1056" s="4"/>
      <c r="AY1056" s="4"/>
      <c r="AZ1056" s="4"/>
      <c r="BA1056" s="4"/>
      <c r="BB1056" s="4"/>
      <c r="BC1056" s="4"/>
      <c r="BD1056" s="4"/>
      <c r="BE1056" s="4"/>
      <c r="BF1056" s="4"/>
      <c r="BG1056" s="4"/>
      <c r="BH1056" s="4"/>
      <c r="BI1056" s="4"/>
      <c r="BJ1056" s="4"/>
      <c r="BK1056" s="4"/>
      <c r="BL1056" s="4"/>
      <c r="BM1056" s="4"/>
      <c r="BN1056" s="4"/>
      <c r="BO1056" s="4"/>
      <c r="BP1056" s="4"/>
      <c r="BQ1056" s="4"/>
      <c r="BR1056" s="4"/>
      <c r="BS1056" s="4"/>
      <c r="BT1056" s="4"/>
      <c r="BU1056" s="4"/>
      <c r="BV1056" s="4"/>
      <c r="BW1056" s="4"/>
      <c r="BX1056" s="4"/>
      <c r="BY1056" s="4"/>
      <c r="BZ1056" s="4"/>
      <c r="CA1056" s="4"/>
      <c r="CB1056" s="4"/>
      <c r="CC1056" s="4"/>
      <c r="CD1056" s="4"/>
      <c r="CE1056" s="4"/>
      <c r="CF1056" s="4"/>
      <c r="CG1056" s="4"/>
      <c r="CH1056" s="4"/>
    </row>
    <row r="1057" spans="1:86" x14ac:dyDescent="0.25">
      <c r="A1057" s="12">
        <f t="shared" si="22"/>
        <v>1054</v>
      </c>
      <c r="B1057" s="4" t="s">
        <v>2494</v>
      </c>
      <c r="C1057" s="4" t="s">
        <v>2495</v>
      </c>
      <c r="D1057" s="4" t="s">
        <v>45</v>
      </c>
      <c r="E1057" s="4"/>
      <c r="F1057" s="14"/>
      <c r="G1057" s="14"/>
      <c r="H1057" s="14"/>
      <c r="I1057" s="5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  <c r="AB1057" s="4"/>
      <c r="AC1057" s="4"/>
      <c r="AD1057" s="4"/>
      <c r="AE1057" s="4"/>
      <c r="AF1057" s="4"/>
      <c r="AG1057" s="4"/>
      <c r="AH1057" s="4"/>
      <c r="AI1057" s="4"/>
      <c r="AJ1057" s="4"/>
      <c r="AK1057" s="4"/>
      <c r="AL1057" s="4"/>
      <c r="AM1057" s="4"/>
      <c r="AN1057" s="4"/>
      <c r="AO1057" s="4"/>
      <c r="AP1057" s="4"/>
      <c r="AQ1057" s="4"/>
      <c r="AR1057" s="4"/>
      <c r="AS1057" s="4"/>
      <c r="AT1057" s="4"/>
      <c r="AU1057" s="4"/>
      <c r="AV1057" s="4"/>
      <c r="AW1057" s="4"/>
      <c r="AX1057" s="4"/>
      <c r="AY1057" s="4"/>
      <c r="AZ1057" s="4"/>
      <c r="BA1057" s="4"/>
      <c r="BB1057" s="4"/>
      <c r="BC1057" s="4"/>
      <c r="BD1057" s="4"/>
      <c r="BE1057" s="4"/>
      <c r="BF1057" s="4"/>
      <c r="BG1057" s="4"/>
      <c r="BH1057" s="4"/>
      <c r="BI1057" s="4"/>
      <c r="BJ1057" s="4"/>
      <c r="BK1057" s="4"/>
      <c r="BL1057" s="4"/>
      <c r="BM1057" s="4"/>
      <c r="BN1057" s="4"/>
      <c r="BO1057" s="4"/>
      <c r="BP1057" s="4"/>
      <c r="BQ1057" s="4"/>
      <c r="BR1057" s="4"/>
      <c r="BS1057" s="4"/>
      <c r="BT1057" s="4"/>
      <c r="BU1057" s="4"/>
      <c r="BV1057" s="4"/>
      <c r="BW1057" s="4"/>
      <c r="BX1057" s="4"/>
      <c r="BY1057" s="4"/>
      <c r="BZ1057" s="4"/>
      <c r="CA1057" s="4"/>
      <c r="CB1057" s="4"/>
      <c r="CC1057" s="4"/>
      <c r="CD1057" s="4"/>
      <c r="CE1057" s="4"/>
      <c r="CF1057" s="4"/>
      <c r="CG1057" s="4"/>
      <c r="CH1057" s="4"/>
    </row>
    <row r="1058" spans="1:86" x14ac:dyDescent="0.25">
      <c r="A1058" s="12">
        <f t="shared" si="22"/>
        <v>1055</v>
      </c>
      <c r="B1058" s="4" t="s">
        <v>2496</v>
      </c>
      <c r="C1058" s="4" t="s">
        <v>2497</v>
      </c>
      <c r="D1058" s="4" t="s">
        <v>768</v>
      </c>
      <c r="E1058" s="4"/>
      <c r="F1058" s="14"/>
      <c r="G1058" s="14"/>
      <c r="H1058" s="14"/>
      <c r="I1058" s="5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  <c r="AB1058" s="4"/>
      <c r="AC1058" s="4"/>
      <c r="AD1058" s="4"/>
      <c r="AE1058" s="4"/>
      <c r="AF1058" s="4"/>
      <c r="AG1058" s="4"/>
      <c r="AH1058" s="4"/>
      <c r="AI1058" s="4"/>
      <c r="AJ1058" s="4"/>
      <c r="AK1058" s="4"/>
      <c r="AL1058" s="4"/>
      <c r="AM1058" s="4"/>
      <c r="AN1058" s="4"/>
      <c r="AO1058" s="4"/>
      <c r="AP1058" s="4"/>
      <c r="AQ1058" s="4"/>
      <c r="AR1058" s="4"/>
      <c r="AS1058" s="4"/>
      <c r="AT1058" s="4"/>
      <c r="AU1058" s="4"/>
      <c r="AV1058" s="4"/>
      <c r="AW1058" s="4"/>
      <c r="AX1058" s="4"/>
      <c r="AY1058" s="4"/>
      <c r="AZ1058" s="4"/>
      <c r="BA1058" s="4"/>
      <c r="BB1058" s="4"/>
      <c r="BC1058" s="4"/>
      <c r="BD1058" s="4"/>
      <c r="BE1058" s="4"/>
      <c r="BF1058" s="4"/>
      <c r="BG1058" s="4"/>
      <c r="BH1058" s="4"/>
      <c r="BI1058" s="4"/>
      <c r="BJ1058" s="4"/>
      <c r="BK1058" s="4"/>
      <c r="BL1058" s="4"/>
      <c r="BM1058" s="4"/>
      <c r="BN1058" s="4"/>
      <c r="BO1058" s="4"/>
      <c r="BP1058" s="4"/>
      <c r="BQ1058" s="4"/>
      <c r="BR1058" s="4"/>
      <c r="BS1058" s="4"/>
      <c r="BT1058" s="4"/>
      <c r="BU1058" s="4"/>
      <c r="BV1058" s="4"/>
      <c r="BW1058" s="4"/>
      <c r="BX1058" s="4"/>
      <c r="BY1058" s="4"/>
      <c r="BZ1058" s="4"/>
      <c r="CA1058" s="4"/>
      <c r="CB1058" s="4"/>
      <c r="CC1058" s="4"/>
      <c r="CD1058" s="4"/>
      <c r="CE1058" s="4"/>
      <c r="CF1058" s="4"/>
      <c r="CG1058" s="4"/>
      <c r="CH1058" s="4"/>
    </row>
    <row r="1059" spans="1:86" x14ac:dyDescent="0.25">
      <c r="A1059" s="12">
        <f t="shared" si="22"/>
        <v>1056</v>
      </c>
      <c r="B1059" s="4" t="s">
        <v>2498</v>
      </c>
      <c r="C1059" s="4" t="s">
        <v>2499</v>
      </c>
      <c r="D1059" s="4" t="s">
        <v>45</v>
      </c>
      <c r="E1059" s="4"/>
      <c r="F1059" s="14"/>
      <c r="G1059" s="14"/>
      <c r="H1059" s="14"/>
      <c r="I1059" s="5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  <c r="AB1059" s="4"/>
      <c r="AC1059" s="4"/>
      <c r="AD1059" s="4"/>
      <c r="AE1059" s="4"/>
      <c r="AF1059" s="4"/>
      <c r="AG1059" s="4"/>
      <c r="AH1059" s="4"/>
      <c r="AI1059" s="4"/>
      <c r="AJ1059" s="4"/>
      <c r="AK1059" s="4"/>
      <c r="AL1059" s="4"/>
      <c r="AM1059" s="4"/>
      <c r="AN1059" s="4"/>
      <c r="AO1059" s="4"/>
      <c r="AP1059" s="4"/>
      <c r="AQ1059" s="4"/>
      <c r="AR1059" s="4"/>
      <c r="AS1059" s="4"/>
      <c r="AT1059" s="4"/>
      <c r="AU1059" s="4"/>
      <c r="AV1059" s="4"/>
      <c r="AW1059" s="4"/>
      <c r="AX1059" s="4"/>
      <c r="AY1059" s="4"/>
      <c r="AZ1059" s="4"/>
      <c r="BA1059" s="4"/>
      <c r="BB1059" s="4"/>
      <c r="BC1059" s="4"/>
      <c r="BD1059" s="4"/>
      <c r="BE1059" s="4"/>
      <c r="BF1059" s="4"/>
      <c r="BG1059" s="4"/>
      <c r="BH1059" s="4"/>
      <c r="BI1059" s="4"/>
      <c r="BJ1059" s="4"/>
      <c r="BK1059" s="4"/>
      <c r="BL1059" s="4"/>
      <c r="BM1059" s="4"/>
      <c r="BN1059" s="4"/>
      <c r="BO1059" s="4"/>
      <c r="BP1059" s="4"/>
      <c r="BQ1059" s="4"/>
      <c r="BR1059" s="4"/>
      <c r="BS1059" s="4"/>
      <c r="BT1059" s="4"/>
      <c r="BU1059" s="4"/>
      <c r="BV1059" s="4"/>
      <c r="BW1059" s="4"/>
      <c r="BX1059" s="4"/>
      <c r="BY1059" s="4"/>
      <c r="BZ1059" s="4"/>
      <c r="CA1059" s="4"/>
      <c r="CB1059" s="4"/>
      <c r="CC1059" s="4"/>
      <c r="CD1059" s="4"/>
      <c r="CE1059" s="4"/>
      <c r="CF1059" s="4"/>
      <c r="CG1059" s="4"/>
      <c r="CH1059" s="4"/>
    </row>
    <row r="1060" spans="1:86" x14ac:dyDescent="0.25">
      <c r="A1060" s="12">
        <f t="shared" si="22"/>
        <v>1057</v>
      </c>
      <c r="B1060" s="4" t="s">
        <v>2500</v>
      </c>
      <c r="C1060" s="4" t="s">
        <v>2501</v>
      </c>
      <c r="D1060" s="4" t="s">
        <v>1129</v>
      </c>
      <c r="E1060" s="4"/>
      <c r="F1060" s="14"/>
      <c r="G1060" s="14"/>
      <c r="H1060" s="14"/>
      <c r="I1060" s="5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  <c r="AB1060" s="4"/>
      <c r="AC1060" s="4"/>
      <c r="AD1060" s="4"/>
      <c r="AE1060" s="4"/>
      <c r="AF1060" s="4"/>
      <c r="AG1060" s="4"/>
      <c r="AH1060" s="4"/>
      <c r="AI1060" s="4"/>
      <c r="AJ1060" s="4"/>
      <c r="AK1060" s="4"/>
      <c r="AL1060" s="4"/>
      <c r="AM1060" s="4"/>
      <c r="AN1060" s="4"/>
      <c r="AO1060" s="4"/>
      <c r="AP1060" s="4"/>
      <c r="AQ1060" s="4"/>
      <c r="AR1060" s="4"/>
      <c r="AS1060" s="4"/>
      <c r="AT1060" s="4"/>
      <c r="AU1060" s="4"/>
      <c r="AV1060" s="4"/>
      <c r="AW1060" s="4"/>
      <c r="AX1060" s="4"/>
      <c r="AY1060" s="4"/>
      <c r="AZ1060" s="4"/>
      <c r="BA1060" s="4"/>
      <c r="BB1060" s="4"/>
      <c r="BC1060" s="4"/>
      <c r="BD1060" s="4"/>
      <c r="BE1060" s="4"/>
      <c r="BF1060" s="4"/>
      <c r="BG1060" s="4"/>
      <c r="BH1060" s="4"/>
      <c r="BI1060" s="4"/>
      <c r="BJ1060" s="4"/>
      <c r="BK1060" s="4"/>
      <c r="BL1060" s="4"/>
      <c r="BM1060" s="4"/>
      <c r="BN1060" s="4"/>
      <c r="BO1060" s="4"/>
      <c r="BP1060" s="4"/>
      <c r="BQ1060" s="4"/>
      <c r="BR1060" s="4"/>
      <c r="BS1060" s="4"/>
      <c r="BT1060" s="4"/>
      <c r="BU1060" s="4"/>
      <c r="BV1060" s="4"/>
      <c r="BW1060" s="4"/>
      <c r="BX1060" s="4"/>
      <c r="BY1060" s="4"/>
      <c r="BZ1060" s="4"/>
      <c r="CA1060" s="4"/>
      <c r="CB1060" s="4"/>
      <c r="CC1060" s="4"/>
      <c r="CD1060" s="4"/>
      <c r="CE1060" s="4"/>
      <c r="CF1060" s="4"/>
      <c r="CG1060" s="4"/>
      <c r="CH1060" s="4"/>
    </row>
    <row r="1061" spans="1:86" x14ac:dyDescent="0.25">
      <c r="A1061" s="12">
        <f t="shared" si="22"/>
        <v>1058</v>
      </c>
      <c r="B1061" s="4" t="s">
        <v>2502</v>
      </c>
      <c r="C1061" s="4" t="s">
        <v>2502</v>
      </c>
      <c r="D1061" s="4" t="s">
        <v>1129</v>
      </c>
      <c r="E1061" s="4"/>
      <c r="F1061" s="14"/>
      <c r="G1061" s="14"/>
      <c r="H1061" s="14"/>
      <c r="I1061" s="5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  <c r="AB1061" s="4"/>
      <c r="AC1061" s="4"/>
      <c r="AD1061" s="4"/>
      <c r="AE1061" s="4"/>
      <c r="AF1061" s="4"/>
      <c r="AG1061" s="4"/>
      <c r="AH1061" s="4"/>
      <c r="AI1061" s="4"/>
      <c r="AJ1061" s="4"/>
      <c r="AK1061" s="4"/>
      <c r="AL1061" s="4"/>
      <c r="AM1061" s="4"/>
      <c r="AN1061" s="4"/>
      <c r="AO1061" s="4"/>
      <c r="AP1061" s="4"/>
      <c r="AQ1061" s="4"/>
      <c r="AR1061" s="4"/>
      <c r="AS1061" s="4"/>
      <c r="AT1061" s="4"/>
      <c r="AU1061" s="4"/>
      <c r="AV1061" s="4"/>
      <c r="AW1061" s="4"/>
      <c r="AX1061" s="4"/>
      <c r="AY1061" s="4"/>
      <c r="AZ1061" s="4"/>
      <c r="BA1061" s="4"/>
      <c r="BB1061" s="4"/>
      <c r="BC1061" s="4"/>
      <c r="BD1061" s="4"/>
      <c r="BE1061" s="4"/>
      <c r="BF1061" s="4"/>
      <c r="BG1061" s="4"/>
      <c r="BH1061" s="4"/>
      <c r="BI1061" s="4"/>
      <c r="BJ1061" s="4"/>
      <c r="BK1061" s="4"/>
      <c r="BL1061" s="4"/>
      <c r="BM1061" s="4"/>
      <c r="BN1061" s="4"/>
      <c r="BO1061" s="4"/>
      <c r="BP1061" s="4"/>
      <c r="BQ1061" s="4"/>
      <c r="BR1061" s="4"/>
      <c r="BS1061" s="4"/>
      <c r="BT1061" s="4"/>
      <c r="BU1061" s="4"/>
      <c r="BV1061" s="4"/>
      <c r="BW1061" s="4"/>
      <c r="BX1061" s="4"/>
      <c r="BY1061" s="4"/>
      <c r="BZ1061" s="4"/>
      <c r="CA1061" s="4"/>
      <c r="CB1061" s="4"/>
      <c r="CC1061" s="4"/>
      <c r="CD1061" s="4"/>
      <c r="CE1061" s="4"/>
      <c r="CF1061" s="4"/>
      <c r="CG1061" s="4"/>
      <c r="CH1061" s="4"/>
    </row>
    <row r="1062" spans="1:86" x14ac:dyDescent="0.25">
      <c r="A1062" s="12">
        <f t="shared" si="22"/>
        <v>1059</v>
      </c>
      <c r="B1062" s="4" t="s">
        <v>1109</v>
      </c>
      <c r="C1062" s="4" t="s">
        <v>1110</v>
      </c>
      <c r="D1062" s="4" t="s">
        <v>45</v>
      </c>
      <c r="E1062" s="4"/>
      <c r="F1062" s="14"/>
      <c r="G1062" s="14"/>
      <c r="H1062" s="14"/>
      <c r="I1062" s="5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  <c r="AB1062" s="4"/>
      <c r="AC1062" s="4"/>
      <c r="AD1062" s="4"/>
      <c r="AE1062" s="4"/>
      <c r="AF1062" s="4"/>
      <c r="AG1062" s="4"/>
      <c r="AH1062" s="4"/>
      <c r="AI1062" s="4"/>
      <c r="AJ1062" s="4"/>
      <c r="AK1062" s="4"/>
      <c r="AL1062" s="4"/>
      <c r="AM1062" s="4"/>
      <c r="AN1062" s="4"/>
      <c r="AO1062" s="4"/>
      <c r="AP1062" s="4"/>
      <c r="AQ1062" s="4"/>
      <c r="AR1062" s="4"/>
      <c r="AS1062" s="4"/>
      <c r="AT1062" s="4"/>
      <c r="AU1062" s="4"/>
      <c r="AV1062" s="4"/>
      <c r="AW1062" s="4"/>
      <c r="AX1062" s="4"/>
      <c r="AY1062" s="4"/>
      <c r="AZ1062" s="4"/>
      <c r="BA1062" s="4"/>
      <c r="BB1062" s="4"/>
      <c r="BC1062" s="4"/>
      <c r="BD1062" s="4"/>
      <c r="BE1062" s="4"/>
      <c r="BF1062" s="4"/>
      <c r="BG1062" s="4"/>
      <c r="BH1062" s="4"/>
      <c r="BI1062" s="4"/>
      <c r="BJ1062" s="4"/>
      <c r="BK1062" s="4"/>
      <c r="BL1062" s="4"/>
      <c r="BM1062" s="4"/>
      <c r="BN1062" s="4"/>
      <c r="BO1062" s="4"/>
      <c r="BP1062" s="4"/>
      <c r="BQ1062" s="4"/>
      <c r="BR1062" s="4"/>
      <c r="BS1062" s="4"/>
      <c r="BT1062" s="4"/>
      <c r="BU1062" s="4"/>
      <c r="BV1062" s="4"/>
      <c r="BW1062" s="4"/>
      <c r="BX1062" s="4"/>
      <c r="BY1062" s="4"/>
      <c r="BZ1062" s="4"/>
      <c r="CA1062" s="4"/>
      <c r="CB1062" s="4"/>
      <c r="CC1062" s="4"/>
      <c r="CD1062" s="4"/>
      <c r="CE1062" s="4"/>
      <c r="CF1062" s="4"/>
      <c r="CG1062" s="4"/>
      <c r="CH1062" s="4"/>
    </row>
    <row r="1063" spans="1:86" x14ac:dyDescent="0.25">
      <c r="A1063" s="12">
        <f t="shared" si="22"/>
        <v>1060</v>
      </c>
      <c r="B1063" s="4" t="s">
        <v>1111</v>
      </c>
      <c r="C1063" s="4" t="s">
        <v>1112</v>
      </c>
      <c r="D1063" s="4" t="s">
        <v>45</v>
      </c>
      <c r="E1063" s="4"/>
      <c r="F1063" s="14"/>
      <c r="G1063" s="14"/>
      <c r="H1063" s="14"/>
      <c r="I1063" s="5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  <c r="AB1063" s="4"/>
      <c r="AC1063" s="4"/>
      <c r="AD1063" s="4"/>
      <c r="AE1063" s="4"/>
      <c r="AF1063" s="4"/>
      <c r="AG1063" s="4"/>
      <c r="AH1063" s="4"/>
      <c r="AI1063" s="4"/>
      <c r="AJ1063" s="4"/>
      <c r="AK1063" s="4"/>
      <c r="AL1063" s="4"/>
      <c r="AM1063" s="4"/>
      <c r="AN1063" s="4"/>
      <c r="AO1063" s="4"/>
      <c r="AP1063" s="4"/>
      <c r="AQ1063" s="4"/>
      <c r="AR1063" s="4"/>
      <c r="AS1063" s="4"/>
      <c r="AT1063" s="4"/>
      <c r="AU1063" s="4"/>
      <c r="AV1063" s="4"/>
      <c r="AW1063" s="4"/>
      <c r="AX1063" s="4"/>
      <c r="AY1063" s="4"/>
      <c r="AZ1063" s="4"/>
      <c r="BA1063" s="4"/>
      <c r="BB1063" s="4"/>
      <c r="BC1063" s="4"/>
      <c r="BD1063" s="4"/>
      <c r="BE1063" s="4"/>
      <c r="BF1063" s="4"/>
      <c r="BG1063" s="4"/>
      <c r="BH1063" s="4"/>
      <c r="BI1063" s="4"/>
      <c r="BJ1063" s="4"/>
      <c r="BK1063" s="4"/>
      <c r="BL1063" s="4"/>
      <c r="BM1063" s="4"/>
      <c r="BN1063" s="4"/>
      <c r="BO1063" s="4"/>
      <c r="BP1063" s="4"/>
      <c r="BQ1063" s="4"/>
      <c r="BR1063" s="4"/>
      <c r="BS1063" s="4"/>
      <c r="BT1063" s="4"/>
      <c r="BU1063" s="4"/>
      <c r="BV1063" s="4"/>
      <c r="BW1063" s="4"/>
      <c r="BX1063" s="4"/>
      <c r="BY1063" s="4"/>
      <c r="BZ1063" s="4"/>
      <c r="CA1063" s="4"/>
      <c r="CB1063" s="4"/>
      <c r="CC1063" s="4"/>
      <c r="CD1063" s="4"/>
      <c r="CE1063" s="4"/>
      <c r="CF1063" s="4"/>
      <c r="CG1063" s="4"/>
      <c r="CH1063" s="4"/>
    </row>
    <row r="1064" spans="1:86" x14ac:dyDescent="0.25">
      <c r="A1064" s="12">
        <f t="shared" si="22"/>
        <v>1061</v>
      </c>
      <c r="B1064" s="4" t="s">
        <v>2503</v>
      </c>
      <c r="C1064" s="4" t="s">
        <v>2504</v>
      </c>
      <c r="D1064" s="4" t="s">
        <v>45</v>
      </c>
      <c r="E1064" s="4"/>
      <c r="F1064" s="14"/>
      <c r="G1064" s="14"/>
      <c r="H1064" s="14"/>
      <c r="I1064" s="5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  <c r="AB1064" s="4"/>
      <c r="AC1064" s="4"/>
      <c r="AD1064" s="4"/>
      <c r="AE1064" s="4"/>
      <c r="AF1064" s="4"/>
      <c r="AG1064" s="4"/>
      <c r="AH1064" s="4"/>
      <c r="AI1064" s="4"/>
      <c r="AJ1064" s="4"/>
      <c r="AK1064" s="4"/>
      <c r="AL1064" s="4"/>
      <c r="AM1064" s="4"/>
      <c r="AN1064" s="4"/>
      <c r="AO1064" s="4"/>
      <c r="AP1064" s="4"/>
      <c r="AQ1064" s="4"/>
      <c r="AR1064" s="4"/>
      <c r="AS1064" s="4"/>
      <c r="AT1064" s="4"/>
      <c r="AU1064" s="4"/>
      <c r="AV1064" s="4"/>
      <c r="AW1064" s="4"/>
      <c r="AX1064" s="4"/>
      <c r="AY1064" s="4"/>
      <c r="AZ1064" s="4"/>
      <c r="BA1064" s="4"/>
      <c r="BB1064" s="4"/>
      <c r="BC1064" s="4"/>
      <c r="BD1064" s="4"/>
      <c r="BE1064" s="4"/>
      <c r="BF1064" s="4"/>
      <c r="BG1064" s="4"/>
      <c r="BH1064" s="4"/>
      <c r="BI1064" s="4"/>
      <c r="BJ1064" s="4"/>
      <c r="BK1064" s="4"/>
      <c r="BL1064" s="4"/>
      <c r="BM1064" s="4"/>
      <c r="BN1064" s="4"/>
      <c r="BO1064" s="4"/>
      <c r="BP1064" s="4"/>
      <c r="BQ1064" s="4"/>
      <c r="BR1064" s="4"/>
      <c r="BS1064" s="4"/>
      <c r="BT1064" s="4"/>
      <c r="BU1064" s="4"/>
      <c r="BV1064" s="4"/>
      <c r="BW1064" s="4"/>
      <c r="BX1064" s="4"/>
      <c r="BY1064" s="4"/>
      <c r="BZ1064" s="4"/>
      <c r="CA1064" s="4"/>
      <c r="CB1064" s="4"/>
      <c r="CC1064" s="4"/>
      <c r="CD1064" s="4"/>
      <c r="CE1064" s="4"/>
      <c r="CF1064" s="4"/>
      <c r="CG1064" s="4"/>
      <c r="CH1064" s="4"/>
    </row>
    <row r="1065" spans="1:86" x14ac:dyDescent="0.25">
      <c r="A1065" s="12">
        <f t="shared" si="22"/>
        <v>1062</v>
      </c>
      <c r="B1065" s="4" t="s">
        <v>2505</v>
      </c>
      <c r="C1065" s="4" t="s">
        <v>2506</v>
      </c>
      <c r="D1065" s="4" t="s">
        <v>45</v>
      </c>
      <c r="E1065" s="4"/>
      <c r="F1065" s="14"/>
      <c r="G1065" s="14"/>
      <c r="H1065" s="14"/>
      <c r="I1065" s="5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  <c r="AB1065" s="4"/>
      <c r="AC1065" s="4"/>
      <c r="AD1065" s="4"/>
      <c r="AE1065" s="4"/>
      <c r="AF1065" s="4"/>
      <c r="AG1065" s="4"/>
      <c r="AH1065" s="4"/>
      <c r="AI1065" s="4"/>
      <c r="AJ1065" s="4"/>
      <c r="AK1065" s="4"/>
      <c r="AL1065" s="4"/>
      <c r="AM1065" s="4"/>
      <c r="AN1065" s="4"/>
      <c r="AO1065" s="4"/>
      <c r="AP1065" s="4"/>
      <c r="AQ1065" s="4"/>
      <c r="AR1065" s="4"/>
      <c r="AS1065" s="4"/>
      <c r="AT1065" s="4"/>
      <c r="AU1065" s="4"/>
      <c r="AV1065" s="4"/>
      <c r="AW1065" s="4"/>
      <c r="AX1065" s="4"/>
      <c r="AY1065" s="4"/>
      <c r="AZ1065" s="4"/>
      <c r="BA1065" s="4"/>
      <c r="BB1065" s="4"/>
      <c r="BC1065" s="4"/>
      <c r="BD1065" s="4"/>
      <c r="BE1065" s="4"/>
      <c r="BF1065" s="4"/>
      <c r="BG1065" s="4"/>
      <c r="BH1065" s="4"/>
      <c r="BI1065" s="4"/>
      <c r="BJ1065" s="4"/>
      <c r="BK1065" s="4"/>
      <c r="BL1065" s="4"/>
      <c r="BM1065" s="4"/>
      <c r="BN1065" s="4"/>
      <c r="BO1065" s="4"/>
      <c r="BP1065" s="4"/>
      <c r="BQ1065" s="4"/>
      <c r="BR1065" s="4"/>
      <c r="BS1065" s="4"/>
      <c r="BT1065" s="4"/>
      <c r="BU1065" s="4"/>
      <c r="BV1065" s="4"/>
      <c r="BW1065" s="4"/>
      <c r="BX1065" s="4"/>
      <c r="BY1065" s="4"/>
      <c r="BZ1065" s="4"/>
      <c r="CA1065" s="4"/>
      <c r="CB1065" s="4"/>
      <c r="CC1065" s="4"/>
      <c r="CD1065" s="4"/>
      <c r="CE1065" s="4"/>
      <c r="CF1065" s="4"/>
      <c r="CG1065" s="4"/>
      <c r="CH1065" s="4"/>
    </row>
    <row r="1066" spans="1:86" x14ac:dyDescent="0.25">
      <c r="A1066" s="12">
        <f t="shared" si="22"/>
        <v>1063</v>
      </c>
      <c r="B1066" s="4" t="s">
        <v>2507</v>
      </c>
      <c r="C1066" s="4" t="s">
        <v>2508</v>
      </c>
      <c r="D1066" s="4" t="s">
        <v>45</v>
      </c>
      <c r="E1066" s="4"/>
      <c r="F1066" s="14"/>
      <c r="G1066" s="14"/>
      <c r="H1066" s="14"/>
      <c r="I1066" s="5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  <c r="AB1066" s="4"/>
      <c r="AC1066" s="4"/>
      <c r="AD1066" s="4"/>
      <c r="AE1066" s="4"/>
      <c r="AF1066" s="4"/>
      <c r="AG1066" s="4"/>
      <c r="AH1066" s="4"/>
      <c r="AI1066" s="4"/>
      <c r="AJ1066" s="4"/>
      <c r="AK1066" s="4"/>
      <c r="AL1066" s="4"/>
      <c r="AM1066" s="4"/>
      <c r="AN1066" s="4"/>
      <c r="AO1066" s="4"/>
      <c r="AP1066" s="4"/>
      <c r="AQ1066" s="4"/>
      <c r="AR1066" s="4"/>
      <c r="AS1066" s="4"/>
      <c r="AT1066" s="4"/>
      <c r="AU1066" s="4"/>
      <c r="AV1066" s="4"/>
      <c r="AW1066" s="4"/>
      <c r="AX1066" s="4"/>
      <c r="AY1066" s="4"/>
      <c r="AZ1066" s="4"/>
      <c r="BA1066" s="4"/>
      <c r="BB1066" s="4"/>
      <c r="BC1066" s="4"/>
      <c r="BD1066" s="4"/>
      <c r="BE1066" s="4"/>
      <c r="BF1066" s="4"/>
      <c r="BG1066" s="4"/>
      <c r="BH1066" s="4"/>
      <c r="BI1066" s="4"/>
      <c r="BJ1066" s="4"/>
      <c r="BK1066" s="4"/>
      <c r="BL1066" s="4"/>
      <c r="BM1066" s="4"/>
      <c r="BN1066" s="4"/>
      <c r="BO1066" s="4"/>
      <c r="BP1066" s="4"/>
      <c r="BQ1066" s="4"/>
      <c r="BR1066" s="4"/>
      <c r="BS1066" s="4"/>
      <c r="BT1066" s="4"/>
      <c r="BU1066" s="4"/>
      <c r="BV1066" s="4"/>
      <c r="BW1066" s="4"/>
      <c r="BX1066" s="4"/>
      <c r="BY1066" s="4"/>
      <c r="BZ1066" s="4"/>
      <c r="CA1066" s="4"/>
      <c r="CB1066" s="4"/>
      <c r="CC1066" s="4"/>
      <c r="CD1066" s="4"/>
      <c r="CE1066" s="4"/>
      <c r="CF1066" s="4"/>
      <c r="CG1066" s="4"/>
      <c r="CH1066" s="4"/>
    </row>
    <row r="1067" spans="1:86" x14ac:dyDescent="0.25">
      <c r="A1067" s="12">
        <f t="shared" si="22"/>
        <v>1064</v>
      </c>
      <c r="B1067" s="4" t="s">
        <v>2509</v>
      </c>
      <c r="C1067" s="4" t="s">
        <v>2510</v>
      </c>
      <c r="D1067" s="4" t="s">
        <v>45</v>
      </c>
      <c r="E1067" s="4"/>
      <c r="F1067" s="14"/>
      <c r="G1067" s="14"/>
      <c r="H1067" s="14"/>
      <c r="I1067" s="5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  <c r="AB1067" s="4"/>
      <c r="AC1067" s="4"/>
      <c r="AD1067" s="4"/>
      <c r="AE1067" s="4"/>
      <c r="AF1067" s="4"/>
      <c r="AG1067" s="4"/>
      <c r="AH1067" s="4"/>
      <c r="AI1067" s="4"/>
      <c r="AJ1067" s="4"/>
      <c r="AK1067" s="4"/>
      <c r="AL1067" s="4"/>
      <c r="AM1067" s="4"/>
      <c r="AN1067" s="4"/>
      <c r="AO1067" s="4"/>
      <c r="AP1067" s="4"/>
      <c r="AQ1067" s="4"/>
      <c r="AR1067" s="4"/>
      <c r="AS1067" s="4"/>
      <c r="AT1067" s="4"/>
      <c r="AU1067" s="4"/>
      <c r="AV1067" s="4"/>
      <c r="AW1067" s="4"/>
      <c r="AX1067" s="4"/>
      <c r="AY1067" s="4"/>
      <c r="AZ1067" s="4"/>
      <c r="BA1067" s="4"/>
      <c r="BB1067" s="4"/>
      <c r="BC1067" s="4"/>
      <c r="BD1067" s="4"/>
      <c r="BE1067" s="4"/>
      <c r="BF1067" s="4"/>
      <c r="BG1067" s="4"/>
      <c r="BH1067" s="4"/>
      <c r="BI1067" s="4"/>
      <c r="BJ1067" s="4"/>
      <c r="BK1067" s="4"/>
      <c r="BL1067" s="4"/>
      <c r="BM1067" s="4"/>
      <c r="BN1067" s="4"/>
      <c r="BO1067" s="4"/>
      <c r="BP1067" s="4"/>
      <c r="BQ1067" s="4"/>
      <c r="BR1067" s="4"/>
      <c r="BS1067" s="4"/>
      <c r="BT1067" s="4"/>
      <c r="BU1067" s="4"/>
      <c r="BV1067" s="4"/>
      <c r="BW1067" s="4"/>
      <c r="BX1067" s="4"/>
      <c r="BY1067" s="4"/>
      <c r="BZ1067" s="4"/>
      <c r="CA1067" s="4"/>
      <c r="CB1067" s="4"/>
      <c r="CC1067" s="4"/>
      <c r="CD1067" s="4"/>
      <c r="CE1067" s="4"/>
      <c r="CF1067" s="4"/>
      <c r="CG1067" s="4"/>
      <c r="CH1067" s="4"/>
    </row>
    <row r="1068" spans="1:86" x14ac:dyDescent="0.25">
      <c r="A1068" s="12">
        <f t="shared" si="22"/>
        <v>1065</v>
      </c>
      <c r="B1068" s="4" t="s">
        <v>2511</v>
      </c>
      <c r="C1068" s="4" t="s">
        <v>2512</v>
      </c>
      <c r="D1068" s="4" t="s">
        <v>45</v>
      </c>
      <c r="E1068" s="4"/>
      <c r="F1068" s="14"/>
      <c r="G1068" s="14"/>
      <c r="H1068" s="14"/>
      <c r="I1068" s="5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  <c r="AB1068" s="4"/>
      <c r="AC1068" s="4"/>
      <c r="AD1068" s="4"/>
      <c r="AE1068" s="4"/>
      <c r="AF1068" s="4"/>
      <c r="AG1068" s="4"/>
      <c r="AH1068" s="4"/>
      <c r="AI1068" s="4"/>
      <c r="AJ1068" s="4"/>
      <c r="AK1068" s="4"/>
      <c r="AL1068" s="4"/>
      <c r="AM1068" s="4"/>
      <c r="AN1068" s="4"/>
      <c r="AO1068" s="4"/>
      <c r="AP1068" s="4"/>
      <c r="AQ1068" s="4"/>
      <c r="AR1068" s="4"/>
      <c r="AS1068" s="4"/>
      <c r="AT1068" s="4"/>
      <c r="AU1068" s="4"/>
      <c r="AV1068" s="4"/>
      <c r="AW1068" s="4"/>
      <c r="AX1068" s="4"/>
      <c r="AY1068" s="4"/>
      <c r="AZ1068" s="4"/>
      <c r="BA1068" s="4"/>
      <c r="BB1068" s="4"/>
      <c r="BC1068" s="4"/>
      <c r="BD1068" s="4"/>
      <c r="BE1068" s="4"/>
      <c r="BF1068" s="4"/>
      <c r="BG1068" s="4"/>
      <c r="BH1068" s="4"/>
      <c r="BI1068" s="4"/>
      <c r="BJ1068" s="4"/>
      <c r="BK1068" s="4"/>
      <c r="BL1068" s="4"/>
      <c r="BM1068" s="4"/>
      <c r="BN1068" s="4"/>
      <c r="BO1068" s="4"/>
      <c r="BP1068" s="4"/>
      <c r="BQ1068" s="4"/>
      <c r="BR1068" s="4"/>
      <c r="BS1068" s="4"/>
      <c r="BT1068" s="4"/>
      <c r="BU1068" s="4"/>
      <c r="BV1068" s="4"/>
      <c r="BW1068" s="4"/>
      <c r="BX1068" s="4"/>
      <c r="BY1068" s="4"/>
      <c r="BZ1068" s="4"/>
      <c r="CA1068" s="4"/>
      <c r="CB1068" s="4"/>
      <c r="CC1068" s="4"/>
      <c r="CD1068" s="4"/>
      <c r="CE1068" s="4"/>
      <c r="CF1068" s="4"/>
      <c r="CG1068" s="4"/>
      <c r="CH1068" s="4"/>
    </row>
    <row r="1069" spans="1:86" x14ac:dyDescent="0.25">
      <c r="A1069" s="12">
        <f t="shared" si="22"/>
        <v>1066</v>
      </c>
      <c r="B1069" s="4" t="s">
        <v>2513</v>
      </c>
      <c r="C1069" s="4" t="s">
        <v>2514</v>
      </c>
      <c r="D1069" s="4" t="s">
        <v>45</v>
      </c>
      <c r="E1069" s="4"/>
      <c r="F1069" s="14"/>
      <c r="G1069" s="14"/>
      <c r="H1069" s="14"/>
      <c r="I1069" s="5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  <c r="AA1069" s="4"/>
      <c r="AB1069" s="4"/>
      <c r="AC1069" s="4"/>
      <c r="AD1069" s="4"/>
      <c r="AE1069" s="4"/>
      <c r="AF1069" s="4"/>
      <c r="AG1069" s="4"/>
      <c r="AH1069" s="4"/>
      <c r="AI1069" s="4"/>
      <c r="AJ1069" s="4"/>
      <c r="AK1069" s="4"/>
      <c r="AL1069" s="4"/>
      <c r="AM1069" s="4"/>
      <c r="AN1069" s="4"/>
      <c r="AO1069" s="4"/>
      <c r="AP1069" s="4"/>
      <c r="AQ1069" s="4"/>
      <c r="AR1069" s="4"/>
      <c r="AS1069" s="4"/>
      <c r="AT1069" s="4"/>
      <c r="AU1069" s="4"/>
      <c r="AV1069" s="4"/>
      <c r="AW1069" s="4"/>
      <c r="AX1069" s="4"/>
      <c r="AY1069" s="4"/>
      <c r="AZ1069" s="4"/>
      <c r="BA1069" s="4"/>
      <c r="BB1069" s="4"/>
      <c r="BC1069" s="4"/>
      <c r="BD1069" s="4"/>
      <c r="BE1069" s="4"/>
      <c r="BF1069" s="4"/>
      <c r="BG1069" s="4"/>
      <c r="BH1069" s="4"/>
      <c r="BI1069" s="4"/>
      <c r="BJ1069" s="4"/>
      <c r="BK1069" s="4"/>
      <c r="BL1069" s="4"/>
      <c r="BM1069" s="4"/>
      <c r="BN1069" s="4"/>
      <c r="BO1069" s="4"/>
      <c r="BP1069" s="4"/>
      <c r="BQ1069" s="4"/>
      <c r="BR1069" s="4"/>
      <c r="BS1069" s="4"/>
      <c r="BT1069" s="4"/>
      <c r="BU1069" s="4"/>
      <c r="BV1069" s="4"/>
      <c r="BW1069" s="4"/>
      <c r="BX1069" s="4"/>
      <c r="BY1069" s="4"/>
      <c r="BZ1069" s="4"/>
      <c r="CA1069" s="4"/>
      <c r="CB1069" s="4"/>
      <c r="CC1069" s="4"/>
      <c r="CD1069" s="4"/>
      <c r="CE1069" s="4"/>
      <c r="CF1069" s="4"/>
      <c r="CG1069" s="4"/>
      <c r="CH1069" s="4"/>
    </row>
    <row r="1070" spans="1:86" x14ac:dyDescent="0.25">
      <c r="A1070" s="12">
        <f t="shared" si="22"/>
        <v>1067</v>
      </c>
      <c r="B1070" s="4" t="s">
        <v>2515</v>
      </c>
      <c r="C1070" s="4" t="s">
        <v>2516</v>
      </c>
      <c r="D1070" s="4" t="s">
        <v>84</v>
      </c>
      <c r="E1070" s="4"/>
      <c r="F1070" s="14"/>
      <c r="G1070" s="14"/>
      <c r="H1070" s="14"/>
      <c r="I1070" s="5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  <c r="AA1070" s="4"/>
      <c r="AB1070" s="4"/>
      <c r="AC1070" s="4"/>
      <c r="AD1070" s="4"/>
      <c r="AE1070" s="4"/>
      <c r="AF1070" s="4"/>
      <c r="AG1070" s="4"/>
      <c r="AH1070" s="4"/>
      <c r="AI1070" s="4"/>
      <c r="AJ1070" s="4"/>
      <c r="AK1070" s="4"/>
      <c r="AL1070" s="4"/>
      <c r="AM1070" s="4"/>
      <c r="AN1070" s="4"/>
      <c r="AO1070" s="4"/>
      <c r="AP1070" s="4"/>
      <c r="AQ1070" s="4"/>
      <c r="AR1070" s="4"/>
      <c r="AS1070" s="4"/>
      <c r="AT1070" s="4"/>
      <c r="AU1070" s="4"/>
      <c r="AV1070" s="4"/>
      <c r="AW1070" s="4"/>
      <c r="AX1070" s="4"/>
      <c r="AY1070" s="4"/>
      <c r="AZ1070" s="4"/>
      <c r="BA1070" s="4"/>
      <c r="BB1070" s="4"/>
      <c r="BC1070" s="4"/>
      <c r="BD1070" s="4"/>
      <c r="BE1070" s="4"/>
      <c r="BF1070" s="4"/>
      <c r="BG1070" s="4"/>
      <c r="BH1070" s="4"/>
      <c r="BI1070" s="4"/>
      <c r="BJ1070" s="4"/>
      <c r="BK1070" s="4"/>
      <c r="BL1070" s="4"/>
      <c r="BM1070" s="4"/>
      <c r="BN1070" s="4"/>
      <c r="BO1070" s="4"/>
      <c r="BP1070" s="4"/>
      <c r="BQ1070" s="4"/>
      <c r="BR1070" s="4"/>
      <c r="BS1070" s="4"/>
      <c r="BT1070" s="4"/>
      <c r="BU1070" s="4"/>
      <c r="BV1070" s="4"/>
      <c r="BW1070" s="4"/>
      <c r="BX1070" s="4"/>
      <c r="BY1070" s="4"/>
      <c r="BZ1070" s="4"/>
      <c r="CA1070" s="4"/>
      <c r="CB1070" s="4"/>
      <c r="CC1070" s="4"/>
      <c r="CD1070" s="4"/>
      <c r="CE1070" s="4"/>
      <c r="CF1070" s="4"/>
      <c r="CG1070" s="4"/>
      <c r="CH1070" s="4"/>
    </row>
    <row r="1071" spans="1:86" x14ac:dyDescent="0.25">
      <c r="A1071" s="12">
        <f t="shared" si="22"/>
        <v>1068</v>
      </c>
      <c r="B1071" s="4" t="s">
        <v>1113</v>
      </c>
      <c r="C1071" s="4" t="s">
        <v>1114</v>
      </c>
      <c r="D1071" s="4" t="s">
        <v>1131</v>
      </c>
      <c r="E1071" s="4"/>
      <c r="F1071" s="14"/>
      <c r="G1071" s="14"/>
      <c r="H1071" s="14"/>
      <c r="I1071" s="5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  <c r="AA1071" s="4"/>
      <c r="AB1071" s="4"/>
      <c r="AC1071" s="4"/>
      <c r="AD1071" s="4"/>
      <c r="AE1071" s="4"/>
      <c r="AF1071" s="4"/>
      <c r="AG1071" s="4"/>
      <c r="AH1071" s="4"/>
      <c r="AI1071" s="4"/>
      <c r="AJ1071" s="4"/>
      <c r="AK1071" s="4"/>
      <c r="AL1071" s="4"/>
      <c r="AM1071" s="4"/>
      <c r="AN1071" s="4"/>
      <c r="AO1071" s="4"/>
      <c r="AP1071" s="4"/>
      <c r="AQ1071" s="4"/>
      <c r="AR1071" s="4"/>
      <c r="AS1071" s="4"/>
      <c r="AT1071" s="4"/>
      <c r="AU1071" s="4"/>
      <c r="AV1071" s="4"/>
      <c r="AW1071" s="4"/>
      <c r="AX1071" s="4"/>
      <c r="AY1071" s="4"/>
      <c r="AZ1071" s="4"/>
      <c r="BA1071" s="4"/>
      <c r="BB1071" s="4"/>
      <c r="BC1071" s="4"/>
      <c r="BD1071" s="4"/>
      <c r="BE1071" s="4"/>
      <c r="BF1071" s="4"/>
      <c r="BG1071" s="4"/>
      <c r="BH1071" s="4"/>
      <c r="BI1071" s="4"/>
      <c r="BJ1071" s="4"/>
      <c r="BK1071" s="4"/>
      <c r="BL1071" s="4"/>
      <c r="BM1071" s="4"/>
      <c r="BN1071" s="4"/>
      <c r="BO1071" s="4"/>
      <c r="BP1071" s="4"/>
      <c r="BQ1071" s="4"/>
      <c r="BR1071" s="4"/>
      <c r="BS1071" s="4"/>
      <c r="BT1071" s="4"/>
      <c r="BU1071" s="4"/>
      <c r="BV1071" s="4"/>
      <c r="BW1071" s="4"/>
      <c r="BX1071" s="4"/>
      <c r="BY1071" s="4"/>
      <c r="BZ1071" s="4"/>
      <c r="CA1071" s="4"/>
      <c r="CB1071" s="4"/>
      <c r="CC1071" s="4"/>
      <c r="CD1071" s="4"/>
      <c r="CE1071" s="4"/>
      <c r="CF1071" s="4"/>
      <c r="CG1071" s="4"/>
      <c r="CH1071" s="4"/>
    </row>
    <row r="1072" spans="1:86" x14ac:dyDescent="0.25">
      <c r="A1072" s="12">
        <f t="shared" si="22"/>
        <v>1069</v>
      </c>
      <c r="B1072" s="4" t="s">
        <v>2517</v>
      </c>
      <c r="C1072" s="4" t="s">
        <v>2518</v>
      </c>
      <c r="D1072" s="4" t="s">
        <v>45</v>
      </c>
      <c r="E1072" s="4"/>
      <c r="F1072" s="14"/>
      <c r="G1072" s="14"/>
      <c r="H1072" s="14"/>
      <c r="I1072" s="5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  <c r="AA1072" s="4"/>
      <c r="AB1072" s="4"/>
      <c r="AC1072" s="4"/>
      <c r="AD1072" s="4"/>
      <c r="AE1072" s="4"/>
      <c r="AF1072" s="4"/>
      <c r="AG1072" s="4"/>
      <c r="AH1072" s="4"/>
      <c r="AI1072" s="4"/>
      <c r="AJ1072" s="4"/>
      <c r="AK1072" s="4"/>
      <c r="AL1072" s="4"/>
      <c r="AM1072" s="4"/>
      <c r="AN1072" s="4"/>
      <c r="AO1072" s="4"/>
      <c r="AP1072" s="4"/>
      <c r="AQ1072" s="4"/>
      <c r="AR1072" s="4"/>
      <c r="AS1072" s="4"/>
      <c r="AT1072" s="4"/>
      <c r="AU1072" s="4"/>
      <c r="AV1072" s="4"/>
      <c r="AW1072" s="4"/>
      <c r="AX1072" s="4"/>
      <c r="AY1072" s="4"/>
      <c r="AZ1072" s="4"/>
      <c r="BA1072" s="4"/>
      <c r="BB1072" s="4"/>
      <c r="BC1072" s="4"/>
      <c r="BD1072" s="4"/>
      <c r="BE1072" s="4"/>
      <c r="BF1072" s="4"/>
      <c r="BG1072" s="4"/>
      <c r="BH1072" s="4"/>
      <c r="BI1072" s="4"/>
      <c r="BJ1072" s="4"/>
      <c r="BK1072" s="4"/>
      <c r="BL1072" s="4"/>
      <c r="BM1072" s="4"/>
      <c r="BN1072" s="4"/>
      <c r="BO1072" s="4"/>
      <c r="BP1072" s="4"/>
      <c r="BQ1072" s="4"/>
      <c r="BR1072" s="4"/>
      <c r="BS1072" s="4"/>
      <c r="BT1072" s="4"/>
      <c r="BU1072" s="4"/>
      <c r="BV1072" s="4"/>
      <c r="BW1072" s="4"/>
      <c r="BX1072" s="4"/>
      <c r="BY1072" s="4"/>
      <c r="BZ1072" s="4"/>
      <c r="CA1072" s="4"/>
      <c r="CB1072" s="4"/>
      <c r="CC1072" s="4"/>
      <c r="CD1072" s="4"/>
      <c r="CE1072" s="4"/>
      <c r="CF1072" s="4"/>
      <c r="CG1072" s="4"/>
      <c r="CH1072" s="4"/>
    </row>
    <row r="1073" spans="1:86" x14ac:dyDescent="0.25">
      <c r="A1073" s="12">
        <f t="shared" si="22"/>
        <v>1070</v>
      </c>
      <c r="B1073" s="4" t="s">
        <v>2519</v>
      </c>
      <c r="C1073" s="4" t="s">
        <v>2520</v>
      </c>
      <c r="D1073" s="4" t="s">
        <v>45</v>
      </c>
      <c r="E1073" s="4"/>
      <c r="F1073" s="14"/>
      <c r="G1073" s="14"/>
      <c r="H1073" s="14"/>
      <c r="I1073" s="5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  <c r="AA1073" s="4"/>
      <c r="AB1073" s="4"/>
      <c r="AC1073" s="4"/>
      <c r="AD1073" s="4"/>
      <c r="AE1073" s="4"/>
      <c r="AF1073" s="4"/>
      <c r="AG1073" s="4"/>
      <c r="AH1073" s="4"/>
      <c r="AI1073" s="4"/>
      <c r="AJ1073" s="4"/>
      <c r="AK1073" s="4"/>
      <c r="AL1073" s="4"/>
      <c r="AM1073" s="4"/>
      <c r="AN1073" s="4"/>
      <c r="AO1073" s="4"/>
      <c r="AP1073" s="4"/>
      <c r="AQ1073" s="4"/>
      <c r="AR1073" s="4"/>
      <c r="AS1073" s="4"/>
      <c r="AT1073" s="4"/>
      <c r="AU1073" s="4"/>
      <c r="AV1073" s="4"/>
      <c r="AW1073" s="4"/>
      <c r="AX1073" s="4"/>
      <c r="AY1073" s="4"/>
      <c r="AZ1073" s="4"/>
      <c r="BA1073" s="4"/>
      <c r="BB1073" s="4"/>
      <c r="BC1073" s="4"/>
      <c r="BD1073" s="4"/>
      <c r="BE1073" s="4"/>
      <c r="BF1073" s="4"/>
      <c r="BG1073" s="4"/>
      <c r="BH1073" s="4"/>
      <c r="BI1073" s="4"/>
      <c r="BJ1073" s="4"/>
      <c r="BK1073" s="4"/>
      <c r="BL1073" s="4"/>
      <c r="BM1073" s="4"/>
      <c r="BN1073" s="4"/>
      <c r="BO1073" s="4"/>
      <c r="BP1073" s="4"/>
      <c r="BQ1073" s="4"/>
      <c r="BR1073" s="4"/>
      <c r="BS1073" s="4"/>
      <c r="BT1073" s="4"/>
      <c r="BU1073" s="4"/>
      <c r="BV1073" s="4"/>
      <c r="BW1073" s="4"/>
      <c r="BX1073" s="4"/>
      <c r="BY1073" s="4"/>
      <c r="BZ1073" s="4"/>
      <c r="CA1073" s="4"/>
      <c r="CB1073" s="4"/>
      <c r="CC1073" s="4"/>
      <c r="CD1073" s="4"/>
      <c r="CE1073" s="4"/>
      <c r="CF1073" s="4"/>
      <c r="CG1073" s="4"/>
      <c r="CH1073" s="4"/>
    </row>
    <row r="1074" spans="1:86" x14ac:dyDescent="0.25">
      <c r="A1074" s="12">
        <f t="shared" si="22"/>
        <v>1071</v>
      </c>
      <c r="B1074" s="4" t="s">
        <v>2521</v>
      </c>
      <c r="C1074" s="4" t="s">
        <v>2522</v>
      </c>
      <c r="D1074" s="4" t="s">
        <v>45</v>
      </c>
      <c r="E1074" s="4"/>
      <c r="F1074" s="14"/>
      <c r="G1074" s="14"/>
      <c r="H1074" s="14"/>
      <c r="I1074" s="5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  <c r="AA1074" s="4"/>
      <c r="AB1074" s="4"/>
      <c r="AC1074" s="4"/>
      <c r="AD1074" s="4"/>
      <c r="AE1074" s="4"/>
      <c r="AF1074" s="4"/>
      <c r="AG1074" s="4"/>
      <c r="AH1074" s="4"/>
      <c r="AI1074" s="4"/>
      <c r="AJ1074" s="4"/>
      <c r="AK1074" s="4"/>
      <c r="AL1074" s="4"/>
      <c r="AM1074" s="4"/>
      <c r="AN1074" s="4"/>
      <c r="AO1074" s="4"/>
      <c r="AP1074" s="4"/>
      <c r="AQ1074" s="4"/>
      <c r="AR1074" s="4"/>
      <c r="AS1074" s="4"/>
      <c r="AT1074" s="4"/>
      <c r="AU1074" s="4"/>
      <c r="AV1074" s="4"/>
      <c r="AW1074" s="4"/>
      <c r="AX1074" s="4"/>
      <c r="AY1074" s="4"/>
      <c r="AZ1074" s="4"/>
      <c r="BA1074" s="4"/>
      <c r="BB1074" s="4"/>
      <c r="BC1074" s="4"/>
      <c r="BD1074" s="4"/>
      <c r="BE1074" s="4"/>
      <c r="BF1074" s="4"/>
      <c r="BG1074" s="4"/>
      <c r="BH1074" s="4"/>
      <c r="BI1074" s="4"/>
      <c r="BJ1074" s="4"/>
      <c r="BK1074" s="4"/>
      <c r="BL1074" s="4"/>
      <c r="BM1074" s="4"/>
      <c r="BN1074" s="4"/>
      <c r="BO1074" s="4"/>
      <c r="BP1074" s="4"/>
      <c r="BQ1074" s="4"/>
      <c r="BR1074" s="4"/>
      <c r="BS1074" s="4"/>
      <c r="BT1074" s="4"/>
      <c r="BU1074" s="4"/>
      <c r="BV1074" s="4"/>
      <c r="BW1074" s="4"/>
      <c r="BX1074" s="4"/>
      <c r="BY1074" s="4"/>
      <c r="BZ1074" s="4"/>
      <c r="CA1074" s="4"/>
      <c r="CB1074" s="4"/>
      <c r="CC1074" s="4"/>
      <c r="CD1074" s="4"/>
      <c r="CE1074" s="4"/>
      <c r="CF1074" s="4"/>
      <c r="CG1074" s="4"/>
      <c r="CH1074" s="4"/>
    </row>
    <row r="1075" spans="1:86" x14ac:dyDescent="0.25">
      <c r="A1075" s="12">
        <f t="shared" si="22"/>
        <v>1072</v>
      </c>
      <c r="B1075" s="4" t="s">
        <v>2523</v>
      </c>
      <c r="C1075" s="4" t="s">
        <v>2524</v>
      </c>
      <c r="D1075" s="4" t="s">
        <v>45</v>
      </c>
      <c r="E1075" s="4"/>
      <c r="F1075" s="14"/>
      <c r="G1075" s="14"/>
      <c r="H1075" s="14"/>
      <c r="I1075" s="5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  <c r="AA1075" s="4"/>
      <c r="AB1075" s="4"/>
      <c r="AC1075" s="4"/>
      <c r="AD1075" s="4"/>
      <c r="AE1075" s="4"/>
      <c r="AF1075" s="4"/>
      <c r="AG1075" s="4"/>
      <c r="AH1075" s="4"/>
      <c r="AI1075" s="4"/>
      <c r="AJ1075" s="4"/>
      <c r="AK1075" s="4"/>
      <c r="AL1075" s="4"/>
      <c r="AM1075" s="4"/>
      <c r="AN1075" s="4"/>
      <c r="AO1075" s="4"/>
      <c r="AP1075" s="4"/>
      <c r="AQ1075" s="4"/>
      <c r="AR1075" s="4"/>
      <c r="AS1075" s="4"/>
      <c r="AT1075" s="4"/>
      <c r="AU1075" s="4"/>
      <c r="AV1075" s="4"/>
      <c r="AW1075" s="4"/>
      <c r="AX1075" s="4"/>
      <c r="AY1075" s="4"/>
      <c r="AZ1075" s="4"/>
      <c r="BA1075" s="4"/>
      <c r="BB1075" s="4"/>
      <c r="BC1075" s="4"/>
      <c r="BD1075" s="4"/>
      <c r="BE1075" s="4"/>
      <c r="BF1075" s="4"/>
      <c r="BG1075" s="4"/>
      <c r="BH1075" s="4"/>
      <c r="BI1075" s="4"/>
      <c r="BJ1075" s="4"/>
      <c r="BK1075" s="4"/>
      <c r="BL1075" s="4"/>
      <c r="BM1075" s="4"/>
      <c r="BN1075" s="4"/>
      <c r="BO1075" s="4"/>
      <c r="BP1075" s="4"/>
      <c r="BQ1075" s="4"/>
      <c r="BR1075" s="4"/>
      <c r="BS1075" s="4"/>
      <c r="BT1075" s="4"/>
      <c r="BU1075" s="4"/>
      <c r="BV1075" s="4"/>
      <c r="BW1075" s="4"/>
      <c r="BX1075" s="4"/>
      <c r="BY1075" s="4"/>
      <c r="BZ1075" s="4"/>
      <c r="CA1075" s="4"/>
      <c r="CB1075" s="4"/>
      <c r="CC1075" s="4"/>
      <c r="CD1075" s="4"/>
      <c r="CE1075" s="4"/>
      <c r="CF1075" s="4"/>
      <c r="CG1075" s="4"/>
      <c r="CH1075" s="4"/>
    </row>
    <row r="1076" spans="1:86" x14ac:dyDescent="0.25">
      <c r="A1076" s="12">
        <f t="shared" si="22"/>
        <v>1073</v>
      </c>
      <c r="B1076" s="4" t="s">
        <v>2525</v>
      </c>
      <c r="C1076" s="4" t="s">
        <v>2526</v>
      </c>
      <c r="D1076" s="4" t="s">
        <v>45</v>
      </c>
      <c r="E1076" s="4"/>
      <c r="F1076" s="14"/>
      <c r="G1076" s="14"/>
      <c r="H1076" s="14"/>
      <c r="I1076" s="5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  <c r="AA1076" s="4"/>
      <c r="AB1076" s="4"/>
      <c r="AC1076" s="4"/>
      <c r="AD1076" s="4"/>
      <c r="AE1076" s="4"/>
      <c r="AF1076" s="4"/>
      <c r="AG1076" s="4"/>
      <c r="AH1076" s="4"/>
      <c r="AI1076" s="4"/>
      <c r="AJ1076" s="4"/>
      <c r="AK1076" s="4"/>
      <c r="AL1076" s="4"/>
      <c r="AM1076" s="4"/>
      <c r="AN1076" s="4"/>
      <c r="AO1076" s="4"/>
      <c r="AP1076" s="4"/>
      <c r="AQ1076" s="4"/>
      <c r="AR1076" s="4"/>
      <c r="AS1076" s="4"/>
      <c r="AT1076" s="4"/>
      <c r="AU1076" s="4"/>
      <c r="AV1076" s="4"/>
      <c r="AW1076" s="4"/>
      <c r="AX1076" s="4"/>
      <c r="AY1076" s="4"/>
      <c r="AZ1076" s="4"/>
      <c r="BA1076" s="4"/>
      <c r="BB1076" s="4"/>
      <c r="BC1076" s="4"/>
      <c r="BD1076" s="4"/>
      <c r="BE1076" s="4"/>
      <c r="BF1076" s="4"/>
      <c r="BG1076" s="4"/>
      <c r="BH1076" s="4"/>
      <c r="BI1076" s="4"/>
      <c r="BJ1076" s="4"/>
      <c r="BK1076" s="4"/>
      <c r="BL1076" s="4"/>
      <c r="BM1076" s="4"/>
      <c r="BN1076" s="4"/>
      <c r="BO1076" s="4"/>
      <c r="BP1076" s="4"/>
      <c r="BQ1076" s="4"/>
      <c r="BR1076" s="4"/>
      <c r="BS1076" s="4"/>
      <c r="BT1076" s="4"/>
      <c r="BU1076" s="4"/>
      <c r="BV1076" s="4"/>
      <c r="BW1076" s="4"/>
      <c r="BX1076" s="4"/>
      <c r="BY1076" s="4"/>
      <c r="BZ1076" s="4"/>
      <c r="CA1076" s="4"/>
      <c r="CB1076" s="4"/>
      <c r="CC1076" s="4"/>
      <c r="CD1076" s="4"/>
      <c r="CE1076" s="4"/>
      <c r="CF1076" s="4"/>
      <c r="CG1076" s="4"/>
      <c r="CH1076" s="4"/>
    </row>
    <row r="1077" spans="1:86" x14ac:dyDescent="0.25">
      <c r="A1077" s="12">
        <f t="shared" si="22"/>
        <v>1074</v>
      </c>
      <c r="B1077" s="4" t="s">
        <v>2527</v>
      </c>
      <c r="C1077" s="4" t="s">
        <v>2528</v>
      </c>
      <c r="D1077" s="4" t="s">
        <v>45</v>
      </c>
      <c r="E1077" s="4"/>
      <c r="F1077" s="14"/>
      <c r="G1077" s="14"/>
      <c r="H1077" s="14"/>
      <c r="I1077" s="5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  <c r="AA1077" s="4"/>
      <c r="AB1077" s="4"/>
      <c r="AC1077" s="4"/>
      <c r="AD1077" s="4"/>
      <c r="AE1077" s="4"/>
      <c r="AF1077" s="4"/>
      <c r="AG1077" s="4"/>
      <c r="AH1077" s="4"/>
      <c r="AI1077" s="4"/>
      <c r="AJ1077" s="4"/>
      <c r="AK1077" s="4"/>
      <c r="AL1077" s="4"/>
      <c r="AM1077" s="4"/>
      <c r="AN1077" s="4"/>
      <c r="AO1077" s="4"/>
      <c r="AP1077" s="4"/>
      <c r="AQ1077" s="4"/>
      <c r="AR1077" s="4"/>
      <c r="AS1077" s="4"/>
      <c r="AT1077" s="4"/>
      <c r="AU1077" s="4"/>
      <c r="AV1077" s="4"/>
      <c r="AW1077" s="4"/>
      <c r="AX1077" s="4"/>
      <c r="AY1077" s="4"/>
      <c r="AZ1077" s="4"/>
      <c r="BA1077" s="4"/>
      <c r="BB1077" s="4"/>
      <c r="BC1077" s="4"/>
      <c r="BD1077" s="4"/>
      <c r="BE1077" s="4"/>
      <c r="BF1077" s="4"/>
      <c r="BG1077" s="4"/>
      <c r="BH1077" s="4"/>
      <c r="BI1077" s="4"/>
      <c r="BJ1077" s="4"/>
      <c r="BK1077" s="4"/>
      <c r="BL1077" s="4"/>
      <c r="BM1077" s="4"/>
      <c r="BN1077" s="4"/>
      <c r="BO1077" s="4"/>
      <c r="BP1077" s="4"/>
      <c r="BQ1077" s="4"/>
      <c r="BR1077" s="4"/>
      <c r="BS1077" s="4"/>
      <c r="BT1077" s="4"/>
      <c r="BU1077" s="4"/>
      <c r="BV1077" s="4"/>
      <c r="BW1077" s="4"/>
      <c r="BX1077" s="4"/>
      <c r="BY1077" s="4"/>
      <c r="BZ1077" s="4"/>
      <c r="CA1077" s="4"/>
      <c r="CB1077" s="4"/>
      <c r="CC1077" s="4"/>
      <c r="CD1077" s="4"/>
      <c r="CE1077" s="4"/>
      <c r="CF1077" s="4"/>
      <c r="CG1077" s="4"/>
      <c r="CH1077" s="4"/>
    </row>
    <row r="1078" spans="1:86" x14ac:dyDescent="0.25">
      <c r="A1078" s="12">
        <f t="shared" si="22"/>
        <v>1075</v>
      </c>
      <c r="B1078" s="4" t="s">
        <v>2529</v>
      </c>
      <c r="C1078" s="4" t="s">
        <v>2530</v>
      </c>
      <c r="D1078" s="4" t="s">
        <v>45</v>
      </c>
      <c r="E1078" s="4"/>
      <c r="F1078" s="14"/>
      <c r="G1078" s="14"/>
      <c r="H1078" s="14"/>
      <c r="I1078" s="5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  <c r="AA1078" s="4"/>
      <c r="AB1078" s="4"/>
      <c r="AC1078" s="4"/>
      <c r="AD1078" s="4"/>
      <c r="AE1078" s="4"/>
      <c r="AF1078" s="4"/>
      <c r="AG1078" s="4"/>
      <c r="AH1078" s="4"/>
      <c r="AI1078" s="4"/>
      <c r="AJ1078" s="4"/>
      <c r="AK1078" s="4"/>
      <c r="AL1078" s="4"/>
      <c r="AM1078" s="4"/>
      <c r="AN1078" s="4"/>
      <c r="AO1078" s="4"/>
      <c r="AP1078" s="4"/>
      <c r="AQ1078" s="4"/>
      <c r="AR1078" s="4"/>
      <c r="AS1078" s="4"/>
      <c r="AT1078" s="4"/>
      <c r="AU1078" s="4"/>
      <c r="AV1078" s="4"/>
      <c r="AW1078" s="4"/>
      <c r="AX1078" s="4"/>
      <c r="AY1078" s="4"/>
      <c r="AZ1078" s="4"/>
      <c r="BA1078" s="4"/>
      <c r="BB1078" s="4"/>
      <c r="BC1078" s="4"/>
      <c r="BD1078" s="4"/>
      <c r="BE1078" s="4"/>
      <c r="BF1078" s="4"/>
      <c r="BG1078" s="4"/>
      <c r="BH1078" s="4"/>
      <c r="BI1078" s="4"/>
      <c r="BJ1078" s="4"/>
      <c r="BK1078" s="4"/>
      <c r="BL1078" s="4"/>
      <c r="BM1078" s="4"/>
      <c r="BN1078" s="4"/>
      <c r="BO1078" s="4"/>
      <c r="BP1078" s="4"/>
      <c r="BQ1078" s="4"/>
      <c r="BR1078" s="4"/>
      <c r="BS1078" s="4"/>
      <c r="BT1078" s="4"/>
      <c r="BU1078" s="4"/>
      <c r="BV1078" s="4"/>
      <c r="BW1078" s="4"/>
      <c r="BX1078" s="4"/>
      <c r="BY1078" s="4"/>
      <c r="BZ1078" s="4"/>
      <c r="CA1078" s="4"/>
      <c r="CB1078" s="4"/>
      <c r="CC1078" s="4"/>
      <c r="CD1078" s="4"/>
      <c r="CE1078" s="4"/>
      <c r="CF1078" s="4"/>
      <c r="CG1078" s="4"/>
      <c r="CH1078" s="4"/>
    </row>
    <row r="1079" spans="1:86" x14ac:dyDescent="0.25">
      <c r="A1079" s="12">
        <f t="shared" si="22"/>
        <v>1076</v>
      </c>
      <c r="B1079" s="4" t="s">
        <v>2531</v>
      </c>
      <c r="C1079" s="4" t="s">
        <v>2532</v>
      </c>
      <c r="D1079" s="4" t="s">
        <v>45</v>
      </c>
      <c r="E1079" s="4"/>
      <c r="F1079" s="14"/>
      <c r="G1079" s="14"/>
      <c r="H1079" s="14"/>
      <c r="I1079" s="5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  <c r="AA1079" s="4"/>
      <c r="AB1079" s="4"/>
      <c r="AC1079" s="4"/>
      <c r="AD1079" s="4"/>
      <c r="AE1079" s="4"/>
      <c r="AF1079" s="4"/>
      <c r="AG1079" s="4"/>
      <c r="AH1079" s="4"/>
      <c r="AI1079" s="4"/>
      <c r="AJ1079" s="4"/>
      <c r="AK1079" s="4"/>
      <c r="AL1079" s="4"/>
      <c r="AM1079" s="4"/>
      <c r="AN1079" s="4"/>
      <c r="AO1079" s="4"/>
      <c r="AP1079" s="4"/>
      <c r="AQ1079" s="4"/>
      <c r="AR1079" s="4"/>
      <c r="AS1079" s="4"/>
      <c r="AT1079" s="4"/>
      <c r="AU1079" s="4"/>
      <c r="AV1079" s="4"/>
      <c r="AW1079" s="4"/>
      <c r="AX1079" s="4"/>
      <c r="AY1079" s="4"/>
      <c r="AZ1079" s="4"/>
      <c r="BA1079" s="4"/>
      <c r="BB1079" s="4"/>
      <c r="BC1079" s="4"/>
      <c r="BD1079" s="4"/>
      <c r="BE1079" s="4"/>
      <c r="BF1079" s="4"/>
      <c r="BG1079" s="4"/>
      <c r="BH1079" s="4"/>
      <c r="BI1079" s="4"/>
      <c r="BJ1079" s="4"/>
      <c r="BK1079" s="4"/>
      <c r="BL1079" s="4"/>
      <c r="BM1079" s="4"/>
      <c r="BN1079" s="4"/>
      <c r="BO1079" s="4"/>
      <c r="BP1079" s="4"/>
      <c r="BQ1079" s="4"/>
      <c r="BR1079" s="4"/>
      <c r="BS1079" s="4"/>
      <c r="BT1079" s="4"/>
      <c r="BU1079" s="4"/>
      <c r="BV1079" s="4"/>
      <c r="BW1079" s="4"/>
      <c r="BX1079" s="4"/>
      <c r="BY1079" s="4"/>
      <c r="BZ1079" s="4"/>
      <c r="CA1079" s="4"/>
      <c r="CB1079" s="4"/>
      <c r="CC1079" s="4"/>
      <c r="CD1079" s="4"/>
      <c r="CE1079" s="4"/>
      <c r="CF1079" s="4"/>
      <c r="CG1079" s="4"/>
      <c r="CH1079" s="4"/>
    </row>
    <row r="1080" spans="1:86" x14ac:dyDescent="0.25">
      <c r="A1080" s="12">
        <f t="shared" si="22"/>
        <v>1077</v>
      </c>
      <c r="B1080" s="4" t="s">
        <v>2533</v>
      </c>
      <c r="C1080" s="4" t="s">
        <v>2534</v>
      </c>
      <c r="D1080" s="4" t="s">
        <v>45</v>
      </c>
      <c r="E1080" s="4"/>
      <c r="F1080" s="14"/>
      <c r="G1080" s="14"/>
      <c r="H1080" s="14"/>
      <c r="I1080" s="5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  <c r="AA1080" s="4"/>
      <c r="AB1080" s="4"/>
      <c r="AC1080" s="4"/>
      <c r="AD1080" s="4"/>
      <c r="AE1080" s="4"/>
      <c r="AF1080" s="4"/>
      <c r="AG1080" s="4"/>
      <c r="AH1080" s="4"/>
      <c r="AI1080" s="4"/>
      <c r="AJ1080" s="4"/>
      <c r="AK1080" s="4"/>
      <c r="AL1080" s="4"/>
      <c r="AM1080" s="4"/>
      <c r="AN1080" s="4"/>
      <c r="AO1080" s="4"/>
      <c r="AP1080" s="4"/>
      <c r="AQ1080" s="4"/>
      <c r="AR1080" s="4"/>
      <c r="AS1080" s="4"/>
      <c r="AT1080" s="4"/>
      <c r="AU1080" s="4"/>
      <c r="AV1080" s="4"/>
      <c r="AW1080" s="4"/>
      <c r="AX1080" s="4"/>
      <c r="AY1080" s="4"/>
      <c r="AZ1080" s="4"/>
      <c r="BA1080" s="4"/>
      <c r="BB1080" s="4"/>
      <c r="BC1080" s="4"/>
      <c r="BD1080" s="4"/>
      <c r="BE1080" s="4"/>
      <c r="BF1080" s="4"/>
      <c r="BG1080" s="4"/>
      <c r="BH1080" s="4"/>
      <c r="BI1080" s="4"/>
      <c r="BJ1080" s="4"/>
      <c r="BK1080" s="4"/>
      <c r="BL1080" s="4"/>
      <c r="BM1080" s="4"/>
      <c r="BN1080" s="4"/>
      <c r="BO1080" s="4"/>
      <c r="BP1080" s="4"/>
      <c r="BQ1080" s="4"/>
      <c r="BR1080" s="4"/>
      <c r="BS1080" s="4"/>
      <c r="BT1080" s="4"/>
      <c r="BU1080" s="4"/>
      <c r="BV1080" s="4"/>
      <c r="BW1080" s="4"/>
      <c r="BX1080" s="4"/>
      <c r="BY1080" s="4"/>
      <c r="BZ1080" s="4"/>
      <c r="CA1080" s="4"/>
      <c r="CB1080" s="4"/>
      <c r="CC1080" s="4"/>
      <c r="CD1080" s="4"/>
      <c r="CE1080" s="4"/>
      <c r="CF1080" s="4"/>
      <c r="CG1080" s="4"/>
      <c r="CH1080" s="4"/>
    </row>
    <row r="1081" spans="1:86" x14ac:dyDescent="0.25">
      <c r="A1081" s="12">
        <f t="shared" si="22"/>
        <v>1078</v>
      </c>
      <c r="B1081" s="4" t="s">
        <v>2535</v>
      </c>
      <c r="C1081" s="4" t="s">
        <v>2536</v>
      </c>
      <c r="D1081" s="4" t="s">
        <v>1125</v>
      </c>
      <c r="E1081" s="4"/>
      <c r="F1081" s="14"/>
      <c r="G1081" s="14"/>
      <c r="H1081" s="14"/>
      <c r="I1081" s="5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  <c r="AA1081" s="4"/>
      <c r="AB1081" s="4"/>
      <c r="AC1081" s="4"/>
      <c r="AD1081" s="4"/>
      <c r="AE1081" s="4"/>
      <c r="AF1081" s="4"/>
      <c r="AG1081" s="4"/>
      <c r="AH1081" s="4"/>
      <c r="AI1081" s="4"/>
      <c r="AJ1081" s="4"/>
      <c r="AK1081" s="4"/>
      <c r="AL1081" s="4"/>
      <c r="AM1081" s="4"/>
      <c r="AN1081" s="4"/>
      <c r="AO1081" s="4"/>
      <c r="AP1081" s="4"/>
      <c r="AQ1081" s="4"/>
      <c r="AR1081" s="4"/>
      <c r="AS1081" s="4"/>
      <c r="AT1081" s="4"/>
      <c r="AU1081" s="4"/>
      <c r="AV1081" s="4"/>
      <c r="AW1081" s="4"/>
      <c r="AX1081" s="4"/>
      <c r="AY1081" s="4"/>
      <c r="AZ1081" s="4"/>
      <c r="BA1081" s="4"/>
      <c r="BB1081" s="4"/>
      <c r="BC1081" s="4"/>
      <c r="BD1081" s="4"/>
      <c r="BE1081" s="4"/>
      <c r="BF1081" s="4"/>
      <c r="BG1081" s="4"/>
      <c r="BH1081" s="4"/>
      <c r="BI1081" s="4"/>
      <c r="BJ1081" s="4"/>
      <c r="BK1081" s="4"/>
      <c r="BL1081" s="4"/>
      <c r="BM1081" s="4"/>
      <c r="BN1081" s="4"/>
      <c r="BO1081" s="4"/>
      <c r="BP1081" s="4"/>
      <c r="BQ1081" s="4"/>
      <c r="BR1081" s="4"/>
      <c r="BS1081" s="4"/>
      <c r="BT1081" s="4"/>
      <c r="BU1081" s="4"/>
      <c r="BV1081" s="4"/>
      <c r="BW1081" s="4"/>
      <c r="BX1081" s="4"/>
      <c r="BY1081" s="4"/>
      <c r="BZ1081" s="4"/>
      <c r="CA1081" s="4"/>
      <c r="CB1081" s="4"/>
      <c r="CC1081" s="4"/>
      <c r="CD1081" s="4"/>
      <c r="CE1081" s="4"/>
      <c r="CF1081" s="4"/>
      <c r="CG1081" s="4"/>
      <c r="CH1081" s="4"/>
    </row>
    <row r="1082" spans="1:86" x14ac:dyDescent="0.25">
      <c r="A1082" s="12">
        <f t="shared" si="22"/>
        <v>1079</v>
      </c>
      <c r="B1082" s="4" t="s">
        <v>2537</v>
      </c>
      <c r="C1082" s="4" t="s">
        <v>2538</v>
      </c>
      <c r="D1082" s="4" t="s">
        <v>1125</v>
      </c>
      <c r="E1082" s="4"/>
      <c r="F1082" s="14"/>
      <c r="G1082" s="14"/>
      <c r="H1082" s="14"/>
      <c r="I1082" s="5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  <c r="AA1082" s="4"/>
      <c r="AB1082" s="4"/>
      <c r="AC1082" s="4"/>
      <c r="AD1082" s="4"/>
      <c r="AE1082" s="4"/>
      <c r="AF1082" s="4"/>
      <c r="AG1082" s="4"/>
      <c r="AH1082" s="4"/>
      <c r="AI1082" s="4"/>
      <c r="AJ1082" s="4"/>
      <c r="AK1082" s="4"/>
      <c r="AL1082" s="4"/>
      <c r="AM1082" s="4"/>
      <c r="AN1082" s="4"/>
      <c r="AO1082" s="4"/>
      <c r="AP1082" s="4"/>
      <c r="AQ1082" s="4"/>
      <c r="AR1082" s="4"/>
      <c r="AS1082" s="4"/>
      <c r="AT1082" s="4"/>
      <c r="AU1082" s="4"/>
      <c r="AV1082" s="4"/>
      <c r="AW1082" s="4"/>
      <c r="AX1082" s="4"/>
      <c r="AY1082" s="4"/>
      <c r="AZ1082" s="4"/>
      <c r="BA1082" s="4"/>
      <c r="BB1082" s="4"/>
      <c r="BC1082" s="4"/>
      <c r="BD1082" s="4"/>
      <c r="BE1082" s="4"/>
      <c r="BF1082" s="4"/>
      <c r="BG1082" s="4"/>
      <c r="BH1082" s="4"/>
      <c r="BI1082" s="4"/>
      <c r="BJ1082" s="4"/>
      <c r="BK1082" s="4"/>
      <c r="BL1082" s="4"/>
      <c r="BM1082" s="4"/>
      <c r="BN1082" s="4"/>
      <c r="BO1082" s="4"/>
      <c r="BP1082" s="4"/>
      <c r="BQ1082" s="4"/>
      <c r="BR1082" s="4"/>
      <c r="BS1082" s="4"/>
      <c r="BT1082" s="4"/>
      <c r="BU1082" s="4"/>
      <c r="BV1082" s="4"/>
      <c r="BW1082" s="4"/>
      <c r="BX1082" s="4"/>
      <c r="BY1082" s="4"/>
      <c r="BZ1082" s="4"/>
      <c r="CA1082" s="4"/>
      <c r="CB1082" s="4"/>
      <c r="CC1082" s="4"/>
      <c r="CD1082" s="4"/>
      <c r="CE1082" s="4"/>
      <c r="CF1082" s="4"/>
      <c r="CG1082" s="4"/>
      <c r="CH1082" s="4"/>
    </row>
    <row r="1083" spans="1:86" x14ac:dyDescent="0.25">
      <c r="A1083" s="12">
        <f t="shared" si="22"/>
        <v>1080</v>
      </c>
      <c r="B1083" s="4" t="s">
        <v>2539</v>
      </c>
      <c r="C1083" s="4" t="s">
        <v>2540</v>
      </c>
      <c r="D1083" s="4" t="s">
        <v>45</v>
      </c>
      <c r="E1083" s="4"/>
      <c r="F1083" s="14"/>
      <c r="G1083" s="14"/>
      <c r="H1083" s="14"/>
      <c r="I1083" s="5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  <c r="AA1083" s="4"/>
      <c r="AB1083" s="4"/>
      <c r="AC1083" s="4"/>
      <c r="AD1083" s="4"/>
      <c r="AE1083" s="4"/>
      <c r="AF1083" s="4"/>
      <c r="AG1083" s="4"/>
      <c r="AH1083" s="4"/>
      <c r="AI1083" s="4"/>
      <c r="AJ1083" s="4"/>
      <c r="AK1083" s="4"/>
      <c r="AL1083" s="4"/>
      <c r="AM1083" s="4"/>
      <c r="AN1083" s="4"/>
      <c r="AO1083" s="4"/>
      <c r="AP1083" s="4"/>
      <c r="AQ1083" s="4"/>
      <c r="AR1083" s="4"/>
      <c r="AS1083" s="4"/>
      <c r="AT1083" s="4"/>
      <c r="AU1083" s="4"/>
      <c r="AV1083" s="4"/>
      <c r="AW1083" s="4"/>
      <c r="AX1083" s="4"/>
      <c r="AY1083" s="4"/>
      <c r="AZ1083" s="4"/>
      <c r="BA1083" s="4"/>
      <c r="BB1083" s="4"/>
      <c r="BC1083" s="4"/>
      <c r="BD1083" s="4"/>
      <c r="BE1083" s="4"/>
      <c r="BF1083" s="4"/>
      <c r="BG1083" s="4"/>
      <c r="BH1083" s="4"/>
      <c r="BI1083" s="4"/>
      <c r="BJ1083" s="4"/>
      <c r="BK1083" s="4"/>
      <c r="BL1083" s="4"/>
      <c r="BM1083" s="4"/>
      <c r="BN1083" s="4"/>
      <c r="BO1083" s="4"/>
      <c r="BP1083" s="4"/>
      <c r="BQ1083" s="4"/>
      <c r="BR1083" s="4"/>
      <c r="BS1083" s="4"/>
      <c r="BT1083" s="4"/>
      <c r="BU1083" s="4"/>
      <c r="BV1083" s="4"/>
      <c r="BW1083" s="4"/>
      <c r="BX1083" s="4"/>
      <c r="BY1083" s="4"/>
      <c r="BZ1083" s="4"/>
      <c r="CA1083" s="4"/>
      <c r="CB1083" s="4"/>
      <c r="CC1083" s="4"/>
      <c r="CD1083" s="4"/>
      <c r="CE1083" s="4"/>
      <c r="CF1083" s="4"/>
      <c r="CG1083" s="4"/>
      <c r="CH1083" s="4"/>
    </row>
    <row r="1084" spans="1:86" x14ac:dyDescent="0.25">
      <c r="A1084" s="12">
        <f t="shared" si="22"/>
        <v>1081</v>
      </c>
      <c r="B1084" s="4" t="s">
        <v>2541</v>
      </c>
      <c r="C1084" s="4" t="s">
        <v>2542</v>
      </c>
      <c r="D1084" s="4" t="s">
        <v>1131</v>
      </c>
      <c r="E1084" s="4"/>
      <c r="F1084" s="14"/>
      <c r="G1084" s="14"/>
      <c r="H1084" s="14"/>
      <c r="I1084" s="5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  <c r="AA1084" s="4"/>
      <c r="AB1084" s="4"/>
      <c r="AC1084" s="4"/>
      <c r="AD1084" s="4"/>
      <c r="AE1084" s="4"/>
      <c r="AF1084" s="4"/>
      <c r="AG1084" s="4"/>
      <c r="AH1084" s="4"/>
      <c r="AI1084" s="4"/>
      <c r="AJ1084" s="4"/>
      <c r="AK1084" s="4"/>
      <c r="AL1084" s="4"/>
      <c r="AM1084" s="4"/>
      <c r="AN1084" s="4"/>
      <c r="AO1084" s="4"/>
      <c r="AP1084" s="4"/>
      <c r="AQ1084" s="4"/>
      <c r="AR1084" s="4"/>
      <c r="AS1084" s="4"/>
      <c r="AT1084" s="4"/>
      <c r="AU1084" s="4"/>
      <c r="AV1084" s="4"/>
      <c r="AW1084" s="4"/>
      <c r="AX1084" s="4"/>
      <c r="AY1084" s="4"/>
      <c r="AZ1084" s="4"/>
      <c r="BA1084" s="4"/>
      <c r="BB1084" s="4"/>
      <c r="BC1084" s="4"/>
      <c r="BD1084" s="4"/>
      <c r="BE1084" s="4"/>
      <c r="BF1084" s="4"/>
      <c r="BG1084" s="4"/>
      <c r="BH1084" s="4"/>
      <c r="BI1084" s="4"/>
      <c r="BJ1084" s="4"/>
      <c r="BK1084" s="4"/>
      <c r="BL1084" s="4"/>
      <c r="BM1084" s="4"/>
      <c r="BN1084" s="4"/>
      <c r="BO1084" s="4"/>
      <c r="BP1084" s="4"/>
      <c r="BQ1084" s="4"/>
      <c r="BR1084" s="4"/>
      <c r="BS1084" s="4"/>
      <c r="BT1084" s="4"/>
      <c r="BU1084" s="4"/>
      <c r="BV1084" s="4"/>
      <c r="BW1084" s="4"/>
      <c r="BX1084" s="4"/>
      <c r="BY1084" s="4"/>
      <c r="BZ1084" s="4"/>
      <c r="CA1084" s="4"/>
      <c r="CB1084" s="4"/>
      <c r="CC1084" s="4"/>
      <c r="CD1084" s="4"/>
      <c r="CE1084" s="4"/>
      <c r="CF1084" s="4"/>
      <c r="CG1084" s="4"/>
      <c r="CH1084" s="4"/>
    </row>
    <row r="1085" spans="1:86" x14ac:dyDescent="0.25">
      <c r="A1085" s="12">
        <f t="shared" si="22"/>
        <v>1082</v>
      </c>
      <c r="B1085" s="4" t="s">
        <v>2543</v>
      </c>
      <c r="C1085" s="4" t="s">
        <v>2544</v>
      </c>
      <c r="D1085" s="4" t="s">
        <v>45</v>
      </c>
      <c r="E1085" s="4"/>
      <c r="F1085" s="14"/>
      <c r="G1085" s="14"/>
      <c r="H1085" s="14"/>
      <c r="I1085" s="5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  <c r="AA1085" s="4"/>
      <c r="AB1085" s="4"/>
      <c r="AC1085" s="4"/>
      <c r="AD1085" s="4"/>
      <c r="AE1085" s="4"/>
      <c r="AF1085" s="4"/>
      <c r="AG1085" s="4"/>
      <c r="AH1085" s="4"/>
      <c r="AI1085" s="4"/>
      <c r="AJ1085" s="4"/>
      <c r="AK1085" s="4"/>
      <c r="AL1085" s="4"/>
      <c r="AM1085" s="4"/>
      <c r="AN1085" s="4"/>
      <c r="AO1085" s="4"/>
      <c r="AP1085" s="4"/>
      <c r="AQ1085" s="4"/>
      <c r="AR1085" s="4"/>
      <c r="AS1085" s="4"/>
      <c r="AT1085" s="4"/>
      <c r="AU1085" s="4"/>
      <c r="AV1085" s="4"/>
      <c r="AW1085" s="4"/>
      <c r="AX1085" s="4"/>
      <c r="AY1085" s="4"/>
      <c r="AZ1085" s="4"/>
      <c r="BA1085" s="4"/>
      <c r="BB1085" s="4"/>
      <c r="BC1085" s="4"/>
      <c r="BD1085" s="4"/>
      <c r="BE1085" s="4"/>
      <c r="BF1085" s="4"/>
      <c r="BG1085" s="4"/>
      <c r="BH1085" s="4"/>
      <c r="BI1085" s="4"/>
      <c r="BJ1085" s="4"/>
      <c r="BK1085" s="4"/>
      <c r="BL1085" s="4"/>
      <c r="BM1085" s="4"/>
      <c r="BN1085" s="4"/>
      <c r="BO1085" s="4"/>
      <c r="BP1085" s="4"/>
      <c r="BQ1085" s="4"/>
      <c r="BR1085" s="4"/>
      <c r="BS1085" s="4"/>
      <c r="BT1085" s="4"/>
      <c r="BU1085" s="4"/>
      <c r="BV1085" s="4"/>
      <c r="BW1085" s="4"/>
      <c r="BX1085" s="4"/>
      <c r="BY1085" s="4"/>
      <c r="BZ1085" s="4"/>
      <c r="CA1085" s="4"/>
      <c r="CB1085" s="4"/>
      <c r="CC1085" s="4"/>
      <c r="CD1085" s="4"/>
      <c r="CE1085" s="4"/>
      <c r="CF1085" s="4"/>
      <c r="CG1085" s="4"/>
      <c r="CH1085" s="4"/>
    </row>
    <row r="1086" spans="1:86" x14ac:dyDescent="0.25">
      <c r="A1086" s="12">
        <f t="shared" si="22"/>
        <v>1083</v>
      </c>
      <c r="B1086" s="4" t="s">
        <v>2545</v>
      </c>
      <c r="C1086" s="4" t="s">
        <v>2546</v>
      </c>
      <c r="D1086" s="4" t="s">
        <v>45</v>
      </c>
      <c r="E1086" s="4"/>
      <c r="F1086" s="14"/>
      <c r="G1086" s="14"/>
      <c r="H1086" s="14"/>
      <c r="I1086" s="5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  <c r="AA1086" s="4"/>
      <c r="AB1086" s="4"/>
      <c r="AC1086" s="4"/>
      <c r="AD1086" s="4"/>
      <c r="AE1086" s="4"/>
      <c r="AF1086" s="4"/>
      <c r="AG1086" s="4"/>
      <c r="AH1086" s="4"/>
      <c r="AI1086" s="4"/>
      <c r="AJ1086" s="4"/>
      <c r="AK1086" s="4"/>
      <c r="AL1086" s="4"/>
      <c r="AM1086" s="4"/>
      <c r="AN1086" s="4"/>
      <c r="AO1086" s="4"/>
      <c r="AP1086" s="4"/>
      <c r="AQ1086" s="4"/>
      <c r="AR1086" s="4"/>
      <c r="AS1086" s="4"/>
      <c r="AT1086" s="4"/>
      <c r="AU1086" s="4"/>
      <c r="AV1086" s="4"/>
      <c r="AW1086" s="4"/>
      <c r="AX1086" s="4"/>
      <c r="AY1086" s="4"/>
      <c r="AZ1086" s="4"/>
      <c r="BA1086" s="4"/>
      <c r="BB1086" s="4"/>
      <c r="BC1086" s="4"/>
      <c r="BD1086" s="4"/>
      <c r="BE1086" s="4"/>
      <c r="BF1086" s="4"/>
      <c r="BG1086" s="4"/>
      <c r="BH1086" s="4"/>
      <c r="BI1086" s="4"/>
      <c r="BJ1086" s="4"/>
      <c r="BK1086" s="4"/>
      <c r="BL1086" s="4"/>
      <c r="BM1086" s="4"/>
      <c r="BN1086" s="4"/>
      <c r="BO1086" s="4"/>
      <c r="BP1086" s="4"/>
      <c r="BQ1086" s="4"/>
      <c r="BR1086" s="4"/>
      <c r="BS1086" s="4"/>
      <c r="BT1086" s="4"/>
      <c r="BU1086" s="4"/>
      <c r="BV1086" s="4"/>
      <c r="BW1086" s="4"/>
      <c r="BX1086" s="4"/>
      <c r="BY1086" s="4"/>
      <c r="BZ1086" s="4"/>
      <c r="CA1086" s="4"/>
      <c r="CB1086" s="4"/>
      <c r="CC1086" s="4"/>
      <c r="CD1086" s="4"/>
      <c r="CE1086" s="4"/>
      <c r="CF1086" s="4"/>
      <c r="CG1086" s="4"/>
      <c r="CH1086" s="4"/>
    </row>
    <row r="1087" spans="1:86" x14ac:dyDescent="0.25">
      <c r="A1087" s="12">
        <f t="shared" si="22"/>
        <v>1084</v>
      </c>
      <c r="B1087" s="4" t="s">
        <v>2547</v>
      </c>
      <c r="C1087" s="4" t="s">
        <v>2548</v>
      </c>
      <c r="D1087" s="4" t="s">
        <v>45</v>
      </c>
      <c r="E1087" s="4"/>
      <c r="F1087" s="14"/>
      <c r="G1087" s="14"/>
      <c r="H1087" s="14"/>
      <c r="I1087" s="5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  <c r="AA1087" s="4"/>
      <c r="AB1087" s="4"/>
      <c r="AC1087" s="4"/>
      <c r="AD1087" s="4"/>
      <c r="AE1087" s="4"/>
      <c r="AF1087" s="4"/>
      <c r="AG1087" s="4"/>
      <c r="AH1087" s="4"/>
      <c r="AI1087" s="4"/>
      <c r="AJ1087" s="4"/>
      <c r="AK1087" s="4"/>
      <c r="AL1087" s="4"/>
      <c r="AM1087" s="4"/>
      <c r="AN1087" s="4"/>
      <c r="AO1087" s="4"/>
      <c r="AP1087" s="4"/>
      <c r="AQ1087" s="4"/>
      <c r="AR1087" s="4"/>
      <c r="AS1087" s="4"/>
      <c r="AT1087" s="4"/>
      <c r="AU1087" s="4"/>
      <c r="AV1087" s="4"/>
      <c r="AW1087" s="4"/>
      <c r="AX1087" s="4"/>
      <c r="AY1087" s="4"/>
      <c r="AZ1087" s="4"/>
      <c r="BA1087" s="4"/>
      <c r="BB1087" s="4"/>
      <c r="BC1087" s="4"/>
      <c r="BD1087" s="4"/>
      <c r="BE1087" s="4"/>
      <c r="BF1087" s="4"/>
      <c r="BG1087" s="4"/>
      <c r="BH1087" s="4"/>
      <c r="BI1087" s="4"/>
      <c r="BJ1087" s="4"/>
      <c r="BK1087" s="4"/>
      <c r="BL1087" s="4"/>
      <c r="BM1087" s="4"/>
      <c r="BN1087" s="4"/>
      <c r="BO1087" s="4"/>
      <c r="BP1087" s="4"/>
      <c r="BQ1087" s="4"/>
      <c r="BR1087" s="4"/>
      <c r="BS1087" s="4"/>
      <c r="BT1087" s="4"/>
      <c r="BU1087" s="4"/>
      <c r="BV1087" s="4"/>
      <c r="BW1087" s="4"/>
      <c r="BX1087" s="4"/>
      <c r="BY1087" s="4"/>
      <c r="BZ1087" s="4"/>
      <c r="CA1087" s="4"/>
      <c r="CB1087" s="4"/>
      <c r="CC1087" s="4"/>
      <c r="CD1087" s="4"/>
      <c r="CE1087" s="4"/>
      <c r="CF1087" s="4"/>
      <c r="CG1087" s="4"/>
      <c r="CH1087" s="4"/>
    </row>
    <row r="1088" spans="1:86" x14ac:dyDescent="0.25">
      <c r="A1088" s="12">
        <f t="shared" si="22"/>
        <v>1085</v>
      </c>
      <c r="B1088" s="4" t="s">
        <v>2549</v>
      </c>
      <c r="C1088" s="4" t="s">
        <v>2550</v>
      </c>
      <c r="D1088" s="4" t="s">
        <v>768</v>
      </c>
      <c r="E1088" s="4"/>
      <c r="F1088" s="14"/>
      <c r="G1088" s="14"/>
      <c r="H1088" s="14"/>
      <c r="I1088" s="5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  <c r="AA1088" s="4"/>
      <c r="AB1088" s="4"/>
      <c r="AC1088" s="4"/>
      <c r="AD1088" s="4"/>
      <c r="AE1088" s="4"/>
      <c r="AF1088" s="4"/>
      <c r="AG1088" s="4"/>
      <c r="AH1088" s="4"/>
      <c r="AI1088" s="4"/>
      <c r="AJ1088" s="4"/>
      <c r="AK1088" s="4"/>
      <c r="AL1088" s="4"/>
      <c r="AM1088" s="4"/>
      <c r="AN1088" s="4"/>
      <c r="AO1088" s="4"/>
      <c r="AP1088" s="4"/>
      <c r="AQ1088" s="4"/>
      <c r="AR1088" s="4"/>
      <c r="AS1088" s="4"/>
      <c r="AT1088" s="4"/>
      <c r="AU1088" s="4"/>
      <c r="AV1088" s="4"/>
      <c r="AW1088" s="4"/>
      <c r="AX1088" s="4"/>
      <c r="AY1088" s="4"/>
      <c r="AZ1088" s="4"/>
      <c r="BA1088" s="4"/>
      <c r="BB1088" s="4"/>
      <c r="BC1088" s="4"/>
      <c r="BD1088" s="4"/>
      <c r="BE1088" s="4"/>
      <c r="BF1088" s="4"/>
      <c r="BG1088" s="4"/>
      <c r="BH1088" s="4"/>
      <c r="BI1088" s="4"/>
      <c r="BJ1088" s="4"/>
      <c r="BK1088" s="4"/>
      <c r="BL1088" s="4"/>
      <c r="BM1088" s="4"/>
      <c r="BN1088" s="4"/>
      <c r="BO1088" s="4"/>
      <c r="BP1088" s="4"/>
      <c r="BQ1088" s="4"/>
      <c r="BR1088" s="4"/>
      <c r="BS1088" s="4"/>
      <c r="BT1088" s="4"/>
      <c r="BU1088" s="4"/>
      <c r="BV1088" s="4"/>
      <c r="BW1088" s="4"/>
      <c r="BX1088" s="4"/>
      <c r="BY1088" s="4"/>
      <c r="BZ1088" s="4"/>
      <c r="CA1088" s="4"/>
      <c r="CB1088" s="4"/>
      <c r="CC1088" s="4"/>
      <c r="CD1088" s="4"/>
      <c r="CE1088" s="4"/>
      <c r="CF1088" s="4"/>
      <c r="CG1088" s="4"/>
      <c r="CH1088" s="4"/>
    </row>
    <row r="1089" spans="1:86" x14ac:dyDescent="0.25">
      <c r="A1089" s="12">
        <f t="shared" si="22"/>
        <v>1086</v>
      </c>
      <c r="B1089" s="4" t="s">
        <v>2551</v>
      </c>
      <c r="C1089" s="4" t="s">
        <v>2552</v>
      </c>
      <c r="D1089" s="4" t="s">
        <v>45</v>
      </c>
      <c r="E1089" s="4"/>
      <c r="F1089" s="14"/>
      <c r="G1089" s="14"/>
      <c r="H1089" s="14"/>
      <c r="I1089" s="5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  <c r="AA1089" s="4"/>
      <c r="AB1089" s="4"/>
      <c r="AC1089" s="4"/>
      <c r="AD1089" s="4"/>
      <c r="AE1089" s="4"/>
      <c r="AF1089" s="4"/>
      <c r="AG1089" s="4"/>
      <c r="AH1089" s="4"/>
      <c r="AI1089" s="4"/>
      <c r="AJ1089" s="4"/>
      <c r="AK1089" s="4"/>
      <c r="AL1089" s="4"/>
      <c r="AM1089" s="4"/>
      <c r="AN1089" s="4"/>
      <c r="AO1089" s="4"/>
      <c r="AP1089" s="4"/>
      <c r="AQ1089" s="4"/>
      <c r="AR1089" s="4"/>
      <c r="AS1089" s="4"/>
      <c r="AT1089" s="4"/>
      <c r="AU1089" s="4"/>
      <c r="AV1089" s="4"/>
      <c r="AW1089" s="4"/>
      <c r="AX1089" s="4"/>
      <c r="AY1089" s="4"/>
      <c r="AZ1089" s="4"/>
      <c r="BA1089" s="4"/>
      <c r="BB1089" s="4"/>
      <c r="BC1089" s="4"/>
      <c r="BD1089" s="4"/>
      <c r="BE1089" s="4"/>
      <c r="BF1089" s="4"/>
      <c r="BG1089" s="4"/>
      <c r="BH1089" s="4"/>
      <c r="BI1089" s="4"/>
      <c r="BJ1089" s="4"/>
      <c r="BK1089" s="4"/>
      <c r="BL1089" s="4"/>
      <c r="BM1089" s="4"/>
      <c r="BN1089" s="4"/>
      <c r="BO1089" s="4"/>
      <c r="BP1089" s="4"/>
      <c r="BQ1089" s="4"/>
      <c r="BR1089" s="4"/>
      <c r="BS1089" s="4"/>
      <c r="BT1089" s="4"/>
      <c r="BU1089" s="4"/>
      <c r="BV1089" s="4"/>
      <c r="BW1089" s="4"/>
      <c r="BX1089" s="4"/>
      <c r="BY1089" s="4"/>
      <c r="BZ1089" s="4"/>
      <c r="CA1089" s="4"/>
      <c r="CB1089" s="4"/>
      <c r="CC1089" s="4"/>
      <c r="CD1089" s="4"/>
      <c r="CE1089" s="4"/>
      <c r="CF1089" s="4"/>
      <c r="CG1089" s="4"/>
      <c r="CH1089" s="4"/>
    </row>
    <row r="1090" spans="1:86" x14ac:dyDescent="0.25">
      <c r="A1090" s="12">
        <f t="shared" si="22"/>
        <v>1087</v>
      </c>
      <c r="B1090" s="4" t="s">
        <v>2553</v>
      </c>
      <c r="C1090" s="4" t="s">
        <v>2554</v>
      </c>
      <c r="D1090" s="4" t="s">
        <v>84</v>
      </c>
      <c r="E1090" s="4"/>
      <c r="F1090" s="14"/>
      <c r="G1090" s="14"/>
      <c r="H1090" s="14"/>
      <c r="I1090" s="5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  <c r="AA1090" s="4"/>
      <c r="AB1090" s="4"/>
      <c r="AC1090" s="4"/>
      <c r="AD1090" s="4"/>
      <c r="AE1090" s="4"/>
      <c r="AF1090" s="4"/>
      <c r="AG1090" s="4"/>
      <c r="AH1090" s="4"/>
      <c r="AI1090" s="4"/>
      <c r="AJ1090" s="4"/>
      <c r="AK1090" s="4"/>
      <c r="AL1090" s="4"/>
      <c r="AM1090" s="4"/>
      <c r="AN1090" s="4"/>
      <c r="AO1090" s="4"/>
      <c r="AP1090" s="4"/>
      <c r="AQ1090" s="4"/>
      <c r="AR1090" s="4"/>
      <c r="AS1090" s="4"/>
      <c r="AT1090" s="4"/>
      <c r="AU1090" s="4"/>
      <c r="AV1090" s="4"/>
      <c r="AW1090" s="4"/>
      <c r="AX1090" s="4"/>
      <c r="AY1090" s="4"/>
      <c r="AZ1090" s="4"/>
      <c r="BA1090" s="4"/>
      <c r="BB1090" s="4"/>
      <c r="BC1090" s="4"/>
      <c r="BD1090" s="4"/>
      <c r="BE1090" s="4"/>
      <c r="BF1090" s="4"/>
      <c r="BG1090" s="4"/>
      <c r="BH1090" s="4"/>
      <c r="BI1090" s="4"/>
      <c r="BJ1090" s="4"/>
      <c r="BK1090" s="4"/>
      <c r="BL1090" s="4"/>
      <c r="BM1090" s="4"/>
      <c r="BN1090" s="4"/>
      <c r="BO1090" s="4"/>
      <c r="BP1090" s="4"/>
      <c r="BQ1090" s="4"/>
      <c r="BR1090" s="4"/>
      <c r="BS1090" s="4"/>
      <c r="BT1090" s="4"/>
      <c r="BU1090" s="4"/>
      <c r="BV1090" s="4"/>
      <c r="BW1090" s="4"/>
      <c r="BX1090" s="4"/>
      <c r="BY1090" s="4"/>
      <c r="BZ1090" s="4"/>
      <c r="CA1090" s="4"/>
      <c r="CB1090" s="4"/>
      <c r="CC1090" s="4"/>
      <c r="CD1090" s="4"/>
      <c r="CE1090" s="4"/>
      <c r="CF1090" s="4"/>
      <c r="CG1090" s="4"/>
      <c r="CH1090" s="4"/>
    </row>
    <row r="1091" spans="1:86" x14ac:dyDescent="0.25">
      <c r="A1091" s="12">
        <f t="shared" si="22"/>
        <v>1088</v>
      </c>
      <c r="B1091" s="4" t="s">
        <v>2555</v>
      </c>
      <c r="C1091" s="4" t="s">
        <v>2556</v>
      </c>
      <c r="D1091" s="4" t="s">
        <v>45</v>
      </c>
      <c r="E1091" s="4"/>
      <c r="F1091" s="14"/>
      <c r="G1091" s="14"/>
      <c r="H1091" s="14"/>
      <c r="I1091" s="5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  <c r="AA1091" s="4"/>
      <c r="AB1091" s="4"/>
      <c r="AC1091" s="4"/>
      <c r="AD1091" s="4"/>
      <c r="AE1091" s="4"/>
      <c r="AF1091" s="4"/>
      <c r="AG1091" s="4"/>
      <c r="AH1091" s="4"/>
      <c r="AI1091" s="4"/>
      <c r="AJ1091" s="4"/>
      <c r="AK1091" s="4"/>
      <c r="AL1091" s="4"/>
      <c r="AM1091" s="4"/>
      <c r="AN1091" s="4"/>
      <c r="AO1091" s="4"/>
      <c r="AP1091" s="4"/>
      <c r="AQ1091" s="4"/>
      <c r="AR1091" s="4"/>
      <c r="AS1091" s="4"/>
      <c r="AT1091" s="4"/>
      <c r="AU1091" s="4"/>
      <c r="AV1091" s="4"/>
      <c r="AW1091" s="4"/>
      <c r="AX1091" s="4"/>
      <c r="AY1091" s="4"/>
      <c r="AZ1091" s="4"/>
      <c r="BA1091" s="4"/>
      <c r="BB1091" s="4"/>
      <c r="BC1091" s="4"/>
      <c r="BD1091" s="4"/>
      <c r="BE1091" s="4"/>
      <c r="BF1091" s="4"/>
      <c r="BG1091" s="4"/>
      <c r="BH1091" s="4"/>
      <c r="BI1091" s="4"/>
      <c r="BJ1091" s="4"/>
      <c r="BK1091" s="4"/>
      <c r="BL1091" s="4"/>
      <c r="BM1091" s="4"/>
      <c r="BN1091" s="4"/>
      <c r="BO1091" s="4"/>
      <c r="BP1091" s="4"/>
      <c r="BQ1091" s="4"/>
      <c r="BR1091" s="4"/>
      <c r="BS1091" s="4"/>
      <c r="BT1091" s="4"/>
      <c r="BU1091" s="4"/>
      <c r="BV1091" s="4"/>
      <c r="BW1091" s="4"/>
      <c r="BX1091" s="4"/>
      <c r="BY1091" s="4"/>
      <c r="BZ1091" s="4"/>
      <c r="CA1091" s="4"/>
      <c r="CB1091" s="4"/>
      <c r="CC1091" s="4"/>
      <c r="CD1091" s="4"/>
      <c r="CE1091" s="4"/>
      <c r="CF1091" s="4"/>
      <c r="CG1091" s="4"/>
      <c r="CH1091" s="4"/>
    </row>
    <row r="1092" spans="1:86" x14ac:dyDescent="0.25">
      <c r="A1092" s="12">
        <f t="shared" si="22"/>
        <v>1089</v>
      </c>
      <c r="B1092" s="4" t="s">
        <v>2557</v>
      </c>
      <c r="C1092" s="4" t="s">
        <v>2558</v>
      </c>
      <c r="D1092" s="4" t="s">
        <v>45</v>
      </c>
      <c r="E1092" s="4"/>
      <c r="F1092" s="14"/>
      <c r="G1092" s="14"/>
      <c r="H1092" s="14"/>
      <c r="I1092" s="5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  <c r="AA1092" s="4"/>
      <c r="AB1092" s="4"/>
      <c r="AC1092" s="4"/>
      <c r="AD1092" s="4"/>
      <c r="AE1092" s="4"/>
      <c r="AF1092" s="4"/>
      <c r="AG1092" s="4"/>
      <c r="AH1092" s="4"/>
      <c r="AI1092" s="4"/>
      <c r="AJ1092" s="4"/>
      <c r="AK1092" s="4"/>
      <c r="AL1092" s="4"/>
      <c r="AM1092" s="4"/>
      <c r="AN1092" s="4"/>
      <c r="AO1092" s="4"/>
      <c r="AP1092" s="4"/>
      <c r="AQ1092" s="4"/>
      <c r="AR1092" s="4"/>
      <c r="AS1092" s="4"/>
      <c r="AT1092" s="4"/>
      <c r="AU1092" s="4"/>
      <c r="AV1092" s="4"/>
      <c r="AW1092" s="4"/>
      <c r="AX1092" s="4"/>
      <c r="AY1092" s="4"/>
      <c r="AZ1092" s="4"/>
      <c r="BA1092" s="4"/>
      <c r="BB1092" s="4"/>
      <c r="BC1092" s="4"/>
      <c r="BD1092" s="4"/>
      <c r="BE1092" s="4"/>
      <c r="BF1092" s="4"/>
      <c r="BG1092" s="4"/>
      <c r="BH1092" s="4"/>
      <c r="BI1092" s="4"/>
      <c r="BJ1092" s="4"/>
      <c r="BK1092" s="4"/>
      <c r="BL1092" s="4"/>
      <c r="BM1092" s="4"/>
      <c r="BN1092" s="4"/>
      <c r="BO1092" s="4"/>
      <c r="BP1092" s="4"/>
      <c r="BQ1092" s="4"/>
      <c r="BR1092" s="4"/>
      <c r="BS1092" s="4"/>
      <c r="BT1092" s="4"/>
      <c r="BU1092" s="4"/>
      <c r="BV1092" s="4"/>
      <c r="BW1092" s="4"/>
      <c r="BX1092" s="4"/>
      <c r="BY1092" s="4"/>
      <c r="BZ1092" s="4"/>
      <c r="CA1092" s="4"/>
      <c r="CB1092" s="4"/>
      <c r="CC1092" s="4"/>
      <c r="CD1092" s="4"/>
      <c r="CE1092" s="4"/>
      <c r="CF1092" s="4"/>
      <c r="CG1092" s="4"/>
      <c r="CH1092" s="4"/>
    </row>
    <row r="1093" spans="1:86" x14ac:dyDescent="0.25">
      <c r="A1093" s="12">
        <f t="shared" si="22"/>
        <v>1090</v>
      </c>
      <c r="B1093" s="4" t="s">
        <v>2559</v>
      </c>
      <c r="C1093" s="4" t="s">
        <v>2560</v>
      </c>
      <c r="D1093" s="4" t="s">
        <v>45</v>
      </c>
      <c r="E1093" s="4"/>
      <c r="F1093" s="14"/>
      <c r="G1093" s="14"/>
      <c r="H1093" s="14"/>
      <c r="I1093" s="5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  <c r="AA1093" s="4"/>
      <c r="AB1093" s="4"/>
      <c r="AC1093" s="4"/>
      <c r="AD1093" s="4"/>
      <c r="AE1093" s="4"/>
      <c r="AF1093" s="4"/>
      <c r="AG1093" s="4"/>
      <c r="AH1093" s="4"/>
      <c r="AI1093" s="4"/>
      <c r="AJ1093" s="4"/>
      <c r="AK1093" s="4"/>
      <c r="AL1093" s="4"/>
      <c r="AM1093" s="4"/>
      <c r="AN1093" s="4"/>
      <c r="AO1093" s="4"/>
      <c r="AP1093" s="4"/>
      <c r="AQ1093" s="4"/>
      <c r="AR1093" s="4"/>
      <c r="AS1093" s="4"/>
      <c r="AT1093" s="4"/>
      <c r="AU1093" s="4"/>
      <c r="AV1093" s="4"/>
      <c r="AW1093" s="4"/>
      <c r="AX1093" s="4"/>
      <c r="AY1093" s="4"/>
      <c r="AZ1093" s="4"/>
      <c r="BA1093" s="4"/>
      <c r="BB1093" s="4"/>
      <c r="BC1093" s="4"/>
      <c r="BD1093" s="4"/>
      <c r="BE1093" s="4"/>
      <c r="BF1093" s="4"/>
      <c r="BG1093" s="4"/>
      <c r="BH1093" s="4"/>
      <c r="BI1093" s="4"/>
      <c r="BJ1093" s="4"/>
      <c r="BK1093" s="4"/>
      <c r="BL1093" s="4"/>
      <c r="BM1093" s="4"/>
      <c r="BN1093" s="4"/>
      <c r="BO1093" s="4"/>
      <c r="BP1093" s="4"/>
      <c r="BQ1093" s="4"/>
      <c r="BR1093" s="4"/>
      <c r="BS1093" s="4"/>
      <c r="BT1093" s="4"/>
      <c r="BU1093" s="4"/>
      <c r="BV1093" s="4"/>
      <c r="BW1093" s="4"/>
      <c r="BX1093" s="4"/>
      <c r="BY1093" s="4"/>
      <c r="BZ1093" s="4"/>
      <c r="CA1093" s="4"/>
      <c r="CB1093" s="4"/>
      <c r="CC1093" s="4"/>
      <c r="CD1093" s="4"/>
      <c r="CE1093" s="4"/>
      <c r="CF1093" s="4"/>
      <c r="CG1093" s="4"/>
      <c r="CH1093" s="4"/>
    </row>
    <row r="1094" spans="1:86" x14ac:dyDescent="0.25">
      <c r="A1094" s="12">
        <f t="shared" si="22"/>
        <v>1091</v>
      </c>
      <c r="B1094" s="4" t="s">
        <v>2561</v>
      </c>
      <c r="C1094" s="4" t="s">
        <v>2562</v>
      </c>
      <c r="D1094" s="4" t="s">
        <v>45</v>
      </c>
      <c r="E1094" s="4"/>
      <c r="F1094" s="14"/>
      <c r="G1094" s="14"/>
      <c r="H1094" s="14"/>
      <c r="I1094" s="5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  <c r="AA1094" s="4"/>
      <c r="AB1094" s="4"/>
      <c r="AC1094" s="4"/>
      <c r="AD1094" s="4"/>
      <c r="AE1094" s="4"/>
      <c r="AF1094" s="4"/>
      <c r="AG1094" s="4"/>
      <c r="AH1094" s="4"/>
      <c r="AI1094" s="4"/>
      <c r="AJ1094" s="4"/>
      <c r="AK1094" s="4"/>
      <c r="AL1094" s="4"/>
      <c r="AM1094" s="4"/>
      <c r="AN1094" s="4"/>
      <c r="AO1094" s="4"/>
      <c r="AP1094" s="4"/>
      <c r="AQ1094" s="4"/>
      <c r="AR1094" s="4"/>
      <c r="AS1094" s="4"/>
      <c r="AT1094" s="4"/>
      <c r="AU1094" s="4"/>
      <c r="AV1094" s="4"/>
      <c r="AW1094" s="4"/>
      <c r="AX1094" s="4"/>
      <c r="AY1094" s="4"/>
      <c r="AZ1094" s="4"/>
      <c r="BA1094" s="4"/>
      <c r="BB1094" s="4"/>
      <c r="BC1094" s="4"/>
      <c r="BD1094" s="4"/>
      <c r="BE1094" s="4"/>
      <c r="BF1094" s="4"/>
      <c r="BG1094" s="4"/>
      <c r="BH1094" s="4"/>
      <c r="BI1094" s="4"/>
      <c r="BJ1094" s="4"/>
      <c r="BK1094" s="4"/>
      <c r="BL1094" s="4"/>
      <c r="BM1094" s="4"/>
      <c r="BN1094" s="4"/>
      <c r="BO1094" s="4"/>
      <c r="BP1094" s="4"/>
      <c r="BQ1094" s="4"/>
      <c r="BR1094" s="4"/>
      <c r="BS1094" s="4"/>
      <c r="BT1094" s="4"/>
      <c r="BU1094" s="4"/>
      <c r="BV1094" s="4"/>
      <c r="BW1094" s="4"/>
      <c r="BX1094" s="4"/>
      <c r="BY1094" s="4"/>
      <c r="BZ1094" s="4"/>
      <c r="CA1094" s="4"/>
      <c r="CB1094" s="4"/>
      <c r="CC1094" s="4"/>
      <c r="CD1094" s="4"/>
      <c r="CE1094" s="4"/>
      <c r="CF1094" s="4"/>
      <c r="CG1094" s="4"/>
      <c r="CH1094" s="4"/>
    </row>
    <row r="1095" spans="1:86" x14ac:dyDescent="0.25">
      <c r="A1095" s="12">
        <f t="shared" si="22"/>
        <v>1092</v>
      </c>
      <c r="B1095" s="4" t="s">
        <v>2563</v>
      </c>
      <c r="C1095" s="4" t="s">
        <v>2564</v>
      </c>
      <c r="D1095" s="4" t="s">
        <v>161</v>
      </c>
      <c r="E1095" s="4"/>
      <c r="F1095" s="14"/>
      <c r="G1095" s="14"/>
      <c r="H1095" s="14"/>
      <c r="I1095" s="5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  <c r="AA1095" s="4"/>
      <c r="AB1095" s="4"/>
      <c r="AC1095" s="4"/>
      <c r="AD1095" s="4"/>
      <c r="AE1095" s="4"/>
      <c r="AF1095" s="4"/>
      <c r="AG1095" s="4"/>
      <c r="AH1095" s="4"/>
      <c r="AI1095" s="4"/>
      <c r="AJ1095" s="4"/>
      <c r="AK1095" s="4"/>
      <c r="AL1095" s="4"/>
      <c r="AM1095" s="4"/>
      <c r="AN1095" s="4"/>
      <c r="AO1095" s="4"/>
      <c r="AP1095" s="4"/>
      <c r="AQ1095" s="4"/>
      <c r="AR1095" s="4"/>
      <c r="AS1095" s="4"/>
      <c r="AT1095" s="4"/>
      <c r="AU1095" s="4"/>
      <c r="AV1095" s="4"/>
      <c r="AW1095" s="4"/>
      <c r="AX1095" s="4"/>
      <c r="AY1095" s="4"/>
      <c r="AZ1095" s="4"/>
      <c r="BA1095" s="4"/>
      <c r="BB1095" s="4"/>
      <c r="BC1095" s="4"/>
      <c r="BD1095" s="4"/>
      <c r="BE1095" s="4"/>
      <c r="BF1095" s="4"/>
      <c r="BG1095" s="4"/>
      <c r="BH1095" s="4"/>
      <c r="BI1095" s="4"/>
      <c r="BJ1095" s="4"/>
      <c r="BK1095" s="4"/>
      <c r="BL1095" s="4"/>
      <c r="BM1095" s="4"/>
      <c r="BN1095" s="4"/>
      <c r="BO1095" s="4"/>
      <c r="BP1095" s="4"/>
      <c r="BQ1095" s="4"/>
      <c r="BR1095" s="4"/>
      <c r="BS1095" s="4"/>
      <c r="BT1095" s="4"/>
      <c r="BU1095" s="4"/>
      <c r="BV1095" s="4"/>
      <c r="BW1095" s="4"/>
      <c r="BX1095" s="4"/>
      <c r="BY1095" s="4"/>
      <c r="BZ1095" s="4"/>
      <c r="CA1095" s="4"/>
      <c r="CB1095" s="4"/>
      <c r="CC1095" s="4"/>
      <c r="CD1095" s="4"/>
      <c r="CE1095" s="4"/>
      <c r="CF1095" s="4"/>
      <c r="CG1095" s="4"/>
      <c r="CH1095" s="4"/>
    </row>
    <row r="1096" spans="1:86" x14ac:dyDescent="0.25">
      <c r="A1096" s="12">
        <f t="shared" si="22"/>
        <v>1093</v>
      </c>
      <c r="B1096" s="4" t="s">
        <v>2565</v>
      </c>
      <c r="C1096" s="4" t="s">
        <v>2566</v>
      </c>
      <c r="D1096" s="4" t="s">
        <v>45</v>
      </c>
      <c r="E1096" s="4"/>
      <c r="F1096" s="14"/>
      <c r="G1096" s="14"/>
      <c r="H1096" s="14"/>
      <c r="I1096" s="5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  <c r="AA1096" s="4"/>
      <c r="AB1096" s="4"/>
      <c r="AC1096" s="4"/>
      <c r="AD1096" s="4"/>
      <c r="AE1096" s="4"/>
      <c r="AF1096" s="4"/>
      <c r="AG1096" s="4"/>
      <c r="AH1096" s="4"/>
      <c r="AI1096" s="4"/>
      <c r="AJ1096" s="4"/>
      <c r="AK1096" s="4"/>
      <c r="AL1096" s="4"/>
      <c r="AM1096" s="4"/>
      <c r="AN1096" s="4"/>
      <c r="AO1096" s="4"/>
      <c r="AP1096" s="4"/>
      <c r="AQ1096" s="4"/>
      <c r="AR1096" s="4"/>
      <c r="AS1096" s="4"/>
      <c r="AT1096" s="4"/>
      <c r="AU1096" s="4"/>
      <c r="AV1096" s="4"/>
      <c r="AW1096" s="4"/>
      <c r="AX1096" s="4"/>
      <c r="AY1096" s="4"/>
      <c r="AZ1096" s="4"/>
      <c r="BA1096" s="4"/>
      <c r="BB1096" s="4"/>
      <c r="BC1096" s="4"/>
      <c r="BD1096" s="4"/>
      <c r="BE1096" s="4"/>
      <c r="BF1096" s="4"/>
      <c r="BG1096" s="4"/>
      <c r="BH1096" s="4"/>
      <c r="BI1096" s="4"/>
      <c r="BJ1096" s="4"/>
      <c r="BK1096" s="4"/>
      <c r="BL1096" s="4"/>
      <c r="BM1096" s="4"/>
      <c r="BN1096" s="4"/>
      <c r="BO1096" s="4"/>
      <c r="BP1096" s="4"/>
      <c r="BQ1096" s="4"/>
      <c r="BR1096" s="4"/>
      <c r="BS1096" s="4"/>
      <c r="BT1096" s="4"/>
      <c r="BU1096" s="4"/>
      <c r="BV1096" s="4"/>
      <c r="BW1096" s="4"/>
      <c r="BX1096" s="4"/>
      <c r="BY1096" s="4"/>
      <c r="BZ1096" s="4"/>
      <c r="CA1096" s="4"/>
      <c r="CB1096" s="4"/>
      <c r="CC1096" s="4"/>
      <c r="CD1096" s="4"/>
      <c r="CE1096" s="4"/>
      <c r="CF1096" s="4"/>
      <c r="CG1096" s="4"/>
      <c r="CH1096" s="4"/>
    </row>
    <row r="1097" spans="1:86" x14ac:dyDescent="0.25">
      <c r="A1097" s="12">
        <f t="shared" si="22"/>
        <v>1094</v>
      </c>
      <c r="B1097" s="4" t="s">
        <v>2567</v>
      </c>
      <c r="C1097" s="4" t="s">
        <v>2568</v>
      </c>
      <c r="D1097" s="4" t="s">
        <v>46</v>
      </c>
      <c r="E1097" s="4"/>
      <c r="F1097" s="14"/>
      <c r="G1097" s="14"/>
      <c r="H1097" s="14"/>
      <c r="I1097" s="5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  <c r="AA1097" s="4"/>
      <c r="AB1097" s="4"/>
      <c r="AC1097" s="4"/>
      <c r="AD1097" s="4"/>
      <c r="AE1097" s="4"/>
      <c r="AF1097" s="4"/>
      <c r="AG1097" s="4"/>
      <c r="AH1097" s="4"/>
      <c r="AI1097" s="4"/>
      <c r="AJ1097" s="4"/>
      <c r="AK1097" s="4"/>
      <c r="AL1097" s="4"/>
      <c r="AM1097" s="4"/>
      <c r="AN1097" s="4"/>
      <c r="AO1097" s="4"/>
      <c r="AP1097" s="4"/>
      <c r="AQ1097" s="4"/>
      <c r="AR1097" s="4"/>
      <c r="AS1097" s="4"/>
      <c r="AT1097" s="4"/>
      <c r="AU1097" s="4"/>
      <c r="AV1097" s="4"/>
      <c r="AW1097" s="4"/>
      <c r="AX1097" s="4"/>
      <c r="AY1097" s="4"/>
      <c r="AZ1097" s="4"/>
      <c r="BA1097" s="4"/>
      <c r="BB1097" s="4"/>
      <c r="BC1097" s="4"/>
      <c r="BD1097" s="4"/>
      <c r="BE1097" s="4"/>
      <c r="BF1097" s="4"/>
      <c r="BG1097" s="4"/>
      <c r="BH1097" s="4"/>
      <c r="BI1097" s="4"/>
      <c r="BJ1097" s="4"/>
      <c r="BK1097" s="4"/>
      <c r="BL1097" s="4"/>
      <c r="BM1097" s="4"/>
      <c r="BN1097" s="4"/>
      <c r="BO1097" s="4"/>
      <c r="BP1097" s="4"/>
      <c r="BQ1097" s="4"/>
      <c r="BR1097" s="4"/>
      <c r="BS1097" s="4"/>
      <c r="BT1097" s="4"/>
      <c r="BU1097" s="4"/>
      <c r="BV1097" s="4"/>
      <c r="BW1097" s="4"/>
      <c r="BX1097" s="4"/>
      <c r="BY1097" s="4"/>
      <c r="BZ1097" s="4"/>
      <c r="CA1097" s="4"/>
      <c r="CB1097" s="4"/>
      <c r="CC1097" s="4"/>
      <c r="CD1097" s="4"/>
      <c r="CE1097" s="4"/>
      <c r="CF1097" s="4"/>
      <c r="CG1097" s="4"/>
      <c r="CH1097" s="4"/>
    </row>
    <row r="1098" spans="1:86" x14ac:dyDescent="0.25">
      <c r="A1098" s="12">
        <f t="shared" ref="A1098:A1103" si="23">+A1097+1</f>
        <v>1095</v>
      </c>
      <c r="B1098" s="4" t="s">
        <v>1121</v>
      </c>
      <c r="C1098" s="4" t="s">
        <v>1122</v>
      </c>
      <c r="D1098" s="4" t="s">
        <v>45</v>
      </c>
      <c r="E1098" s="4"/>
      <c r="F1098" s="14"/>
      <c r="G1098" s="14"/>
      <c r="H1098" s="14"/>
      <c r="I1098" s="5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  <c r="AA1098" s="4"/>
      <c r="AB1098" s="4"/>
      <c r="AC1098" s="4"/>
      <c r="AD1098" s="4"/>
      <c r="AE1098" s="4"/>
      <c r="AF1098" s="4"/>
      <c r="AG1098" s="4"/>
      <c r="AH1098" s="4"/>
      <c r="AI1098" s="4"/>
      <c r="AJ1098" s="4"/>
      <c r="AK1098" s="4"/>
      <c r="AL1098" s="4"/>
      <c r="AM1098" s="4"/>
      <c r="AN1098" s="4"/>
      <c r="AO1098" s="4"/>
      <c r="AP1098" s="4"/>
      <c r="AQ1098" s="4"/>
      <c r="AR1098" s="4"/>
      <c r="AS1098" s="4"/>
      <c r="AT1098" s="4"/>
      <c r="AU1098" s="4"/>
      <c r="AV1098" s="4"/>
      <c r="AW1098" s="4"/>
      <c r="AX1098" s="4"/>
      <c r="AY1098" s="4"/>
      <c r="AZ1098" s="4"/>
      <c r="BA1098" s="4"/>
      <c r="BB1098" s="4"/>
      <c r="BC1098" s="4"/>
      <c r="BD1098" s="4"/>
      <c r="BE1098" s="4"/>
      <c r="BF1098" s="4"/>
      <c r="BG1098" s="4"/>
      <c r="BH1098" s="4"/>
      <c r="BI1098" s="4"/>
      <c r="BJ1098" s="4"/>
      <c r="BK1098" s="4"/>
      <c r="BL1098" s="4"/>
      <c r="BM1098" s="4"/>
      <c r="BN1098" s="4"/>
      <c r="BO1098" s="4"/>
      <c r="BP1098" s="4"/>
      <c r="BQ1098" s="4"/>
      <c r="BR1098" s="4"/>
      <c r="BS1098" s="4"/>
      <c r="BT1098" s="4"/>
      <c r="BU1098" s="4"/>
      <c r="BV1098" s="4"/>
      <c r="BW1098" s="4"/>
      <c r="BX1098" s="4"/>
      <c r="BY1098" s="4"/>
      <c r="BZ1098" s="4"/>
      <c r="CA1098" s="4"/>
      <c r="CB1098" s="4"/>
      <c r="CC1098" s="4"/>
      <c r="CD1098" s="4"/>
      <c r="CE1098" s="4"/>
      <c r="CF1098" s="4"/>
      <c r="CG1098" s="4"/>
      <c r="CH1098" s="4"/>
    </row>
    <row r="1099" spans="1:86" x14ac:dyDescent="0.25">
      <c r="A1099" s="12">
        <f t="shared" si="23"/>
        <v>1096</v>
      </c>
      <c r="B1099" s="13" t="s">
        <v>2593</v>
      </c>
      <c r="C1099" s="4" t="s">
        <v>2594</v>
      </c>
      <c r="D1099" s="4" t="s">
        <v>45</v>
      </c>
      <c r="E1099" s="4">
        <f>+[81]Main!$I$2</f>
        <v>141.35</v>
      </c>
      <c r="F1099" s="14">
        <f>+[81]Main!$I$4</f>
        <v>69059.707043799994</v>
      </c>
      <c r="G1099" s="14">
        <f>+[81]Main!$I$6-[81]Main!$I$5</f>
        <v>9898.6180000000004</v>
      </c>
      <c r="H1099" s="14">
        <f>+F1099+G1099</f>
        <v>78958.325043799996</v>
      </c>
      <c r="I1099" s="35" t="s">
        <v>2583</v>
      </c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  <c r="AA1099" s="4"/>
      <c r="AB1099" s="4"/>
      <c r="AC1099" s="4"/>
      <c r="AD1099" s="4"/>
      <c r="AE1099" s="4"/>
      <c r="AF1099" s="4"/>
      <c r="AG1099" s="4"/>
      <c r="AH1099" s="4"/>
      <c r="AI1099" s="4"/>
      <c r="AJ1099" s="4"/>
      <c r="AK1099" s="4"/>
      <c r="AL1099" s="4"/>
      <c r="AM1099" s="4"/>
      <c r="AN1099" s="4"/>
      <c r="AO1099" s="4"/>
      <c r="AP1099" s="4"/>
      <c r="AQ1099" s="4"/>
      <c r="AR1099" s="4"/>
      <c r="AS1099" s="4"/>
      <c r="AT1099" s="4"/>
      <c r="AU1099" s="4"/>
      <c r="AV1099" s="4"/>
      <c r="AW1099" s="4"/>
      <c r="AX1099" s="4"/>
      <c r="AY1099" s="4"/>
      <c r="AZ1099" s="4"/>
      <c r="BA1099" s="4"/>
      <c r="BB1099" s="4"/>
      <c r="BC1099" s="4"/>
      <c r="BD1099" s="4"/>
      <c r="BE1099" s="4"/>
      <c r="BF1099" s="4"/>
      <c r="BG1099" s="4"/>
      <c r="BH1099" s="4"/>
      <c r="BI1099" s="4"/>
      <c r="BJ1099" s="4"/>
      <c r="BK1099" s="4"/>
      <c r="BL1099" s="4"/>
      <c r="BM1099" s="4"/>
      <c r="BN1099" s="4"/>
      <c r="BO1099" s="4"/>
      <c r="BP1099" s="4"/>
      <c r="BQ1099" s="4"/>
      <c r="BR1099" s="4"/>
      <c r="BS1099" s="4"/>
      <c r="BT1099" s="4"/>
      <c r="BU1099" s="4"/>
      <c r="BV1099" s="4"/>
      <c r="BW1099" s="4"/>
      <c r="BX1099" s="4"/>
      <c r="BY1099" s="4"/>
      <c r="BZ1099" s="4"/>
      <c r="CA1099" s="4"/>
      <c r="CB1099" s="4"/>
      <c r="CC1099" s="4"/>
      <c r="CD1099" s="4"/>
      <c r="CE1099" s="4"/>
      <c r="CF1099" s="4"/>
      <c r="CG1099" s="4"/>
      <c r="CH1099" s="4"/>
    </row>
    <row r="1100" spans="1:86" x14ac:dyDescent="0.25">
      <c r="A1100" s="12">
        <f t="shared" si="23"/>
        <v>1097</v>
      </c>
      <c r="B1100" s="13" t="s">
        <v>2705</v>
      </c>
      <c r="C1100" s="4" t="s">
        <v>2706</v>
      </c>
      <c r="D1100" s="4" t="s">
        <v>45</v>
      </c>
      <c r="E1100" s="4"/>
      <c r="F1100" s="14"/>
      <c r="G1100" s="14"/>
      <c r="H1100" s="14"/>
      <c r="I1100" s="5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  <c r="AA1100" s="4"/>
      <c r="AB1100" s="4"/>
      <c r="AC1100" s="4"/>
      <c r="AD1100" s="4"/>
      <c r="AE1100" s="4"/>
      <c r="AF1100" s="4"/>
      <c r="AG1100" s="4"/>
      <c r="AH1100" s="4"/>
      <c r="AI1100" s="4"/>
      <c r="AJ1100" s="4"/>
      <c r="AK1100" s="4"/>
      <c r="AL1100" s="4"/>
      <c r="AM1100" s="4"/>
      <c r="AN1100" s="4"/>
      <c r="AO1100" s="4"/>
      <c r="AP1100" s="4"/>
      <c r="AQ1100" s="4"/>
      <c r="AR1100" s="4"/>
      <c r="AS1100" s="4"/>
      <c r="AT1100" s="4"/>
      <c r="AU1100" s="4"/>
      <c r="AV1100" s="4"/>
      <c r="AW1100" s="4"/>
      <c r="AX1100" s="4"/>
      <c r="AY1100" s="4"/>
      <c r="AZ1100" s="4"/>
      <c r="BA1100" s="4"/>
      <c r="BB1100" s="4"/>
      <c r="BC1100" s="4"/>
      <c r="BD1100" s="4"/>
      <c r="BE1100" s="4"/>
      <c r="BF1100" s="4"/>
      <c r="BG1100" s="4"/>
      <c r="BH1100" s="4"/>
      <c r="BI1100" s="4"/>
      <c r="BJ1100" s="4"/>
      <c r="BK1100" s="4"/>
      <c r="BL1100" s="4"/>
      <c r="BM1100" s="4"/>
      <c r="BN1100" s="4"/>
      <c r="BO1100" s="4"/>
      <c r="BP1100" s="4"/>
      <c r="BQ1100" s="4"/>
      <c r="BR1100" s="4"/>
      <c r="BS1100" s="4"/>
      <c r="BT1100" s="4"/>
      <c r="BU1100" s="4"/>
      <c r="BV1100" s="4"/>
      <c r="BW1100" s="4"/>
      <c r="BX1100" s="4"/>
      <c r="BY1100" s="4"/>
      <c r="BZ1100" s="4"/>
      <c r="CA1100" s="4"/>
      <c r="CB1100" s="4"/>
      <c r="CC1100" s="4"/>
      <c r="CD1100" s="4"/>
      <c r="CE1100" s="4"/>
      <c r="CF1100" s="4"/>
      <c r="CG1100" s="4"/>
      <c r="CH1100" s="4"/>
    </row>
    <row r="1101" spans="1:86" x14ac:dyDescent="0.25">
      <c r="A1101" s="12">
        <f t="shared" si="23"/>
        <v>1098</v>
      </c>
      <c r="B1101" s="13" t="s">
        <v>1503</v>
      </c>
      <c r="C1101" s="4" t="s">
        <v>1504</v>
      </c>
      <c r="D1101" s="4" t="s">
        <v>45</v>
      </c>
      <c r="E1101" s="4">
        <f>+[82]Main!$I$2</f>
        <v>11.3</v>
      </c>
      <c r="F1101" s="14">
        <f>+[82]Main!$I$4</f>
        <v>1849.81</v>
      </c>
      <c r="G1101" s="14">
        <f>+[82]Main!$I$6-[82]Main!$I$5</f>
        <v>-775.1</v>
      </c>
      <c r="H1101" s="14">
        <f>+F1101+G1101</f>
        <v>1074.71</v>
      </c>
      <c r="I1101" s="34" t="s">
        <v>2583</v>
      </c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  <c r="AA1101" s="4"/>
      <c r="AB1101" s="4"/>
      <c r="AC1101" s="4"/>
      <c r="AD1101" s="4"/>
      <c r="AE1101" s="4"/>
      <c r="AF1101" s="4"/>
      <c r="AG1101" s="4"/>
      <c r="AH1101" s="4"/>
      <c r="AI1101" s="4"/>
      <c r="AJ1101" s="4"/>
      <c r="AK1101" s="4"/>
      <c r="AL1101" s="4"/>
      <c r="AM1101" s="4"/>
      <c r="AN1101" s="4"/>
      <c r="AO1101" s="4"/>
      <c r="AP1101" s="4"/>
      <c r="AQ1101" s="4"/>
      <c r="AR1101" s="4"/>
      <c r="AS1101" s="4"/>
      <c r="AT1101" s="4"/>
      <c r="AU1101" s="4"/>
      <c r="AV1101" s="4"/>
      <c r="AW1101" s="4"/>
      <c r="AX1101" s="4"/>
      <c r="AY1101" s="4"/>
      <c r="AZ1101" s="4"/>
      <c r="BA1101" s="4"/>
      <c r="BB1101" s="4"/>
      <c r="BC1101" s="4"/>
      <c r="BD1101" s="4"/>
      <c r="BE1101" s="4"/>
      <c r="BF1101" s="4"/>
      <c r="BG1101" s="4"/>
      <c r="BH1101" s="4"/>
      <c r="BI1101" s="4"/>
      <c r="BJ1101" s="4"/>
      <c r="BK1101" s="4"/>
      <c r="BL1101" s="4"/>
      <c r="BM1101" s="4"/>
      <c r="BN1101" s="4"/>
      <c r="BO1101" s="4"/>
      <c r="BP1101" s="4"/>
      <c r="BQ1101" s="4"/>
      <c r="BR1101" s="4"/>
      <c r="BS1101" s="4"/>
      <c r="BT1101" s="4"/>
      <c r="BU1101" s="4"/>
      <c r="BV1101" s="4"/>
      <c r="BW1101" s="4"/>
      <c r="BX1101" s="4"/>
      <c r="BY1101" s="4"/>
      <c r="BZ1101" s="4"/>
      <c r="CA1101" s="4"/>
      <c r="CB1101" s="4"/>
      <c r="CC1101" s="4"/>
      <c r="CD1101" s="4"/>
      <c r="CE1101" s="4"/>
      <c r="CF1101" s="4"/>
      <c r="CG1101" s="4"/>
      <c r="CH1101" s="4"/>
    </row>
    <row r="1102" spans="1:86" x14ac:dyDescent="0.25">
      <c r="A1102" s="12">
        <f t="shared" si="23"/>
        <v>1099</v>
      </c>
      <c r="B1102" s="13" t="s">
        <v>3149</v>
      </c>
      <c r="C1102" s="39" t="s">
        <v>3148</v>
      </c>
      <c r="D1102" s="39" t="s">
        <v>768</v>
      </c>
      <c r="E1102" s="4">
        <f>+[83]Main!$I$2</f>
        <v>209</v>
      </c>
      <c r="F1102" s="14">
        <f>+[83]Main!$I$5*FX!C3</f>
        <v>11115.748496252399</v>
      </c>
      <c r="G1102" s="14">
        <f>+([83]Main!$I$7-[83]Main!$I$6)*FX!C3</f>
        <v>-1206.6192600000004</v>
      </c>
      <c r="H1102" s="14">
        <f>+F1102+G1102</f>
        <v>9909.1292362524</v>
      </c>
      <c r="I1102" s="40" t="s">
        <v>2708</v>
      </c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  <c r="AA1102" s="4"/>
      <c r="AB1102" s="4"/>
      <c r="AC1102" s="4"/>
      <c r="AD1102" s="4"/>
      <c r="AE1102" s="4"/>
      <c r="AF1102" s="4"/>
      <c r="AG1102" s="4"/>
      <c r="AH1102" s="4"/>
      <c r="AI1102" s="4"/>
      <c r="AJ1102" s="4"/>
      <c r="AK1102" s="4"/>
      <c r="AL1102" s="4"/>
      <c r="AM1102" s="4"/>
      <c r="AN1102" s="4"/>
      <c r="AO1102" s="4"/>
      <c r="AP1102" s="4"/>
      <c r="AQ1102" s="4"/>
      <c r="AR1102" s="4"/>
      <c r="AS1102" s="4"/>
      <c r="AT1102" s="4"/>
      <c r="AU1102" s="4"/>
      <c r="AV1102" s="4"/>
      <c r="AW1102" s="4"/>
      <c r="AX1102" s="4"/>
      <c r="AY1102" s="4"/>
      <c r="AZ1102" s="4"/>
      <c r="BA1102" s="4"/>
      <c r="BB1102" s="4"/>
      <c r="BC1102" s="4"/>
      <c r="BD1102" s="4"/>
      <c r="BE1102" s="4"/>
      <c r="BF1102" s="4"/>
      <c r="BG1102" s="4"/>
      <c r="BH1102" s="4"/>
      <c r="BI1102" s="4"/>
      <c r="BJ1102" s="4"/>
      <c r="BK1102" s="4"/>
      <c r="BL1102" s="4"/>
      <c r="BM1102" s="4"/>
      <c r="BN1102" s="4"/>
      <c r="BO1102" s="4"/>
      <c r="BP1102" s="4"/>
      <c r="BQ1102" s="4"/>
      <c r="BR1102" s="4"/>
      <c r="BS1102" s="4"/>
      <c r="BT1102" s="4"/>
      <c r="BU1102" s="4"/>
      <c r="BV1102" s="4"/>
      <c r="BW1102" s="4"/>
      <c r="BX1102" s="4"/>
      <c r="BY1102" s="4"/>
      <c r="BZ1102" s="4"/>
      <c r="CA1102" s="4"/>
      <c r="CB1102" s="4"/>
      <c r="CC1102" s="4"/>
      <c r="CD1102" s="4"/>
      <c r="CE1102" s="4"/>
      <c r="CF1102" s="4"/>
      <c r="CG1102" s="4"/>
      <c r="CH1102" s="4"/>
    </row>
    <row r="1103" spans="1:86" x14ac:dyDescent="0.25">
      <c r="A1103" s="12">
        <f t="shared" si="23"/>
        <v>1100</v>
      </c>
      <c r="B1103" s="13" t="s">
        <v>810</v>
      </c>
      <c r="C1103" s="49" t="s">
        <v>3152</v>
      </c>
      <c r="D1103" s="49" t="s">
        <v>45</v>
      </c>
      <c r="E1103" s="4"/>
      <c r="F1103" s="14"/>
      <c r="G1103" s="14"/>
      <c r="H1103" s="14"/>
      <c r="I1103" s="5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  <c r="AA1103" s="4"/>
      <c r="AB1103" s="4"/>
      <c r="AC1103" s="4"/>
      <c r="AD1103" s="4"/>
      <c r="AE1103" s="4"/>
      <c r="AF1103" s="4"/>
      <c r="AG1103" s="4"/>
      <c r="AH1103" s="4"/>
      <c r="AI1103" s="4"/>
      <c r="AJ1103" s="4"/>
      <c r="AK1103" s="4"/>
      <c r="AL1103" s="4"/>
      <c r="AM1103" s="4"/>
      <c r="AN1103" s="4"/>
      <c r="AO1103" s="4"/>
      <c r="AP1103" s="4"/>
      <c r="AQ1103" s="4"/>
      <c r="AR1103" s="4"/>
      <c r="AS1103" s="4"/>
      <c r="AT1103" s="4"/>
      <c r="AU1103" s="4"/>
      <c r="AV1103" s="4"/>
      <c r="AW1103" s="4"/>
      <c r="AX1103" s="4"/>
      <c r="AY1103" s="4"/>
      <c r="AZ1103" s="4"/>
      <c r="BA1103" s="4"/>
      <c r="BB1103" s="4"/>
      <c r="BC1103" s="4"/>
      <c r="BD1103" s="4"/>
      <c r="BE1103" s="4"/>
      <c r="BF1103" s="4"/>
      <c r="BG1103" s="4"/>
      <c r="BH1103" s="4"/>
      <c r="BI1103" s="4"/>
      <c r="BJ1103" s="4"/>
      <c r="BK1103" s="4"/>
      <c r="BL1103" s="4"/>
      <c r="BM1103" s="4"/>
      <c r="BN1103" s="4"/>
      <c r="BO1103" s="4"/>
      <c r="BP1103" s="4"/>
      <c r="BQ1103" s="4"/>
      <c r="BR1103" s="4"/>
      <c r="BS1103" s="4"/>
      <c r="BT1103" s="4"/>
      <c r="BU1103" s="4"/>
      <c r="BV1103" s="4"/>
      <c r="BW1103" s="4"/>
      <c r="BX1103" s="4"/>
      <c r="BY1103" s="4"/>
      <c r="BZ1103" s="4"/>
      <c r="CA1103" s="4"/>
      <c r="CB1103" s="4"/>
      <c r="CC1103" s="4"/>
      <c r="CD1103" s="4"/>
      <c r="CE1103" s="4"/>
      <c r="CF1103" s="4"/>
      <c r="CG1103" s="4"/>
      <c r="CH1103" s="4"/>
    </row>
    <row r="1104" spans="1:86" x14ac:dyDescent="0.25">
      <c r="A1104" s="4"/>
      <c r="B1104" s="4"/>
      <c r="C1104" s="4"/>
      <c r="D1104" s="4"/>
      <c r="E1104" s="4"/>
      <c r="F1104" s="14"/>
      <c r="G1104" s="14"/>
      <c r="H1104" s="14"/>
      <c r="I1104" s="5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  <c r="AA1104" s="4"/>
      <c r="AB1104" s="4"/>
      <c r="AC1104" s="4"/>
      <c r="AD1104" s="4"/>
      <c r="AE1104" s="4"/>
      <c r="AF1104" s="4"/>
      <c r="AG1104" s="4"/>
      <c r="AH1104" s="4"/>
      <c r="AI1104" s="4"/>
      <c r="AJ1104" s="4"/>
      <c r="AK1104" s="4"/>
      <c r="AL1104" s="4"/>
      <c r="AM1104" s="4"/>
      <c r="AN1104" s="4"/>
      <c r="AO1104" s="4"/>
      <c r="AP1104" s="4"/>
      <c r="AQ1104" s="4"/>
      <c r="AR1104" s="4"/>
      <c r="AS1104" s="4"/>
      <c r="AT1104" s="4"/>
      <c r="AU1104" s="4"/>
      <c r="AV1104" s="4"/>
      <c r="AW1104" s="4"/>
      <c r="AX1104" s="4"/>
      <c r="AY1104" s="4"/>
      <c r="AZ1104" s="4"/>
      <c r="BA1104" s="4"/>
      <c r="BB1104" s="4"/>
      <c r="BC1104" s="4"/>
      <c r="BD1104" s="4"/>
      <c r="BE1104" s="4"/>
      <c r="BF1104" s="4"/>
      <c r="BG1104" s="4"/>
      <c r="BH1104" s="4"/>
      <c r="BI1104" s="4"/>
      <c r="BJ1104" s="4"/>
      <c r="BK1104" s="4"/>
      <c r="BL1104" s="4"/>
      <c r="BM1104" s="4"/>
      <c r="BN1104" s="4"/>
      <c r="BO1104" s="4"/>
      <c r="BP1104" s="4"/>
      <c r="BQ1104" s="4"/>
      <c r="BR1104" s="4"/>
      <c r="BS1104" s="4"/>
      <c r="BT1104" s="4"/>
      <c r="BU1104" s="4"/>
      <c r="BV1104" s="4"/>
      <c r="BW1104" s="4"/>
      <c r="BX1104" s="4"/>
      <c r="BY1104" s="4"/>
      <c r="BZ1104" s="4"/>
      <c r="CA1104" s="4"/>
      <c r="CB1104" s="4"/>
      <c r="CC1104" s="4"/>
      <c r="CD1104" s="4"/>
      <c r="CE1104" s="4"/>
      <c r="CF1104" s="4"/>
      <c r="CG1104" s="4"/>
      <c r="CH1104" s="4"/>
    </row>
    <row r="1105" spans="1:86" x14ac:dyDescent="0.25">
      <c r="A1105" s="4"/>
      <c r="B1105" s="4"/>
      <c r="C1105" s="4"/>
      <c r="D1105" s="4"/>
      <c r="E1105" s="4"/>
      <c r="F1105" s="14"/>
      <c r="G1105" s="14"/>
      <c r="H1105" s="14"/>
      <c r="I1105" s="5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  <c r="AA1105" s="4"/>
      <c r="AB1105" s="4"/>
      <c r="AC1105" s="4"/>
      <c r="AD1105" s="4"/>
      <c r="AE1105" s="4"/>
      <c r="AF1105" s="4"/>
      <c r="AG1105" s="4"/>
      <c r="AH1105" s="4"/>
      <c r="AI1105" s="4"/>
      <c r="AJ1105" s="4"/>
      <c r="AK1105" s="4"/>
      <c r="AL1105" s="4"/>
      <c r="AM1105" s="4"/>
      <c r="AN1105" s="4"/>
      <c r="AO1105" s="4"/>
      <c r="AP1105" s="4"/>
      <c r="AQ1105" s="4"/>
      <c r="AR1105" s="4"/>
      <c r="AS1105" s="4"/>
      <c r="AT1105" s="4"/>
      <c r="AU1105" s="4"/>
      <c r="AV1105" s="4"/>
      <c r="AW1105" s="4"/>
      <c r="AX1105" s="4"/>
      <c r="AY1105" s="4"/>
      <c r="AZ1105" s="4"/>
      <c r="BA1105" s="4"/>
      <c r="BB1105" s="4"/>
      <c r="BC1105" s="4"/>
      <c r="BD1105" s="4"/>
      <c r="BE1105" s="4"/>
      <c r="BF1105" s="4"/>
      <c r="BG1105" s="4"/>
      <c r="BH1105" s="4"/>
      <c r="BI1105" s="4"/>
      <c r="BJ1105" s="4"/>
      <c r="BK1105" s="4"/>
      <c r="BL1105" s="4"/>
      <c r="BM1105" s="4"/>
      <c r="BN1105" s="4"/>
      <c r="BO1105" s="4"/>
      <c r="BP1105" s="4"/>
      <c r="BQ1105" s="4"/>
      <c r="BR1105" s="4"/>
      <c r="BS1105" s="4"/>
      <c r="BT1105" s="4"/>
      <c r="BU1105" s="4"/>
      <c r="BV1105" s="4"/>
      <c r="BW1105" s="4"/>
      <c r="BX1105" s="4"/>
      <c r="BY1105" s="4"/>
      <c r="BZ1105" s="4"/>
      <c r="CA1105" s="4"/>
      <c r="CB1105" s="4"/>
      <c r="CC1105" s="4"/>
      <c r="CD1105" s="4"/>
      <c r="CE1105" s="4"/>
      <c r="CF1105" s="4"/>
      <c r="CG1105" s="4"/>
      <c r="CH1105" s="4"/>
    </row>
    <row r="1106" spans="1:86" x14ac:dyDescent="0.25">
      <c r="A1106" s="4"/>
      <c r="B1106" s="4"/>
      <c r="C1106" s="4"/>
      <c r="D1106" s="4"/>
      <c r="E1106" s="4"/>
      <c r="F1106" s="14"/>
      <c r="G1106" s="14"/>
      <c r="H1106" s="14"/>
      <c r="I1106" s="5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  <c r="AA1106" s="4"/>
      <c r="AB1106" s="4"/>
      <c r="AC1106" s="4"/>
      <c r="AD1106" s="4"/>
      <c r="AE1106" s="4"/>
      <c r="AF1106" s="4"/>
      <c r="AG1106" s="4"/>
      <c r="AH1106" s="4"/>
      <c r="AI1106" s="4"/>
      <c r="AJ1106" s="4"/>
      <c r="AK1106" s="4"/>
      <c r="AL1106" s="4"/>
      <c r="AM1106" s="4"/>
      <c r="AN1106" s="4"/>
      <c r="AO1106" s="4"/>
      <c r="AP1106" s="4"/>
      <c r="AQ1106" s="4"/>
      <c r="AR1106" s="4"/>
      <c r="AS1106" s="4"/>
      <c r="AT1106" s="4"/>
      <c r="AU1106" s="4"/>
      <c r="AV1106" s="4"/>
      <c r="AW1106" s="4"/>
      <c r="AX1106" s="4"/>
      <c r="AY1106" s="4"/>
      <c r="AZ1106" s="4"/>
      <c r="BA1106" s="4"/>
      <c r="BB1106" s="4"/>
      <c r="BC1106" s="4"/>
      <c r="BD1106" s="4"/>
      <c r="BE1106" s="4"/>
      <c r="BF1106" s="4"/>
      <c r="BG1106" s="4"/>
      <c r="BH1106" s="4"/>
      <c r="BI1106" s="4"/>
      <c r="BJ1106" s="4"/>
      <c r="BK1106" s="4"/>
      <c r="BL1106" s="4"/>
      <c r="BM1106" s="4"/>
      <c r="BN1106" s="4"/>
      <c r="BO1106" s="4"/>
      <c r="BP1106" s="4"/>
      <c r="BQ1106" s="4"/>
      <c r="BR1106" s="4"/>
      <c r="BS1106" s="4"/>
      <c r="BT1106" s="4"/>
      <c r="BU1106" s="4"/>
      <c r="BV1106" s="4"/>
      <c r="BW1106" s="4"/>
      <c r="BX1106" s="4"/>
      <c r="BY1106" s="4"/>
      <c r="BZ1106" s="4"/>
      <c r="CA1106" s="4"/>
      <c r="CB1106" s="4"/>
      <c r="CC1106" s="4"/>
      <c r="CD1106" s="4"/>
      <c r="CE1106" s="4"/>
      <c r="CF1106" s="4"/>
      <c r="CG1106" s="4"/>
      <c r="CH1106" s="4"/>
    </row>
    <row r="1107" spans="1:86" x14ac:dyDescent="0.25">
      <c r="A1107" s="4"/>
      <c r="B1107" s="4"/>
      <c r="C1107" s="4"/>
      <c r="D1107" s="4"/>
      <c r="E1107" s="4"/>
      <c r="F1107" s="14"/>
      <c r="G1107" s="14"/>
      <c r="H1107" s="14"/>
      <c r="I1107" s="5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  <c r="AA1107" s="4"/>
      <c r="AB1107" s="4"/>
      <c r="AC1107" s="4"/>
      <c r="AD1107" s="4"/>
      <c r="AE1107" s="4"/>
      <c r="AF1107" s="4"/>
      <c r="AG1107" s="4"/>
      <c r="AH1107" s="4"/>
      <c r="AI1107" s="4"/>
      <c r="AJ1107" s="4"/>
      <c r="AK1107" s="4"/>
      <c r="AL1107" s="4"/>
      <c r="AM1107" s="4"/>
      <c r="AN1107" s="4"/>
      <c r="AO1107" s="4"/>
      <c r="AP1107" s="4"/>
      <c r="AQ1107" s="4"/>
      <c r="AR1107" s="4"/>
      <c r="AS1107" s="4"/>
      <c r="AT1107" s="4"/>
      <c r="AU1107" s="4"/>
      <c r="AV1107" s="4"/>
      <c r="AW1107" s="4"/>
      <c r="AX1107" s="4"/>
      <c r="AY1107" s="4"/>
      <c r="AZ1107" s="4"/>
      <c r="BA1107" s="4"/>
      <c r="BB1107" s="4"/>
      <c r="BC1107" s="4"/>
      <c r="BD1107" s="4"/>
      <c r="BE1107" s="4"/>
      <c r="BF1107" s="4"/>
      <c r="BG1107" s="4"/>
      <c r="BH1107" s="4"/>
      <c r="BI1107" s="4"/>
      <c r="BJ1107" s="4"/>
      <c r="BK1107" s="4"/>
      <c r="BL1107" s="4"/>
      <c r="BM1107" s="4"/>
      <c r="BN1107" s="4"/>
      <c r="BO1107" s="4"/>
      <c r="BP1107" s="4"/>
      <c r="BQ1107" s="4"/>
      <c r="BR1107" s="4"/>
      <c r="BS1107" s="4"/>
      <c r="BT1107" s="4"/>
      <c r="BU1107" s="4"/>
      <c r="BV1107" s="4"/>
      <c r="BW1107" s="4"/>
      <c r="BX1107" s="4"/>
      <c r="BY1107" s="4"/>
      <c r="BZ1107" s="4"/>
      <c r="CA1107" s="4"/>
      <c r="CB1107" s="4"/>
      <c r="CC1107" s="4"/>
      <c r="CD1107" s="4"/>
      <c r="CE1107" s="4"/>
      <c r="CF1107" s="4"/>
      <c r="CG1107" s="4"/>
      <c r="CH1107" s="4"/>
    </row>
    <row r="1108" spans="1:86" x14ac:dyDescent="0.25">
      <c r="A1108" s="4"/>
      <c r="B1108" s="4"/>
      <c r="C1108" s="4"/>
      <c r="D1108" s="4"/>
      <c r="E1108" s="4"/>
      <c r="F1108" s="14"/>
      <c r="G1108" s="14"/>
      <c r="H1108" s="14"/>
      <c r="I1108" s="5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  <c r="AA1108" s="4"/>
      <c r="AB1108" s="4"/>
      <c r="AC1108" s="4"/>
      <c r="AD1108" s="4"/>
      <c r="AE1108" s="4"/>
      <c r="AF1108" s="4"/>
      <c r="AG1108" s="4"/>
      <c r="AH1108" s="4"/>
      <c r="AI1108" s="4"/>
      <c r="AJ1108" s="4"/>
      <c r="AK1108" s="4"/>
      <c r="AL1108" s="4"/>
      <c r="AM1108" s="4"/>
      <c r="AN1108" s="4"/>
      <c r="AO1108" s="4"/>
      <c r="AP1108" s="4"/>
      <c r="AQ1108" s="4"/>
      <c r="AR1108" s="4"/>
      <c r="AS1108" s="4"/>
      <c r="AT1108" s="4"/>
      <c r="AU1108" s="4"/>
      <c r="AV1108" s="4"/>
      <c r="AW1108" s="4"/>
      <c r="AX1108" s="4"/>
      <c r="AY1108" s="4"/>
      <c r="AZ1108" s="4"/>
      <c r="BA1108" s="4"/>
      <c r="BB1108" s="4"/>
      <c r="BC1108" s="4"/>
      <c r="BD1108" s="4"/>
      <c r="BE1108" s="4"/>
      <c r="BF1108" s="4"/>
      <c r="BG1108" s="4"/>
      <c r="BH1108" s="4"/>
      <c r="BI1108" s="4"/>
      <c r="BJ1108" s="4"/>
      <c r="BK1108" s="4"/>
      <c r="BL1108" s="4"/>
      <c r="BM1108" s="4"/>
      <c r="BN1108" s="4"/>
      <c r="BO1108" s="4"/>
      <c r="BP1108" s="4"/>
      <c r="BQ1108" s="4"/>
      <c r="BR1108" s="4"/>
      <c r="BS1108" s="4"/>
      <c r="BT1108" s="4"/>
      <c r="BU1108" s="4"/>
      <c r="BV1108" s="4"/>
      <c r="BW1108" s="4"/>
      <c r="BX1108" s="4"/>
      <c r="BY1108" s="4"/>
      <c r="BZ1108" s="4"/>
      <c r="CA1108" s="4"/>
      <c r="CB1108" s="4"/>
      <c r="CC1108" s="4"/>
      <c r="CD1108" s="4"/>
      <c r="CE1108" s="4"/>
      <c r="CF1108" s="4"/>
      <c r="CG1108" s="4"/>
      <c r="CH1108" s="4"/>
    </row>
    <row r="1109" spans="1:86" x14ac:dyDescent="0.25">
      <c r="A1109" s="4"/>
      <c r="B1109" s="4"/>
      <c r="C1109" s="4"/>
      <c r="D1109" s="4"/>
      <c r="E1109" s="4"/>
      <c r="F1109" s="14"/>
      <c r="G1109" s="14"/>
      <c r="H1109" s="14"/>
      <c r="I1109" s="5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  <c r="AA1109" s="4"/>
      <c r="AB1109" s="4"/>
      <c r="AC1109" s="4"/>
      <c r="AD1109" s="4"/>
      <c r="AE1109" s="4"/>
      <c r="AF1109" s="4"/>
      <c r="AG1109" s="4"/>
      <c r="AH1109" s="4"/>
      <c r="AI1109" s="4"/>
      <c r="AJ1109" s="4"/>
      <c r="AK1109" s="4"/>
      <c r="AL1109" s="4"/>
      <c r="AM1109" s="4"/>
      <c r="AN1109" s="4"/>
      <c r="AO1109" s="4"/>
      <c r="AP1109" s="4"/>
      <c r="AQ1109" s="4"/>
      <c r="AR1109" s="4"/>
      <c r="AS1109" s="4"/>
      <c r="AT1109" s="4"/>
      <c r="AU1109" s="4"/>
      <c r="AV1109" s="4"/>
      <c r="AW1109" s="4"/>
      <c r="AX1109" s="4"/>
      <c r="AY1109" s="4"/>
      <c r="AZ1109" s="4"/>
      <c r="BA1109" s="4"/>
      <c r="BB1109" s="4"/>
      <c r="BC1109" s="4"/>
      <c r="BD1109" s="4"/>
      <c r="BE1109" s="4"/>
      <c r="BF1109" s="4"/>
      <c r="BG1109" s="4"/>
      <c r="BH1109" s="4"/>
      <c r="BI1109" s="4"/>
      <c r="BJ1109" s="4"/>
      <c r="BK1109" s="4"/>
      <c r="BL1109" s="4"/>
      <c r="BM1109" s="4"/>
      <c r="BN1109" s="4"/>
      <c r="BO1109" s="4"/>
      <c r="BP1109" s="4"/>
      <c r="BQ1109" s="4"/>
      <c r="BR1109" s="4"/>
      <c r="BS1109" s="4"/>
      <c r="BT1109" s="4"/>
      <c r="BU1109" s="4"/>
      <c r="BV1109" s="4"/>
      <c r="BW1109" s="4"/>
      <c r="BX1109" s="4"/>
      <c r="BY1109" s="4"/>
      <c r="BZ1109" s="4"/>
      <c r="CA1109" s="4"/>
      <c r="CB1109" s="4"/>
      <c r="CC1109" s="4"/>
      <c r="CD1109" s="4"/>
      <c r="CE1109" s="4"/>
      <c r="CF1109" s="4"/>
      <c r="CG1109" s="4"/>
      <c r="CH1109" s="4"/>
    </row>
    <row r="1110" spans="1:86" x14ac:dyDescent="0.25">
      <c r="A1110" s="4"/>
      <c r="B1110" s="4"/>
      <c r="C1110" s="4"/>
      <c r="D1110" s="4"/>
      <c r="E1110" s="4"/>
      <c r="F1110" s="14"/>
      <c r="G1110" s="14"/>
      <c r="H1110" s="14"/>
      <c r="I1110" s="5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  <c r="AA1110" s="4"/>
      <c r="AB1110" s="4"/>
      <c r="AC1110" s="4"/>
      <c r="AD1110" s="4"/>
      <c r="AE1110" s="4"/>
      <c r="AF1110" s="4"/>
      <c r="AG1110" s="4"/>
      <c r="AH1110" s="4"/>
      <c r="AI1110" s="4"/>
      <c r="AJ1110" s="4"/>
      <c r="AK1110" s="4"/>
      <c r="AL1110" s="4"/>
      <c r="AM1110" s="4"/>
      <c r="AN1110" s="4"/>
      <c r="AO1110" s="4"/>
      <c r="AP1110" s="4"/>
      <c r="AQ1110" s="4"/>
      <c r="AR1110" s="4"/>
      <c r="AS1110" s="4"/>
      <c r="AT1110" s="4"/>
      <c r="AU1110" s="4"/>
      <c r="AV1110" s="4"/>
      <c r="AW1110" s="4"/>
      <c r="AX1110" s="4"/>
      <c r="AY1110" s="4"/>
      <c r="AZ1110" s="4"/>
      <c r="BA1110" s="4"/>
      <c r="BB1110" s="4"/>
      <c r="BC1110" s="4"/>
      <c r="BD1110" s="4"/>
      <c r="BE1110" s="4"/>
      <c r="BF1110" s="4"/>
      <c r="BG1110" s="4"/>
      <c r="BH1110" s="4"/>
      <c r="BI1110" s="4"/>
      <c r="BJ1110" s="4"/>
      <c r="BK1110" s="4"/>
      <c r="BL1110" s="4"/>
      <c r="BM1110" s="4"/>
      <c r="BN1110" s="4"/>
      <c r="BO1110" s="4"/>
      <c r="BP1110" s="4"/>
      <c r="BQ1110" s="4"/>
      <c r="BR1110" s="4"/>
      <c r="BS1110" s="4"/>
      <c r="BT1110" s="4"/>
      <c r="BU1110" s="4"/>
      <c r="BV1110" s="4"/>
      <c r="BW1110" s="4"/>
      <c r="BX1110" s="4"/>
      <c r="BY1110" s="4"/>
      <c r="BZ1110" s="4"/>
      <c r="CA1110" s="4"/>
      <c r="CB1110" s="4"/>
      <c r="CC1110" s="4"/>
      <c r="CD1110" s="4"/>
      <c r="CE1110" s="4"/>
      <c r="CF1110" s="4"/>
      <c r="CG1110" s="4"/>
      <c r="CH1110" s="4"/>
    </row>
    <row r="1111" spans="1:86" x14ac:dyDescent="0.25">
      <c r="A1111" s="4"/>
      <c r="B1111" s="4"/>
      <c r="C1111" s="4"/>
      <c r="D1111" s="4"/>
      <c r="E1111" s="4"/>
      <c r="F1111" s="14"/>
      <c r="G1111" s="14"/>
      <c r="H1111" s="14"/>
      <c r="I1111" s="5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  <c r="AA1111" s="4"/>
      <c r="AB1111" s="4"/>
      <c r="AC1111" s="4"/>
      <c r="AD1111" s="4"/>
      <c r="AE1111" s="4"/>
      <c r="AF1111" s="4"/>
      <c r="AG1111" s="4"/>
      <c r="AH1111" s="4"/>
      <c r="AI1111" s="4"/>
      <c r="AJ1111" s="4"/>
      <c r="AK1111" s="4"/>
      <c r="AL1111" s="4"/>
      <c r="AM1111" s="4"/>
      <c r="AN1111" s="4"/>
      <c r="AO1111" s="4"/>
      <c r="AP1111" s="4"/>
      <c r="AQ1111" s="4"/>
      <c r="AR1111" s="4"/>
      <c r="AS1111" s="4"/>
      <c r="AT1111" s="4"/>
      <c r="AU1111" s="4"/>
      <c r="AV1111" s="4"/>
      <c r="AW1111" s="4"/>
      <c r="AX1111" s="4"/>
      <c r="AY1111" s="4"/>
      <c r="AZ1111" s="4"/>
      <c r="BA1111" s="4"/>
      <c r="BB1111" s="4"/>
      <c r="BC1111" s="4"/>
      <c r="BD1111" s="4"/>
      <c r="BE1111" s="4"/>
      <c r="BF1111" s="4"/>
      <c r="BG1111" s="4"/>
      <c r="BH1111" s="4"/>
      <c r="BI1111" s="4"/>
      <c r="BJ1111" s="4"/>
      <c r="BK1111" s="4"/>
      <c r="BL1111" s="4"/>
      <c r="BM1111" s="4"/>
      <c r="BN1111" s="4"/>
      <c r="BO1111" s="4"/>
      <c r="BP1111" s="4"/>
      <c r="BQ1111" s="4"/>
      <c r="BR1111" s="4"/>
      <c r="BS1111" s="4"/>
      <c r="BT1111" s="4"/>
      <c r="BU1111" s="4"/>
      <c r="BV1111" s="4"/>
      <c r="BW1111" s="4"/>
      <c r="BX1111" s="4"/>
      <c r="BY1111" s="4"/>
      <c r="BZ1111" s="4"/>
      <c r="CA1111" s="4"/>
      <c r="CB1111" s="4"/>
      <c r="CC1111" s="4"/>
      <c r="CD1111" s="4"/>
      <c r="CE1111" s="4"/>
      <c r="CF1111" s="4"/>
      <c r="CG1111" s="4"/>
      <c r="CH1111" s="4"/>
    </row>
    <row r="1112" spans="1:86" x14ac:dyDescent="0.25">
      <c r="A1112" s="4"/>
      <c r="B1112" s="4"/>
      <c r="C1112" s="4"/>
      <c r="D1112" s="4"/>
      <c r="E1112" s="4"/>
      <c r="F1112" s="14"/>
      <c r="G1112" s="14"/>
      <c r="H1112" s="14"/>
      <c r="I1112" s="5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  <c r="AA1112" s="4"/>
      <c r="AB1112" s="4"/>
      <c r="AC1112" s="4"/>
      <c r="AD1112" s="4"/>
      <c r="AE1112" s="4"/>
      <c r="AF1112" s="4"/>
      <c r="AG1112" s="4"/>
      <c r="AH1112" s="4"/>
      <c r="AI1112" s="4"/>
      <c r="AJ1112" s="4"/>
      <c r="AK1112" s="4"/>
      <c r="AL1112" s="4"/>
      <c r="AM1112" s="4"/>
      <c r="AN1112" s="4"/>
      <c r="AO1112" s="4"/>
      <c r="AP1112" s="4"/>
      <c r="AQ1112" s="4"/>
      <c r="AR1112" s="4"/>
      <c r="AS1112" s="4"/>
      <c r="AT1112" s="4"/>
      <c r="AU1112" s="4"/>
      <c r="AV1112" s="4"/>
      <c r="AW1112" s="4"/>
      <c r="AX1112" s="4"/>
      <c r="AY1112" s="4"/>
      <c r="AZ1112" s="4"/>
      <c r="BA1112" s="4"/>
      <c r="BB1112" s="4"/>
      <c r="BC1112" s="4"/>
      <c r="BD1112" s="4"/>
      <c r="BE1112" s="4"/>
      <c r="BF1112" s="4"/>
      <c r="BG1112" s="4"/>
      <c r="BH1112" s="4"/>
      <c r="BI1112" s="4"/>
      <c r="BJ1112" s="4"/>
      <c r="BK1112" s="4"/>
      <c r="BL1112" s="4"/>
      <c r="BM1112" s="4"/>
      <c r="BN1112" s="4"/>
      <c r="BO1112" s="4"/>
      <c r="BP1112" s="4"/>
      <c r="BQ1112" s="4"/>
      <c r="BR1112" s="4"/>
      <c r="BS1112" s="4"/>
      <c r="BT1112" s="4"/>
      <c r="BU1112" s="4"/>
      <c r="BV1112" s="4"/>
      <c r="BW1112" s="4"/>
      <c r="BX1112" s="4"/>
      <c r="BY1112" s="4"/>
      <c r="BZ1112" s="4"/>
      <c r="CA1112" s="4"/>
      <c r="CB1112" s="4"/>
      <c r="CC1112" s="4"/>
      <c r="CD1112" s="4"/>
      <c r="CE1112" s="4"/>
      <c r="CF1112" s="4"/>
      <c r="CG1112" s="4"/>
      <c r="CH1112" s="4"/>
    </row>
    <row r="1113" spans="1:86" x14ac:dyDescent="0.25">
      <c r="A1113" s="4"/>
      <c r="B1113" s="4"/>
      <c r="C1113" s="4"/>
      <c r="D1113" s="4"/>
      <c r="E1113" s="4"/>
      <c r="F1113" s="14"/>
      <c r="G1113" s="14"/>
      <c r="H1113" s="14"/>
      <c r="I1113" s="5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  <c r="AA1113" s="4"/>
      <c r="AB1113" s="4"/>
      <c r="AC1113" s="4"/>
      <c r="AD1113" s="4"/>
      <c r="AE1113" s="4"/>
      <c r="AF1113" s="4"/>
      <c r="AG1113" s="4"/>
      <c r="AH1113" s="4"/>
      <c r="AI1113" s="4"/>
      <c r="AJ1113" s="4"/>
      <c r="AK1113" s="4"/>
      <c r="AL1113" s="4"/>
      <c r="AM1113" s="4"/>
      <c r="AN1113" s="4"/>
      <c r="AO1113" s="4"/>
      <c r="AP1113" s="4"/>
      <c r="AQ1113" s="4"/>
      <c r="AR1113" s="4"/>
      <c r="AS1113" s="4"/>
      <c r="AT1113" s="4"/>
      <c r="AU1113" s="4"/>
      <c r="AV1113" s="4"/>
      <c r="AW1113" s="4"/>
      <c r="AX1113" s="4"/>
      <c r="AY1113" s="4"/>
      <c r="AZ1113" s="4"/>
      <c r="BA1113" s="4"/>
      <c r="BB1113" s="4"/>
      <c r="BC1113" s="4"/>
      <c r="BD1113" s="4"/>
      <c r="BE1113" s="4"/>
      <c r="BF1113" s="4"/>
      <c r="BG1113" s="4"/>
      <c r="BH1113" s="4"/>
      <c r="BI1113" s="4"/>
      <c r="BJ1113" s="4"/>
      <c r="BK1113" s="4"/>
      <c r="BL1113" s="4"/>
      <c r="BM1113" s="4"/>
      <c r="BN1113" s="4"/>
      <c r="BO1113" s="4"/>
      <c r="BP1113" s="4"/>
      <c r="BQ1113" s="4"/>
      <c r="BR1113" s="4"/>
      <c r="BS1113" s="4"/>
      <c r="BT1113" s="4"/>
      <c r="BU1113" s="4"/>
      <c r="BV1113" s="4"/>
      <c r="BW1113" s="4"/>
      <c r="BX1113" s="4"/>
      <c r="BY1113" s="4"/>
      <c r="BZ1113" s="4"/>
      <c r="CA1113" s="4"/>
      <c r="CB1113" s="4"/>
      <c r="CC1113" s="4"/>
      <c r="CD1113" s="4"/>
      <c r="CE1113" s="4"/>
      <c r="CF1113" s="4"/>
      <c r="CG1113" s="4"/>
      <c r="CH1113" s="4"/>
    </row>
    <row r="1114" spans="1:86" x14ac:dyDescent="0.25">
      <c r="A1114" s="4"/>
      <c r="B1114" s="4"/>
      <c r="C1114" s="4"/>
      <c r="D1114" s="4"/>
      <c r="E1114" s="4"/>
      <c r="F1114" s="14"/>
      <c r="G1114" s="14"/>
      <c r="H1114" s="14"/>
      <c r="I1114" s="5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  <c r="AA1114" s="4"/>
      <c r="AB1114" s="4"/>
      <c r="AC1114" s="4"/>
      <c r="AD1114" s="4"/>
      <c r="AE1114" s="4"/>
      <c r="AF1114" s="4"/>
      <c r="AG1114" s="4"/>
      <c r="AH1114" s="4"/>
      <c r="AI1114" s="4"/>
      <c r="AJ1114" s="4"/>
      <c r="AK1114" s="4"/>
      <c r="AL1114" s="4"/>
      <c r="AM1114" s="4"/>
      <c r="AN1114" s="4"/>
      <c r="AO1114" s="4"/>
      <c r="AP1114" s="4"/>
      <c r="AQ1114" s="4"/>
      <c r="AR1114" s="4"/>
      <c r="AS1114" s="4"/>
      <c r="AT1114" s="4"/>
      <c r="AU1114" s="4"/>
      <c r="AV1114" s="4"/>
      <c r="AW1114" s="4"/>
      <c r="AX1114" s="4"/>
      <c r="AY1114" s="4"/>
      <c r="AZ1114" s="4"/>
      <c r="BA1114" s="4"/>
      <c r="BB1114" s="4"/>
      <c r="BC1114" s="4"/>
      <c r="BD1114" s="4"/>
      <c r="BE1114" s="4"/>
      <c r="BF1114" s="4"/>
      <c r="BG1114" s="4"/>
      <c r="BH1114" s="4"/>
      <c r="BI1114" s="4"/>
      <c r="BJ1114" s="4"/>
      <c r="BK1114" s="4"/>
      <c r="BL1114" s="4"/>
      <c r="BM1114" s="4"/>
      <c r="BN1114" s="4"/>
      <c r="BO1114" s="4"/>
      <c r="BP1114" s="4"/>
      <c r="BQ1114" s="4"/>
      <c r="BR1114" s="4"/>
      <c r="BS1114" s="4"/>
      <c r="BT1114" s="4"/>
      <c r="BU1114" s="4"/>
      <c r="BV1114" s="4"/>
      <c r="BW1114" s="4"/>
      <c r="BX1114" s="4"/>
      <c r="BY1114" s="4"/>
      <c r="BZ1114" s="4"/>
      <c r="CA1114" s="4"/>
      <c r="CB1114" s="4"/>
      <c r="CC1114" s="4"/>
      <c r="CD1114" s="4"/>
      <c r="CE1114" s="4"/>
      <c r="CF1114" s="4"/>
      <c r="CG1114" s="4"/>
      <c r="CH1114" s="4"/>
    </row>
    <row r="1115" spans="1:86" x14ac:dyDescent="0.25">
      <c r="A1115" s="4"/>
      <c r="B1115" s="4"/>
      <c r="C1115" s="4"/>
      <c r="D1115" s="4"/>
      <c r="E1115" s="4"/>
      <c r="F1115" s="14"/>
      <c r="G1115" s="14"/>
      <c r="H1115" s="14"/>
      <c r="I1115" s="5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  <c r="AA1115" s="4"/>
      <c r="AB1115" s="4"/>
      <c r="AC1115" s="4"/>
      <c r="AD1115" s="4"/>
      <c r="AE1115" s="4"/>
      <c r="AF1115" s="4"/>
      <c r="AG1115" s="4"/>
      <c r="AH1115" s="4"/>
      <c r="AI1115" s="4"/>
      <c r="AJ1115" s="4"/>
      <c r="AK1115" s="4"/>
      <c r="AL1115" s="4"/>
      <c r="AM1115" s="4"/>
      <c r="AN1115" s="4"/>
      <c r="AO1115" s="4"/>
      <c r="AP1115" s="4"/>
      <c r="AQ1115" s="4"/>
      <c r="AR1115" s="4"/>
      <c r="AS1115" s="4"/>
      <c r="AT1115" s="4"/>
      <c r="AU1115" s="4"/>
      <c r="AV1115" s="4"/>
      <c r="AW1115" s="4"/>
      <c r="AX1115" s="4"/>
      <c r="AY1115" s="4"/>
      <c r="AZ1115" s="4"/>
      <c r="BA1115" s="4"/>
      <c r="BB1115" s="4"/>
      <c r="BC1115" s="4"/>
      <c r="BD1115" s="4"/>
      <c r="BE1115" s="4"/>
      <c r="BF1115" s="4"/>
      <c r="BG1115" s="4"/>
      <c r="BH1115" s="4"/>
      <c r="BI1115" s="4"/>
      <c r="BJ1115" s="4"/>
      <c r="BK1115" s="4"/>
      <c r="BL1115" s="4"/>
      <c r="BM1115" s="4"/>
      <c r="BN1115" s="4"/>
      <c r="BO1115" s="4"/>
      <c r="BP1115" s="4"/>
      <c r="BQ1115" s="4"/>
      <c r="BR1115" s="4"/>
      <c r="BS1115" s="4"/>
      <c r="BT1115" s="4"/>
      <c r="BU1115" s="4"/>
      <c r="BV1115" s="4"/>
      <c r="BW1115" s="4"/>
      <c r="BX1115" s="4"/>
      <c r="BY1115" s="4"/>
      <c r="BZ1115" s="4"/>
      <c r="CA1115" s="4"/>
      <c r="CB1115" s="4"/>
      <c r="CC1115" s="4"/>
      <c r="CD1115" s="4"/>
      <c r="CE1115" s="4"/>
      <c r="CF1115" s="4"/>
      <c r="CG1115" s="4"/>
      <c r="CH1115" s="4"/>
    </row>
    <row r="1116" spans="1:86" x14ac:dyDescent="0.25">
      <c r="A1116" s="4"/>
      <c r="B1116" s="4"/>
      <c r="C1116" s="4"/>
      <c r="D1116" s="4"/>
      <c r="E1116" s="4"/>
      <c r="F1116" s="14"/>
      <c r="G1116" s="14"/>
      <c r="H1116" s="14"/>
      <c r="I1116" s="5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  <c r="AA1116" s="4"/>
      <c r="AB1116" s="4"/>
      <c r="AC1116" s="4"/>
      <c r="AD1116" s="4"/>
      <c r="AE1116" s="4"/>
      <c r="AF1116" s="4"/>
      <c r="AG1116" s="4"/>
      <c r="AH1116" s="4"/>
      <c r="AI1116" s="4"/>
      <c r="AJ1116" s="4"/>
      <c r="AK1116" s="4"/>
      <c r="AL1116" s="4"/>
      <c r="AM1116" s="4"/>
      <c r="AN1116" s="4"/>
      <c r="AO1116" s="4"/>
      <c r="AP1116" s="4"/>
      <c r="AQ1116" s="4"/>
      <c r="AR1116" s="4"/>
      <c r="AS1116" s="4"/>
      <c r="AT1116" s="4"/>
      <c r="AU1116" s="4"/>
      <c r="AV1116" s="4"/>
      <c r="AW1116" s="4"/>
      <c r="AX1116" s="4"/>
      <c r="AY1116" s="4"/>
      <c r="AZ1116" s="4"/>
      <c r="BA1116" s="4"/>
      <c r="BB1116" s="4"/>
      <c r="BC1116" s="4"/>
      <c r="BD1116" s="4"/>
      <c r="BE1116" s="4"/>
      <c r="BF1116" s="4"/>
      <c r="BG1116" s="4"/>
      <c r="BH1116" s="4"/>
      <c r="BI1116" s="4"/>
      <c r="BJ1116" s="4"/>
      <c r="BK1116" s="4"/>
      <c r="BL1116" s="4"/>
      <c r="BM1116" s="4"/>
      <c r="BN1116" s="4"/>
      <c r="BO1116" s="4"/>
      <c r="BP1116" s="4"/>
      <c r="BQ1116" s="4"/>
      <c r="BR1116" s="4"/>
      <c r="BS1116" s="4"/>
      <c r="BT1116" s="4"/>
      <c r="BU1116" s="4"/>
      <c r="BV1116" s="4"/>
      <c r="BW1116" s="4"/>
      <c r="BX1116" s="4"/>
      <c r="BY1116" s="4"/>
      <c r="BZ1116" s="4"/>
      <c r="CA1116" s="4"/>
      <c r="CB1116" s="4"/>
      <c r="CC1116" s="4"/>
      <c r="CD1116" s="4"/>
      <c r="CE1116" s="4"/>
      <c r="CF1116" s="4"/>
      <c r="CG1116" s="4"/>
      <c r="CH1116" s="4"/>
    </row>
    <row r="1117" spans="1:86" x14ac:dyDescent="0.25">
      <c r="A1117" s="4"/>
      <c r="B1117" s="4"/>
      <c r="C1117" s="4"/>
      <c r="D1117" s="4"/>
      <c r="E1117" s="4"/>
      <c r="F1117" s="14"/>
      <c r="G1117" s="14"/>
      <c r="H1117" s="14"/>
      <c r="I1117" s="5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  <c r="AA1117" s="4"/>
      <c r="AB1117" s="4"/>
      <c r="AC1117" s="4"/>
      <c r="AD1117" s="4"/>
      <c r="AE1117" s="4"/>
      <c r="AF1117" s="4"/>
      <c r="AG1117" s="4"/>
      <c r="AH1117" s="4"/>
      <c r="AI1117" s="4"/>
      <c r="AJ1117" s="4"/>
      <c r="AK1117" s="4"/>
      <c r="AL1117" s="4"/>
      <c r="AM1117" s="4"/>
      <c r="AN1117" s="4"/>
      <c r="AO1117" s="4"/>
      <c r="AP1117" s="4"/>
      <c r="AQ1117" s="4"/>
      <c r="AR1117" s="4"/>
      <c r="AS1117" s="4"/>
      <c r="AT1117" s="4"/>
      <c r="AU1117" s="4"/>
      <c r="AV1117" s="4"/>
      <c r="AW1117" s="4"/>
      <c r="AX1117" s="4"/>
      <c r="AY1117" s="4"/>
      <c r="AZ1117" s="4"/>
      <c r="BA1117" s="4"/>
      <c r="BB1117" s="4"/>
      <c r="BC1117" s="4"/>
      <c r="BD1117" s="4"/>
      <c r="BE1117" s="4"/>
      <c r="BF1117" s="4"/>
      <c r="BG1117" s="4"/>
      <c r="BH1117" s="4"/>
      <c r="BI1117" s="4"/>
      <c r="BJ1117" s="4"/>
      <c r="BK1117" s="4"/>
      <c r="BL1117" s="4"/>
      <c r="BM1117" s="4"/>
      <c r="BN1117" s="4"/>
      <c r="BO1117" s="4"/>
      <c r="BP1117" s="4"/>
      <c r="BQ1117" s="4"/>
      <c r="BR1117" s="4"/>
      <c r="BS1117" s="4"/>
      <c r="BT1117" s="4"/>
      <c r="BU1117" s="4"/>
      <c r="BV1117" s="4"/>
      <c r="BW1117" s="4"/>
      <c r="BX1117" s="4"/>
      <c r="BY1117" s="4"/>
      <c r="BZ1117" s="4"/>
      <c r="CA1117" s="4"/>
      <c r="CB1117" s="4"/>
      <c r="CC1117" s="4"/>
      <c r="CD1117" s="4"/>
      <c r="CE1117" s="4"/>
      <c r="CF1117" s="4"/>
      <c r="CG1117" s="4"/>
      <c r="CH1117" s="4"/>
    </row>
    <row r="1118" spans="1:86" x14ac:dyDescent="0.25">
      <c r="A1118" s="4"/>
      <c r="B1118" s="4"/>
      <c r="C1118" s="4"/>
      <c r="D1118" s="4"/>
      <c r="E1118" s="4"/>
      <c r="F1118" s="14"/>
      <c r="G1118" s="14"/>
      <c r="H1118" s="14"/>
      <c r="I1118" s="5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  <c r="AA1118" s="4"/>
      <c r="AB1118" s="4"/>
      <c r="AC1118" s="4"/>
      <c r="AD1118" s="4"/>
      <c r="AE1118" s="4"/>
      <c r="AF1118" s="4"/>
      <c r="AG1118" s="4"/>
      <c r="AH1118" s="4"/>
      <c r="AI1118" s="4"/>
      <c r="AJ1118" s="4"/>
      <c r="AK1118" s="4"/>
      <c r="AL1118" s="4"/>
      <c r="AM1118" s="4"/>
      <c r="AN1118" s="4"/>
      <c r="AO1118" s="4"/>
      <c r="AP1118" s="4"/>
      <c r="AQ1118" s="4"/>
      <c r="AR1118" s="4"/>
      <c r="AS1118" s="4"/>
      <c r="AT1118" s="4"/>
      <c r="AU1118" s="4"/>
      <c r="AV1118" s="4"/>
      <c r="AW1118" s="4"/>
      <c r="AX1118" s="4"/>
      <c r="AY1118" s="4"/>
      <c r="AZ1118" s="4"/>
      <c r="BA1118" s="4"/>
      <c r="BB1118" s="4"/>
      <c r="BC1118" s="4"/>
      <c r="BD1118" s="4"/>
      <c r="BE1118" s="4"/>
      <c r="BF1118" s="4"/>
      <c r="BG1118" s="4"/>
      <c r="BH1118" s="4"/>
      <c r="BI1118" s="4"/>
      <c r="BJ1118" s="4"/>
      <c r="BK1118" s="4"/>
      <c r="BL1118" s="4"/>
      <c r="BM1118" s="4"/>
      <c r="BN1118" s="4"/>
      <c r="BO1118" s="4"/>
      <c r="BP1118" s="4"/>
      <c r="BQ1118" s="4"/>
      <c r="BR1118" s="4"/>
      <c r="BS1118" s="4"/>
      <c r="BT1118" s="4"/>
      <c r="BU1118" s="4"/>
      <c r="BV1118" s="4"/>
      <c r="BW1118" s="4"/>
      <c r="BX1118" s="4"/>
      <c r="BY1118" s="4"/>
      <c r="BZ1118" s="4"/>
      <c r="CA1118" s="4"/>
      <c r="CB1118" s="4"/>
      <c r="CC1118" s="4"/>
      <c r="CD1118" s="4"/>
      <c r="CE1118" s="4"/>
      <c r="CF1118" s="4"/>
      <c r="CG1118" s="4"/>
      <c r="CH1118" s="4"/>
    </row>
    <row r="1119" spans="1:86" x14ac:dyDescent="0.25">
      <c r="A1119" s="4"/>
      <c r="B1119" s="4"/>
      <c r="C1119" s="4"/>
      <c r="D1119" s="4"/>
      <c r="E1119" s="4"/>
      <c r="F1119" s="14"/>
      <c r="G1119" s="14"/>
      <c r="H1119" s="14"/>
      <c r="I1119" s="5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  <c r="AA1119" s="4"/>
      <c r="AB1119" s="4"/>
      <c r="AC1119" s="4"/>
      <c r="AD1119" s="4"/>
      <c r="AE1119" s="4"/>
      <c r="AF1119" s="4"/>
      <c r="AG1119" s="4"/>
      <c r="AH1119" s="4"/>
      <c r="AI1119" s="4"/>
      <c r="AJ1119" s="4"/>
      <c r="AK1119" s="4"/>
      <c r="AL1119" s="4"/>
      <c r="AM1119" s="4"/>
      <c r="AN1119" s="4"/>
      <c r="AO1119" s="4"/>
      <c r="AP1119" s="4"/>
      <c r="AQ1119" s="4"/>
      <c r="AR1119" s="4"/>
      <c r="AS1119" s="4"/>
      <c r="AT1119" s="4"/>
      <c r="AU1119" s="4"/>
      <c r="AV1119" s="4"/>
      <c r="AW1119" s="4"/>
      <c r="AX1119" s="4"/>
      <c r="AY1119" s="4"/>
      <c r="AZ1119" s="4"/>
      <c r="BA1119" s="4"/>
      <c r="BB1119" s="4"/>
      <c r="BC1119" s="4"/>
      <c r="BD1119" s="4"/>
      <c r="BE1119" s="4"/>
      <c r="BF1119" s="4"/>
      <c r="BG1119" s="4"/>
      <c r="BH1119" s="4"/>
      <c r="BI1119" s="4"/>
      <c r="BJ1119" s="4"/>
      <c r="BK1119" s="4"/>
      <c r="BL1119" s="4"/>
      <c r="BM1119" s="4"/>
      <c r="BN1119" s="4"/>
      <c r="BO1119" s="4"/>
      <c r="BP1119" s="4"/>
      <c r="BQ1119" s="4"/>
      <c r="BR1119" s="4"/>
      <c r="BS1119" s="4"/>
      <c r="BT1119" s="4"/>
      <c r="BU1119" s="4"/>
      <c r="BV1119" s="4"/>
      <c r="BW1119" s="4"/>
      <c r="BX1119" s="4"/>
      <c r="BY1119" s="4"/>
      <c r="BZ1119" s="4"/>
      <c r="CA1119" s="4"/>
      <c r="CB1119" s="4"/>
      <c r="CC1119" s="4"/>
      <c r="CD1119" s="4"/>
      <c r="CE1119" s="4"/>
      <c r="CF1119" s="4"/>
      <c r="CG1119" s="4"/>
      <c r="CH1119" s="4"/>
    </row>
    <row r="1120" spans="1:86" x14ac:dyDescent="0.25">
      <c r="A1120" s="4"/>
      <c r="B1120" s="4"/>
      <c r="C1120" s="4"/>
      <c r="D1120" s="4"/>
      <c r="E1120" s="4"/>
      <c r="F1120" s="14"/>
      <c r="G1120" s="14"/>
      <c r="H1120" s="14"/>
      <c r="I1120" s="5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  <c r="AA1120" s="4"/>
      <c r="AB1120" s="4"/>
      <c r="AC1120" s="4"/>
      <c r="AD1120" s="4"/>
      <c r="AE1120" s="4"/>
      <c r="AF1120" s="4"/>
      <c r="AG1120" s="4"/>
      <c r="AH1120" s="4"/>
      <c r="AI1120" s="4"/>
      <c r="AJ1120" s="4"/>
      <c r="AK1120" s="4"/>
      <c r="AL1120" s="4"/>
      <c r="AM1120" s="4"/>
      <c r="AN1120" s="4"/>
      <c r="AO1120" s="4"/>
      <c r="AP1120" s="4"/>
      <c r="AQ1120" s="4"/>
      <c r="AR1120" s="4"/>
      <c r="AS1120" s="4"/>
      <c r="AT1120" s="4"/>
      <c r="AU1120" s="4"/>
      <c r="AV1120" s="4"/>
      <c r="AW1120" s="4"/>
      <c r="AX1120" s="4"/>
      <c r="AY1120" s="4"/>
      <c r="AZ1120" s="4"/>
      <c r="BA1120" s="4"/>
      <c r="BB1120" s="4"/>
      <c r="BC1120" s="4"/>
      <c r="BD1120" s="4"/>
      <c r="BE1120" s="4"/>
      <c r="BF1120" s="4"/>
      <c r="BG1120" s="4"/>
      <c r="BH1120" s="4"/>
      <c r="BI1120" s="4"/>
      <c r="BJ1120" s="4"/>
      <c r="BK1120" s="4"/>
      <c r="BL1120" s="4"/>
      <c r="BM1120" s="4"/>
      <c r="BN1120" s="4"/>
      <c r="BO1120" s="4"/>
      <c r="BP1120" s="4"/>
      <c r="BQ1120" s="4"/>
      <c r="BR1120" s="4"/>
      <c r="BS1120" s="4"/>
      <c r="BT1120" s="4"/>
      <c r="BU1120" s="4"/>
      <c r="BV1120" s="4"/>
      <c r="BW1120" s="4"/>
      <c r="BX1120" s="4"/>
      <c r="BY1120" s="4"/>
      <c r="BZ1120" s="4"/>
      <c r="CA1120" s="4"/>
      <c r="CB1120" s="4"/>
      <c r="CC1120" s="4"/>
      <c r="CD1120" s="4"/>
      <c r="CE1120" s="4"/>
      <c r="CF1120" s="4"/>
      <c r="CG1120" s="4"/>
      <c r="CH1120" s="4"/>
    </row>
    <row r="1121" spans="1:86" x14ac:dyDescent="0.25">
      <c r="A1121" s="4"/>
      <c r="B1121" s="4"/>
      <c r="C1121" s="4"/>
      <c r="D1121" s="4"/>
      <c r="E1121" s="4"/>
      <c r="F1121" s="14"/>
      <c r="G1121" s="14"/>
      <c r="H1121" s="14"/>
      <c r="I1121" s="5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  <c r="AA1121" s="4"/>
      <c r="AB1121" s="4"/>
      <c r="AC1121" s="4"/>
      <c r="AD1121" s="4"/>
      <c r="AE1121" s="4"/>
      <c r="AF1121" s="4"/>
      <c r="AG1121" s="4"/>
      <c r="AH1121" s="4"/>
      <c r="AI1121" s="4"/>
      <c r="AJ1121" s="4"/>
      <c r="AK1121" s="4"/>
      <c r="AL1121" s="4"/>
      <c r="AM1121" s="4"/>
      <c r="AN1121" s="4"/>
      <c r="AO1121" s="4"/>
      <c r="AP1121" s="4"/>
      <c r="AQ1121" s="4"/>
      <c r="AR1121" s="4"/>
      <c r="AS1121" s="4"/>
      <c r="AT1121" s="4"/>
      <c r="AU1121" s="4"/>
      <c r="AV1121" s="4"/>
      <c r="AW1121" s="4"/>
      <c r="AX1121" s="4"/>
      <c r="AY1121" s="4"/>
      <c r="AZ1121" s="4"/>
      <c r="BA1121" s="4"/>
      <c r="BB1121" s="4"/>
      <c r="BC1121" s="4"/>
      <c r="BD1121" s="4"/>
      <c r="BE1121" s="4"/>
      <c r="BF1121" s="4"/>
      <c r="BG1121" s="4"/>
      <c r="BH1121" s="4"/>
      <c r="BI1121" s="4"/>
      <c r="BJ1121" s="4"/>
      <c r="BK1121" s="4"/>
      <c r="BL1121" s="4"/>
      <c r="BM1121" s="4"/>
      <c r="BN1121" s="4"/>
      <c r="BO1121" s="4"/>
      <c r="BP1121" s="4"/>
      <c r="BQ1121" s="4"/>
      <c r="BR1121" s="4"/>
      <c r="BS1121" s="4"/>
      <c r="BT1121" s="4"/>
      <c r="BU1121" s="4"/>
      <c r="BV1121" s="4"/>
      <c r="BW1121" s="4"/>
      <c r="BX1121" s="4"/>
      <c r="BY1121" s="4"/>
      <c r="BZ1121" s="4"/>
      <c r="CA1121" s="4"/>
      <c r="CB1121" s="4"/>
      <c r="CC1121" s="4"/>
      <c r="CD1121" s="4"/>
      <c r="CE1121" s="4"/>
      <c r="CF1121" s="4"/>
      <c r="CG1121" s="4"/>
      <c r="CH1121" s="4"/>
    </row>
    <row r="1122" spans="1:86" x14ac:dyDescent="0.25">
      <c r="A1122" s="4"/>
      <c r="B1122" s="4"/>
      <c r="C1122" s="4"/>
      <c r="D1122" s="4"/>
      <c r="E1122" s="4"/>
      <c r="F1122" s="14"/>
      <c r="G1122" s="14"/>
      <c r="H1122" s="14"/>
      <c r="I1122" s="5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  <c r="AA1122" s="4"/>
      <c r="AB1122" s="4"/>
      <c r="AC1122" s="4"/>
      <c r="AD1122" s="4"/>
      <c r="AE1122" s="4"/>
      <c r="AF1122" s="4"/>
      <c r="AG1122" s="4"/>
      <c r="AH1122" s="4"/>
      <c r="AI1122" s="4"/>
      <c r="AJ1122" s="4"/>
      <c r="AK1122" s="4"/>
      <c r="AL1122" s="4"/>
      <c r="AM1122" s="4"/>
      <c r="AN1122" s="4"/>
      <c r="AO1122" s="4"/>
      <c r="AP1122" s="4"/>
      <c r="AQ1122" s="4"/>
      <c r="AR1122" s="4"/>
      <c r="AS1122" s="4"/>
      <c r="AT1122" s="4"/>
      <c r="AU1122" s="4"/>
      <c r="AV1122" s="4"/>
      <c r="AW1122" s="4"/>
      <c r="AX1122" s="4"/>
      <c r="AY1122" s="4"/>
      <c r="AZ1122" s="4"/>
      <c r="BA1122" s="4"/>
      <c r="BB1122" s="4"/>
      <c r="BC1122" s="4"/>
      <c r="BD1122" s="4"/>
      <c r="BE1122" s="4"/>
      <c r="BF1122" s="4"/>
      <c r="BG1122" s="4"/>
      <c r="BH1122" s="4"/>
      <c r="BI1122" s="4"/>
      <c r="BJ1122" s="4"/>
      <c r="BK1122" s="4"/>
      <c r="BL1122" s="4"/>
      <c r="BM1122" s="4"/>
      <c r="BN1122" s="4"/>
      <c r="BO1122" s="4"/>
      <c r="BP1122" s="4"/>
      <c r="BQ1122" s="4"/>
      <c r="BR1122" s="4"/>
      <c r="BS1122" s="4"/>
      <c r="BT1122" s="4"/>
      <c r="BU1122" s="4"/>
      <c r="BV1122" s="4"/>
      <c r="BW1122" s="4"/>
      <c r="BX1122" s="4"/>
      <c r="BY1122" s="4"/>
      <c r="BZ1122" s="4"/>
      <c r="CA1122" s="4"/>
      <c r="CB1122" s="4"/>
      <c r="CC1122" s="4"/>
      <c r="CD1122" s="4"/>
      <c r="CE1122" s="4"/>
      <c r="CF1122" s="4"/>
      <c r="CG1122" s="4"/>
      <c r="CH1122" s="4"/>
    </row>
    <row r="1123" spans="1:86" x14ac:dyDescent="0.25">
      <c r="A1123" s="4"/>
      <c r="B1123" s="4"/>
      <c r="C1123" s="4"/>
      <c r="D1123" s="4"/>
      <c r="E1123" s="4"/>
      <c r="F1123" s="14"/>
      <c r="G1123" s="14"/>
      <c r="H1123" s="14"/>
      <c r="I1123" s="5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  <c r="AA1123" s="4"/>
      <c r="AB1123" s="4"/>
      <c r="AC1123" s="4"/>
      <c r="AD1123" s="4"/>
      <c r="AE1123" s="4"/>
      <c r="AF1123" s="4"/>
      <c r="AG1123" s="4"/>
      <c r="AH1123" s="4"/>
      <c r="AI1123" s="4"/>
      <c r="AJ1123" s="4"/>
      <c r="AK1123" s="4"/>
      <c r="AL1123" s="4"/>
      <c r="AM1123" s="4"/>
      <c r="AN1123" s="4"/>
      <c r="AO1123" s="4"/>
      <c r="AP1123" s="4"/>
      <c r="AQ1123" s="4"/>
      <c r="AR1123" s="4"/>
      <c r="AS1123" s="4"/>
      <c r="AT1123" s="4"/>
      <c r="AU1123" s="4"/>
      <c r="AV1123" s="4"/>
      <c r="AW1123" s="4"/>
      <c r="AX1123" s="4"/>
      <c r="AY1123" s="4"/>
      <c r="AZ1123" s="4"/>
      <c r="BA1123" s="4"/>
      <c r="BB1123" s="4"/>
      <c r="BC1123" s="4"/>
      <c r="BD1123" s="4"/>
      <c r="BE1123" s="4"/>
      <c r="BF1123" s="4"/>
      <c r="BG1123" s="4"/>
      <c r="BH1123" s="4"/>
      <c r="BI1123" s="4"/>
      <c r="BJ1123" s="4"/>
      <c r="BK1123" s="4"/>
      <c r="BL1123" s="4"/>
      <c r="BM1123" s="4"/>
      <c r="BN1123" s="4"/>
      <c r="BO1123" s="4"/>
      <c r="BP1123" s="4"/>
      <c r="BQ1123" s="4"/>
      <c r="BR1123" s="4"/>
      <c r="BS1123" s="4"/>
      <c r="BT1123" s="4"/>
      <c r="BU1123" s="4"/>
      <c r="BV1123" s="4"/>
      <c r="BW1123" s="4"/>
      <c r="BX1123" s="4"/>
      <c r="BY1123" s="4"/>
      <c r="BZ1123" s="4"/>
      <c r="CA1123" s="4"/>
      <c r="CB1123" s="4"/>
      <c r="CC1123" s="4"/>
      <c r="CD1123" s="4"/>
      <c r="CE1123" s="4"/>
      <c r="CF1123" s="4"/>
      <c r="CG1123" s="4"/>
      <c r="CH1123" s="4"/>
    </row>
    <row r="1124" spans="1:86" x14ac:dyDescent="0.25">
      <c r="A1124" s="4"/>
      <c r="B1124" s="4"/>
      <c r="C1124" s="4"/>
      <c r="D1124" s="4"/>
      <c r="E1124" s="4"/>
      <c r="F1124" s="14"/>
      <c r="G1124" s="14"/>
      <c r="H1124" s="14"/>
      <c r="I1124" s="5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  <c r="AA1124" s="4"/>
      <c r="AB1124" s="4"/>
      <c r="AC1124" s="4"/>
      <c r="AD1124" s="4"/>
      <c r="AE1124" s="4"/>
      <c r="AF1124" s="4"/>
      <c r="AG1124" s="4"/>
      <c r="AH1124" s="4"/>
      <c r="AI1124" s="4"/>
      <c r="AJ1124" s="4"/>
      <c r="AK1124" s="4"/>
      <c r="AL1124" s="4"/>
      <c r="AM1124" s="4"/>
      <c r="AN1124" s="4"/>
      <c r="AO1124" s="4"/>
      <c r="AP1124" s="4"/>
      <c r="AQ1124" s="4"/>
      <c r="AR1124" s="4"/>
      <c r="AS1124" s="4"/>
      <c r="AT1124" s="4"/>
      <c r="AU1124" s="4"/>
      <c r="AV1124" s="4"/>
      <c r="AW1124" s="4"/>
      <c r="AX1124" s="4"/>
      <c r="AY1124" s="4"/>
      <c r="AZ1124" s="4"/>
      <c r="BA1124" s="4"/>
      <c r="BB1124" s="4"/>
      <c r="BC1124" s="4"/>
      <c r="BD1124" s="4"/>
      <c r="BE1124" s="4"/>
      <c r="BF1124" s="4"/>
      <c r="BG1124" s="4"/>
      <c r="BH1124" s="4"/>
      <c r="BI1124" s="4"/>
      <c r="BJ1124" s="4"/>
      <c r="BK1124" s="4"/>
      <c r="BL1124" s="4"/>
      <c r="BM1124" s="4"/>
      <c r="BN1124" s="4"/>
      <c r="BO1124" s="4"/>
      <c r="BP1124" s="4"/>
      <c r="BQ1124" s="4"/>
      <c r="BR1124" s="4"/>
      <c r="BS1124" s="4"/>
      <c r="BT1124" s="4"/>
      <c r="BU1124" s="4"/>
      <c r="BV1124" s="4"/>
      <c r="BW1124" s="4"/>
      <c r="BX1124" s="4"/>
      <c r="BY1124" s="4"/>
      <c r="BZ1124" s="4"/>
      <c r="CA1124" s="4"/>
      <c r="CB1124" s="4"/>
      <c r="CC1124" s="4"/>
      <c r="CD1124" s="4"/>
      <c r="CE1124" s="4"/>
      <c r="CF1124" s="4"/>
      <c r="CG1124" s="4"/>
      <c r="CH1124" s="4"/>
    </row>
    <row r="1125" spans="1:86" x14ac:dyDescent="0.25">
      <c r="A1125" s="4"/>
      <c r="B1125" s="4"/>
      <c r="C1125" s="4"/>
      <c r="D1125" s="4"/>
      <c r="E1125" s="4"/>
      <c r="F1125" s="14"/>
      <c r="G1125" s="14"/>
      <c r="H1125" s="14"/>
      <c r="I1125" s="5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  <c r="AA1125" s="4"/>
      <c r="AB1125" s="4"/>
      <c r="AC1125" s="4"/>
      <c r="AD1125" s="4"/>
      <c r="AE1125" s="4"/>
      <c r="AF1125" s="4"/>
      <c r="AG1125" s="4"/>
      <c r="AH1125" s="4"/>
      <c r="AI1125" s="4"/>
      <c r="AJ1125" s="4"/>
      <c r="AK1125" s="4"/>
      <c r="AL1125" s="4"/>
      <c r="AM1125" s="4"/>
      <c r="AN1125" s="4"/>
      <c r="AO1125" s="4"/>
      <c r="AP1125" s="4"/>
      <c r="AQ1125" s="4"/>
      <c r="AR1125" s="4"/>
      <c r="AS1125" s="4"/>
      <c r="AT1125" s="4"/>
      <c r="AU1125" s="4"/>
      <c r="AV1125" s="4"/>
      <c r="AW1125" s="4"/>
      <c r="AX1125" s="4"/>
      <c r="AY1125" s="4"/>
      <c r="AZ1125" s="4"/>
      <c r="BA1125" s="4"/>
      <c r="BB1125" s="4"/>
      <c r="BC1125" s="4"/>
      <c r="BD1125" s="4"/>
      <c r="BE1125" s="4"/>
      <c r="BF1125" s="4"/>
      <c r="BG1125" s="4"/>
      <c r="BH1125" s="4"/>
      <c r="BI1125" s="4"/>
      <c r="BJ1125" s="4"/>
      <c r="BK1125" s="4"/>
      <c r="BL1125" s="4"/>
      <c r="BM1125" s="4"/>
      <c r="BN1125" s="4"/>
      <c r="BO1125" s="4"/>
      <c r="BP1125" s="4"/>
      <c r="BQ1125" s="4"/>
      <c r="BR1125" s="4"/>
      <c r="BS1125" s="4"/>
      <c r="BT1125" s="4"/>
      <c r="BU1125" s="4"/>
      <c r="BV1125" s="4"/>
      <c r="BW1125" s="4"/>
      <c r="BX1125" s="4"/>
      <c r="BY1125" s="4"/>
      <c r="BZ1125" s="4"/>
      <c r="CA1125" s="4"/>
      <c r="CB1125" s="4"/>
      <c r="CC1125" s="4"/>
      <c r="CD1125" s="4"/>
      <c r="CE1125" s="4"/>
      <c r="CF1125" s="4"/>
      <c r="CG1125" s="4"/>
      <c r="CH1125" s="4"/>
    </row>
    <row r="1126" spans="1:86" x14ac:dyDescent="0.25">
      <c r="A1126" s="4"/>
      <c r="B1126" s="4"/>
      <c r="C1126" s="4"/>
      <c r="D1126" s="4"/>
      <c r="E1126" s="4"/>
      <c r="F1126" s="14"/>
      <c r="G1126" s="14"/>
      <c r="H1126" s="14"/>
      <c r="I1126" s="5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  <c r="AA1126" s="4"/>
      <c r="AB1126" s="4"/>
      <c r="AC1126" s="4"/>
      <c r="AD1126" s="4"/>
      <c r="AE1126" s="4"/>
      <c r="AF1126" s="4"/>
      <c r="AG1126" s="4"/>
      <c r="AH1126" s="4"/>
      <c r="AI1126" s="4"/>
      <c r="AJ1126" s="4"/>
      <c r="AK1126" s="4"/>
      <c r="AL1126" s="4"/>
      <c r="AM1126" s="4"/>
      <c r="AN1126" s="4"/>
      <c r="AO1126" s="4"/>
      <c r="AP1126" s="4"/>
      <c r="AQ1126" s="4"/>
      <c r="AR1126" s="4"/>
      <c r="AS1126" s="4"/>
      <c r="AT1126" s="4"/>
      <c r="AU1126" s="4"/>
      <c r="AV1126" s="4"/>
      <c r="AW1126" s="4"/>
      <c r="AX1126" s="4"/>
      <c r="AY1126" s="4"/>
      <c r="AZ1126" s="4"/>
      <c r="BA1126" s="4"/>
      <c r="BB1126" s="4"/>
      <c r="BC1126" s="4"/>
      <c r="BD1126" s="4"/>
      <c r="BE1126" s="4"/>
      <c r="BF1126" s="4"/>
      <c r="BG1126" s="4"/>
      <c r="BH1126" s="4"/>
      <c r="BI1126" s="4"/>
      <c r="BJ1126" s="4"/>
      <c r="BK1126" s="4"/>
      <c r="BL1126" s="4"/>
      <c r="BM1126" s="4"/>
      <c r="BN1126" s="4"/>
      <c r="BO1126" s="4"/>
      <c r="BP1126" s="4"/>
      <c r="BQ1126" s="4"/>
      <c r="BR1126" s="4"/>
      <c r="BS1126" s="4"/>
      <c r="BT1126" s="4"/>
      <c r="BU1126" s="4"/>
      <c r="BV1126" s="4"/>
      <c r="BW1126" s="4"/>
      <c r="BX1126" s="4"/>
      <c r="BY1126" s="4"/>
      <c r="BZ1126" s="4"/>
      <c r="CA1126" s="4"/>
      <c r="CB1126" s="4"/>
      <c r="CC1126" s="4"/>
      <c r="CD1126" s="4"/>
      <c r="CE1126" s="4"/>
      <c r="CF1126" s="4"/>
      <c r="CG1126" s="4"/>
      <c r="CH1126" s="4"/>
    </row>
    <row r="1127" spans="1:86" x14ac:dyDescent="0.25">
      <c r="A1127" s="4"/>
      <c r="B1127" s="4"/>
      <c r="C1127" s="4"/>
      <c r="D1127" s="4"/>
      <c r="E1127" s="4"/>
      <c r="F1127" s="14"/>
      <c r="G1127" s="14"/>
      <c r="H1127" s="14"/>
      <c r="I1127" s="5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  <c r="AA1127" s="4"/>
      <c r="AB1127" s="4"/>
      <c r="AC1127" s="4"/>
      <c r="AD1127" s="4"/>
      <c r="AE1127" s="4"/>
      <c r="AF1127" s="4"/>
      <c r="AG1127" s="4"/>
      <c r="AH1127" s="4"/>
      <c r="AI1127" s="4"/>
      <c r="AJ1127" s="4"/>
      <c r="AK1127" s="4"/>
      <c r="AL1127" s="4"/>
      <c r="AM1127" s="4"/>
      <c r="AN1127" s="4"/>
      <c r="AO1127" s="4"/>
      <c r="AP1127" s="4"/>
      <c r="AQ1127" s="4"/>
      <c r="AR1127" s="4"/>
      <c r="AS1127" s="4"/>
      <c r="AT1127" s="4"/>
      <c r="AU1127" s="4"/>
      <c r="AV1127" s="4"/>
      <c r="AW1127" s="4"/>
      <c r="AX1127" s="4"/>
      <c r="AY1127" s="4"/>
      <c r="AZ1127" s="4"/>
      <c r="BA1127" s="4"/>
      <c r="BB1127" s="4"/>
      <c r="BC1127" s="4"/>
      <c r="BD1127" s="4"/>
      <c r="BE1127" s="4"/>
      <c r="BF1127" s="4"/>
      <c r="BG1127" s="4"/>
      <c r="BH1127" s="4"/>
      <c r="BI1127" s="4"/>
      <c r="BJ1127" s="4"/>
      <c r="BK1127" s="4"/>
      <c r="BL1127" s="4"/>
      <c r="BM1127" s="4"/>
      <c r="BN1127" s="4"/>
      <c r="BO1127" s="4"/>
      <c r="BP1127" s="4"/>
      <c r="BQ1127" s="4"/>
      <c r="BR1127" s="4"/>
      <c r="BS1127" s="4"/>
      <c r="BT1127" s="4"/>
      <c r="BU1127" s="4"/>
      <c r="BV1127" s="4"/>
      <c r="BW1127" s="4"/>
      <c r="BX1127" s="4"/>
      <c r="BY1127" s="4"/>
      <c r="BZ1127" s="4"/>
      <c r="CA1127" s="4"/>
      <c r="CB1127" s="4"/>
      <c r="CC1127" s="4"/>
      <c r="CD1127" s="4"/>
      <c r="CE1127" s="4"/>
      <c r="CF1127" s="4"/>
      <c r="CG1127" s="4"/>
      <c r="CH1127" s="4"/>
    </row>
    <row r="1128" spans="1:86" x14ac:dyDescent="0.25">
      <c r="A1128" s="4"/>
      <c r="B1128" s="4"/>
      <c r="C1128" s="4"/>
      <c r="D1128" s="4"/>
      <c r="E1128" s="4"/>
      <c r="F1128" s="14"/>
      <c r="G1128" s="14"/>
      <c r="H1128" s="14"/>
      <c r="I1128" s="5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  <c r="AA1128" s="4"/>
      <c r="AB1128" s="4"/>
      <c r="AC1128" s="4"/>
      <c r="AD1128" s="4"/>
      <c r="AE1128" s="4"/>
      <c r="AF1128" s="4"/>
      <c r="AG1128" s="4"/>
      <c r="AH1128" s="4"/>
      <c r="AI1128" s="4"/>
      <c r="AJ1128" s="4"/>
      <c r="AK1128" s="4"/>
      <c r="AL1128" s="4"/>
      <c r="AM1128" s="4"/>
      <c r="AN1128" s="4"/>
      <c r="AO1128" s="4"/>
      <c r="AP1128" s="4"/>
      <c r="AQ1128" s="4"/>
      <c r="AR1128" s="4"/>
      <c r="AS1128" s="4"/>
      <c r="AT1128" s="4"/>
      <c r="AU1128" s="4"/>
      <c r="AV1128" s="4"/>
      <c r="AW1128" s="4"/>
      <c r="AX1128" s="4"/>
      <c r="AY1128" s="4"/>
      <c r="AZ1128" s="4"/>
      <c r="BA1128" s="4"/>
      <c r="BB1128" s="4"/>
      <c r="BC1128" s="4"/>
      <c r="BD1128" s="4"/>
      <c r="BE1128" s="4"/>
      <c r="BF1128" s="4"/>
      <c r="BG1128" s="4"/>
      <c r="BH1128" s="4"/>
      <c r="BI1128" s="4"/>
      <c r="BJ1128" s="4"/>
      <c r="BK1128" s="4"/>
      <c r="BL1128" s="4"/>
      <c r="BM1128" s="4"/>
      <c r="BN1128" s="4"/>
      <c r="BO1128" s="4"/>
      <c r="BP1128" s="4"/>
      <c r="BQ1128" s="4"/>
      <c r="BR1128" s="4"/>
      <c r="BS1128" s="4"/>
      <c r="BT1128" s="4"/>
      <c r="BU1128" s="4"/>
      <c r="BV1128" s="4"/>
      <c r="BW1128" s="4"/>
      <c r="BX1128" s="4"/>
      <c r="BY1128" s="4"/>
      <c r="BZ1128" s="4"/>
      <c r="CA1128" s="4"/>
      <c r="CB1128" s="4"/>
      <c r="CC1128" s="4"/>
      <c r="CD1128" s="4"/>
      <c r="CE1128" s="4"/>
      <c r="CF1128" s="4"/>
      <c r="CG1128" s="4"/>
      <c r="CH1128" s="4"/>
    </row>
    <row r="1129" spans="1:86" x14ac:dyDescent="0.25">
      <c r="A1129" s="4"/>
      <c r="B1129" s="4"/>
      <c r="C1129" s="4"/>
      <c r="D1129" s="4"/>
      <c r="E1129" s="4"/>
      <c r="F1129" s="14"/>
      <c r="G1129" s="14"/>
      <c r="H1129" s="14"/>
      <c r="I1129" s="5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  <c r="AA1129" s="4"/>
      <c r="AB1129" s="4"/>
      <c r="AC1129" s="4"/>
      <c r="AD1129" s="4"/>
      <c r="AE1129" s="4"/>
      <c r="AF1129" s="4"/>
      <c r="AG1129" s="4"/>
      <c r="AH1129" s="4"/>
      <c r="AI1129" s="4"/>
      <c r="AJ1129" s="4"/>
      <c r="AK1129" s="4"/>
      <c r="AL1129" s="4"/>
      <c r="AM1129" s="4"/>
      <c r="AN1129" s="4"/>
      <c r="AO1129" s="4"/>
      <c r="AP1129" s="4"/>
      <c r="AQ1129" s="4"/>
      <c r="AR1129" s="4"/>
      <c r="AS1129" s="4"/>
      <c r="AT1129" s="4"/>
      <c r="AU1129" s="4"/>
      <c r="AV1129" s="4"/>
      <c r="AW1129" s="4"/>
      <c r="AX1129" s="4"/>
      <c r="AY1129" s="4"/>
      <c r="AZ1129" s="4"/>
      <c r="BA1129" s="4"/>
      <c r="BB1129" s="4"/>
      <c r="BC1129" s="4"/>
      <c r="BD1129" s="4"/>
      <c r="BE1129" s="4"/>
      <c r="BF1129" s="4"/>
      <c r="BG1129" s="4"/>
      <c r="BH1129" s="4"/>
      <c r="BI1129" s="4"/>
      <c r="BJ1129" s="4"/>
      <c r="BK1129" s="4"/>
      <c r="BL1129" s="4"/>
      <c r="BM1129" s="4"/>
      <c r="BN1129" s="4"/>
      <c r="BO1129" s="4"/>
      <c r="BP1129" s="4"/>
      <c r="BQ1129" s="4"/>
      <c r="BR1129" s="4"/>
      <c r="BS1129" s="4"/>
      <c r="BT1129" s="4"/>
      <c r="BU1129" s="4"/>
      <c r="BV1129" s="4"/>
      <c r="BW1129" s="4"/>
      <c r="BX1129" s="4"/>
      <c r="BY1129" s="4"/>
      <c r="BZ1129" s="4"/>
      <c r="CA1129" s="4"/>
      <c r="CB1129" s="4"/>
      <c r="CC1129" s="4"/>
      <c r="CD1129" s="4"/>
      <c r="CE1129" s="4"/>
      <c r="CF1129" s="4"/>
      <c r="CG1129" s="4"/>
      <c r="CH1129" s="4"/>
    </row>
    <row r="1130" spans="1:86" x14ac:dyDescent="0.25">
      <c r="A1130" s="4"/>
      <c r="B1130" s="4"/>
      <c r="C1130" s="4"/>
      <c r="D1130" s="4"/>
      <c r="E1130" s="4"/>
      <c r="F1130" s="14"/>
      <c r="G1130" s="14"/>
      <c r="H1130" s="14"/>
      <c r="I1130" s="5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  <c r="AA1130" s="4"/>
      <c r="AB1130" s="4"/>
      <c r="AC1130" s="4"/>
      <c r="AD1130" s="4"/>
      <c r="AE1130" s="4"/>
      <c r="AF1130" s="4"/>
      <c r="AG1130" s="4"/>
      <c r="AH1130" s="4"/>
      <c r="AI1130" s="4"/>
      <c r="AJ1130" s="4"/>
      <c r="AK1130" s="4"/>
      <c r="AL1130" s="4"/>
      <c r="AM1130" s="4"/>
      <c r="AN1130" s="4"/>
      <c r="AO1130" s="4"/>
      <c r="AP1130" s="4"/>
      <c r="AQ1130" s="4"/>
      <c r="AR1130" s="4"/>
      <c r="AS1130" s="4"/>
      <c r="AT1130" s="4"/>
      <c r="AU1130" s="4"/>
      <c r="AV1130" s="4"/>
      <c r="AW1130" s="4"/>
      <c r="AX1130" s="4"/>
      <c r="AY1130" s="4"/>
      <c r="AZ1130" s="4"/>
      <c r="BA1130" s="4"/>
      <c r="BB1130" s="4"/>
      <c r="BC1130" s="4"/>
      <c r="BD1130" s="4"/>
      <c r="BE1130" s="4"/>
      <c r="BF1130" s="4"/>
      <c r="BG1130" s="4"/>
      <c r="BH1130" s="4"/>
      <c r="BI1130" s="4"/>
      <c r="BJ1130" s="4"/>
      <c r="BK1130" s="4"/>
      <c r="BL1130" s="4"/>
      <c r="BM1130" s="4"/>
      <c r="BN1130" s="4"/>
      <c r="BO1130" s="4"/>
      <c r="BP1130" s="4"/>
      <c r="BQ1130" s="4"/>
      <c r="BR1130" s="4"/>
      <c r="BS1130" s="4"/>
      <c r="BT1130" s="4"/>
      <c r="BU1130" s="4"/>
      <c r="BV1130" s="4"/>
      <c r="BW1130" s="4"/>
      <c r="BX1130" s="4"/>
      <c r="BY1130" s="4"/>
      <c r="BZ1130" s="4"/>
      <c r="CA1130" s="4"/>
      <c r="CB1130" s="4"/>
      <c r="CC1130" s="4"/>
      <c r="CD1130" s="4"/>
      <c r="CE1130" s="4"/>
      <c r="CF1130" s="4"/>
      <c r="CG1130" s="4"/>
      <c r="CH1130" s="4"/>
    </row>
    <row r="1131" spans="1:86" x14ac:dyDescent="0.25">
      <c r="A1131" s="4"/>
      <c r="B1131" s="4"/>
      <c r="C1131" s="4"/>
      <c r="D1131" s="4"/>
      <c r="E1131" s="4"/>
      <c r="F1131" s="14"/>
      <c r="G1131" s="14"/>
      <c r="H1131" s="14"/>
      <c r="I1131" s="5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  <c r="AA1131" s="4"/>
      <c r="AB1131" s="4"/>
      <c r="AC1131" s="4"/>
      <c r="AD1131" s="4"/>
      <c r="AE1131" s="4"/>
      <c r="AF1131" s="4"/>
      <c r="AG1131" s="4"/>
      <c r="AH1131" s="4"/>
      <c r="AI1131" s="4"/>
      <c r="AJ1131" s="4"/>
      <c r="AK1131" s="4"/>
      <c r="AL1131" s="4"/>
      <c r="AM1131" s="4"/>
      <c r="AN1131" s="4"/>
      <c r="AO1131" s="4"/>
      <c r="AP1131" s="4"/>
      <c r="AQ1131" s="4"/>
      <c r="AR1131" s="4"/>
      <c r="AS1131" s="4"/>
      <c r="AT1131" s="4"/>
      <c r="AU1131" s="4"/>
      <c r="AV1131" s="4"/>
      <c r="AW1131" s="4"/>
      <c r="AX1131" s="4"/>
      <c r="AY1131" s="4"/>
      <c r="AZ1131" s="4"/>
      <c r="BA1131" s="4"/>
      <c r="BB1131" s="4"/>
      <c r="BC1131" s="4"/>
      <c r="BD1131" s="4"/>
      <c r="BE1131" s="4"/>
      <c r="BF1131" s="4"/>
      <c r="BG1131" s="4"/>
      <c r="BH1131" s="4"/>
      <c r="BI1131" s="4"/>
      <c r="BJ1131" s="4"/>
      <c r="BK1131" s="4"/>
      <c r="BL1131" s="4"/>
      <c r="BM1131" s="4"/>
      <c r="BN1131" s="4"/>
      <c r="BO1131" s="4"/>
      <c r="BP1131" s="4"/>
      <c r="BQ1131" s="4"/>
      <c r="BR1131" s="4"/>
      <c r="BS1131" s="4"/>
      <c r="BT1131" s="4"/>
      <c r="BU1131" s="4"/>
      <c r="BV1131" s="4"/>
      <c r="BW1131" s="4"/>
      <c r="BX1131" s="4"/>
      <c r="BY1131" s="4"/>
      <c r="BZ1131" s="4"/>
      <c r="CA1131" s="4"/>
      <c r="CB1131" s="4"/>
      <c r="CC1131" s="4"/>
      <c r="CD1131" s="4"/>
      <c r="CE1131" s="4"/>
      <c r="CF1131" s="4"/>
      <c r="CG1131" s="4"/>
      <c r="CH1131" s="4"/>
    </row>
    <row r="1132" spans="1:86" x14ac:dyDescent="0.25">
      <c r="A1132" s="4"/>
      <c r="B1132" s="4"/>
      <c r="C1132" s="4"/>
      <c r="D1132" s="4"/>
      <c r="E1132" s="4"/>
      <c r="F1132" s="14"/>
      <c r="G1132" s="14"/>
      <c r="H1132" s="14"/>
      <c r="I1132" s="5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  <c r="AA1132" s="4"/>
      <c r="AB1132" s="4"/>
      <c r="AC1132" s="4"/>
      <c r="AD1132" s="4"/>
      <c r="AE1132" s="4"/>
      <c r="AF1132" s="4"/>
      <c r="AG1132" s="4"/>
      <c r="AH1132" s="4"/>
      <c r="AI1132" s="4"/>
      <c r="AJ1132" s="4"/>
      <c r="AK1132" s="4"/>
      <c r="AL1132" s="4"/>
      <c r="AM1132" s="4"/>
      <c r="AN1132" s="4"/>
      <c r="AO1132" s="4"/>
      <c r="AP1132" s="4"/>
      <c r="AQ1132" s="4"/>
      <c r="AR1132" s="4"/>
      <c r="AS1132" s="4"/>
      <c r="AT1132" s="4"/>
      <c r="AU1132" s="4"/>
      <c r="AV1132" s="4"/>
      <c r="AW1132" s="4"/>
      <c r="AX1132" s="4"/>
      <c r="AY1132" s="4"/>
      <c r="AZ1132" s="4"/>
      <c r="BA1132" s="4"/>
      <c r="BB1132" s="4"/>
      <c r="BC1132" s="4"/>
      <c r="BD1132" s="4"/>
      <c r="BE1132" s="4"/>
      <c r="BF1132" s="4"/>
      <c r="BG1132" s="4"/>
      <c r="BH1132" s="4"/>
      <c r="BI1132" s="4"/>
      <c r="BJ1132" s="4"/>
      <c r="BK1132" s="4"/>
      <c r="BL1132" s="4"/>
      <c r="BM1132" s="4"/>
      <c r="BN1132" s="4"/>
      <c r="BO1132" s="4"/>
      <c r="BP1132" s="4"/>
      <c r="BQ1132" s="4"/>
      <c r="BR1132" s="4"/>
      <c r="BS1132" s="4"/>
      <c r="BT1132" s="4"/>
      <c r="BU1132" s="4"/>
      <c r="BV1132" s="4"/>
      <c r="BW1132" s="4"/>
      <c r="BX1132" s="4"/>
      <c r="BY1132" s="4"/>
      <c r="BZ1132" s="4"/>
      <c r="CA1132" s="4"/>
      <c r="CB1132" s="4"/>
      <c r="CC1132" s="4"/>
      <c r="CD1132" s="4"/>
      <c r="CE1132" s="4"/>
      <c r="CF1132" s="4"/>
      <c r="CG1132" s="4"/>
      <c r="CH1132" s="4"/>
    </row>
    <row r="1133" spans="1:86" x14ac:dyDescent="0.25">
      <c r="A1133" s="4"/>
      <c r="B1133" s="4"/>
      <c r="C1133" s="4"/>
      <c r="D1133" s="4"/>
      <c r="E1133" s="4"/>
      <c r="F1133" s="14"/>
      <c r="G1133" s="14"/>
      <c r="H1133" s="14"/>
      <c r="I1133" s="5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  <c r="AA1133" s="4"/>
      <c r="AB1133" s="4"/>
      <c r="AC1133" s="4"/>
      <c r="AD1133" s="4"/>
      <c r="AE1133" s="4"/>
      <c r="AF1133" s="4"/>
      <c r="AG1133" s="4"/>
      <c r="AH1133" s="4"/>
      <c r="AI1133" s="4"/>
      <c r="AJ1133" s="4"/>
      <c r="AK1133" s="4"/>
      <c r="AL1133" s="4"/>
      <c r="AM1133" s="4"/>
      <c r="AN1133" s="4"/>
      <c r="AO1133" s="4"/>
      <c r="AP1133" s="4"/>
      <c r="AQ1133" s="4"/>
      <c r="AR1133" s="4"/>
      <c r="AS1133" s="4"/>
      <c r="AT1133" s="4"/>
      <c r="AU1133" s="4"/>
      <c r="AV1133" s="4"/>
      <c r="AW1133" s="4"/>
      <c r="AX1133" s="4"/>
      <c r="AY1133" s="4"/>
      <c r="AZ1133" s="4"/>
      <c r="BA1133" s="4"/>
      <c r="BB1133" s="4"/>
      <c r="BC1133" s="4"/>
      <c r="BD1133" s="4"/>
      <c r="BE1133" s="4"/>
      <c r="BF1133" s="4"/>
      <c r="BG1133" s="4"/>
      <c r="BH1133" s="4"/>
      <c r="BI1133" s="4"/>
      <c r="BJ1133" s="4"/>
      <c r="BK1133" s="4"/>
      <c r="BL1133" s="4"/>
      <c r="BM1133" s="4"/>
      <c r="BN1133" s="4"/>
      <c r="BO1133" s="4"/>
      <c r="BP1133" s="4"/>
      <c r="BQ1133" s="4"/>
      <c r="BR1133" s="4"/>
      <c r="BS1133" s="4"/>
      <c r="BT1133" s="4"/>
      <c r="BU1133" s="4"/>
      <c r="BV1133" s="4"/>
      <c r="BW1133" s="4"/>
      <c r="BX1133" s="4"/>
      <c r="BY1133" s="4"/>
      <c r="BZ1133" s="4"/>
      <c r="CA1133" s="4"/>
      <c r="CB1133" s="4"/>
      <c r="CC1133" s="4"/>
      <c r="CD1133" s="4"/>
      <c r="CE1133" s="4"/>
      <c r="CF1133" s="4"/>
      <c r="CG1133" s="4"/>
      <c r="CH1133" s="4"/>
    </row>
    <row r="1134" spans="1:86" x14ac:dyDescent="0.25">
      <c r="A1134" s="4"/>
      <c r="B1134" s="4"/>
      <c r="C1134" s="4"/>
      <c r="D1134" s="4"/>
      <c r="E1134" s="4"/>
      <c r="F1134" s="14"/>
      <c r="G1134" s="14"/>
      <c r="H1134" s="14"/>
      <c r="I1134" s="5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  <c r="AA1134" s="4"/>
      <c r="AB1134" s="4"/>
      <c r="AC1134" s="4"/>
      <c r="AD1134" s="4"/>
      <c r="AE1134" s="4"/>
      <c r="AF1134" s="4"/>
      <c r="AG1134" s="4"/>
      <c r="AH1134" s="4"/>
      <c r="AI1134" s="4"/>
      <c r="AJ1134" s="4"/>
      <c r="AK1134" s="4"/>
      <c r="AL1134" s="4"/>
      <c r="AM1134" s="4"/>
      <c r="AN1134" s="4"/>
      <c r="AO1134" s="4"/>
      <c r="AP1134" s="4"/>
      <c r="AQ1134" s="4"/>
      <c r="AR1134" s="4"/>
      <c r="AS1134" s="4"/>
      <c r="AT1134" s="4"/>
      <c r="AU1134" s="4"/>
      <c r="AV1134" s="4"/>
      <c r="AW1134" s="4"/>
      <c r="AX1134" s="4"/>
      <c r="AY1134" s="4"/>
      <c r="AZ1134" s="4"/>
      <c r="BA1134" s="4"/>
      <c r="BB1134" s="4"/>
      <c r="BC1134" s="4"/>
      <c r="BD1134" s="4"/>
      <c r="BE1134" s="4"/>
      <c r="BF1134" s="4"/>
      <c r="BG1134" s="4"/>
      <c r="BH1134" s="4"/>
      <c r="BI1134" s="4"/>
      <c r="BJ1134" s="4"/>
      <c r="BK1134" s="4"/>
      <c r="BL1134" s="4"/>
      <c r="BM1134" s="4"/>
      <c r="BN1134" s="4"/>
      <c r="BO1134" s="4"/>
      <c r="BP1134" s="4"/>
      <c r="BQ1134" s="4"/>
      <c r="BR1134" s="4"/>
      <c r="BS1134" s="4"/>
      <c r="BT1134" s="4"/>
      <c r="BU1134" s="4"/>
      <c r="BV1134" s="4"/>
      <c r="BW1134" s="4"/>
      <c r="BX1134" s="4"/>
      <c r="BY1134" s="4"/>
      <c r="BZ1134" s="4"/>
      <c r="CA1134" s="4"/>
      <c r="CB1134" s="4"/>
      <c r="CC1134" s="4"/>
      <c r="CD1134" s="4"/>
      <c r="CE1134" s="4"/>
      <c r="CF1134" s="4"/>
      <c r="CG1134" s="4"/>
      <c r="CH1134" s="4"/>
    </row>
    <row r="1135" spans="1:86" x14ac:dyDescent="0.25">
      <c r="A1135" s="4"/>
      <c r="B1135" s="4"/>
      <c r="C1135" s="4"/>
      <c r="D1135" s="4"/>
      <c r="E1135" s="4"/>
      <c r="F1135" s="14"/>
      <c r="G1135" s="14"/>
      <c r="H1135" s="14"/>
      <c r="I1135" s="5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  <c r="AA1135" s="4"/>
      <c r="AB1135" s="4"/>
      <c r="AC1135" s="4"/>
      <c r="AD1135" s="4"/>
      <c r="AE1135" s="4"/>
      <c r="AF1135" s="4"/>
      <c r="AG1135" s="4"/>
      <c r="AH1135" s="4"/>
      <c r="AI1135" s="4"/>
      <c r="AJ1135" s="4"/>
      <c r="AK1135" s="4"/>
      <c r="AL1135" s="4"/>
      <c r="AM1135" s="4"/>
      <c r="AN1135" s="4"/>
      <c r="AO1135" s="4"/>
      <c r="AP1135" s="4"/>
      <c r="AQ1135" s="4"/>
      <c r="AR1135" s="4"/>
      <c r="AS1135" s="4"/>
      <c r="AT1135" s="4"/>
      <c r="AU1135" s="4"/>
      <c r="AV1135" s="4"/>
      <c r="AW1135" s="4"/>
      <c r="AX1135" s="4"/>
      <c r="AY1135" s="4"/>
      <c r="AZ1135" s="4"/>
      <c r="BA1135" s="4"/>
      <c r="BB1135" s="4"/>
      <c r="BC1135" s="4"/>
      <c r="BD1135" s="4"/>
      <c r="BE1135" s="4"/>
      <c r="BF1135" s="4"/>
      <c r="BG1135" s="4"/>
      <c r="BH1135" s="4"/>
      <c r="BI1135" s="4"/>
      <c r="BJ1135" s="4"/>
      <c r="BK1135" s="4"/>
      <c r="BL1135" s="4"/>
      <c r="BM1135" s="4"/>
      <c r="BN1135" s="4"/>
      <c r="BO1135" s="4"/>
      <c r="BP1135" s="4"/>
      <c r="BQ1135" s="4"/>
      <c r="BR1135" s="4"/>
      <c r="BS1135" s="4"/>
      <c r="BT1135" s="4"/>
      <c r="BU1135" s="4"/>
      <c r="BV1135" s="4"/>
      <c r="BW1135" s="4"/>
      <c r="BX1135" s="4"/>
      <c r="BY1135" s="4"/>
      <c r="BZ1135" s="4"/>
      <c r="CA1135" s="4"/>
      <c r="CB1135" s="4"/>
      <c r="CC1135" s="4"/>
      <c r="CD1135" s="4"/>
      <c r="CE1135" s="4"/>
      <c r="CF1135" s="4"/>
      <c r="CG1135" s="4"/>
      <c r="CH1135" s="4"/>
    </row>
    <row r="1136" spans="1:86" x14ac:dyDescent="0.25">
      <c r="A1136" s="4"/>
      <c r="B1136" s="4"/>
      <c r="C1136" s="4"/>
      <c r="D1136" s="4"/>
      <c r="E1136" s="4"/>
      <c r="F1136" s="14"/>
      <c r="G1136" s="14"/>
      <c r="H1136" s="14"/>
      <c r="I1136" s="5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  <c r="AA1136" s="4"/>
      <c r="AB1136" s="4"/>
      <c r="AC1136" s="4"/>
      <c r="AD1136" s="4"/>
      <c r="AE1136" s="4"/>
      <c r="AF1136" s="4"/>
      <c r="AG1136" s="4"/>
      <c r="AH1136" s="4"/>
      <c r="AI1136" s="4"/>
      <c r="AJ1136" s="4"/>
      <c r="AK1136" s="4"/>
      <c r="AL1136" s="4"/>
      <c r="AM1136" s="4"/>
      <c r="AN1136" s="4"/>
      <c r="AO1136" s="4"/>
      <c r="AP1136" s="4"/>
      <c r="AQ1136" s="4"/>
      <c r="AR1136" s="4"/>
      <c r="AS1136" s="4"/>
      <c r="AT1136" s="4"/>
      <c r="AU1136" s="4"/>
      <c r="AV1136" s="4"/>
      <c r="AW1136" s="4"/>
      <c r="AX1136" s="4"/>
      <c r="AY1136" s="4"/>
      <c r="AZ1136" s="4"/>
      <c r="BA1136" s="4"/>
      <c r="BB1136" s="4"/>
      <c r="BC1136" s="4"/>
      <c r="BD1136" s="4"/>
      <c r="BE1136" s="4"/>
      <c r="BF1136" s="4"/>
      <c r="BG1136" s="4"/>
      <c r="BH1136" s="4"/>
      <c r="BI1136" s="4"/>
      <c r="BJ1136" s="4"/>
      <c r="BK1136" s="4"/>
      <c r="BL1136" s="4"/>
      <c r="BM1136" s="4"/>
      <c r="BN1136" s="4"/>
      <c r="BO1136" s="4"/>
      <c r="BP1136" s="4"/>
      <c r="BQ1136" s="4"/>
      <c r="BR1136" s="4"/>
      <c r="BS1136" s="4"/>
      <c r="BT1136" s="4"/>
      <c r="BU1136" s="4"/>
      <c r="BV1136" s="4"/>
      <c r="BW1136" s="4"/>
      <c r="BX1136" s="4"/>
      <c r="BY1136" s="4"/>
      <c r="BZ1136" s="4"/>
      <c r="CA1136" s="4"/>
      <c r="CB1136" s="4"/>
      <c r="CC1136" s="4"/>
      <c r="CD1136" s="4"/>
      <c r="CE1136" s="4"/>
      <c r="CF1136" s="4"/>
      <c r="CG1136" s="4"/>
      <c r="CH1136" s="4"/>
    </row>
    <row r="1137" spans="1:86" x14ac:dyDescent="0.25">
      <c r="A1137" s="4"/>
      <c r="B1137" s="4"/>
      <c r="C1137" s="4"/>
      <c r="D1137" s="4"/>
      <c r="E1137" s="4"/>
      <c r="F1137" s="14"/>
      <c r="G1137" s="14"/>
      <c r="H1137" s="14"/>
      <c r="I1137" s="5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  <c r="AA1137" s="4"/>
      <c r="AB1137" s="4"/>
      <c r="AC1137" s="4"/>
      <c r="AD1137" s="4"/>
      <c r="AE1137" s="4"/>
      <c r="AF1137" s="4"/>
      <c r="AG1137" s="4"/>
      <c r="AH1137" s="4"/>
      <c r="AI1137" s="4"/>
      <c r="AJ1137" s="4"/>
      <c r="AK1137" s="4"/>
      <c r="AL1137" s="4"/>
      <c r="AM1137" s="4"/>
      <c r="AN1137" s="4"/>
      <c r="AO1137" s="4"/>
      <c r="AP1137" s="4"/>
      <c r="AQ1137" s="4"/>
      <c r="AR1137" s="4"/>
      <c r="AS1137" s="4"/>
      <c r="AT1137" s="4"/>
      <c r="AU1137" s="4"/>
      <c r="AV1137" s="4"/>
      <c r="AW1137" s="4"/>
      <c r="AX1137" s="4"/>
      <c r="AY1137" s="4"/>
      <c r="AZ1137" s="4"/>
      <c r="BA1137" s="4"/>
      <c r="BB1137" s="4"/>
      <c r="BC1137" s="4"/>
      <c r="BD1137" s="4"/>
      <c r="BE1137" s="4"/>
      <c r="BF1137" s="4"/>
      <c r="BG1137" s="4"/>
      <c r="BH1137" s="4"/>
      <c r="BI1137" s="4"/>
      <c r="BJ1137" s="4"/>
      <c r="BK1137" s="4"/>
      <c r="BL1137" s="4"/>
      <c r="BM1137" s="4"/>
      <c r="BN1137" s="4"/>
      <c r="BO1137" s="4"/>
      <c r="BP1137" s="4"/>
      <c r="BQ1137" s="4"/>
      <c r="BR1137" s="4"/>
      <c r="BS1137" s="4"/>
      <c r="BT1137" s="4"/>
      <c r="BU1137" s="4"/>
      <c r="BV1137" s="4"/>
      <c r="BW1137" s="4"/>
      <c r="BX1137" s="4"/>
      <c r="BY1137" s="4"/>
      <c r="BZ1137" s="4"/>
      <c r="CA1137" s="4"/>
      <c r="CB1137" s="4"/>
      <c r="CC1137" s="4"/>
      <c r="CD1137" s="4"/>
      <c r="CE1137" s="4"/>
      <c r="CF1137" s="4"/>
      <c r="CG1137" s="4"/>
      <c r="CH1137" s="4"/>
    </row>
    <row r="1138" spans="1:86" x14ac:dyDescent="0.25">
      <c r="A1138" s="4"/>
      <c r="B1138" s="4"/>
      <c r="C1138" s="4"/>
      <c r="D1138" s="4"/>
      <c r="E1138" s="4"/>
      <c r="F1138" s="14"/>
      <c r="G1138" s="14"/>
      <c r="H1138" s="14"/>
      <c r="I1138" s="5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  <c r="AA1138" s="4"/>
      <c r="AB1138" s="4"/>
      <c r="AC1138" s="4"/>
      <c r="AD1138" s="4"/>
      <c r="AE1138" s="4"/>
      <c r="AF1138" s="4"/>
      <c r="AG1138" s="4"/>
      <c r="AH1138" s="4"/>
      <c r="AI1138" s="4"/>
      <c r="AJ1138" s="4"/>
      <c r="AK1138" s="4"/>
      <c r="AL1138" s="4"/>
      <c r="AM1138" s="4"/>
      <c r="AN1138" s="4"/>
      <c r="AO1138" s="4"/>
      <c r="AP1138" s="4"/>
      <c r="AQ1138" s="4"/>
      <c r="AR1138" s="4"/>
      <c r="AS1138" s="4"/>
      <c r="AT1138" s="4"/>
      <c r="AU1138" s="4"/>
      <c r="AV1138" s="4"/>
      <c r="AW1138" s="4"/>
      <c r="AX1138" s="4"/>
      <c r="AY1138" s="4"/>
      <c r="AZ1138" s="4"/>
      <c r="BA1138" s="4"/>
      <c r="BB1138" s="4"/>
      <c r="BC1138" s="4"/>
      <c r="BD1138" s="4"/>
      <c r="BE1138" s="4"/>
      <c r="BF1138" s="4"/>
      <c r="BG1138" s="4"/>
      <c r="BH1138" s="4"/>
      <c r="BI1138" s="4"/>
      <c r="BJ1138" s="4"/>
      <c r="BK1138" s="4"/>
      <c r="BL1138" s="4"/>
      <c r="BM1138" s="4"/>
      <c r="BN1138" s="4"/>
      <c r="BO1138" s="4"/>
      <c r="BP1138" s="4"/>
      <c r="BQ1138" s="4"/>
      <c r="BR1138" s="4"/>
      <c r="BS1138" s="4"/>
      <c r="BT1138" s="4"/>
      <c r="BU1138" s="4"/>
      <c r="BV1138" s="4"/>
      <c r="BW1138" s="4"/>
      <c r="BX1138" s="4"/>
      <c r="BY1138" s="4"/>
      <c r="BZ1138" s="4"/>
      <c r="CA1138" s="4"/>
      <c r="CB1138" s="4"/>
      <c r="CC1138" s="4"/>
      <c r="CD1138" s="4"/>
      <c r="CE1138" s="4"/>
      <c r="CF1138" s="4"/>
      <c r="CG1138" s="4"/>
      <c r="CH1138" s="4"/>
    </row>
    <row r="1139" spans="1:86" x14ac:dyDescent="0.25">
      <c r="A1139" s="4"/>
      <c r="B1139" s="4"/>
      <c r="C1139" s="4"/>
      <c r="D1139" s="4"/>
      <c r="E1139" s="4"/>
      <c r="F1139" s="14"/>
      <c r="G1139" s="14"/>
      <c r="H1139" s="14"/>
      <c r="I1139" s="5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  <c r="AA1139" s="4"/>
      <c r="AB1139" s="4"/>
      <c r="AC1139" s="4"/>
      <c r="AD1139" s="4"/>
      <c r="AE1139" s="4"/>
      <c r="AF1139" s="4"/>
      <c r="AG1139" s="4"/>
      <c r="AH1139" s="4"/>
      <c r="AI1139" s="4"/>
      <c r="AJ1139" s="4"/>
      <c r="AK1139" s="4"/>
      <c r="AL1139" s="4"/>
      <c r="AM1139" s="4"/>
      <c r="AN1139" s="4"/>
      <c r="AO1139" s="4"/>
      <c r="AP1139" s="4"/>
      <c r="AQ1139" s="4"/>
      <c r="AR1139" s="4"/>
      <c r="AS1139" s="4"/>
      <c r="AT1139" s="4"/>
      <c r="AU1139" s="4"/>
      <c r="AV1139" s="4"/>
      <c r="AW1139" s="4"/>
      <c r="AX1139" s="4"/>
      <c r="AY1139" s="4"/>
      <c r="AZ1139" s="4"/>
      <c r="BA1139" s="4"/>
      <c r="BB1139" s="4"/>
      <c r="BC1139" s="4"/>
      <c r="BD1139" s="4"/>
      <c r="BE1139" s="4"/>
      <c r="BF1139" s="4"/>
      <c r="BG1139" s="4"/>
      <c r="BH1139" s="4"/>
      <c r="BI1139" s="4"/>
      <c r="BJ1139" s="4"/>
      <c r="BK1139" s="4"/>
      <c r="BL1139" s="4"/>
      <c r="BM1139" s="4"/>
      <c r="BN1139" s="4"/>
      <c r="BO1139" s="4"/>
      <c r="BP1139" s="4"/>
      <c r="BQ1139" s="4"/>
      <c r="BR1139" s="4"/>
      <c r="BS1139" s="4"/>
      <c r="BT1139" s="4"/>
      <c r="BU1139" s="4"/>
      <c r="BV1139" s="4"/>
      <c r="BW1139" s="4"/>
      <c r="BX1139" s="4"/>
      <c r="BY1139" s="4"/>
      <c r="BZ1139" s="4"/>
      <c r="CA1139" s="4"/>
      <c r="CB1139" s="4"/>
      <c r="CC1139" s="4"/>
      <c r="CD1139" s="4"/>
      <c r="CE1139" s="4"/>
      <c r="CF1139" s="4"/>
      <c r="CG1139" s="4"/>
      <c r="CH1139" s="4"/>
    </row>
    <row r="1140" spans="1:86" x14ac:dyDescent="0.25">
      <c r="A1140" s="4"/>
      <c r="B1140" s="4"/>
      <c r="C1140" s="4"/>
      <c r="D1140" s="4"/>
      <c r="E1140" s="4"/>
      <c r="F1140" s="14"/>
      <c r="G1140" s="14"/>
      <c r="H1140" s="14"/>
      <c r="I1140" s="5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  <c r="AA1140" s="4"/>
      <c r="AB1140" s="4"/>
      <c r="AC1140" s="4"/>
      <c r="AD1140" s="4"/>
      <c r="AE1140" s="4"/>
      <c r="AF1140" s="4"/>
      <c r="AG1140" s="4"/>
      <c r="AH1140" s="4"/>
      <c r="AI1140" s="4"/>
      <c r="AJ1140" s="4"/>
      <c r="AK1140" s="4"/>
      <c r="AL1140" s="4"/>
      <c r="AM1140" s="4"/>
      <c r="AN1140" s="4"/>
      <c r="AO1140" s="4"/>
      <c r="AP1140" s="4"/>
      <c r="AQ1140" s="4"/>
      <c r="AR1140" s="4"/>
      <c r="AS1140" s="4"/>
      <c r="AT1140" s="4"/>
      <c r="AU1140" s="4"/>
      <c r="AV1140" s="4"/>
      <c r="AW1140" s="4"/>
      <c r="AX1140" s="4"/>
      <c r="AY1140" s="4"/>
      <c r="AZ1140" s="4"/>
      <c r="BA1140" s="4"/>
      <c r="BB1140" s="4"/>
      <c r="BC1140" s="4"/>
      <c r="BD1140" s="4"/>
      <c r="BE1140" s="4"/>
      <c r="BF1140" s="4"/>
      <c r="BG1140" s="4"/>
      <c r="BH1140" s="4"/>
      <c r="BI1140" s="4"/>
      <c r="BJ1140" s="4"/>
      <c r="BK1140" s="4"/>
      <c r="BL1140" s="4"/>
      <c r="BM1140" s="4"/>
      <c r="BN1140" s="4"/>
      <c r="BO1140" s="4"/>
      <c r="BP1140" s="4"/>
      <c r="BQ1140" s="4"/>
      <c r="BR1140" s="4"/>
      <c r="BS1140" s="4"/>
      <c r="BT1140" s="4"/>
      <c r="BU1140" s="4"/>
      <c r="BV1140" s="4"/>
      <c r="BW1140" s="4"/>
      <c r="BX1140" s="4"/>
      <c r="BY1140" s="4"/>
      <c r="BZ1140" s="4"/>
      <c r="CA1140" s="4"/>
      <c r="CB1140" s="4"/>
      <c r="CC1140" s="4"/>
      <c r="CD1140" s="4"/>
      <c r="CE1140" s="4"/>
      <c r="CF1140" s="4"/>
      <c r="CG1140" s="4"/>
      <c r="CH1140" s="4"/>
    </row>
    <row r="1141" spans="1:86" x14ac:dyDescent="0.25">
      <c r="A1141" s="4"/>
      <c r="B1141" s="4"/>
      <c r="C1141" s="4"/>
      <c r="D1141" s="4"/>
      <c r="E1141" s="4"/>
      <c r="F1141" s="14"/>
      <c r="G1141" s="14"/>
      <c r="H1141" s="14"/>
      <c r="I1141" s="5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  <c r="AA1141" s="4"/>
      <c r="AB1141" s="4"/>
      <c r="AC1141" s="4"/>
      <c r="AD1141" s="4"/>
      <c r="AE1141" s="4"/>
      <c r="AF1141" s="4"/>
      <c r="AG1141" s="4"/>
      <c r="AH1141" s="4"/>
      <c r="AI1141" s="4"/>
      <c r="AJ1141" s="4"/>
      <c r="AK1141" s="4"/>
      <c r="AL1141" s="4"/>
      <c r="AM1141" s="4"/>
      <c r="AN1141" s="4"/>
      <c r="AO1141" s="4"/>
      <c r="AP1141" s="4"/>
      <c r="AQ1141" s="4"/>
      <c r="AR1141" s="4"/>
      <c r="AS1141" s="4"/>
      <c r="AT1141" s="4"/>
      <c r="AU1141" s="4"/>
      <c r="AV1141" s="4"/>
      <c r="AW1141" s="4"/>
      <c r="AX1141" s="4"/>
      <c r="AY1141" s="4"/>
      <c r="AZ1141" s="4"/>
      <c r="BA1141" s="4"/>
      <c r="BB1141" s="4"/>
      <c r="BC1141" s="4"/>
      <c r="BD1141" s="4"/>
      <c r="BE1141" s="4"/>
      <c r="BF1141" s="4"/>
      <c r="BG1141" s="4"/>
      <c r="BH1141" s="4"/>
      <c r="BI1141" s="4"/>
      <c r="BJ1141" s="4"/>
      <c r="BK1141" s="4"/>
      <c r="BL1141" s="4"/>
      <c r="BM1141" s="4"/>
      <c r="BN1141" s="4"/>
      <c r="BO1141" s="4"/>
      <c r="BP1141" s="4"/>
      <c r="BQ1141" s="4"/>
      <c r="BR1141" s="4"/>
      <c r="BS1141" s="4"/>
      <c r="BT1141" s="4"/>
      <c r="BU1141" s="4"/>
      <c r="BV1141" s="4"/>
      <c r="BW1141" s="4"/>
      <c r="BX1141" s="4"/>
      <c r="BY1141" s="4"/>
      <c r="BZ1141" s="4"/>
      <c r="CA1141" s="4"/>
      <c r="CB1141" s="4"/>
      <c r="CC1141" s="4"/>
      <c r="CD1141" s="4"/>
      <c r="CE1141" s="4"/>
      <c r="CF1141" s="4"/>
      <c r="CG1141" s="4"/>
      <c r="CH1141" s="4"/>
    </row>
    <row r="1142" spans="1:86" x14ac:dyDescent="0.25">
      <c r="A1142" s="4"/>
      <c r="B1142" s="4"/>
      <c r="C1142" s="4"/>
      <c r="D1142" s="4"/>
      <c r="E1142" s="4"/>
      <c r="F1142" s="14"/>
      <c r="G1142" s="14"/>
      <c r="H1142" s="14"/>
      <c r="I1142" s="5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  <c r="AA1142" s="4"/>
      <c r="AB1142" s="4"/>
      <c r="AC1142" s="4"/>
      <c r="AD1142" s="4"/>
      <c r="AE1142" s="4"/>
      <c r="AF1142" s="4"/>
      <c r="AG1142" s="4"/>
      <c r="AH1142" s="4"/>
      <c r="AI1142" s="4"/>
      <c r="AJ1142" s="4"/>
      <c r="AK1142" s="4"/>
      <c r="AL1142" s="4"/>
      <c r="AM1142" s="4"/>
      <c r="AN1142" s="4"/>
      <c r="AO1142" s="4"/>
      <c r="AP1142" s="4"/>
      <c r="AQ1142" s="4"/>
      <c r="AR1142" s="4"/>
      <c r="AS1142" s="4"/>
      <c r="AT1142" s="4"/>
      <c r="AU1142" s="4"/>
      <c r="AV1142" s="4"/>
      <c r="AW1142" s="4"/>
      <c r="AX1142" s="4"/>
      <c r="AY1142" s="4"/>
      <c r="AZ1142" s="4"/>
      <c r="BA1142" s="4"/>
      <c r="BB1142" s="4"/>
      <c r="BC1142" s="4"/>
      <c r="BD1142" s="4"/>
      <c r="BE1142" s="4"/>
      <c r="BF1142" s="4"/>
      <c r="BG1142" s="4"/>
      <c r="BH1142" s="4"/>
      <c r="BI1142" s="4"/>
      <c r="BJ1142" s="4"/>
      <c r="BK1142" s="4"/>
      <c r="BL1142" s="4"/>
      <c r="BM1142" s="4"/>
      <c r="BN1142" s="4"/>
      <c r="BO1142" s="4"/>
      <c r="BP1142" s="4"/>
      <c r="BQ1142" s="4"/>
      <c r="BR1142" s="4"/>
      <c r="BS1142" s="4"/>
      <c r="BT1142" s="4"/>
      <c r="BU1142" s="4"/>
      <c r="BV1142" s="4"/>
      <c r="BW1142" s="4"/>
      <c r="BX1142" s="4"/>
      <c r="BY1142" s="4"/>
      <c r="BZ1142" s="4"/>
      <c r="CA1142" s="4"/>
      <c r="CB1142" s="4"/>
      <c r="CC1142" s="4"/>
      <c r="CD1142" s="4"/>
      <c r="CE1142" s="4"/>
      <c r="CF1142" s="4"/>
      <c r="CG1142" s="4"/>
      <c r="CH1142" s="4"/>
    </row>
    <row r="1143" spans="1:86" x14ac:dyDescent="0.25">
      <c r="A1143" s="4"/>
      <c r="B1143" s="4"/>
      <c r="C1143" s="4"/>
      <c r="D1143" s="4"/>
      <c r="E1143" s="4"/>
      <c r="F1143" s="14"/>
      <c r="G1143" s="14"/>
      <c r="H1143" s="14"/>
      <c r="I1143" s="5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  <c r="AA1143" s="4"/>
      <c r="AB1143" s="4"/>
      <c r="AC1143" s="4"/>
      <c r="AD1143" s="4"/>
      <c r="AE1143" s="4"/>
      <c r="AF1143" s="4"/>
      <c r="AG1143" s="4"/>
      <c r="AH1143" s="4"/>
      <c r="AI1143" s="4"/>
      <c r="AJ1143" s="4"/>
      <c r="AK1143" s="4"/>
      <c r="AL1143" s="4"/>
      <c r="AM1143" s="4"/>
      <c r="AN1143" s="4"/>
      <c r="AO1143" s="4"/>
      <c r="AP1143" s="4"/>
      <c r="AQ1143" s="4"/>
      <c r="AR1143" s="4"/>
      <c r="AS1143" s="4"/>
      <c r="AT1143" s="4"/>
      <c r="AU1143" s="4"/>
      <c r="AV1143" s="4"/>
      <c r="AW1143" s="4"/>
      <c r="AX1143" s="4"/>
      <c r="AY1143" s="4"/>
      <c r="AZ1143" s="4"/>
      <c r="BA1143" s="4"/>
      <c r="BB1143" s="4"/>
      <c r="BC1143" s="4"/>
      <c r="BD1143" s="4"/>
      <c r="BE1143" s="4"/>
      <c r="BF1143" s="4"/>
      <c r="BG1143" s="4"/>
      <c r="BH1143" s="4"/>
      <c r="BI1143" s="4"/>
      <c r="BJ1143" s="4"/>
      <c r="BK1143" s="4"/>
      <c r="BL1143" s="4"/>
      <c r="BM1143" s="4"/>
      <c r="BN1143" s="4"/>
      <c r="BO1143" s="4"/>
      <c r="BP1143" s="4"/>
      <c r="BQ1143" s="4"/>
      <c r="BR1143" s="4"/>
      <c r="BS1143" s="4"/>
      <c r="BT1143" s="4"/>
      <c r="BU1143" s="4"/>
      <c r="BV1143" s="4"/>
      <c r="BW1143" s="4"/>
      <c r="BX1143" s="4"/>
      <c r="BY1143" s="4"/>
      <c r="BZ1143" s="4"/>
      <c r="CA1143" s="4"/>
      <c r="CB1143" s="4"/>
      <c r="CC1143" s="4"/>
      <c r="CD1143" s="4"/>
      <c r="CE1143" s="4"/>
      <c r="CF1143" s="4"/>
      <c r="CG1143" s="4"/>
      <c r="CH1143" s="4"/>
    </row>
    <row r="1144" spans="1:86" x14ac:dyDescent="0.25">
      <c r="A1144" s="4"/>
      <c r="B1144" s="4"/>
      <c r="C1144" s="4"/>
      <c r="D1144" s="4"/>
      <c r="E1144" s="4"/>
      <c r="F1144" s="14"/>
      <c r="G1144" s="14"/>
      <c r="H1144" s="14"/>
      <c r="I1144" s="5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  <c r="AA1144" s="4"/>
      <c r="AB1144" s="4"/>
      <c r="AC1144" s="4"/>
      <c r="AD1144" s="4"/>
      <c r="AE1144" s="4"/>
      <c r="AF1144" s="4"/>
      <c r="AG1144" s="4"/>
      <c r="AH1144" s="4"/>
      <c r="AI1144" s="4"/>
      <c r="AJ1144" s="4"/>
      <c r="AK1144" s="4"/>
      <c r="AL1144" s="4"/>
      <c r="AM1144" s="4"/>
      <c r="AN1144" s="4"/>
      <c r="AO1144" s="4"/>
      <c r="AP1144" s="4"/>
      <c r="AQ1144" s="4"/>
      <c r="AR1144" s="4"/>
      <c r="AS1144" s="4"/>
      <c r="AT1144" s="4"/>
      <c r="AU1144" s="4"/>
      <c r="AV1144" s="4"/>
      <c r="AW1144" s="4"/>
      <c r="AX1144" s="4"/>
      <c r="AY1144" s="4"/>
      <c r="AZ1144" s="4"/>
      <c r="BA1144" s="4"/>
      <c r="BB1144" s="4"/>
      <c r="BC1144" s="4"/>
      <c r="BD1144" s="4"/>
      <c r="BE1144" s="4"/>
      <c r="BF1144" s="4"/>
      <c r="BG1144" s="4"/>
      <c r="BH1144" s="4"/>
      <c r="BI1144" s="4"/>
      <c r="BJ1144" s="4"/>
      <c r="BK1144" s="4"/>
      <c r="BL1144" s="4"/>
      <c r="BM1144" s="4"/>
      <c r="BN1144" s="4"/>
      <c r="BO1144" s="4"/>
      <c r="BP1144" s="4"/>
      <c r="BQ1144" s="4"/>
      <c r="BR1144" s="4"/>
      <c r="BS1144" s="4"/>
      <c r="BT1144" s="4"/>
      <c r="BU1144" s="4"/>
      <c r="BV1144" s="4"/>
      <c r="BW1144" s="4"/>
      <c r="BX1144" s="4"/>
      <c r="BY1144" s="4"/>
      <c r="BZ1144" s="4"/>
      <c r="CA1144" s="4"/>
      <c r="CB1144" s="4"/>
      <c r="CC1144" s="4"/>
      <c r="CD1144" s="4"/>
      <c r="CE1144" s="4"/>
      <c r="CF1144" s="4"/>
      <c r="CG1144" s="4"/>
      <c r="CH1144" s="4"/>
    </row>
    <row r="1145" spans="1:86" x14ac:dyDescent="0.25">
      <c r="A1145" s="4"/>
      <c r="B1145" s="4"/>
      <c r="C1145" s="4"/>
      <c r="D1145" s="4"/>
      <c r="E1145" s="4"/>
      <c r="F1145" s="14"/>
      <c r="G1145" s="14"/>
      <c r="H1145" s="14"/>
      <c r="I1145" s="5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  <c r="AA1145" s="4"/>
      <c r="AB1145" s="4"/>
      <c r="AC1145" s="4"/>
      <c r="AD1145" s="4"/>
      <c r="AE1145" s="4"/>
      <c r="AF1145" s="4"/>
      <c r="AG1145" s="4"/>
      <c r="AH1145" s="4"/>
      <c r="AI1145" s="4"/>
      <c r="AJ1145" s="4"/>
      <c r="AK1145" s="4"/>
      <c r="AL1145" s="4"/>
      <c r="AM1145" s="4"/>
      <c r="AN1145" s="4"/>
      <c r="AO1145" s="4"/>
      <c r="AP1145" s="4"/>
      <c r="AQ1145" s="4"/>
      <c r="AR1145" s="4"/>
      <c r="AS1145" s="4"/>
      <c r="AT1145" s="4"/>
      <c r="AU1145" s="4"/>
      <c r="AV1145" s="4"/>
      <c r="AW1145" s="4"/>
      <c r="AX1145" s="4"/>
      <c r="AY1145" s="4"/>
      <c r="AZ1145" s="4"/>
      <c r="BA1145" s="4"/>
      <c r="BB1145" s="4"/>
      <c r="BC1145" s="4"/>
      <c r="BD1145" s="4"/>
      <c r="BE1145" s="4"/>
      <c r="BF1145" s="4"/>
      <c r="BG1145" s="4"/>
      <c r="BH1145" s="4"/>
      <c r="BI1145" s="4"/>
      <c r="BJ1145" s="4"/>
      <c r="BK1145" s="4"/>
      <c r="BL1145" s="4"/>
      <c r="BM1145" s="4"/>
      <c r="BN1145" s="4"/>
      <c r="BO1145" s="4"/>
      <c r="BP1145" s="4"/>
      <c r="BQ1145" s="4"/>
      <c r="BR1145" s="4"/>
      <c r="BS1145" s="4"/>
      <c r="BT1145" s="4"/>
      <c r="BU1145" s="4"/>
      <c r="BV1145" s="4"/>
      <c r="BW1145" s="4"/>
      <c r="BX1145" s="4"/>
      <c r="BY1145" s="4"/>
      <c r="BZ1145" s="4"/>
      <c r="CA1145" s="4"/>
      <c r="CB1145" s="4"/>
      <c r="CC1145" s="4"/>
      <c r="CD1145" s="4"/>
      <c r="CE1145" s="4"/>
      <c r="CF1145" s="4"/>
      <c r="CG1145" s="4"/>
      <c r="CH1145" s="4"/>
    </row>
    <row r="1146" spans="1:86" x14ac:dyDescent="0.25">
      <c r="A1146" s="4"/>
      <c r="B1146" s="4"/>
      <c r="C1146" s="4"/>
      <c r="D1146" s="4"/>
      <c r="E1146" s="4"/>
      <c r="F1146" s="14"/>
      <c r="G1146" s="14"/>
      <c r="H1146" s="14"/>
      <c r="I1146" s="5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  <c r="AA1146" s="4"/>
      <c r="AB1146" s="4"/>
      <c r="AC1146" s="4"/>
      <c r="AD1146" s="4"/>
      <c r="AE1146" s="4"/>
      <c r="AF1146" s="4"/>
      <c r="AG1146" s="4"/>
      <c r="AH1146" s="4"/>
      <c r="AI1146" s="4"/>
      <c r="AJ1146" s="4"/>
      <c r="AK1146" s="4"/>
      <c r="AL1146" s="4"/>
      <c r="AM1146" s="4"/>
      <c r="AN1146" s="4"/>
      <c r="AO1146" s="4"/>
      <c r="AP1146" s="4"/>
      <c r="AQ1146" s="4"/>
      <c r="AR1146" s="4"/>
      <c r="AS1146" s="4"/>
      <c r="AT1146" s="4"/>
      <c r="AU1146" s="4"/>
      <c r="AV1146" s="4"/>
      <c r="AW1146" s="4"/>
      <c r="AX1146" s="4"/>
      <c r="AY1146" s="4"/>
      <c r="AZ1146" s="4"/>
      <c r="BA1146" s="4"/>
      <c r="BB1146" s="4"/>
      <c r="BC1146" s="4"/>
      <c r="BD1146" s="4"/>
      <c r="BE1146" s="4"/>
      <c r="BF1146" s="4"/>
      <c r="BG1146" s="4"/>
      <c r="BH1146" s="4"/>
      <c r="BI1146" s="4"/>
      <c r="BJ1146" s="4"/>
      <c r="BK1146" s="4"/>
      <c r="BL1146" s="4"/>
      <c r="BM1146" s="4"/>
      <c r="BN1146" s="4"/>
      <c r="BO1146" s="4"/>
      <c r="BP1146" s="4"/>
      <c r="BQ1146" s="4"/>
      <c r="BR1146" s="4"/>
      <c r="BS1146" s="4"/>
      <c r="BT1146" s="4"/>
      <c r="BU1146" s="4"/>
      <c r="BV1146" s="4"/>
      <c r="BW1146" s="4"/>
      <c r="BX1146" s="4"/>
      <c r="BY1146" s="4"/>
      <c r="BZ1146" s="4"/>
      <c r="CA1146" s="4"/>
      <c r="CB1146" s="4"/>
      <c r="CC1146" s="4"/>
      <c r="CD1146" s="4"/>
      <c r="CE1146" s="4"/>
      <c r="CF1146" s="4"/>
      <c r="CG1146" s="4"/>
      <c r="CH1146" s="4"/>
    </row>
    <row r="1147" spans="1:86" x14ac:dyDescent="0.25">
      <c r="A1147" s="4"/>
      <c r="B1147" s="4"/>
      <c r="C1147" s="4"/>
      <c r="D1147" s="4"/>
      <c r="E1147" s="4"/>
      <c r="F1147" s="14"/>
      <c r="G1147" s="14"/>
      <c r="H1147" s="14"/>
      <c r="I1147" s="5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  <c r="AA1147" s="4"/>
      <c r="AB1147" s="4"/>
      <c r="AC1147" s="4"/>
      <c r="AD1147" s="4"/>
      <c r="AE1147" s="4"/>
      <c r="AF1147" s="4"/>
      <c r="AG1147" s="4"/>
      <c r="AH1147" s="4"/>
      <c r="AI1147" s="4"/>
      <c r="AJ1147" s="4"/>
      <c r="AK1147" s="4"/>
      <c r="AL1147" s="4"/>
      <c r="AM1147" s="4"/>
      <c r="AN1147" s="4"/>
      <c r="AO1147" s="4"/>
      <c r="AP1147" s="4"/>
      <c r="AQ1147" s="4"/>
      <c r="AR1147" s="4"/>
      <c r="AS1147" s="4"/>
      <c r="AT1147" s="4"/>
      <c r="AU1147" s="4"/>
      <c r="AV1147" s="4"/>
      <c r="AW1147" s="4"/>
      <c r="AX1147" s="4"/>
      <c r="AY1147" s="4"/>
      <c r="AZ1147" s="4"/>
      <c r="BA1147" s="4"/>
      <c r="BB1147" s="4"/>
      <c r="BC1147" s="4"/>
      <c r="BD1147" s="4"/>
      <c r="BE1147" s="4"/>
      <c r="BF1147" s="4"/>
      <c r="BG1147" s="4"/>
      <c r="BH1147" s="4"/>
      <c r="BI1147" s="4"/>
      <c r="BJ1147" s="4"/>
      <c r="BK1147" s="4"/>
      <c r="BL1147" s="4"/>
      <c r="BM1147" s="4"/>
      <c r="BN1147" s="4"/>
      <c r="BO1147" s="4"/>
      <c r="BP1147" s="4"/>
      <c r="BQ1147" s="4"/>
      <c r="BR1147" s="4"/>
      <c r="BS1147" s="4"/>
      <c r="BT1147" s="4"/>
      <c r="BU1147" s="4"/>
      <c r="BV1147" s="4"/>
      <c r="BW1147" s="4"/>
      <c r="BX1147" s="4"/>
      <c r="BY1147" s="4"/>
      <c r="BZ1147" s="4"/>
      <c r="CA1147" s="4"/>
      <c r="CB1147" s="4"/>
      <c r="CC1147" s="4"/>
      <c r="CD1147" s="4"/>
      <c r="CE1147" s="4"/>
      <c r="CF1147" s="4"/>
      <c r="CG1147" s="4"/>
      <c r="CH1147" s="4"/>
    </row>
    <row r="1148" spans="1:86" x14ac:dyDescent="0.25">
      <c r="A1148" s="4"/>
      <c r="B1148" s="4"/>
      <c r="C1148" s="4"/>
      <c r="D1148" s="4"/>
      <c r="E1148" s="4"/>
      <c r="F1148" s="14"/>
      <c r="G1148" s="14"/>
      <c r="H1148" s="14"/>
      <c r="I1148" s="5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  <c r="AA1148" s="4"/>
      <c r="AB1148" s="4"/>
      <c r="AC1148" s="4"/>
      <c r="AD1148" s="4"/>
      <c r="AE1148" s="4"/>
      <c r="AF1148" s="4"/>
      <c r="AG1148" s="4"/>
      <c r="AH1148" s="4"/>
      <c r="AI1148" s="4"/>
      <c r="AJ1148" s="4"/>
      <c r="AK1148" s="4"/>
      <c r="AL1148" s="4"/>
      <c r="AM1148" s="4"/>
      <c r="AN1148" s="4"/>
      <c r="AO1148" s="4"/>
      <c r="AP1148" s="4"/>
      <c r="AQ1148" s="4"/>
      <c r="AR1148" s="4"/>
      <c r="AS1148" s="4"/>
      <c r="AT1148" s="4"/>
      <c r="AU1148" s="4"/>
      <c r="AV1148" s="4"/>
      <c r="AW1148" s="4"/>
      <c r="AX1148" s="4"/>
      <c r="AY1148" s="4"/>
      <c r="AZ1148" s="4"/>
      <c r="BA1148" s="4"/>
      <c r="BB1148" s="4"/>
      <c r="BC1148" s="4"/>
      <c r="BD1148" s="4"/>
      <c r="BE1148" s="4"/>
      <c r="BF1148" s="4"/>
      <c r="BG1148" s="4"/>
      <c r="BH1148" s="4"/>
      <c r="BI1148" s="4"/>
      <c r="BJ1148" s="4"/>
      <c r="BK1148" s="4"/>
      <c r="BL1148" s="4"/>
      <c r="BM1148" s="4"/>
      <c r="BN1148" s="4"/>
      <c r="BO1148" s="4"/>
      <c r="BP1148" s="4"/>
      <c r="BQ1148" s="4"/>
      <c r="BR1148" s="4"/>
      <c r="BS1148" s="4"/>
      <c r="BT1148" s="4"/>
      <c r="BU1148" s="4"/>
      <c r="BV1148" s="4"/>
      <c r="BW1148" s="4"/>
      <c r="BX1148" s="4"/>
      <c r="BY1148" s="4"/>
      <c r="BZ1148" s="4"/>
      <c r="CA1148" s="4"/>
      <c r="CB1148" s="4"/>
      <c r="CC1148" s="4"/>
      <c r="CD1148" s="4"/>
      <c r="CE1148" s="4"/>
      <c r="CF1148" s="4"/>
      <c r="CG1148" s="4"/>
      <c r="CH1148" s="4"/>
    </row>
    <row r="1149" spans="1:86" x14ac:dyDescent="0.25">
      <c r="A1149" s="4"/>
      <c r="B1149" s="4"/>
      <c r="C1149" s="4"/>
      <c r="D1149" s="4"/>
      <c r="E1149" s="4"/>
      <c r="F1149" s="14"/>
      <c r="G1149" s="14"/>
      <c r="H1149" s="14"/>
      <c r="I1149" s="5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  <c r="AA1149" s="4"/>
      <c r="AB1149" s="4"/>
      <c r="AC1149" s="4"/>
      <c r="AD1149" s="4"/>
      <c r="AE1149" s="4"/>
      <c r="AF1149" s="4"/>
      <c r="AG1149" s="4"/>
      <c r="AH1149" s="4"/>
      <c r="AI1149" s="4"/>
      <c r="AJ1149" s="4"/>
      <c r="AK1149" s="4"/>
      <c r="AL1149" s="4"/>
      <c r="AM1149" s="4"/>
      <c r="AN1149" s="4"/>
      <c r="AO1149" s="4"/>
      <c r="AP1149" s="4"/>
      <c r="AQ1149" s="4"/>
      <c r="AR1149" s="4"/>
      <c r="AS1149" s="4"/>
      <c r="AT1149" s="4"/>
      <c r="AU1149" s="4"/>
      <c r="AV1149" s="4"/>
      <c r="AW1149" s="4"/>
      <c r="AX1149" s="4"/>
      <c r="AY1149" s="4"/>
      <c r="AZ1149" s="4"/>
      <c r="BA1149" s="4"/>
      <c r="BB1149" s="4"/>
      <c r="BC1149" s="4"/>
      <c r="BD1149" s="4"/>
      <c r="BE1149" s="4"/>
      <c r="BF1149" s="4"/>
      <c r="BG1149" s="4"/>
      <c r="BH1149" s="4"/>
      <c r="BI1149" s="4"/>
      <c r="BJ1149" s="4"/>
      <c r="BK1149" s="4"/>
      <c r="BL1149" s="4"/>
      <c r="BM1149" s="4"/>
      <c r="BN1149" s="4"/>
      <c r="BO1149" s="4"/>
      <c r="BP1149" s="4"/>
      <c r="BQ1149" s="4"/>
      <c r="BR1149" s="4"/>
      <c r="BS1149" s="4"/>
      <c r="BT1149" s="4"/>
      <c r="BU1149" s="4"/>
      <c r="BV1149" s="4"/>
      <c r="BW1149" s="4"/>
      <c r="BX1149" s="4"/>
      <c r="BY1149" s="4"/>
      <c r="BZ1149" s="4"/>
      <c r="CA1149" s="4"/>
      <c r="CB1149" s="4"/>
      <c r="CC1149" s="4"/>
      <c r="CD1149" s="4"/>
      <c r="CE1149" s="4"/>
      <c r="CF1149" s="4"/>
      <c r="CG1149" s="4"/>
      <c r="CH1149" s="4"/>
    </row>
    <row r="1150" spans="1:86" x14ac:dyDescent="0.25">
      <c r="A1150" s="4"/>
      <c r="B1150" s="4"/>
      <c r="C1150" s="4"/>
      <c r="D1150" s="4"/>
      <c r="E1150" s="4"/>
      <c r="F1150" s="14"/>
      <c r="G1150" s="14"/>
      <c r="H1150" s="14"/>
      <c r="I1150" s="5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  <c r="AA1150" s="4"/>
      <c r="AB1150" s="4"/>
      <c r="AC1150" s="4"/>
      <c r="AD1150" s="4"/>
      <c r="AE1150" s="4"/>
      <c r="AF1150" s="4"/>
      <c r="AG1150" s="4"/>
      <c r="AH1150" s="4"/>
      <c r="AI1150" s="4"/>
      <c r="AJ1150" s="4"/>
      <c r="AK1150" s="4"/>
      <c r="AL1150" s="4"/>
      <c r="AM1150" s="4"/>
      <c r="AN1150" s="4"/>
      <c r="AO1150" s="4"/>
      <c r="AP1150" s="4"/>
      <c r="AQ1150" s="4"/>
      <c r="AR1150" s="4"/>
      <c r="AS1150" s="4"/>
      <c r="AT1150" s="4"/>
      <c r="AU1150" s="4"/>
      <c r="AV1150" s="4"/>
      <c r="AW1150" s="4"/>
      <c r="AX1150" s="4"/>
      <c r="AY1150" s="4"/>
      <c r="AZ1150" s="4"/>
      <c r="BA1150" s="4"/>
      <c r="BB1150" s="4"/>
      <c r="BC1150" s="4"/>
      <c r="BD1150" s="4"/>
      <c r="BE1150" s="4"/>
      <c r="BF1150" s="4"/>
      <c r="BG1150" s="4"/>
      <c r="BH1150" s="4"/>
      <c r="BI1150" s="4"/>
      <c r="BJ1150" s="4"/>
      <c r="BK1150" s="4"/>
      <c r="BL1150" s="4"/>
      <c r="BM1150" s="4"/>
      <c r="BN1150" s="4"/>
      <c r="BO1150" s="4"/>
      <c r="BP1150" s="4"/>
      <c r="BQ1150" s="4"/>
      <c r="BR1150" s="4"/>
      <c r="BS1150" s="4"/>
      <c r="BT1150" s="4"/>
      <c r="BU1150" s="4"/>
      <c r="BV1150" s="4"/>
      <c r="BW1150" s="4"/>
      <c r="BX1150" s="4"/>
      <c r="BY1150" s="4"/>
      <c r="BZ1150" s="4"/>
      <c r="CA1150" s="4"/>
      <c r="CB1150" s="4"/>
      <c r="CC1150" s="4"/>
      <c r="CD1150" s="4"/>
      <c r="CE1150" s="4"/>
      <c r="CF1150" s="4"/>
      <c r="CG1150" s="4"/>
      <c r="CH1150" s="4"/>
    </row>
    <row r="1151" spans="1:86" x14ac:dyDescent="0.25">
      <c r="A1151" s="4"/>
      <c r="B1151" s="4"/>
      <c r="C1151" s="4"/>
      <c r="D1151" s="4"/>
      <c r="E1151" s="4"/>
      <c r="F1151" s="14"/>
      <c r="G1151" s="14"/>
      <c r="H1151" s="14"/>
      <c r="I1151" s="5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  <c r="AA1151" s="4"/>
      <c r="AB1151" s="4"/>
      <c r="AC1151" s="4"/>
      <c r="AD1151" s="4"/>
      <c r="AE1151" s="4"/>
      <c r="AF1151" s="4"/>
      <c r="AG1151" s="4"/>
      <c r="AH1151" s="4"/>
      <c r="AI1151" s="4"/>
      <c r="AJ1151" s="4"/>
      <c r="AK1151" s="4"/>
      <c r="AL1151" s="4"/>
      <c r="AM1151" s="4"/>
      <c r="AN1151" s="4"/>
      <c r="AO1151" s="4"/>
      <c r="AP1151" s="4"/>
      <c r="AQ1151" s="4"/>
      <c r="AR1151" s="4"/>
      <c r="AS1151" s="4"/>
      <c r="AT1151" s="4"/>
      <c r="AU1151" s="4"/>
      <c r="AV1151" s="4"/>
      <c r="AW1151" s="4"/>
      <c r="AX1151" s="4"/>
      <c r="AY1151" s="4"/>
      <c r="AZ1151" s="4"/>
      <c r="BA1151" s="4"/>
      <c r="BB1151" s="4"/>
      <c r="BC1151" s="4"/>
      <c r="BD1151" s="4"/>
      <c r="BE1151" s="4"/>
      <c r="BF1151" s="4"/>
      <c r="BG1151" s="4"/>
      <c r="BH1151" s="4"/>
      <c r="BI1151" s="4"/>
      <c r="BJ1151" s="4"/>
      <c r="BK1151" s="4"/>
      <c r="BL1151" s="4"/>
      <c r="BM1151" s="4"/>
      <c r="BN1151" s="4"/>
      <c r="BO1151" s="4"/>
      <c r="BP1151" s="4"/>
      <c r="BQ1151" s="4"/>
      <c r="BR1151" s="4"/>
      <c r="BS1151" s="4"/>
      <c r="BT1151" s="4"/>
      <c r="BU1151" s="4"/>
      <c r="BV1151" s="4"/>
      <c r="BW1151" s="4"/>
      <c r="BX1151" s="4"/>
      <c r="BY1151" s="4"/>
      <c r="BZ1151" s="4"/>
      <c r="CA1151" s="4"/>
      <c r="CB1151" s="4"/>
      <c r="CC1151" s="4"/>
      <c r="CD1151" s="4"/>
      <c r="CE1151" s="4"/>
      <c r="CF1151" s="4"/>
      <c r="CG1151" s="4"/>
      <c r="CH1151" s="4"/>
    </row>
    <row r="1152" spans="1:86" x14ac:dyDescent="0.25">
      <c r="A1152" s="4"/>
      <c r="B1152" s="4"/>
      <c r="C1152" s="4"/>
      <c r="D1152" s="4"/>
      <c r="E1152" s="4"/>
      <c r="F1152" s="14"/>
      <c r="G1152" s="14"/>
      <c r="H1152" s="14"/>
      <c r="I1152" s="5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  <c r="AA1152" s="4"/>
      <c r="AB1152" s="4"/>
      <c r="AC1152" s="4"/>
      <c r="AD1152" s="4"/>
      <c r="AE1152" s="4"/>
      <c r="AF1152" s="4"/>
      <c r="AG1152" s="4"/>
      <c r="AH1152" s="4"/>
      <c r="AI1152" s="4"/>
      <c r="AJ1152" s="4"/>
      <c r="AK1152" s="4"/>
      <c r="AL1152" s="4"/>
      <c r="AM1152" s="4"/>
      <c r="AN1152" s="4"/>
      <c r="AO1152" s="4"/>
      <c r="AP1152" s="4"/>
      <c r="AQ1152" s="4"/>
      <c r="AR1152" s="4"/>
      <c r="AS1152" s="4"/>
      <c r="AT1152" s="4"/>
      <c r="AU1152" s="4"/>
      <c r="AV1152" s="4"/>
      <c r="AW1152" s="4"/>
      <c r="AX1152" s="4"/>
      <c r="AY1152" s="4"/>
      <c r="AZ1152" s="4"/>
      <c r="BA1152" s="4"/>
      <c r="BB1152" s="4"/>
      <c r="BC1152" s="4"/>
      <c r="BD1152" s="4"/>
      <c r="BE1152" s="4"/>
      <c r="BF1152" s="4"/>
      <c r="BG1152" s="4"/>
      <c r="BH1152" s="4"/>
      <c r="BI1152" s="4"/>
      <c r="BJ1152" s="4"/>
      <c r="BK1152" s="4"/>
      <c r="BL1152" s="4"/>
      <c r="BM1152" s="4"/>
      <c r="BN1152" s="4"/>
      <c r="BO1152" s="4"/>
      <c r="BP1152" s="4"/>
      <c r="BQ1152" s="4"/>
      <c r="BR1152" s="4"/>
      <c r="BS1152" s="4"/>
      <c r="BT1152" s="4"/>
      <c r="BU1152" s="4"/>
      <c r="BV1152" s="4"/>
      <c r="BW1152" s="4"/>
      <c r="BX1152" s="4"/>
      <c r="BY1152" s="4"/>
      <c r="BZ1152" s="4"/>
      <c r="CA1152" s="4"/>
      <c r="CB1152" s="4"/>
      <c r="CC1152" s="4"/>
      <c r="CD1152" s="4"/>
      <c r="CE1152" s="4"/>
      <c r="CF1152" s="4"/>
      <c r="CG1152" s="4"/>
      <c r="CH1152" s="4"/>
    </row>
    <row r="1153" spans="1:86" x14ac:dyDescent="0.25">
      <c r="A1153" s="4"/>
      <c r="B1153" s="4"/>
      <c r="C1153" s="4"/>
      <c r="D1153" s="4"/>
      <c r="E1153" s="4"/>
      <c r="F1153" s="14"/>
      <c r="G1153" s="14"/>
      <c r="H1153" s="14"/>
      <c r="I1153" s="5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  <c r="AA1153" s="4"/>
      <c r="AB1153" s="4"/>
      <c r="AC1153" s="4"/>
      <c r="AD1153" s="4"/>
      <c r="AE1153" s="4"/>
      <c r="AF1153" s="4"/>
      <c r="AG1153" s="4"/>
      <c r="AH1153" s="4"/>
      <c r="AI1153" s="4"/>
      <c r="AJ1153" s="4"/>
      <c r="AK1153" s="4"/>
      <c r="AL1153" s="4"/>
      <c r="AM1153" s="4"/>
      <c r="AN1153" s="4"/>
      <c r="AO1153" s="4"/>
      <c r="AP1153" s="4"/>
      <c r="AQ1153" s="4"/>
      <c r="AR1153" s="4"/>
      <c r="AS1153" s="4"/>
      <c r="AT1153" s="4"/>
      <c r="AU1153" s="4"/>
      <c r="AV1153" s="4"/>
      <c r="AW1153" s="4"/>
      <c r="AX1153" s="4"/>
      <c r="AY1153" s="4"/>
      <c r="AZ1153" s="4"/>
      <c r="BA1153" s="4"/>
      <c r="BB1153" s="4"/>
      <c r="BC1153" s="4"/>
      <c r="BD1153" s="4"/>
      <c r="BE1153" s="4"/>
      <c r="BF1153" s="4"/>
      <c r="BG1153" s="4"/>
      <c r="BH1153" s="4"/>
      <c r="BI1153" s="4"/>
      <c r="BJ1153" s="4"/>
      <c r="BK1153" s="4"/>
      <c r="BL1153" s="4"/>
      <c r="BM1153" s="4"/>
      <c r="BN1153" s="4"/>
      <c r="BO1153" s="4"/>
      <c r="BP1153" s="4"/>
      <c r="BQ1153" s="4"/>
      <c r="BR1153" s="4"/>
      <c r="BS1153" s="4"/>
      <c r="BT1153" s="4"/>
      <c r="BU1153" s="4"/>
      <c r="BV1153" s="4"/>
      <c r="BW1153" s="4"/>
      <c r="BX1153" s="4"/>
      <c r="BY1153" s="4"/>
      <c r="BZ1153" s="4"/>
      <c r="CA1153" s="4"/>
      <c r="CB1153" s="4"/>
      <c r="CC1153" s="4"/>
      <c r="CD1153" s="4"/>
      <c r="CE1153" s="4"/>
      <c r="CF1153" s="4"/>
      <c r="CG1153" s="4"/>
      <c r="CH1153" s="4"/>
    </row>
    <row r="1154" spans="1:86" x14ac:dyDescent="0.25">
      <c r="A1154" s="4"/>
      <c r="B1154" s="4"/>
      <c r="C1154" s="4"/>
      <c r="D1154" s="4"/>
      <c r="E1154" s="4"/>
      <c r="F1154" s="14"/>
      <c r="G1154" s="14"/>
      <c r="H1154" s="14"/>
      <c r="I1154" s="5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  <c r="AA1154" s="4"/>
      <c r="AB1154" s="4"/>
      <c r="AC1154" s="4"/>
      <c r="AD1154" s="4"/>
      <c r="AE1154" s="4"/>
      <c r="AF1154" s="4"/>
      <c r="AG1154" s="4"/>
      <c r="AH1154" s="4"/>
      <c r="AI1154" s="4"/>
      <c r="AJ1154" s="4"/>
      <c r="AK1154" s="4"/>
      <c r="AL1154" s="4"/>
      <c r="AM1154" s="4"/>
      <c r="AN1154" s="4"/>
      <c r="AO1154" s="4"/>
      <c r="AP1154" s="4"/>
      <c r="AQ1154" s="4"/>
      <c r="AR1154" s="4"/>
      <c r="AS1154" s="4"/>
      <c r="AT1154" s="4"/>
      <c r="AU1154" s="4"/>
      <c r="AV1154" s="4"/>
      <c r="AW1154" s="4"/>
      <c r="AX1154" s="4"/>
      <c r="AY1154" s="4"/>
      <c r="AZ1154" s="4"/>
      <c r="BA1154" s="4"/>
      <c r="BB1154" s="4"/>
      <c r="BC1154" s="4"/>
      <c r="BD1154" s="4"/>
      <c r="BE1154" s="4"/>
      <c r="BF1154" s="4"/>
      <c r="BG1154" s="4"/>
      <c r="BH1154" s="4"/>
      <c r="BI1154" s="4"/>
      <c r="BJ1154" s="4"/>
      <c r="BK1154" s="4"/>
      <c r="BL1154" s="4"/>
      <c r="BM1154" s="4"/>
      <c r="BN1154" s="4"/>
      <c r="BO1154" s="4"/>
      <c r="BP1154" s="4"/>
      <c r="BQ1154" s="4"/>
      <c r="BR1154" s="4"/>
      <c r="BS1154" s="4"/>
      <c r="BT1154" s="4"/>
      <c r="BU1154" s="4"/>
      <c r="BV1154" s="4"/>
      <c r="BW1154" s="4"/>
      <c r="BX1154" s="4"/>
      <c r="BY1154" s="4"/>
      <c r="BZ1154" s="4"/>
      <c r="CA1154" s="4"/>
      <c r="CB1154" s="4"/>
      <c r="CC1154" s="4"/>
      <c r="CD1154" s="4"/>
      <c r="CE1154" s="4"/>
      <c r="CF1154" s="4"/>
      <c r="CG1154" s="4"/>
      <c r="CH1154" s="4"/>
    </row>
    <row r="1155" spans="1:86" x14ac:dyDescent="0.25">
      <c r="A1155" s="4"/>
      <c r="B1155" s="4"/>
      <c r="C1155" s="4"/>
      <c r="D1155" s="4"/>
      <c r="E1155" s="4"/>
      <c r="F1155" s="14"/>
      <c r="G1155" s="14"/>
      <c r="H1155" s="14"/>
      <c r="I1155" s="5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  <c r="AA1155" s="4"/>
      <c r="AB1155" s="4"/>
      <c r="AC1155" s="4"/>
      <c r="AD1155" s="4"/>
      <c r="AE1155" s="4"/>
      <c r="AF1155" s="4"/>
      <c r="AG1155" s="4"/>
      <c r="AH1155" s="4"/>
      <c r="AI1155" s="4"/>
      <c r="AJ1155" s="4"/>
      <c r="AK1155" s="4"/>
      <c r="AL1155" s="4"/>
      <c r="AM1155" s="4"/>
      <c r="AN1155" s="4"/>
      <c r="AO1155" s="4"/>
      <c r="AP1155" s="4"/>
      <c r="AQ1155" s="4"/>
      <c r="AR1155" s="4"/>
      <c r="AS1155" s="4"/>
      <c r="AT1155" s="4"/>
      <c r="AU1155" s="4"/>
      <c r="AV1155" s="4"/>
      <c r="AW1155" s="4"/>
      <c r="AX1155" s="4"/>
      <c r="AY1155" s="4"/>
      <c r="AZ1155" s="4"/>
      <c r="BA1155" s="4"/>
      <c r="BB1155" s="4"/>
      <c r="BC1155" s="4"/>
      <c r="BD1155" s="4"/>
      <c r="BE1155" s="4"/>
      <c r="BF1155" s="4"/>
      <c r="BG1155" s="4"/>
      <c r="BH1155" s="4"/>
      <c r="BI1155" s="4"/>
      <c r="BJ1155" s="4"/>
      <c r="BK1155" s="4"/>
      <c r="BL1155" s="4"/>
      <c r="BM1155" s="4"/>
      <c r="BN1155" s="4"/>
      <c r="BO1155" s="4"/>
      <c r="BP1155" s="4"/>
      <c r="BQ1155" s="4"/>
      <c r="BR1155" s="4"/>
      <c r="BS1155" s="4"/>
      <c r="BT1155" s="4"/>
      <c r="BU1155" s="4"/>
      <c r="BV1155" s="4"/>
      <c r="BW1155" s="4"/>
      <c r="BX1155" s="4"/>
      <c r="BY1155" s="4"/>
      <c r="BZ1155" s="4"/>
      <c r="CA1155" s="4"/>
      <c r="CB1155" s="4"/>
      <c r="CC1155" s="4"/>
      <c r="CD1155" s="4"/>
      <c r="CE1155" s="4"/>
      <c r="CF1155" s="4"/>
      <c r="CG1155" s="4"/>
      <c r="CH1155" s="4"/>
    </row>
    <row r="1156" spans="1:86" x14ac:dyDescent="0.25">
      <c r="A1156" s="4"/>
      <c r="B1156" s="4"/>
      <c r="C1156" s="4"/>
      <c r="D1156" s="4"/>
      <c r="E1156" s="4"/>
      <c r="F1156" s="14"/>
      <c r="G1156" s="14"/>
      <c r="H1156" s="14"/>
      <c r="I1156" s="5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  <c r="AA1156" s="4"/>
      <c r="AB1156" s="4"/>
      <c r="AC1156" s="4"/>
      <c r="AD1156" s="4"/>
      <c r="AE1156" s="4"/>
      <c r="AF1156" s="4"/>
      <c r="AG1156" s="4"/>
      <c r="AH1156" s="4"/>
      <c r="AI1156" s="4"/>
      <c r="AJ1156" s="4"/>
      <c r="AK1156" s="4"/>
      <c r="AL1156" s="4"/>
      <c r="AM1156" s="4"/>
      <c r="AN1156" s="4"/>
      <c r="AO1156" s="4"/>
      <c r="AP1156" s="4"/>
      <c r="AQ1156" s="4"/>
      <c r="AR1156" s="4"/>
      <c r="AS1156" s="4"/>
      <c r="AT1156" s="4"/>
      <c r="AU1156" s="4"/>
      <c r="AV1156" s="4"/>
      <c r="AW1156" s="4"/>
      <c r="AX1156" s="4"/>
      <c r="AY1156" s="4"/>
      <c r="AZ1156" s="4"/>
      <c r="BA1156" s="4"/>
      <c r="BB1156" s="4"/>
      <c r="BC1156" s="4"/>
      <c r="BD1156" s="4"/>
      <c r="BE1156" s="4"/>
      <c r="BF1156" s="4"/>
      <c r="BG1156" s="4"/>
      <c r="BH1156" s="4"/>
      <c r="BI1156" s="4"/>
      <c r="BJ1156" s="4"/>
      <c r="BK1156" s="4"/>
      <c r="BL1156" s="4"/>
      <c r="BM1156" s="4"/>
      <c r="BN1156" s="4"/>
      <c r="BO1156" s="4"/>
      <c r="BP1156" s="4"/>
      <c r="BQ1156" s="4"/>
      <c r="BR1156" s="4"/>
      <c r="BS1156" s="4"/>
      <c r="BT1156" s="4"/>
      <c r="BU1156" s="4"/>
      <c r="BV1156" s="4"/>
      <c r="BW1156" s="4"/>
      <c r="BX1156" s="4"/>
      <c r="BY1156" s="4"/>
      <c r="BZ1156" s="4"/>
      <c r="CA1156" s="4"/>
      <c r="CB1156" s="4"/>
      <c r="CC1156" s="4"/>
      <c r="CD1156" s="4"/>
      <c r="CE1156" s="4"/>
      <c r="CF1156" s="4"/>
      <c r="CG1156" s="4"/>
      <c r="CH1156" s="4"/>
    </row>
    <row r="1157" spans="1:86" x14ac:dyDescent="0.25">
      <c r="A1157" s="4"/>
      <c r="B1157" s="4"/>
      <c r="C1157" s="4"/>
      <c r="D1157" s="4"/>
      <c r="E1157" s="4"/>
      <c r="F1157" s="14"/>
      <c r="G1157" s="14"/>
      <c r="H1157" s="14"/>
      <c r="I1157" s="5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  <c r="AA1157" s="4"/>
      <c r="AB1157" s="4"/>
      <c r="AC1157" s="4"/>
      <c r="AD1157" s="4"/>
      <c r="AE1157" s="4"/>
      <c r="AF1157" s="4"/>
      <c r="AG1157" s="4"/>
      <c r="AH1157" s="4"/>
      <c r="AI1157" s="4"/>
      <c r="AJ1157" s="4"/>
      <c r="AK1157" s="4"/>
      <c r="AL1157" s="4"/>
      <c r="AM1157" s="4"/>
      <c r="AN1157" s="4"/>
      <c r="AO1157" s="4"/>
      <c r="AP1157" s="4"/>
      <c r="AQ1157" s="4"/>
      <c r="AR1157" s="4"/>
      <c r="AS1157" s="4"/>
      <c r="AT1157" s="4"/>
      <c r="AU1157" s="4"/>
      <c r="AV1157" s="4"/>
      <c r="AW1157" s="4"/>
      <c r="AX1157" s="4"/>
      <c r="AY1157" s="4"/>
      <c r="AZ1157" s="4"/>
      <c r="BA1157" s="4"/>
      <c r="BB1157" s="4"/>
      <c r="BC1157" s="4"/>
      <c r="BD1157" s="4"/>
      <c r="BE1157" s="4"/>
      <c r="BF1157" s="4"/>
      <c r="BG1157" s="4"/>
      <c r="BH1157" s="4"/>
      <c r="BI1157" s="4"/>
      <c r="BJ1157" s="4"/>
      <c r="BK1157" s="4"/>
      <c r="BL1157" s="4"/>
      <c r="BM1157" s="4"/>
      <c r="BN1157" s="4"/>
      <c r="BO1157" s="4"/>
      <c r="BP1157" s="4"/>
      <c r="BQ1157" s="4"/>
      <c r="BR1157" s="4"/>
      <c r="BS1157" s="4"/>
      <c r="BT1157" s="4"/>
      <c r="BU1157" s="4"/>
      <c r="BV1157" s="4"/>
      <c r="BW1157" s="4"/>
      <c r="BX1157" s="4"/>
      <c r="BY1157" s="4"/>
      <c r="BZ1157" s="4"/>
      <c r="CA1157" s="4"/>
      <c r="CB1157" s="4"/>
      <c r="CC1157" s="4"/>
      <c r="CD1157" s="4"/>
      <c r="CE1157" s="4"/>
      <c r="CF1157" s="4"/>
      <c r="CG1157" s="4"/>
      <c r="CH1157" s="4"/>
    </row>
    <row r="1158" spans="1:86" x14ac:dyDescent="0.25">
      <c r="A1158" s="4"/>
      <c r="B1158" s="4"/>
      <c r="C1158" s="4"/>
      <c r="D1158" s="4"/>
      <c r="E1158" s="4"/>
      <c r="F1158" s="14"/>
      <c r="G1158" s="14"/>
      <c r="H1158" s="14"/>
      <c r="I1158" s="5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  <c r="AA1158" s="4"/>
      <c r="AB1158" s="4"/>
      <c r="AC1158" s="4"/>
      <c r="AD1158" s="4"/>
      <c r="AE1158" s="4"/>
      <c r="AF1158" s="4"/>
      <c r="AG1158" s="4"/>
      <c r="AH1158" s="4"/>
      <c r="AI1158" s="4"/>
      <c r="AJ1158" s="4"/>
      <c r="AK1158" s="4"/>
      <c r="AL1158" s="4"/>
      <c r="AM1158" s="4"/>
      <c r="AN1158" s="4"/>
      <c r="AO1158" s="4"/>
      <c r="AP1158" s="4"/>
      <c r="AQ1158" s="4"/>
      <c r="AR1158" s="4"/>
      <c r="AS1158" s="4"/>
      <c r="AT1158" s="4"/>
      <c r="AU1158" s="4"/>
      <c r="AV1158" s="4"/>
      <c r="AW1158" s="4"/>
      <c r="AX1158" s="4"/>
      <c r="AY1158" s="4"/>
      <c r="AZ1158" s="4"/>
      <c r="BA1158" s="4"/>
      <c r="BB1158" s="4"/>
      <c r="BC1158" s="4"/>
      <c r="BD1158" s="4"/>
      <c r="BE1158" s="4"/>
      <c r="BF1158" s="4"/>
      <c r="BG1158" s="4"/>
      <c r="BH1158" s="4"/>
      <c r="BI1158" s="4"/>
      <c r="BJ1158" s="4"/>
      <c r="BK1158" s="4"/>
      <c r="BL1158" s="4"/>
      <c r="BM1158" s="4"/>
      <c r="BN1158" s="4"/>
      <c r="BO1158" s="4"/>
      <c r="BP1158" s="4"/>
      <c r="BQ1158" s="4"/>
      <c r="BR1158" s="4"/>
      <c r="BS1158" s="4"/>
      <c r="BT1158" s="4"/>
      <c r="BU1158" s="4"/>
      <c r="BV1158" s="4"/>
      <c r="BW1158" s="4"/>
      <c r="BX1158" s="4"/>
      <c r="BY1158" s="4"/>
      <c r="BZ1158" s="4"/>
      <c r="CA1158" s="4"/>
      <c r="CB1158" s="4"/>
      <c r="CC1158" s="4"/>
      <c r="CD1158" s="4"/>
      <c r="CE1158" s="4"/>
      <c r="CF1158" s="4"/>
      <c r="CG1158" s="4"/>
      <c r="CH1158" s="4"/>
    </row>
    <row r="1159" spans="1:86" x14ac:dyDescent="0.25">
      <c r="A1159" s="4"/>
      <c r="B1159" s="4"/>
      <c r="C1159" s="4"/>
      <c r="D1159" s="4"/>
      <c r="E1159" s="4"/>
      <c r="F1159" s="14"/>
      <c r="G1159" s="14"/>
      <c r="H1159" s="14"/>
      <c r="I1159" s="5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  <c r="AA1159" s="4"/>
      <c r="AB1159" s="4"/>
      <c r="AC1159" s="4"/>
      <c r="AD1159" s="4"/>
      <c r="AE1159" s="4"/>
      <c r="AF1159" s="4"/>
      <c r="AG1159" s="4"/>
      <c r="AH1159" s="4"/>
      <c r="AI1159" s="4"/>
      <c r="AJ1159" s="4"/>
      <c r="AK1159" s="4"/>
      <c r="AL1159" s="4"/>
      <c r="AM1159" s="4"/>
      <c r="AN1159" s="4"/>
      <c r="AO1159" s="4"/>
      <c r="AP1159" s="4"/>
      <c r="AQ1159" s="4"/>
      <c r="AR1159" s="4"/>
      <c r="AS1159" s="4"/>
      <c r="AT1159" s="4"/>
      <c r="AU1159" s="4"/>
      <c r="AV1159" s="4"/>
      <c r="AW1159" s="4"/>
      <c r="AX1159" s="4"/>
      <c r="AY1159" s="4"/>
      <c r="AZ1159" s="4"/>
      <c r="BA1159" s="4"/>
      <c r="BB1159" s="4"/>
      <c r="BC1159" s="4"/>
      <c r="BD1159" s="4"/>
      <c r="BE1159" s="4"/>
      <c r="BF1159" s="4"/>
      <c r="BG1159" s="4"/>
      <c r="BH1159" s="4"/>
      <c r="BI1159" s="4"/>
      <c r="BJ1159" s="4"/>
      <c r="BK1159" s="4"/>
      <c r="BL1159" s="4"/>
      <c r="BM1159" s="4"/>
      <c r="BN1159" s="4"/>
      <c r="BO1159" s="4"/>
      <c r="BP1159" s="4"/>
      <c r="BQ1159" s="4"/>
      <c r="BR1159" s="4"/>
      <c r="BS1159" s="4"/>
      <c r="BT1159" s="4"/>
      <c r="BU1159" s="4"/>
      <c r="BV1159" s="4"/>
      <c r="BW1159" s="4"/>
      <c r="BX1159" s="4"/>
      <c r="BY1159" s="4"/>
      <c r="BZ1159" s="4"/>
      <c r="CA1159" s="4"/>
      <c r="CB1159" s="4"/>
      <c r="CC1159" s="4"/>
      <c r="CD1159" s="4"/>
      <c r="CE1159" s="4"/>
      <c r="CF1159" s="4"/>
      <c r="CG1159" s="4"/>
      <c r="CH1159" s="4"/>
    </row>
    <row r="1160" spans="1:86" x14ac:dyDescent="0.25">
      <c r="A1160" s="4"/>
      <c r="B1160" s="4"/>
      <c r="C1160" s="4"/>
      <c r="D1160" s="4"/>
      <c r="E1160" s="4"/>
      <c r="F1160" s="14"/>
      <c r="G1160" s="14"/>
      <c r="H1160" s="14"/>
      <c r="I1160" s="5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  <c r="AA1160" s="4"/>
      <c r="AB1160" s="4"/>
      <c r="AC1160" s="4"/>
      <c r="AD1160" s="4"/>
      <c r="AE1160" s="4"/>
      <c r="AF1160" s="4"/>
      <c r="AG1160" s="4"/>
      <c r="AH1160" s="4"/>
      <c r="AI1160" s="4"/>
      <c r="AJ1160" s="4"/>
      <c r="AK1160" s="4"/>
      <c r="AL1160" s="4"/>
      <c r="AM1160" s="4"/>
      <c r="AN1160" s="4"/>
      <c r="AO1160" s="4"/>
      <c r="AP1160" s="4"/>
      <c r="AQ1160" s="4"/>
      <c r="AR1160" s="4"/>
      <c r="AS1160" s="4"/>
      <c r="AT1160" s="4"/>
      <c r="AU1160" s="4"/>
      <c r="AV1160" s="4"/>
      <c r="AW1160" s="4"/>
      <c r="AX1160" s="4"/>
      <c r="AY1160" s="4"/>
      <c r="AZ1160" s="4"/>
      <c r="BA1160" s="4"/>
      <c r="BB1160" s="4"/>
      <c r="BC1160" s="4"/>
      <c r="BD1160" s="4"/>
      <c r="BE1160" s="4"/>
      <c r="BF1160" s="4"/>
      <c r="BG1160" s="4"/>
      <c r="BH1160" s="4"/>
      <c r="BI1160" s="4"/>
      <c r="BJ1160" s="4"/>
      <c r="BK1160" s="4"/>
      <c r="BL1160" s="4"/>
      <c r="BM1160" s="4"/>
      <c r="BN1160" s="4"/>
      <c r="BO1160" s="4"/>
      <c r="BP1160" s="4"/>
      <c r="BQ1160" s="4"/>
      <c r="BR1160" s="4"/>
      <c r="BS1160" s="4"/>
      <c r="BT1160" s="4"/>
      <c r="BU1160" s="4"/>
      <c r="BV1160" s="4"/>
      <c r="BW1160" s="4"/>
      <c r="BX1160" s="4"/>
      <c r="BY1160" s="4"/>
      <c r="BZ1160" s="4"/>
      <c r="CA1160" s="4"/>
      <c r="CB1160" s="4"/>
      <c r="CC1160" s="4"/>
      <c r="CD1160" s="4"/>
      <c r="CE1160" s="4"/>
      <c r="CF1160" s="4"/>
      <c r="CG1160" s="4"/>
      <c r="CH1160" s="4"/>
    </row>
    <row r="1161" spans="1:86" x14ac:dyDescent="0.25">
      <c r="A1161" s="4"/>
      <c r="B1161" s="4"/>
      <c r="C1161" s="4"/>
      <c r="D1161" s="4"/>
      <c r="E1161" s="4"/>
      <c r="F1161" s="14"/>
      <c r="G1161" s="14"/>
      <c r="H1161" s="14"/>
      <c r="I1161" s="5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  <c r="AA1161" s="4"/>
      <c r="AB1161" s="4"/>
      <c r="AC1161" s="4"/>
      <c r="AD1161" s="4"/>
      <c r="AE1161" s="4"/>
      <c r="AF1161" s="4"/>
      <c r="AG1161" s="4"/>
      <c r="AH1161" s="4"/>
      <c r="AI1161" s="4"/>
      <c r="AJ1161" s="4"/>
      <c r="AK1161" s="4"/>
      <c r="AL1161" s="4"/>
      <c r="AM1161" s="4"/>
      <c r="AN1161" s="4"/>
      <c r="AO1161" s="4"/>
      <c r="AP1161" s="4"/>
      <c r="AQ1161" s="4"/>
      <c r="AR1161" s="4"/>
      <c r="AS1161" s="4"/>
      <c r="AT1161" s="4"/>
      <c r="AU1161" s="4"/>
      <c r="AV1161" s="4"/>
      <c r="AW1161" s="4"/>
      <c r="AX1161" s="4"/>
      <c r="AY1161" s="4"/>
      <c r="AZ1161" s="4"/>
      <c r="BA1161" s="4"/>
      <c r="BB1161" s="4"/>
      <c r="BC1161" s="4"/>
      <c r="BD1161" s="4"/>
      <c r="BE1161" s="4"/>
      <c r="BF1161" s="4"/>
      <c r="BG1161" s="4"/>
      <c r="BH1161" s="4"/>
      <c r="BI1161" s="4"/>
      <c r="BJ1161" s="4"/>
      <c r="BK1161" s="4"/>
      <c r="BL1161" s="4"/>
      <c r="BM1161" s="4"/>
      <c r="BN1161" s="4"/>
      <c r="BO1161" s="4"/>
      <c r="BP1161" s="4"/>
      <c r="BQ1161" s="4"/>
      <c r="BR1161" s="4"/>
      <c r="BS1161" s="4"/>
      <c r="BT1161" s="4"/>
      <c r="BU1161" s="4"/>
      <c r="BV1161" s="4"/>
      <c r="BW1161" s="4"/>
      <c r="BX1161" s="4"/>
      <c r="BY1161" s="4"/>
      <c r="BZ1161" s="4"/>
      <c r="CA1161" s="4"/>
      <c r="CB1161" s="4"/>
      <c r="CC1161" s="4"/>
      <c r="CD1161" s="4"/>
      <c r="CE1161" s="4"/>
      <c r="CF1161" s="4"/>
      <c r="CG1161" s="4"/>
      <c r="CH1161" s="4"/>
    </row>
    <row r="1162" spans="1:86" x14ac:dyDescent="0.25">
      <c r="A1162" s="4"/>
      <c r="B1162" s="4"/>
      <c r="C1162" s="4"/>
      <c r="D1162" s="4"/>
      <c r="E1162" s="4"/>
      <c r="F1162" s="14"/>
      <c r="G1162" s="14"/>
      <c r="H1162" s="14"/>
      <c r="I1162" s="5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  <c r="AA1162" s="4"/>
      <c r="AB1162" s="4"/>
      <c r="AC1162" s="4"/>
      <c r="AD1162" s="4"/>
      <c r="AE1162" s="4"/>
      <c r="AF1162" s="4"/>
      <c r="AG1162" s="4"/>
      <c r="AH1162" s="4"/>
      <c r="AI1162" s="4"/>
      <c r="AJ1162" s="4"/>
      <c r="AK1162" s="4"/>
      <c r="AL1162" s="4"/>
      <c r="AM1162" s="4"/>
      <c r="AN1162" s="4"/>
      <c r="AO1162" s="4"/>
      <c r="AP1162" s="4"/>
      <c r="AQ1162" s="4"/>
      <c r="AR1162" s="4"/>
      <c r="AS1162" s="4"/>
      <c r="AT1162" s="4"/>
      <c r="AU1162" s="4"/>
      <c r="AV1162" s="4"/>
      <c r="AW1162" s="4"/>
      <c r="AX1162" s="4"/>
      <c r="AY1162" s="4"/>
      <c r="AZ1162" s="4"/>
      <c r="BA1162" s="4"/>
      <c r="BB1162" s="4"/>
      <c r="BC1162" s="4"/>
      <c r="BD1162" s="4"/>
      <c r="BE1162" s="4"/>
      <c r="BF1162" s="4"/>
      <c r="BG1162" s="4"/>
      <c r="BH1162" s="4"/>
      <c r="BI1162" s="4"/>
      <c r="BJ1162" s="4"/>
      <c r="BK1162" s="4"/>
      <c r="BL1162" s="4"/>
      <c r="BM1162" s="4"/>
      <c r="BN1162" s="4"/>
      <c r="BO1162" s="4"/>
      <c r="BP1162" s="4"/>
      <c r="BQ1162" s="4"/>
      <c r="BR1162" s="4"/>
      <c r="BS1162" s="4"/>
      <c r="BT1162" s="4"/>
      <c r="BU1162" s="4"/>
      <c r="BV1162" s="4"/>
      <c r="BW1162" s="4"/>
      <c r="BX1162" s="4"/>
      <c r="BY1162" s="4"/>
      <c r="BZ1162" s="4"/>
      <c r="CA1162" s="4"/>
      <c r="CB1162" s="4"/>
      <c r="CC1162" s="4"/>
      <c r="CD1162" s="4"/>
      <c r="CE1162" s="4"/>
      <c r="CF1162" s="4"/>
      <c r="CG1162" s="4"/>
      <c r="CH1162" s="4"/>
    </row>
    <row r="1163" spans="1:86" x14ac:dyDescent="0.25">
      <c r="A1163" s="4"/>
      <c r="B1163" s="4"/>
      <c r="C1163" s="4"/>
      <c r="D1163" s="4"/>
      <c r="E1163" s="4"/>
      <c r="F1163" s="14"/>
      <c r="G1163" s="14"/>
      <c r="H1163" s="14"/>
      <c r="I1163" s="5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  <c r="AA1163" s="4"/>
      <c r="AB1163" s="4"/>
      <c r="AC1163" s="4"/>
      <c r="AD1163" s="4"/>
      <c r="AE1163" s="4"/>
      <c r="AF1163" s="4"/>
      <c r="AG1163" s="4"/>
      <c r="AH1163" s="4"/>
      <c r="AI1163" s="4"/>
      <c r="AJ1163" s="4"/>
      <c r="AK1163" s="4"/>
      <c r="AL1163" s="4"/>
      <c r="AM1163" s="4"/>
      <c r="AN1163" s="4"/>
      <c r="AO1163" s="4"/>
      <c r="AP1163" s="4"/>
      <c r="AQ1163" s="4"/>
      <c r="AR1163" s="4"/>
      <c r="AS1163" s="4"/>
      <c r="AT1163" s="4"/>
      <c r="AU1163" s="4"/>
      <c r="AV1163" s="4"/>
      <c r="AW1163" s="4"/>
      <c r="AX1163" s="4"/>
      <c r="AY1163" s="4"/>
      <c r="AZ1163" s="4"/>
      <c r="BA1163" s="4"/>
      <c r="BB1163" s="4"/>
      <c r="BC1163" s="4"/>
      <c r="BD1163" s="4"/>
      <c r="BE1163" s="4"/>
      <c r="BF1163" s="4"/>
      <c r="BG1163" s="4"/>
      <c r="BH1163" s="4"/>
      <c r="BI1163" s="4"/>
      <c r="BJ1163" s="4"/>
      <c r="BK1163" s="4"/>
      <c r="BL1163" s="4"/>
      <c r="BM1163" s="4"/>
      <c r="BN1163" s="4"/>
      <c r="BO1163" s="4"/>
      <c r="BP1163" s="4"/>
      <c r="BQ1163" s="4"/>
      <c r="BR1163" s="4"/>
      <c r="BS1163" s="4"/>
      <c r="BT1163" s="4"/>
      <c r="BU1163" s="4"/>
      <c r="BV1163" s="4"/>
      <c r="BW1163" s="4"/>
      <c r="BX1163" s="4"/>
      <c r="BY1163" s="4"/>
      <c r="BZ1163" s="4"/>
      <c r="CA1163" s="4"/>
      <c r="CB1163" s="4"/>
      <c r="CC1163" s="4"/>
      <c r="CD1163" s="4"/>
      <c r="CE1163" s="4"/>
      <c r="CF1163" s="4"/>
      <c r="CG1163" s="4"/>
      <c r="CH1163" s="4"/>
    </row>
    <row r="1164" spans="1:86" x14ac:dyDescent="0.25">
      <c r="A1164" s="4"/>
      <c r="B1164" s="4"/>
      <c r="C1164" s="4"/>
      <c r="D1164" s="4"/>
      <c r="E1164" s="4"/>
      <c r="F1164" s="14"/>
      <c r="G1164" s="14"/>
      <c r="H1164" s="14"/>
      <c r="I1164" s="5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  <c r="AA1164" s="4"/>
      <c r="AB1164" s="4"/>
      <c r="AC1164" s="4"/>
      <c r="AD1164" s="4"/>
      <c r="AE1164" s="4"/>
      <c r="AF1164" s="4"/>
      <c r="AG1164" s="4"/>
      <c r="AH1164" s="4"/>
      <c r="AI1164" s="4"/>
      <c r="AJ1164" s="4"/>
      <c r="AK1164" s="4"/>
      <c r="AL1164" s="4"/>
      <c r="AM1164" s="4"/>
      <c r="AN1164" s="4"/>
      <c r="AO1164" s="4"/>
      <c r="AP1164" s="4"/>
      <c r="AQ1164" s="4"/>
      <c r="AR1164" s="4"/>
      <c r="AS1164" s="4"/>
      <c r="AT1164" s="4"/>
      <c r="AU1164" s="4"/>
      <c r="AV1164" s="4"/>
      <c r="AW1164" s="4"/>
      <c r="AX1164" s="4"/>
      <c r="AY1164" s="4"/>
      <c r="AZ1164" s="4"/>
      <c r="BA1164" s="4"/>
      <c r="BB1164" s="4"/>
      <c r="BC1164" s="4"/>
      <c r="BD1164" s="4"/>
      <c r="BE1164" s="4"/>
      <c r="BF1164" s="4"/>
      <c r="BG1164" s="4"/>
      <c r="BH1164" s="4"/>
      <c r="BI1164" s="4"/>
      <c r="BJ1164" s="4"/>
      <c r="BK1164" s="4"/>
      <c r="BL1164" s="4"/>
      <c r="BM1164" s="4"/>
      <c r="BN1164" s="4"/>
      <c r="BO1164" s="4"/>
      <c r="BP1164" s="4"/>
      <c r="BQ1164" s="4"/>
      <c r="BR1164" s="4"/>
      <c r="BS1164" s="4"/>
      <c r="BT1164" s="4"/>
      <c r="BU1164" s="4"/>
      <c r="BV1164" s="4"/>
      <c r="BW1164" s="4"/>
      <c r="BX1164" s="4"/>
      <c r="BY1164" s="4"/>
      <c r="BZ1164" s="4"/>
      <c r="CA1164" s="4"/>
      <c r="CB1164" s="4"/>
      <c r="CC1164" s="4"/>
      <c r="CD1164" s="4"/>
      <c r="CE1164" s="4"/>
      <c r="CF1164" s="4"/>
      <c r="CG1164" s="4"/>
      <c r="CH1164" s="4"/>
    </row>
    <row r="1165" spans="1:86" x14ac:dyDescent="0.25">
      <c r="A1165" s="4"/>
      <c r="B1165" s="4"/>
      <c r="C1165" s="4"/>
      <c r="D1165" s="4"/>
      <c r="E1165" s="4"/>
      <c r="F1165" s="14"/>
      <c r="G1165" s="14"/>
      <c r="H1165" s="14"/>
      <c r="I1165" s="5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  <c r="AA1165" s="4"/>
      <c r="AB1165" s="4"/>
      <c r="AC1165" s="4"/>
      <c r="AD1165" s="4"/>
      <c r="AE1165" s="4"/>
      <c r="AF1165" s="4"/>
      <c r="AG1165" s="4"/>
      <c r="AH1165" s="4"/>
      <c r="AI1165" s="4"/>
      <c r="AJ1165" s="4"/>
      <c r="AK1165" s="4"/>
      <c r="AL1165" s="4"/>
      <c r="AM1165" s="4"/>
      <c r="AN1165" s="4"/>
      <c r="AO1165" s="4"/>
      <c r="AP1165" s="4"/>
      <c r="AQ1165" s="4"/>
      <c r="AR1165" s="4"/>
      <c r="AS1165" s="4"/>
      <c r="AT1165" s="4"/>
      <c r="AU1165" s="4"/>
      <c r="AV1165" s="4"/>
      <c r="AW1165" s="4"/>
      <c r="AX1165" s="4"/>
      <c r="AY1165" s="4"/>
      <c r="AZ1165" s="4"/>
      <c r="BA1165" s="4"/>
      <c r="BB1165" s="4"/>
      <c r="BC1165" s="4"/>
      <c r="BD1165" s="4"/>
      <c r="BE1165" s="4"/>
      <c r="BF1165" s="4"/>
      <c r="BG1165" s="4"/>
      <c r="BH1165" s="4"/>
      <c r="BI1165" s="4"/>
      <c r="BJ1165" s="4"/>
      <c r="BK1165" s="4"/>
      <c r="BL1165" s="4"/>
      <c r="BM1165" s="4"/>
      <c r="BN1165" s="4"/>
      <c r="BO1165" s="4"/>
      <c r="BP1165" s="4"/>
      <c r="BQ1165" s="4"/>
      <c r="BR1165" s="4"/>
      <c r="BS1165" s="4"/>
      <c r="BT1165" s="4"/>
      <c r="BU1165" s="4"/>
      <c r="BV1165" s="4"/>
      <c r="BW1165" s="4"/>
      <c r="BX1165" s="4"/>
      <c r="BY1165" s="4"/>
      <c r="BZ1165" s="4"/>
      <c r="CA1165" s="4"/>
      <c r="CB1165" s="4"/>
      <c r="CC1165" s="4"/>
      <c r="CD1165" s="4"/>
      <c r="CE1165" s="4"/>
      <c r="CF1165" s="4"/>
      <c r="CG1165" s="4"/>
      <c r="CH1165" s="4"/>
    </row>
    <row r="1166" spans="1:86" x14ac:dyDescent="0.25">
      <c r="A1166" s="4"/>
      <c r="B1166" s="4"/>
      <c r="C1166" s="4"/>
      <c r="D1166" s="4"/>
      <c r="E1166" s="4"/>
      <c r="F1166" s="14"/>
      <c r="G1166" s="14"/>
      <c r="H1166" s="14"/>
      <c r="I1166" s="5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  <c r="AA1166" s="4"/>
      <c r="AB1166" s="4"/>
      <c r="AC1166" s="4"/>
      <c r="AD1166" s="4"/>
      <c r="AE1166" s="4"/>
      <c r="AF1166" s="4"/>
      <c r="AG1166" s="4"/>
      <c r="AH1166" s="4"/>
      <c r="AI1166" s="4"/>
      <c r="AJ1166" s="4"/>
      <c r="AK1166" s="4"/>
      <c r="AL1166" s="4"/>
      <c r="AM1166" s="4"/>
      <c r="AN1166" s="4"/>
      <c r="AO1166" s="4"/>
      <c r="AP1166" s="4"/>
      <c r="AQ1166" s="4"/>
      <c r="AR1166" s="4"/>
      <c r="AS1166" s="4"/>
      <c r="AT1166" s="4"/>
      <c r="AU1166" s="4"/>
      <c r="AV1166" s="4"/>
      <c r="AW1166" s="4"/>
      <c r="AX1166" s="4"/>
      <c r="AY1166" s="4"/>
      <c r="AZ1166" s="4"/>
      <c r="BA1166" s="4"/>
      <c r="BB1166" s="4"/>
      <c r="BC1166" s="4"/>
      <c r="BD1166" s="4"/>
      <c r="BE1166" s="4"/>
      <c r="BF1166" s="4"/>
      <c r="BG1166" s="4"/>
      <c r="BH1166" s="4"/>
      <c r="BI1166" s="4"/>
      <c r="BJ1166" s="4"/>
      <c r="BK1166" s="4"/>
      <c r="BL1166" s="4"/>
      <c r="BM1166" s="4"/>
      <c r="BN1166" s="4"/>
      <c r="BO1166" s="4"/>
      <c r="BP1166" s="4"/>
      <c r="BQ1166" s="4"/>
      <c r="BR1166" s="4"/>
      <c r="BS1166" s="4"/>
      <c r="BT1166" s="4"/>
      <c r="BU1166" s="4"/>
      <c r="BV1166" s="4"/>
      <c r="BW1166" s="4"/>
      <c r="BX1166" s="4"/>
      <c r="BY1166" s="4"/>
      <c r="BZ1166" s="4"/>
      <c r="CA1166" s="4"/>
      <c r="CB1166" s="4"/>
      <c r="CC1166" s="4"/>
      <c r="CD1166" s="4"/>
      <c r="CE1166" s="4"/>
      <c r="CF1166" s="4"/>
      <c r="CG1166" s="4"/>
      <c r="CH1166" s="4"/>
    </row>
    <row r="1167" spans="1:86" x14ac:dyDescent="0.25">
      <c r="A1167" s="4"/>
      <c r="B1167" s="4"/>
      <c r="C1167" s="4"/>
      <c r="D1167" s="4"/>
      <c r="E1167" s="4"/>
      <c r="F1167" s="14"/>
      <c r="G1167" s="14"/>
      <c r="H1167" s="14"/>
      <c r="I1167" s="5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  <c r="AA1167" s="4"/>
      <c r="AB1167" s="4"/>
      <c r="AC1167" s="4"/>
      <c r="AD1167" s="4"/>
      <c r="AE1167" s="4"/>
      <c r="AF1167" s="4"/>
      <c r="AG1167" s="4"/>
      <c r="AH1167" s="4"/>
      <c r="AI1167" s="4"/>
      <c r="AJ1167" s="4"/>
      <c r="AK1167" s="4"/>
      <c r="AL1167" s="4"/>
      <c r="AM1167" s="4"/>
      <c r="AN1167" s="4"/>
      <c r="AO1167" s="4"/>
      <c r="AP1167" s="4"/>
      <c r="AQ1167" s="4"/>
      <c r="AR1167" s="4"/>
      <c r="AS1167" s="4"/>
      <c r="AT1167" s="4"/>
      <c r="AU1167" s="4"/>
      <c r="AV1167" s="4"/>
      <c r="AW1167" s="4"/>
      <c r="AX1167" s="4"/>
      <c r="AY1167" s="4"/>
      <c r="AZ1167" s="4"/>
      <c r="BA1167" s="4"/>
      <c r="BB1167" s="4"/>
      <c r="BC1167" s="4"/>
      <c r="BD1167" s="4"/>
      <c r="BE1167" s="4"/>
      <c r="BF1167" s="4"/>
      <c r="BG1167" s="4"/>
      <c r="BH1167" s="4"/>
      <c r="BI1167" s="4"/>
      <c r="BJ1167" s="4"/>
      <c r="BK1167" s="4"/>
      <c r="BL1167" s="4"/>
      <c r="BM1167" s="4"/>
      <c r="BN1167" s="4"/>
      <c r="BO1167" s="4"/>
      <c r="BP1167" s="4"/>
      <c r="BQ1167" s="4"/>
      <c r="BR1167" s="4"/>
      <c r="BS1167" s="4"/>
      <c r="BT1167" s="4"/>
      <c r="BU1167" s="4"/>
      <c r="BV1167" s="4"/>
      <c r="BW1167" s="4"/>
      <c r="BX1167" s="4"/>
      <c r="BY1167" s="4"/>
      <c r="BZ1167" s="4"/>
      <c r="CA1167" s="4"/>
      <c r="CB1167" s="4"/>
      <c r="CC1167" s="4"/>
      <c r="CD1167" s="4"/>
      <c r="CE1167" s="4"/>
      <c r="CF1167" s="4"/>
      <c r="CG1167" s="4"/>
      <c r="CH1167" s="4"/>
    </row>
    <row r="1168" spans="1:86" x14ac:dyDescent="0.25">
      <c r="A1168" s="4"/>
      <c r="B1168" s="4"/>
      <c r="C1168" s="4"/>
      <c r="D1168" s="4"/>
      <c r="E1168" s="4"/>
      <c r="F1168" s="14"/>
      <c r="G1168" s="14"/>
      <c r="H1168" s="14"/>
      <c r="I1168" s="5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  <c r="AA1168" s="4"/>
      <c r="AB1168" s="4"/>
      <c r="AC1168" s="4"/>
      <c r="AD1168" s="4"/>
      <c r="AE1168" s="4"/>
      <c r="AF1168" s="4"/>
      <c r="AG1168" s="4"/>
      <c r="AH1168" s="4"/>
      <c r="AI1168" s="4"/>
      <c r="AJ1168" s="4"/>
      <c r="AK1168" s="4"/>
      <c r="AL1168" s="4"/>
      <c r="AM1168" s="4"/>
      <c r="AN1168" s="4"/>
      <c r="AO1168" s="4"/>
      <c r="AP1168" s="4"/>
      <c r="AQ1168" s="4"/>
      <c r="AR1168" s="4"/>
      <c r="AS1168" s="4"/>
      <c r="AT1168" s="4"/>
      <c r="AU1168" s="4"/>
      <c r="AV1168" s="4"/>
      <c r="AW1168" s="4"/>
      <c r="AX1168" s="4"/>
      <c r="AY1168" s="4"/>
      <c r="AZ1168" s="4"/>
      <c r="BA1168" s="4"/>
      <c r="BB1168" s="4"/>
      <c r="BC1168" s="4"/>
      <c r="BD1168" s="4"/>
      <c r="BE1168" s="4"/>
      <c r="BF1168" s="4"/>
      <c r="BG1168" s="4"/>
      <c r="BH1168" s="4"/>
      <c r="BI1168" s="4"/>
      <c r="BJ1168" s="4"/>
      <c r="BK1168" s="4"/>
      <c r="BL1168" s="4"/>
      <c r="BM1168" s="4"/>
      <c r="BN1168" s="4"/>
      <c r="BO1168" s="4"/>
      <c r="BP1168" s="4"/>
      <c r="BQ1168" s="4"/>
      <c r="BR1168" s="4"/>
      <c r="BS1168" s="4"/>
      <c r="BT1168" s="4"/>
      <c r="BU1168" s="4"/>
      <c r="BV1168" s="4"/>
      <c r="BW1168" s="4"/>
      <c r="BX1168" s="4"/>
      <c r="BY1168" s="4"/>
      <c r="BZ1168" s="4"/>
      <c r="CA1168" s="4"/>
      <c r="CB1168" s="4"/>
      <c r="CC1168" s="4"/>
      <c r="CD1168" s="4"/>
      <c r="CE1168" s="4"/>
      <c r="CF1168" s="4"/>
      <c r="CG1168" s="4"/>
      <c r="CH1168" s="4"/>
    </row>
    <row r="1169" spans="1:86" x14ac:dyDescent="0.25">
      <c r="A1169" s="4"/>
      <c r="B1169" s="4"/>
      <c r="C1169" s="4"/>
      <c r="D1169" s="4"/>
      <c r="E1169" s="4"/>
      <c r="F1169" s="14"/>
      <c r="G1169" s="14"/>
      <c r="H1169" s="14"/>
      <c r="I1169" s="5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  <c r="AA1169" s="4"/>
      <c r="AB1169" s="4"/>
      <c r="AC1169" s="4"/>
      <c r="AD1169" s="4"/>
      <c r="AE1169" s="4"/>
      <c r="AF1169" s="4"/>
      <c r="AG1169" s="4"/>
      <c r="AH1169" s="4"/>
      <c r="AI1169" s="4"/>
      <c r="AJ1169" s="4"/>
      <c r="AK1169" s="4"/>
      <c r="AL1169" s="4"/>
      <c r="AM1169" s="4"/>
      <c r="AN1169" s="4"/>
      <c r="AO1169" s="4"/>
      <c r="AP1169" s="4"/>
      <c r="AQ1169" s="4"/>
      <c r="AR1169" s="4"/>
      <c r="AS1169" s="4"/>
      <c r="AT1169" s="4"/>
      <c r="AU1169" s="4"/>
      <c r="AV1169" s="4"/>
      <c r="AW1169" s="4"/>
      <c r="AX1169" s="4"/>
      <c r="AY1169" s="4"/>
      <c r="AZ1169" s="4"/>
      <c r="BA1169" s="4"/>
      <c r="BB1169" s="4"/>
      <c r="BC1169" s="4"/>
      <c r="BD1169" s="4"/>
      <c r="BE1169" s="4"/>
      <c r="BF1169" s="4"/>
      <c r="BG1169" s="4"/>
      <c r="BH1169" s="4"/>
      <c r="BI1169" s="4"/>
      <c r="BJ1169" s="4"/>
      <c r="BK1169" s="4"/>
      <c r="BL1169" s="4"/>
      <c r="BM1169" s="4"/>
      <c r="BN1169" s="4"/>
      <c r="BO1169" s="4"/>
      <c r="BP1169" s="4"/>
      <c r="BQ1169" s="4"/>
      <c r="BR1169" s="4"/>
      <c r="BS1169" s="4"/>
      <c r="BT1169" s="4"/>
      <c r="BU1169" s="4"/>
      <c r="BV1169" s="4"/>
      <c r="BW1169" s="4"/>
      <c r="BX1169" s="4"/>
      <c r="BY1169" s="4"/>
      <c r="BZ1169" s="4"/>
      <c r="CA1169" s="4"/>
      <c r="CB1169" s="4"/>
      <c r="CC1169" s="4"/>
      <c r="CD1169" s="4"/>
      <c r="CE1169" s="4"/>
      <c r="CF1169" s="4"/>
      <c r="CG1169" s="4"/>
      <c r="CH1169" s="4"/>
    </row>
    <row r="1170" spans="1:86" x14ac:dyDescent="0.25">
      <c r="A1170" s="4"/>
      <c r="B1170" s="4"/>
      <c r="C1170" s="4"/>
      <c r="D1170" s="4"/>
      <c r="E1170" s="4"/>
      <c r="F1170" s="14"/>
      <c r="G1170" s="14"/>
      <c r="H1170" s="14"/>
      <c r="I1170" s="5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  <c r="AA1170" s="4"/>
      <c r="AB1170" s="4"/>
      <c r="AC1170" s="4"/>
      <c r="AD1170" s="4"/>
      <c r="AE1170" s="4"/>
      <c r="AF1170" s="4"/>
      <c r="AG1170" s="4"/>
      <c r="AH1170" s="4"/>
      <c r="AI1170" s="4"/>
      <c r="AJ1170" s="4"/>
      <c r="AK1170" s="4"/>
      <c r="AL1170" s="4"/>
      <c r="AM1170" s="4"/>
      <c r="AN1170" s="4"/>
      <c r="AO1170" s="4"/>
      <c r="AP1170" s="4"/>
      <c r="AQ1170" s="4"/>
      <c r="AR1170" s="4"/>
      <c r="AS1170" s="4"/>
      <c r="AT1170" s="4"/>
      <c r="AU1170" s="4"/>
      <c r="AV1170" s="4"/>
      <c r="AW1170" s="4"/>
      <c r="AX1170" s="4"/>
      <c r="AY1170" s="4"/>
      <c r="AZ1170" s="4"/>
      <c r="BA1170" s="4"/>
      <c r="BB1170" s="4"/>
      <c r="BC1170" s="4"/>
      <c r="BD1170" s="4"/>
      <c r="BE1170" s="4"/>
      <c r="BF1170" s="4"/>
      <c r="BG1170" s="4"/>
      <c r="BH1170" s="4"/>
      <c r="BI1170" s="4"/>
      <c r="BJ1170" s="4"/>
      <c r="BK1170" s="4"/>
      <c r="BL1170" s="4"/>
      <c r="BM1170" s="4"/>
      <c r="BN1170" s="4"/>
      <c r="BO1170" s="4"/>
      <c r="BP1170" s="4"/>
      <c r="BQ1170" s="4"/>
      <c r="BR1170" s="4"/>
      <c r="BS1170" s="4"/>
      <c r="BT1170" s="4"/>
      <c r="BU1170" s="4"/>
      <c r="BV1170" s="4"/>
      <c r="BW1170" s="4"/>
      <c r="BX1170" s="4"/>
      <c r="BY1170" s="4"/>
      <c r="BZ1170" s="4"/>
      <c r="CA1170" s="4"/>
      <c r="CB1170" s="4"/>
      <c r="CC1170" s="4"/>
      <c r="CD1170" s="4"/>
      <c r="CE1170" s="4"/>
      <c r="CF1170" s="4"/>
      <c r="CG1170" s="4"/>
      <c r="CH1170" s="4"/>
    </row>
    <row r="1171" spans="1:86" x14ac:dyDescent="0.25">
      <c r="A1171" s="4"/>
      <c r="B1171" s="4"/>
      <c r="C1171" s="4"/>
      <c r="D1171" s="4"/>
      <c r="E1171" s="4"/>
      <c r="F1171" s="14"/>
      <c r="G1171" s="14"/>
      <c r="H1171" s="14"/>
      <c r="I1171" s="5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  <c r="AA1171" s="4"/>
      <c r="AB1171" s="4"/>
      <c r="AC1171" s="4"/>
      <c r="AD1171" s="4"/>
      <c r="AE1171" s="4"/>
      <c r="AF1171" s="4"/>
      <c r="AG1171" s="4"/>
      <c r="AH1171" s="4"/>
      <c r="AI1171" s="4"/>
      <c r="AJ1171" s="4"/>
      <c r="AK1171" s="4"/>
      <c r="AL1171" s="4"/>
      <c r="AM1171" s="4"/>
      <c r="AN1171" s="4"/>
      <c r="AO1171" s="4"/>
      <c r="AP1171" s="4"/>
      <c r="AQ1171" s="4"/>
      <c r="AR1171" s="4"/>
      <c r="AS1171" s="4"/>
      <c r="AT1171" s="4"/>
      <c r="AU1171" s="4"/>
      <c r="AV1171" s="4"/>
      <c r="AW1171" s="4"/>
      <c r="AX1171" s="4"/>
      <c r="AY1171" s="4"/>
      <c r="AZ1171" s="4"/>
      <c r="BA1171" s="4"/>
      <c r="BB1171" s="4"/>
      <c r="BC1171" s="4"/>
      <c r="BD1171" s="4"/>
      <c r="BE1171" s="4"/>
      <c r="BF1171" s="4"/>
      <c r="BG1171" s="4"/>
      <c r="BH1171" s="4"/>
      <c r="BI1171" s="4"/>
      <c r="BJ1171" s="4"/>
      <c r="BK1171" s="4"/>
      <c r="BL1171" s="4"/>
      <c r="BM1171" s="4"/>
      <c r="BN1171" s="4"/>
      <c r="BO1171" s="4"/>
      <c r="BP1171" s="4"/>
      <c r="BQ1171" s="4"/>
      <c r="BR1171" s="4"/>
      <c r="BS1171" s="4"/>
      <c r="BT1171" s="4"/>
      <c r="BU1171" s="4"/>
      <c r="BV1171" s="4"/>
      <c r="BW1171" s="4"/>
      <c r="BX1171" s="4"/>
      <c r="BY1171" s="4"/>
      <c r="BZ1171" s="4"/>
      <c r="CA1171" s="4"/>
      <c r="CB1171" s="4"/>
      <c r="CC1171" s="4"/>
      <c r="CD1171" s="4"/>
      <c r="CE1171" s="4"/>
      <c r="CF1171" s="4"/>
      <c r="CG1171" s="4"/>
      <c r="CH1171" s="4"/>
    </row>
    <row r="1172" spans="1:86" x14ac:dyDescent="0.25">
      <c r="A1172" s="4"/>
      <c r="B1172" s="4"/>
      <c r="C1172" s="4"/>
      <c r="D1172" s="4"/>
      <c r="E1172" s="4"/>
      <c r="F1172" s="14"/>
      <c r="G1172" s="14"/>
      <c r="H1172" s="14"/>
      <c r="I1172" s="5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  <c r="AA1172" s="4"/>
      <c r="AB1172" s="4"/>
      <c r="AC1172" s="4"/>
      <c r="AD1172" s="4"/>
      <c r="AE1172" s="4"/>
      <c r="AF1172" s="4"/>
      <c r="AG1172" s="4"/>
      <c r="AH1172" s="4"/>
      <c r="AI1172" s="4"/>
      <c r="AJ1172" s="4"/>
      <c r="AK1172" s="4"/>
      <c r="AL1172" s="4"/>
      <c r="AM1172" s="4"/>
      <c r="AN1172" s="4"/>
      <c r="AO1172" s="4"/>
      <c r="AP1172" s="4"/>
      <c r="AQ1172" s="4"/>
      <c r="AR1172" s="4"/>
      <c r="AS1172" s="4"/>
      <c r="AT1172" s="4"/>
      <c r="AU1172" s="4"/>
      <c r="AV1172" s="4"/>
      <c r="AW1172" s="4"/>
      <c r="AX1172" s="4"/>
      <c r="AY1172" s="4"/>
      <c r="AZ1172" s="4"/>
      <c r="BA1172" s="4"/>
      <c r="BB1172" s="4"/>
      <c r="BC1172" s="4"/>
      <c r="BD1172" s="4"/>
      <c r="BE1172" s="4"/>
      <c r="BF1172" s="4"/>
      <c r="BG1172" s="4"/>
      <c r="BH1172" s="4"/>
      <c r="BI1172" s="4"/>
      <c r="BJ1172" s="4"/>
      <c r="BK1172" s="4"/>
      <c r="BL1172" s="4"/>
      <c r="BM1172" s="4"/>
      <c r="BN1172" s="4"/>
      <c r="BO1172" s="4"/>
      <c r="BP1172" s="4"/>
      <c r="BQ1172" s="4"/>
      <c r="BR1172" s="4"/>
      <c r="BS1172" s="4"/>
      <c r="BT1172" s="4"/>
      <c r="BU1172" s="4"/>
      <c r="BV1172" s="4"/>
      <c r="BW1172" s="4"/>
      <c r="BX1172" s="4"/>
      <c r="BY1172" s="4"/>
      <c r="BZ1172" s="4"/>
      <c r="CA1172" s="4"/>
      <c r="CB1172" s="4"/>
      <c r="CC1172" s="4"/>
      <c r="CD1172" s="4"/>
      <c r="CE1172" s="4"/>
      <c r="CF1172" s="4"/>
      <c r="CG1172" s="4"/>
      <c r="CH1172" s="4"/>
    </row>
    <row r="1173" spans="1:86" x14ac:dyDescent="0.25">
      <c r="A1173" s="4"/>
      <c r="B1173" s="4"/>
      <c r="C1173" s="4"/>
      <c r="D1173" s="4"/>
      <c r="E1173" s="4"/>
      <c r="F1173" s="14"/>
      <c r="G1173" s="14"/>
      <c r="H1173" s="14"/>
      <c r="I1173" s="5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  <c r="AA1173" s="4"/>
      <c r="AB1173" s="4"/>
      <c r="AC1173" s="4"/>
      <c r="AD1173" s="4"/>
      <c r="AE1173" s="4"/>
      <c r="AF1173" s="4"/>
      <c r="AG1173" s="4"/>
      <c r="AH1173" s="4"/>
      <c r="AI1173" s="4"/>
      <c r="AJ1173" s="4"/>
      <c r="AK1173" s="4"/>
      <c r="AL1173" s="4"/>
      <c r="AM1173" s="4"/>
      <c r="AN1173" s="4"/>
      <c r="AO1173" s="4"/>
      <c r="AP1173" s="4"/>
      <c r="AQ1173" s="4"/>
      <c r="AR1173" s="4"/>
      <c r="AS1173" s="4"/>
      <c r="AT1173" s="4"/>
      <c r="AU1173" s="4"/>
      <c r="AV1173" s="4"/>
      <c r="AW1173" s="4"/>
      <c r="AX1173" s="4"/>
      <c r="AY1173" s="4"/>
      <c r="AZ1173" s="4"/>
      <c r="BA1173" s="4"/>
      <c r="BB1173" s="4"/>
      <c r="BC1173" s="4"/>
      <c r="BD1173" s="4"/>
      <c r="BE1173" s="4"/>
      <c r="BF1173" s="4"/>
      <c r="BG1173" s="4"/>
      <c r="BH1173" s="4"/>
      <c r="BI1173" s="4"/>
      <c r="BJ1173" s="4"/>
      <c r="BK1173" s="4"/>
      <c r="BL1173" s="4"/>
      <c r="BM1173" s="4"/>
      <c r="BN1173" s="4"/>
      <c r="BO1173" s="4"/>
      <c r="BP1173" s="4"/>
      <c r="BQ1173" s="4"/>
      <c r="BR1173" s="4"/>
      <c r="BS1173" s="4"/>
      <c r="BT1173" s="4"/>
      <c r="BU1173" s="4"/>
      <c r="BV1173" s="4"/>
      <c r="BW1173" s="4"/>
      <c r="BX1173" s="4"/>
      <c r="BY1173" s="4"/>
      <c r="BZ1173" s="4"/>
      <c r="CA1173" s="4"/>
      <c r="CB1173" s="4"/>
      <c r="CC1173" s="4"/>
      <c r="CD1173" s="4"/>
      <c r="CE1173" s="4"/>
      <c r="CF1173" s="4"/>
      <c r="CG1173" s="4"/>
      <c r="CH1173" s="4"/>
    </row>
    <row r="1174" spans="1:86" x14ac:dyDescent="0.25">
      <c r="A1174" s="4"/>
      <c r="B1174" s="4"/>
      <c r="C1174" s="4"/>
      <c r="D1174" s="4"/>
      <c r="E1174" s="4"/>
      <c r="F1174" s="14"/>
      <c r="G1174" s="14"/>
      <c r="H1174" s="14"/>
      <c r="I1174" s="5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  <c r="AA1174" s="4"/>
      <c r="AB1174" s="4"/>
      <c r="AC1174" s="4"/>
      <c r="AD1174" s="4"/>
      <c r="AE1174" s="4"/>
      <c r="AF1174" s="4"/>
      <c r="AG1174" s="4"/>
      <c r="AH1174" s="4"/>
      <c r="AI1174" s="4"/>
      <c r="AJ1174" s="4"/>
      <c r="AK1174" s="4"/>
      <c r="AL1174" s="4"/>
      <c r="AM1174" s="4"/>
      <c r="AN1174" s="4"/>
      <c r="AO1174" s="4"/>
      <c r="AP1174" s="4"/>
      <c r="AQ1174" s="4"/>
      <c r="AR1174" s="4"/>
      <c r="AS1174" s="4"/>
      <c r="AT1174" s="4"/>
      <c r="AU1174" s="4"/>
      <c r="AV1174" s="4"/>
      <c r="AW1174" s="4"/>
      <c r="AX1174" s="4"/>
      <c r="AY1174" s="4"/>
      <c r="AZ1174" s="4"/>
      <c r="BA1174" s="4"/>
      <c r="BB1174" s="4"/>
      <c r="BC1174" s="4"/>
      <c r="BD1174" s="4"/>
      <c r="BE1174" s="4"/>
      <c r="BF1174" s="4"/>
      <c r="BG1174" s="4"/>
      <c r="BH1174" s="4"/>
      <c r="BI1174" s="4"/>
      <c r="BJ1174" s="4"/>
      <c r="BK1174" s="4"/>
      <c r="BL1174" s="4"/>
      <c r="BM1174" s="4"/>
      <c r="BN1174" s="4"/>
      <c r="BO1174" s="4"/>
      <c r="BP1174" s="4"/>
      <c r="BQ1174" s="4"/>
      <c r="BR1174" s="4"/>
      <c r="BS1174" s="4"/>
      <c r="BT1174" s="4"/>
      <c r="BU1174" s="4"/>
      <c r="BV1174" s="4"/>
      <c r="BW1174" s="4"/>
      <c r="BX1174" s="4"/>
      <c r="BY1174" s="4"/>
      <c r="BZ1174" s="4"/>
      <c r="CA1174" s="4"/>
      <c r="CB1174" s="4"/>
      <c r="CC1174" s="4"/>
      <c r="CD1174" s="4"/>
      <c r="CE1174" s="4"/>
      <c r="CF1174" s="4"/>
      <c r="CG1174" s="4"/>
      <c r="CH1174" s="4"/>
    </row>
    <row r="1175" spans="1:86" x14ac:dyDescent="0.25">
      <c r="A1175" s="4"/>
      <c r="B1175" s="4"/>
      <c r="C1175" s="4"/>
      <c r="D1175" s="4"/>
      <c r="E1175" s="4"/>
      <c r="F1175" s="14"/>
      <c r="G1175" s="14"/>
      <c r="H1175" s="14"/>
      <c r="I1175" s="5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  <c r="AA1175" s="4"/>
      <c r="AB1175" s="4"/>
      <c r="AC1175" s="4"/>
      <c r="AD1175" s="4"/>
      <c r="AE1175" s="4"/>
      <c r="AF1175" s="4"/>
      <c r="AG1175" s="4"/>
      <c r="AH1175" s="4"/>
      <c r="AI1175" s="4"/>
      <c r="AJ1175" s="4"/>
      <c r="AK1175" s="4"/>
      <c r="AL1175" s="4"/>
      <c r="AM1175" s="4"/>
      <c r="AN1175" s="4"/>
      <c r="AO1175" s="4"/>
      <c r="AP1175" s="4"/>
      <c r="AQ1175" s="4"/>
      <c r="AR1175" s="4"/>
      <c r="AS1175" s="4"/>
      <c r="AT1175" s="4"/>
      <c r="AU1175" s="4"/>
      <c r="AV1175" s="4"/>
      <c r="AW1175" s="4"/>
      <c r="AX1175" s="4"/>
      <c r="AY1175" s="4"/>
      <c r="AZ1175" s="4"/>
      <c r="BA1175" s="4"/>
      <c r="BB1175" s="4"/>
      <c r="BC1175" s="4"/>
      <c r="BD1175" s="4"/>
      <c r="BE1175" s="4"/>
      <c r="BF1175" s="4"/>
      <c r="BG1175" s="4"/>
      <c r="BH1175" s="4"/>
      <c r="BI1175" s="4"/>
      <c r="BJ1175" s="4"/>
      <c r="BK1175" s="4"/>
      <c r="BL1175" s="4"/>
      <c r="BM1175" s="4"/>
      <c r="BN1175" s="4"/>
      <c r="BO1175" s="4"/>
      <c r="BP1175" s="4"/>
      <c r="BQ1175" s="4"/>
      <c r="BR1175" s="4"/>
      <c r="BS1175" s="4"/>
      <c r="BT1175" s="4"/>
      <c r="BU1175" s="4"/>
      <c r="BV1175" s="4"/>
      <c r="BW1175" s="4"/>
      <c r="BX1175" s="4"/>
      <c r="BY1175" s="4"/>
      <c r="BZ1175" s="4"/>
      <c r="CA1175" s="4"/>
      <c r="CB1175" s="4"/>
      <c r="CC1175" s="4"/>
      <c r="CD1175" s="4"/>
      <c r="CE1175" s="4"/>
      <c r="CF1175" s="4"/>
      <c r="CG1175" s="4"/>
      <c r="CH1175" s="4"/>
    </row>
    <row r="1176" spans="1:86" x14ac:dyDescent="0.25">
      <c r="A1176" s="4"/>
      <c r="B1176" s="4"/>
      <c r="C1176" s="4"/>
      <c r="D1176" s="4"/>
      <c r="E1176" s="4"/>
      <c r="F1176" s="14"/>
      <c r="G1176" s="14"/>
      <c r="H1176" s="14"/>
      <c r="I1176" s="5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  <c r="AA1176" s="4"/>
      <c r="AB1176" s="4"/>
      <c r="AC1176" s="4"/>
      <c r="AD1176" s="4"/>
      <c r="AE1176" s="4"/>
      <c r="AF1176" s="4"/>
      <c r="AG1176" s="4"/>
      <c r="AH1176" s="4"/>
      <c r="AI1176" s="4"/>
      <c r="AJ1176" s="4"/>
      <c r="AK1176" s="4"/>
      <c r="AL1176" s="4"/>
      <c r="AM1176" s="4"/>
      <c r="AN1176" s="4"/>
      <c r="AO1176" s="4"/>
      <c r="AP1176" s="4"/>
      <c r="AQ1176" s="4"/>
      <c r="AR1176" s="4"/>
      <c r="AS1176" s="4"/>
      <c r="AT1176" s="4"/>
      <c r="AU1176" s="4"/>
      <c r="AV1176" s="4"/>
      <c r="AW1176" s="4"/>
      <c r="AX1176" s="4"/>
      <c r="AY1176" s="4"/>
      <c r="AZ1176" s="4"/>
      <c r="BA1176" s="4"/>
      <c r="BB1176" s="4"/>
      <c r="BC1176" s="4"/>
      <c r="BD1176" s="4"/>
      <c r="BE1176" s="4"/>
      <c r="BF1176" s="4"/>
      <c r="BG1176" s="4"/>
      <c r="BH1176" s="4"/>
      <c r="BI1176" s="4"/>
      <c r="BJ1176" s="4"/>
      <c r="BK1176" s="4"/>
      <c r="BL1176" s="4"/>
      <c r="BM1176" s="4"/>
      <c r="BN1176" s="4"/>
      <c r="BO1176" s="4"/>
      <c r="BP1176" s="4"/>
      <c r="BQ1176" s="4"/>
      <c r="BR1176" s="4"/>
      <c r="BS1176" s="4"/>
      <c r="BT1176" s="4"/>
      <c r="BU1176" s="4"/>
      <c r="BV1176" s="4"/>
      <c r="BW1176" s="4"/>
      <c r="BX1176" s="4"/>
      <c r="BY1176" s="4"/>
      <c r="BZ1176" s="4"/>
      <c r="CA1176" s="4"/>
      <c r="CB1176" s="4"/>
      <c r="CC1176" s="4"/>
      <c r="CD1176" s="4"/>
      <c r="CE1176" s="4"/>
      <c r="CF1176" s="4"/>
      <c r="CG1176" s="4"/>
      <c r="CH1176" s="4"/>
    </row>
    <row r="1177" spans="1:86" x14ac:dyDescent="0.25">
      <c r="A1177" s="4"/>
      <c r="B1177" s="4"/>
      <c r="C1177" s="4"/>
      <c r="D1177" s="4"/>
      <c r="E1177" s="4"/>
      <c r="F1177" s="14"/>
      <c r="G1177" s="14"/>
      <c r="H1177" s="14"/>
      <c r="I1177" s="5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  <c r="AA1177" s="4"/>
      <c r="AB1177" s="4"/>
      <c r="AC1177" s="4"/>
      <c r="AD1177" s="4"/>
      <c r="AE1177" s="4"/>
      <c r="AF1177" s="4"/>
      <c r="AG1177" s="4"/>
      <c r="AH1177" s="4"/>
      <c r="AI1177" s="4"/>
      <c r="AJ1177" s="4"/>
      <c r="AK1177" s="4"/>
      <c r="AL1177" s="4"/>
      <c r="AM1177" s="4"/>
      <c r="AN1177" s="4"/>
      <c r="AO1177" s="4"/>
      <c r="AP1177" s="4"/>
      <c r="AQ1177" s="4"/>
      <c r="AR1177" s="4"/>
      <c r="AS1177" s="4"/>
      <c r="AT1177" s="4"/>
      <c r="AU1177" s="4"/>
      <c r="AV1177" s="4"/>
      <c r="AW1177" s="4"/>
      <c r="AX1177" s="4"/>
      <c r="AY1177" s="4"/>
      <c r="AZ1177" s="4"/>
      <c r="BA1177" s="4"/>
      <c r="BB1177" s="4"/>
      <c r="BC1177" s="4"/>
      <c r="BD1177" s="4"/>
      <c r="BE1177" s="4"/>
      <c r="BF1177" s="4"/>
      <c r="BG1177" s="4"/>
      <c r="BH1177" s="4"/>
      <c r="BI1177" s="4"/>
      <c r="BJ1177" s="4"/>
      <c r="BK1177" s="4"/>
      <c r="BL1177" s="4"/>
      <c r="BM1177" s="4"/>
      <c r="BN1177" s="4"/>
      <c r="BO1177" s="4"/>
      <c r="BP1177" s="4"/>
      <c r="BQ1177" s="4"/>
      <c r="BR1177" s="4"/>
      <c r="BS1177" s="4"/>
      <c r="BT1177" s="4"/>
      <c r="BU1177" s="4"/>
      <c r="BV1177" s="4"/>
      <c r="BW1177" s="4"/>
      <c r="BX1177" s="4"/>
      <c r="BY1177" s="4"/>
      <c r="BZ1177" s="4"/>
      <c r="CA1177" s="4"/>
      <c r="CB1177" s="4"/>
      <c r="CC1177" s="4"/>
      <c r="CD1177" s="4"/>
      <c r="CE1177" s="4"/>
      <c r="CF1177" s="4"/>
      <c r="CG1177" s="4"/>
      <c r="CH1177" s="4"/>
    </row>
    <row r="1178" spans="1:86" x14ac:dyDescent="0.25">
      <c r="A1178" s="4"/>
      <c r="B1178" s="4"/>
      <c r="C1178" s="4"/>
      <c r="D1178" s="4"/>
      <c r="E1178" s="4"/>
      <c r="F1178" s="14"/>
      <c r="G1178" s="14"/>
      <c r="H1178" s="14"/>
      <c r="I1178" s="5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  <c r="AA1178" s="4"/>
      <c r="AB1178" s="4"/>
      <c r="AC1178" s="4"/>
      <c r="AD1178" s="4"/>
      <c r="AE1178" s="4"/>
      <c r="AF1178" s="4"/>
      <c r="AG1178" s="4"/>
      <c r="AH1178" s="4"/>
      <c r="AI1178" s="4"/>
      <c r="AJ1178" s="4"/>
      <c r="AK1178" s="4"/>
      <c r="AL1178" s="4"/>
      <c r="AM1178" s="4"/>
      <c r="AN1178" s="4"/>
      <c r="AO1178" s="4"/>
      <c r="AP1178" s="4"/>
      <c r="AQ1178" s="4"/>
      <c r="AR1178" s="4"/>
      <c r="AS1178" s="4"/>
      <c r="AT1178" s="4"/>
      <c r="AU1178" s="4"/>
      <c r="AV1178" s="4"/>
      <c r="AW1178" s="4"/>
      <c r="AX1178" s="4"/>
      <c r="AY1178" s="4"/>
      <c r="AZ1178" s="4"/>
      <c r="BA1178" s="4"/>
      <c r="BB1178" s="4"/>
      <c r="BC1178" s="4"/>
      <c r="BD1178" s="4"/>
      <c r="BE1178" s="4"/>
      <c r="BF1178" s="4"/>
      <c r="BG1178" s="4"/>
      <c r="BH1178" s="4"/>
      <c r="BI1178" s="4"/>
      <c r="BJ1178" s="4"/>
      <c r="BK1178" s="4"/>
      <c r="BL1178" s="4"/>
      <c r="BM1178" s="4"/>
      <c r="BN1178" s="4"/>
      <c r="BO1178" s="4"/>
      <c r="BP1178" s="4"/>
      <c r="BQ1178" s="4"/>
      <c r="BR1178" s="4"/>
      <c r="BS1178" s="4"/>
      <c r="BT1178" s="4"/>
      <c r="BU1178" s="4"/>
      <c r="BV1178" s="4"/>
      <c r="BW1178" s="4"/>
      <c r="BX1178" s="4"/>
      <c r="BY1178" s="4"/>
      <c r="BZ1178" s="4"/>
      <c r="CA1178" s="4"/>
      <c r="CB1178" s="4"/>
      <c r="CC1178" s="4"/>
      <c r="CD1178" s="4"/>
      <c r="CE1178" s="4"/>
      <c r="CF1178" s="4"/>
      <c r="CG1178" s="4"/>
      <c r="CH1178" s="4"/>
    </row>
    <row r="1179" spans="1:86" x14ac:dyDescent="0.25">
      <c r="A1179" s="4"/>
      <c r="B1179" s="4"/>
      <c r="C1179" s="4"/>
      <c r="D1179" s="4"/>
      <c r="E1179" s="4"/>
      <c r="F1179" s="14"/>
      <c r="G1179" s="14"/>
      <c r="H1179" s="14"/>
      <c r="I1179" s="5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  <c r="AA1179" s="4"/>
      <c r="AB1179" s="4"/>
      <c r="AC1179" s="4"/>
      <c r="AD1179" s="4"/>
      <c r="AE1179" s="4"/>
      <c r="AF1179" s="4"/>
      <c r="AG1179" s="4"/>
      <c r="AH1179" s="4"/>
      <c r="AI1179" s="4"/>
      <c r="AJ1179" s="4"/>
      <c r="AK1179" s="4"/>
      <c r="AL1179" s="4"/>
      <c r="AM1179" s="4"/>
      <c r="AN1179" s="4"/>
      <c r="AO1179" s="4"/>
      <c r="AP1179" s="4"/>
      <c r="AQ1179" s="4"/>
      <c r="AR1179" s="4"/>
      <c r="AS1179" s="4"/>
      <c r="AT1179" s="4"/>
      <c r="AU1179" s="4"/>
      <c r="AV1179" s="4"/>
      <c r="AW1179" s="4"/>
      <c r="AX1179" s="4"/>
      <c r="AY1179" s="4"/>
      <c r="AZ1179" s="4"/>
      <c r="BA1179" s="4"/>
      <c r="BB1179" s="4"/>
      <c r="BC1179" s="4"/>
      <c r="BD1179" s="4"/>
      <c r="BE1179" s="4"/>
      <c r="BF1179" s="4"/>
      <c r="BG1179" s="4"/>
      <c r="BH1179" s="4"/>
      <c r="BI1179" s="4"/>
      <c r="BJ1179" s="4"/>
      <c r="BK1179" s="4"/>
      <c r="BL1179" s="4"/>
      <c r="BM1179" s="4"/>
      <c r="BN1179" s="4"/>
      <c r="BO1179" s="4"/>
      <c r="BP1179" s="4"/>
      <c r="BQ1179" s="4"/>
      <c r="BR1179" s="4"/>
      <c r="BS1179" s="4"/>
      <c r="BT1179" s="4"/>
      <c r="BU1179" s="4"/>
      <c r="BV1179" s="4"/>
      <c r="BW1179" s="4"/>
      <c r="BX1179" s="4"/>
      <c r="BY1179" s="4"/>
      <c r="BZ1179" s="4"/>
      <c r="CA1179" s="4"/>
      <c r="CB1179" s="4"/>
      <c r="CC1179" s="4"/>
      <c r="CD1179" s="4"/>
      <c r="CE1179" s="4"/>
      <c r="CF1179" s="4"/>
      <c r="CG1179" s="4"/>
      <c r="CH1179" s="4"/>
    </row>
    <row r="1180" spans="1:86" x14ac:dyDescent="0.25">
      <c r="A1180" s="4"/>
      <c r="B1180" s="4"/>
      <c r="C1180" s="4"/>
      <c r="D1180" s="4"/>
      <c r="E1180" s="4"/>
      <c r="F1180" s="14"/>
      <c r="G1180" s="14"/>
      <c r="H1180" s="14"/>
      <c r="I1180" s="5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  <c r="AA1180" s="4"/>
      <c r="AB1180" s="4"/>
      <c r="AC1180" s="4"/>
      <c r="AD1180" s="4"/>
      <c r="AE1180" s="4"/>
      <c r="AF1180" s="4"/>
      <c r="AG1180" s="4"/>
      <c r="AH1180" s="4"/>
      <c r="AI1180" s="4"/>
      <c r="AJ1180" s="4"/>
      <c r="AK1180" s="4"/>
      <c r="AL1180" s="4"/>
      <c r="AM1180" s="4"/>
      <c r="AN1180" s="4"/>
      <c r="AO1180" s="4"/>
      <c r="AP1180" s="4"/>
      <c r="AQ1180" s="4"/>
      <c r="AR1180" s="4"/>
      <c r="AS1180" s="4"/>
      <c r="AT1180" s="4"/>
      <c r="AU1180" s="4"/>
      <c r="AV1180" s="4"/>
      <c r="AW1180" s="4"/>
      <c r="AX1180" s="4"/>
      <c r="AY1180" s="4"/>
      <c r="AZ1180" s="4"/>
      <c r="BA1180" s="4"/>
      <c r="BB1180" s="4"/>
      <c r="BC1180" s="4"/>
      <c r="BD1180" s="4"/>
      <c r="BE1180" s="4"/>
      <c r="BF1180" s="4"/>
      <c r="BG1180" s="4"/>
      <c r="BH1180" s="4"/>
      <c r="BI1180" s="4"/>
      <c r="BJ1180" s="4"/>
      <c r="BK1180" s="4"/>
      <c r="BL1180" s="4"/>
      <c r="BM1180" s="4"/>
      <c r="BN1180" s="4"/>
      <c r="BO1180" s="4"/>
      <c r="BP1180" s="4"/>
      <c r="BQ1180" s="4"/>
      <c r="BR1180" s="4"/>
      <c r="BS1180" s="4"/>
      <c r="BT1180" s="4"/>
      <c r="BU1180" s="4"/>
      <c r="BV1180" s="4"/>
      <c r="BW1180" s="4"/>
      <c r="BX1180" s="4"/>
      <c r="BY1180" s="4"/>
      <c r="BZ1180" s="4"/>
      <c r="CA1180" s="4"/>
      <c r="CB1180" s="4"/>
      <c r="CC1180" s="4"/>
      <c r="CD1180" s="4"/>
      <c r="CE1180" s="4"/>
      <c r="CF1180" s="4"/>
      <c r="CG1180" s="4"/>
      <c r="CH1180" s="4"/>
    </row>
    <row r="1181" spans="1:86" x14ac:dyDescent="0.25">
      <c r="A1181" s="4"/>
      <c r="B1181" s="4"/>
      <c r="C1181" s="4"/>
      <c r="D1181" s="4"/>
      <c r="E1181" s="4"/>
      <c r="F1181" s="14"/>
      <c r="G1181" s="14"/>
      <c r="H1181" s="14"/>
      <c r="I1181" s="5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  <c r="AA1181" s="4"/>
      <c r="AB1181" s="4"/>
      <c r="AC1181" s="4"/>
      <c r="AD1181" s="4"/>
      <c r="AE1181" s="4"/>
      <c r="AF1181" s="4"/>
      <c r="AG1181" s="4"/>
      <c r="AH1181" s="4"/>
      <c r="AI1181" s="4"/>
      <c r="AJ1181" s="4"/>
      <c r="AK1181" s="4"/>
      <c r="AL1181" s="4"/>
      <c r="AM1181" s="4"/>
      <c r="AN1181" s="4"/>
      <c r="AO1181" s="4"/>
      <c r="AP1181" s="4"/>
      <c r="AQ1181" s="4"/>
      <c r="AR1181" s="4"/>
      <c r="AS1181" s="4"/>
      <c r="AT1181" s="4"/>
      <c r="AU1181" s="4"/>
      <c r="AV1181" s="4"/>
      <c r="AW1181" s="4"/>
      <c r="AX1181" s="4"/>
      <c r="AY1181" s="4"/>
      <c r="AZ1181" s="4"/>
      <c r="BA1181" s="4"/>
      <c r="BB1181" s="4"/>
      <c r="BC1181" s="4"/>
      <c r="BD1181" s="4"/>
      <c r="BE1181" s="4"/>
      <c r="BF1181" s="4"/>
      <c r="BG1181" s="4"/>
      <c r="BH1181" s="4"/>
      <c r="BI1181" s="4"/>
      <c r="BJ1181" s="4"/>
      <c r="BK1181" s="4"/>
      <c r="BL1181" s="4"/>
      <c r="BM1181" s="4"/>
      <c r="BN1181" s="4"/>
      <c r="BO1181" s="4"/>
      <c r="BP1181" s="4"/>
      <c r="BQ1181" s="4"/>
      <c r="BR1181" s="4"/>
      <c r="BS1181" s="4"/>
      <c r="BT1181" s="4"/>
      <c r="BU1181" s="4"/>
      <c r="BV1181" s="4"/>
      <c r="BW1181" s="4"/>
      <c r="BX1181" s="4"/>
      <c r="BY1181" s="4"/>
      <c r="BZ1181" s="4"/>
      <c r="CA1181" s="4"/>
      <c r="CB1181" s="4"/>
      <c r="CC1181" s="4"/>
      <c r="CD1181" s="4"/>
      <c r="CE1181" s="4"/>
      <c r="CF1181" s="4"/>
      <c r="CG1181" s="4"/>
      <c r="CH1181" s="4"/>
    </row>
    <row r="1182" spans="1:86" x14ac:dyDescent="0.25">
      <c r="A1182" s="4"/>
      <c r="B1182" s="4"/>
      <c r="C1182" s="4"/>
      <c r="D1182" s="4"/>
      <c r="E1182" s="4"/>
      <c r="F1182" s="14"/>
      <c r="G1182" s="14"/>
      <c r="H1182" s="14"/>
      <c r="I1182" s="5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  <c r="AA1182" s="4"/>
      <c r="AB1182" s="4"/>
      <c r="AC1182" s="4"/>
      <c r="AD1182" s="4"/>
      <c r="AE1182" s="4"/>
      <c r="AF1182" s="4"/>
      <c r="AG1182" s="4"/>
      <c r="AH1182" s="4"/>
      <c r="AI1182" s="4"/>
      <c r="AJ1182" s="4"/>
      <c r="AK1182" s="4"/>
      <c r="AL1182" s="4"/>
      <c r="AM1182" s="4"/>
      <c r="AN1182" s="4"/>
      <c r="AO1182" s="4"/>
      <c r="AP1182" s="4"/>
      <c r="AQ1182" s="4"/>
      <c r="AR1182" s="4"/>
      <c r="AS1182" s="4"/>
      <c r="AT1182" s="4"/>
      <c r="AU1182" s="4"/>
      <c r="AV1182" s="4"/>
      <c r="AW1182" s="4"/>
      <c r="AX1182" s="4"/>
      <c r="AY1182" s="4"/>
      <c r="AZ1182" s="4"/>
      <c r="BA1182" s="4"/>
      <c r="BB1182" s="4"/>
      <c r="BC1182" s="4"/>
      <c r="BD1182" s="4"/>
      <c r="BE1182" s="4"/>
      <c r="BF1182" s="4"/>
      <c r="BG1182" s="4"/>
      <c r="BH1182" s="4"/>
      <c r="BI1182" s="4"/>
      <c r="BJ1182" s="4"/>
      <c r="BK1182" s="4"/>
      <c r="BL1182" s="4"/>
      <c r="BM1182" s="4"/>
      <c r="BN1182" s="4"/>
      <c r="BO1182" s="4"/>
      <c r="BP1182" s="4"/>
      <c r="BQ1182" s="4"/>
      <c r="BR1182" s="4"/>
      <c r="BS1182" s="4"/>
      <c r="BT1182" s="4"/>
      <c r="BU1182" s="4"/>
      <c r="BV1182" s="4"/>
      <c r="BW1182" s="4"/>
      <c r="BX1182" s="4"/>
      <c r="BY1182" s="4"/>
      <c r="BZ1182" s="4"/>
      <c r="CA1182" s="4"/>
      <c r="CB1182" s="4"/>
      <c r="CC1182" s="4"/>
      <c r="CD1182" s="4"/>
      <c r="CE1182" s="4"/>
      <c r="CF1182" s="4"/>
      <c r="CG1182" s="4"/>
      <c r="CH1182" s="4"/>
    </row>
    <row r="1183" spans="1:86" x14ac:dyDescent="0.25">
      <c r="A1183" s="4"/>
      <c r="B1183" s="4"/>
      <c r="C1183" s="4"/>
      <c r="D1183" s="4"/>
      <c r="E1183" s="4"/>
      <c r="F1183" s="14"/>
      <c r="G1183" s="14"/>
      <c r="H1183" s="14"/>
      <c r="I1183" s="5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  <c r="AA1183" s="4"/>
      <c r="AB1183" s="4"/>
      <c r="AC1183" s="4"/>
      <c r="AD1183" s="4"/>
      <c r="AE1183" s="4"/>
      <c r="AF1183" s="4"/>
      <c r="AG1183" s="4"/>
      <c r="AH1183" s="4"/>
      <c r="AI1183" s="4"/>
      <c r="AJ1183" s="4"/>
      <c r="AK1183" s="4"/>
      <c r="AL1183" s="4"/>
      <c r="AM1183" s="4"/>
      <c r="AN1183" s="4"/>
      <c r="AO1183" s="4"/>
      <c r="AP1183" s="4"/>
      <c r="AQ1183" s="4"/>
      <c r="AR1183" s="4"/>
      <c r="AS1183" s="4"/>
      <c r="AT1183" s="4"/>
      <c r="AU1183" s="4"/>
      <c r="AV1183" s="4"/>
      <c r="AW1183" s="4"/>
      <c r="AX1183" s="4"/>
      <c r="AY1183" s="4"/>
      <c r="AZ1183" s="4"/>
      <c r="BA1183" s="4"/>
      <c r="BB1183" s="4"/>
      <c r="BC1183" s="4"/>
      <c r="BD1183" s="4"/>
      <c r="BE1183" s="4"/>
      <c r="BF1183" s="4"/>
      <c r="BG1183" s="4"/>
      <c r="BH1183" s="4"/>
      <c r="BI1183" s="4"/>
      <c r="BJ1183" s="4"/>
      <c r="BK1183" s="4"/>
      <c r="BL1183" s="4"/>
      <c r="BM1183" s="4"/>
      <c r="BN1183" s="4"/>
      <c r="BO1183" s="4"/>
      <c r="BP1183" s="4"/>
      <c r="BQ1183" s="4"/>
      <c r="BR1183" s="4"/>
      <c r="BS1183" s="4"/>
      <c r="BT1183" s="4"/>
      <c r="BU1183" s="4"/>
      <c r="BV1183" s="4"/>
      <c r="BW1183" s="4"/>
      <c r="BX1183" s="4"/>
      <c r="BY1183" s="4"/>
      <c r="BZ1183" s="4"/>
      <c r="CA1183" s="4"/>
      <c r="CB1183" s="4"/>
      <c r="CC1183" s="4"/>
      <c r="CD1183" s="4"/>
      <c r="CE1183" s="4"/>
      <c r="CF1183" s="4"/>
      <c r="CG1183" s="4"/>
      <c r="CH1183" s="4"/>
    </row>
    <row r="1184" spans="1:86" x14ac:dyDescent="0.25">
      <c r="A1184" s="4"/>
      <c r="B1184" s="4"/>
      <c r="C1184" s="4"/>
      <c r="D1184" s="4"/>
      <c r="E1184" s="4"/>
      <c r="F1184" s="14"/>
      <c r="G1184" s="14"/>
      <c r="H1184" s="14"/>
      <c r="I1184" s="5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  <c r="AA1184" s="4"/>
      <c r="AB1184" s="4"/>
      <c r="AC1184" s="4"/>
      <c r="AD1184" s="4"/>
      <c r="AE1184" s="4"/>
      <c r="AF1184" s="4"/>
      <c r="AG1184" s="4"/>
      <c r="AH1184" s="4"/>
      <c r="AI1184" s="4"/>
      <c r="AJ1184" s="4"/>
      <c r="AK1184" s="4"/>
      <c r="AL1184" s="4"/>
      <c r="AM1184" s="4"/>
      <c r="AN1184" s="4"/>
      <c r="AO1184" s="4"/>
      <c r="AP1184" s="4"/>
      <c r="AQ1184" s="4"/>
      <c r="AR1184" s="4"/>
      <c r="AS1184" s="4"/>
      <c r="AT1184" s="4"/>
      <c r="AU1184" s="4"/>
      <c r="AV1184" s="4"/>
      <c r="AW1184" s="4"/>
      <c r="AX1184" s="4"/>
      <c r="AY1184" s="4"/>
      <c r="AZ1184" s="4"/>
      <c r="BA1184" s="4"/>
      <c r="BB1184" s="4"/>
      <c r="BC1184" s="4"/>
      <c r="BD1184" s="4"/>
      <c r="BE1184" s="4"/>
      <c r="BF1184" s="4"/>
      <c r="BG1184" s="4"/>
      <c r="BH1184" s="4"/>
      <c r="BI1184" s="4"/>
      <c r="BJ1184" s="4"/>
      <c r="BK1184" s="4"/>
      <c r="BL1184" s="4"/>
      <c r="BM1184" s="4"/>
      <c r="BN1184" s="4"/>
      <c r="BO1184" s="4"/>
      <c r="BP1184" s="4"/>
      <c r="BQ1184" s="4"/>
      <c r="BR1184" s="4"/>
      <c r="BS1184" s="4"/>
      <c r="BT1184" s="4"/>
      <c r="BU1184" s="4"/>
      <c r="BV1184" s="4"/>
      <c r="BW1184" s="4"/>
      <c r="BX1184" s="4"/>
      <c r="BY1184" s="4"/>
      <c r="BZ1184" s="4"/>
      <c r="CA1184" s="4"/>
      <c r="CB1184" s="4"/>
      <c r="CC1184" s="4"/>
      <c r="CD1184" s="4"/>
      <c r="CE1184" s="4"/>
      <c r="CF1184" s="4"/>
      <c r="CG1184" s="4"/>
      <c r="CH1184" s="4"/>
    </row>
    <row r="1185" spans="1:86" x14ac:dyDescent="0.25">
      <c r="A1185" s="4"/>
      <c r="B1185" s="4"/>
      <c r="C1185" s="4"/>
      <c r="D1185" s="4"/>
      <c r="E1185" s="4"/>
      <c r="F1185" s="14"/>
      <c r="G1185" s="14"/>
      <c r="H1185" s="14"/>
      <c r="I1185" s="5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  <c r="AA1185" s="4"/>
      <c r="AB1185" s="4"/>
      <c r="AC1185" s="4"/>
      <c r="AD1185" s="4"/>
      <c r="AE1185" s="4"/>
      <c r="AF1185" s="4"/>
      <c r="AG1185" s="4"/>
      <c r="AH1185" s="4"/>
      <c r="AI1185" s="4"/>
      <c r="AJ1185" s="4"/>
      <c r="AK1185" s="4"/>
      <c r="AL1185" s="4"/>
      <c r="AM1185" s="4"/>
      <c r="AN1185" s="4"/>
      <c r="AO1185" s="4"/>
      <c r="AP1185" s="4"/>
      <c r="AQ1185" s="4"/>
      <c r="AR1185" s="4"/>
      <c r="AS1185" s="4"/>
      <c r="AT1185" s="4"/>
      <c r="AU1185" s="4"/>
      <c r="AV1185" s="4"/>
      <c r="AW1185" s="4"/>
      <c r="AX1185" s="4"/>
      <c r="AY1185" s="4"/>
      <c r="AZ1185" s="4"/>
      <c r="BA1185" s="4"/>
      <c r="BB1185" s="4"/>
      <c r="BC1185" s="4"/>
      <c r="BD1185" s="4"/>
      <c r="BE1185" s="4"/>
      <c r="BF1185" s="4"/>
      <c r="BG1185" s="4"/>
      <c r="BH1185" s="4"/>
      <c r="BI1185" s="4"/>
      <c r="BJ1185" s="4"/>
      <c r="BK1185" s="4"/>
      <c r="BL1185" s="4"/>
      <c r="BM1185" s="4"/>
      <c r="BN1185" s="4"/>
      <c r="BO1185" s="4"/>
      <c r="BP1185" s="4"/>
      <c r="BQ1185" s="4"/>
      <c r="BR1185" s="4"/>
      <c r="BS1185" s="4"/>
      <c r="BT1185" s="4"/>
      <c r="BU1185" s="4"/>
      <c r="BV1185" s="4"/>
      <c r="BW1185" s="4"/>
      <c r="BX1185" s="4"/>
      <c r="BY1185" s="4"/>
      <c r="BZ1185" s="4"/>
      <c r="CA1185" s="4"/>
      <c r="CB1185" s="4"/>
      <c r="CC1185" s="4"/>
      <c r="CD1185" s="4"/>
      <c r="CE1185" s="4"/>
      <c r="CF1185" s="4"/>
      <c r="CG1185" s="4"/>
      <c r="CH1185" s="4"/>
    </row>
    <row r="1186" spans="1:86" x14ac:dyDescent="0.25">
      <c r="A1186" s="4"/>
      <c r="B1186" s="4"/>
      <c r="C1186" s="4"/>
      <c r="D1186" s="4"/>
      <c r="E1186" s="4"/>
      <c r="F1186" s="14"/>
      <c r="G1186" s="14"/>
      <c r="H1186" s="14"/>
      <c r="I1186" s="5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  <c r="AA1186" s="4"/>
      <c r="AB1186" s="4"/>
      <c r="AC1186" s="4"/>
      <c r="AD1186" s="4"/>
      <c r="AE1186" s="4"/>
      <c r="AF1186" s="4"/>
      <c r="AG1186" s="4"/>
      <c r="AH1186" s="4"/>
      <c r="AI1186" s="4"/>
      <c r="AJ1186" s="4"/>
      <c r="AK1186" s="4"/>
      <c r="AL1186" s="4"/>
      <c r="AM1186" s="4"/>
      <c r="AN1186" s="4"/>
      <c r="AO1186" s="4"/>
      <c r="AP1186" s="4"/>
      <c r="AQ1186" s="4"/>
      <c r="AR1186" s="4"/>
      <c r="AS1186" s="4"/>
      <c r="AT1186" s="4"/>
      <c r="AU1186" s="4"/>
      <c r="AV1186" s="4"/>
      <c r="AW1186" s="4"/>
      <c r="AX1186" s="4"/>
      <c r="AY1186" s="4"/>
      <c r="AZ1186" s="4"/>
      <c r="BA1186" s="4"/>
      <c r="BB1186" s="4"/>
      <c r="BC1186" s="4"/>
      <c r="BD1186" s="4"/>
      <c r="BE1186" s="4"/>
      <c r="BF1186" s="4"/>
      <c r="BG1186" s="4"/>
      <c r="BH1186" s="4"/>
      <c r="BI1186" s="4"/>
      <c r="BJ1186" s="4"/>
      <c r="BK1186" s="4"/>
      <c r="BL1186" s="4"/>
      <c r="BM1186" s="4"/>
      <c r="BN1186" s="4"/>
      <c r="BO1186" s="4"/>
      <c r="BP1186" s="4"/>
      <c r="BQ1186" s="4"/>
      <c r="BR1186" s="4"/>
      <c r="BS1186" s="4"/>
      <c r="BT1186" s="4"/>
      <c r="BU1186" s="4"/>
      <c r="BV1186" s="4"/>
      <c r="BW1186" s="4"/>
      <c r="BX1186" s="4"/>
      <c r="BY1186" s="4"/>
      <c r="BZ1186" s="4"/>
      <c r="CA1186" s="4"/>
      <c r="CB1186" s="4"/>
      <c r="CC1186" s="4"/>
      <c r="CD1186" s="4"/>
      <c r="CE1186" s="4"/>
      <c r="CF1186" s="4"/>
      <c r="CG1186" s="4"/>
      <c r="CH1186" s="4"/>
    </row>
    <row r="1187" spans="1:86" x14ac:dyDescent="0.25">
      <c r="A1187" s="4"/>
      <c r="B1187" s="4"/>
      <c r="C1187" s="4"/>
      <c r="D1187" s="4"/>
      <c r="E1187" s="4"/>
      <c r="F1187" s="14"/>
      <c r="G1187" s="14"/>
      <c r="H1187" s="14"/>
      <c r="I1187" s="5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  <c r="AA1187" s="4"/>
      <c r="AB1187" s="4"/>
      <c r="AC1187" s="4"/>
      <c r="AD1187" s="4"/>
      <c r="AE1187" s="4"/>
      <c r="AF1187" s="4"/>
      <c r="AG1187" s="4"/>
      <c r="AH1187" s="4"/>
      <c r="AI1187" s="4"/>
      <c r="AJ1187" s="4"/>
      <c r="AK1187" s="4"/>
      <c r="AL1187" s="4"/>
      <c r="AM1187" s="4"/>
      <c r="AN1187" s="4"/>
      <c r="AO1187" s="4"/>
      <c r="AP1187" s="4"/>
      <c r="AQ1187" s="4"/>
      <c r="AR1187" s="4"/>
      <c r="AS1187" s="4"/>
      <c r="AT1187" s="4"/>
      <c r="AU1187" s="4"/>
      <c r="AV1187" s="4"/>
      <c r="AW1187" s="4"/>
      <c r="AX1187" s="4"/>
      <c r="AY1187" s="4"/>
      <c r="AZ1187" s="4"/>
      <c r="BA1187" s="4"/>
      <c r="BB1187" s="4"/>
      <c r="BC1187" s="4"/>
      <c r="BD1187" s="4"/>
      <c r="BE1187" s="4"/>
      <c r="BF1187" s="4"/>
      <c r="BG1187" s="4"/>
      <c r="BH1187" s="4"/>
      <c r="BI1187" s="4"/>
      <c r="BJ1187" s="4"/>
      <c r="BK1187" s="4"/>
      <c r="BL1187" s="4"/>
      <c r="BM1187" s="4"/>
      <c r="BN1187" s="4"/>
      <c r="BO1187" s="4"/>
      <c r="BP1187" s="4"/>
      <c r="BQ1187" s="4"/>
      <c r="BR1187" s="4"/>
      <c r="BS1187" s="4"/>
      <c r="BT1187" s="4"/>
      <c r="BU1187" s="4"/>
      <c r="BV1187" s="4"/>
      <c r="BW1187" s="4"/>
      <c r="BX1187" s="4"/>
      <c r="BY1187" s="4"/>
      <c r="BZ1187" s="4"/>
      <c r="CA1187" s="4"/>
      <c r="CB1187" s="4"/>
      <c r="CC1187" s="4"/>
      <c r="CD1187" s="4"/>
      <c r="CE1187" s="4"/>
      <c r="CF1187" s="4"/>
      <c r="CG1187" s="4"/>
      <c r="CH1187" s="4"/>
    </row>
    <row r="1188" spans="1:86" x14ac:dyDescent="0.25">
      <c r="A1188" s="4"/>
      <c r="B1188" s="4"/>
      <c r="C1188" s="4"/>
      <c r="D1188" s="4"/>
      <c r="E1188" s="4"/>
      <c r="F1188" s="14"/>
      <c r="G1188" s="14"/>
      <c r="H1188" s="14"/>
      <c r="I1188" s="5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  <c r="AA1188" s="4"/>
      <c r="AB1188" s="4"/>
      <c r="AC1188" s="4"/>
      <c r="AD1188" s="4"/>
      <c r="AE1188" s="4"/>
      <c r="AF1188" s="4"/>
      <c r="AG1188" s="4"/>
      <c r="AH1188" s="4"/>
      <c r="AI1188" s="4"/>
      <c r="AJ1188" s="4"/>
      <c r="AK1188" s="4"/>
      <c r="AL1188" s="4"/>
      <c r="AM1188" s="4"/>
      <c r="AN1188" s="4"/>
      <c r="AO1188" s="4"/>
      <c r="AP1188" s="4"/>
      <c r="AQ1188" s="4"/>
      <c r="AR1188" s="4"/>
      <c r="AS1188" s="4"/>
      <c r="AT1188" s="4"/>
      <c r="AU1188" s="4"/>
      <c r="AV1188" s="4"/>
      <c r="AW1188" s="4"/>
      <c r="AX1188" s="4"/>
      <c r="AY1188" s="4"/>
      <c r="AZ1188" s="4"/>
      <c r="BA1188" s="4"/>
      <c r="BB1188" s="4"/>
      <c r="BC1188" s="4"/>
      <c r="BD1188" s="4"/>
      <c r="BE1188" s="4"/>
      <c r="BF1188" s="4"/>
      <c r="BG1188" s="4"/>
      <c r="BH1188" s="4"/>
      <c r="BI1188" s="4"/>
      <c r="BJ1188" s="4"/>
      <c r="BK1188" s="4"/>
      <c r="BL1188" s="4"/>
      <c r="BM1188" s="4"/>
      <c r="BN1188" s="4"/>
      <c r="BO1188" s="4"/>
      <c r="BP1188" s="4"/>
      <c r="BQ1188" s="4"/>
      <c r="BR1188" s="4"/>
      <c r="BS1188" s="4"/>
      <c r="BT1188" s="4"/>
      <c r="BU1188" s="4"/>
      <c r="BV1188" s="4"/>
      <c r="BW1188" s="4"/>
      <c r="BX1188" s="4"/>
      <c r="BY1188" s="4"/>
      <c r="BZ1188" s="4"/>
      <c r="CA1188" s="4"/>
      <c r="CB1188" s="4"/>
      <c r="CC1188" s="4"/>
      <c r="CD1188" s="4"/>
      <c r="CE1188" s="4"/>
      <c r="CF1188" s="4"/>
      <c r="CG1188" s="4"/>
      <c r="CH1188" s="4"/>
    </row>
    <row r="1189" spans="1:86" x14ac:dyDescent="0.25">
      <c r="A1189" s="4"/>
      <c r="B1189" s="4"/>
      <c r="C1189" s="4"/>
      <c r="D1189" s="4"/>
      <c r="E1189" s="4"/>
      <c r="F1189" s="14"/>
      <c r="G1189" s="14"/>
      <c r="H1189" s="14"/>
      <c r="I1189" s="5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  <c r="AA1189" s="4"/>
      <c r="AB1189" s="4"/>
      <c r="AC1189" s="4"/>
      <c r="AD1189" s="4"/>
      <c r="AE1189" s="4"/>
      <c r="AF1189" s="4"/>
      <c r="AG1189" s="4"/>
      <c r="AH1189" s="4"/>
      <c r="AI1189" s="4"/>
      <c r="AJ1189" s="4"/>
      <c r="AK1189" s="4"/>
      <c r="AL1189" s="4"/>
      <c r="AM1189" s="4"/>
      <c r="AN1189" s="4"/>
      <c r="AO1189" s="4"/>
      <c r="AP1189" s="4"/>
      <c r="AQ1189" s="4"/>
      <c r="AR1189" s="4"/>
      <c r="AS1189" s="4"/>
      <c r="AT1189" s="4"/>
      <c r="AU1189" s="4"/>
      <c r="AV1189" s="4"/>
      <c r="AW1189" s="4"/>
      <c r="AX1189" s="4"/>
      <c r="AY1189" s="4"/>
      <c r="AZ1189" s="4"/>
      <c r="BA1189" s="4"/>
      <c r="BB1189" s="4"/>
      <c r="BC1189" s="4"/>
      <c r="BD1189" s="4"/>
      <c r="BE1189" s="4"/>
      <c r="BF1189" s="4"/>
      <c r="BG1189" s="4"/>
      <c r="BH1189" s="4"/>
      <c r="BI1189" s="4"/>
      <c r="BJ1189" s="4"/>
      <c r="BK1189" s="4"/>
      <c r="BL1189" s="4"/>
      <c r="BM1189" s="4"/>
      <c r="BN1189" s="4"/>
      <c r="BO1189" s="4"/>
      <c r="BP1189" s="4"/>
      <c r="BQ1189" s="4"/>
      <c r="BR1189" s="4"/>
      <c r="BS1189" s="4"/>
      <c r="BT1189" s="4"/>
      <c r="BU1189" s="4"/>
      <c r="BV1189" s="4"/>
      <c r="BW1189" s="4"/>
      <c r="BX1189" s="4"/>
      <c r="BY1189" s="4"/>
      <c r="BZ1189" s="4"/>
      <c r="CA1189" s="4"/>
      <c r="CB1189" s="4"/>
      <c r="CC1189" s="4"/>
      <c r="CD1189" s="4"/>
      <c r="CE1189" s="4"/>
      <c r="CF1189" s="4"/>
      <c r="CG1189" s="4"/>
      <c r="CH1189" s="4"/>
    </row>
    <row r="1190" spans="1:86" x14ac:dyDescent="0.25">
      <c r="A1190" s="4"/>
      <c r="B1190" s="4"/>
      <c r="C1190" s="4"/>
      <c r="D1190" s="4"/>
      <c r="E1190" s="4"/>
      <c r="F1190" s="14"/>
      <c r="G1190" s="14"/>
      <c r="H1190" s="14"/>
      <c r="I1190" s="5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  <c r="AA1190" s="4"/>
      <c r="AB1190" s="4"/>
      <c r="AC1190" s="4"/>
      <c r="AD1190" s="4"/>
      <c r="AE1190" s="4"/>
      <c r="AF1190" s="4"/>
      <c r="AG1190" s="4"/>
      <c r="AH1190" s="4"/>
      <c r="AI1190" s="4"/>
      <c r="AJ1190" s="4"/>
      <c r="AK1190" s="4"/>
      <c r="AL1190" s="4"/>
      <c r="AM1190" s="4"/>
      <c r="AN1190" s="4"/>
      <c r="AO1190" s="4"/>
      <c r="AP1190" s="4"/>
      <c r="AQ1190" s="4"/>
      <c r="AR1190" s="4"/>
      <c r="AS1190" s="4"/>
      <c r="AT1190" s="4"/>
      <c r="AU1190" s="4"/>
      <c r="AV1190" s="4"/>
      <c r="AW1190" s="4"/>
      <c r="AX1190" s="4"/>
      <c r="AY1190" s="4"/>
      <c r="AZ1190" s="4"/>
      <c r="BA1190" s="4"/>
      <c r="BB1190" s="4"/>
      <c r="BC1190" s="4"/>
      <c r="BD1190" s="4"/>
      <c r="BE1190" s="4"/>
      <c r="BF1190" s="4"/>
      <c r="BG1190" s="4"/>
      <c r="BH1190" s="4"/>
      <c r="BI1190" s="4"/>
      <c r="BJ1190" s="4"/>
      <c r="BK1190" s="4"/>
      <c r="BL1190" s="4"/>
      <c r="BM1190" s="4"/>
      <c r="BN1190" s="4"/>
      <c r="BO1190" s="4"/>
      <c r="BP1190" s="4"/>
      <c r="BQ1190" s="4"/>
      <c r="BR1190" s="4"/>
      <c r="BS1190" s="4"/>
      <c r="BT1190" s="4"/>
      <c r="BU1190" s="4"/>
      <c r="BV1190" s="4"/>
      <c r="BW1190" s="4"/>
      <c r="BX1190" s="4"/>
      <c r="BY1190" s="4"/>
      <c r="BZ1190" s="4"/>
      <c r="CA1190" s="4"/>
      <c r="CB1190" s="4"/>
      <c r="CC1190" s="4"/>
      <c r="CD1190" s="4"/>
      <c r="CE1190" s="4"/>
      <c r="CF1190" s="4"/>
      <c r="CG1190" s="4"/>
      <c r="CH1190" s="4"/>
    </row>
    <row r="1191" spans="1:86" x14ac:dyDescent="0.25">
      <c r="A1191" s="4"/>
      <c r="B1191" s="4"/>
      <c r="C1191" s="4"/>
      <c r="D1191" s="4"/>
      <c r="E1191" s="4"/>
      <c r="F1191" s="14"/>
      <c r="G1191" s="14"/>
      <c r="H1191" s="14"/>
      <c r="I1191" s="5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  <c r="AA1191" s="4"/>
      <c r="AB1191" s="4"/>
      <c r="AC1191" s="4"/>
      <c r="AD1191" s="4"/>
      <c r="AE1191" s="4"/>
      <c r="AF1191" s="4"/>
      <c r="AG1191" s="4"/>
      <c r="AH1191" s="4"/>
      <c r="AI1191" s="4"/>
      <c r="AJ1191" s="4"/>
      <c r="AK1191" s="4"/>
      <c r="AL1191" s="4"/>
      <c r="AM1191" s="4"/>
      <c r="AN1191" s="4"/>
      <c r="AO1191" s="4"/>
      <c r="AP1191" s="4"/>
      <c r="AQ1191" s="4"/>
      <c r="AR1191" s="4"/>
      <c r="AS1191" s="4"/>
      <c r="AT1191" s="4"/>
      <c r="AU1191" s="4"/>
      <c r="AV1191" s="4"/>
      <c r="AW1191" s="4"/>
      <c r="AX1191" s="4"/>
      <c r="AY1191" s="4"/>
      <c r="AZ1191" s="4"/>
      <c r="BA1191" s="4"/>
      <c r="BB1191" s="4"/>
      <c r="BC1191" s="4"/>
      <c r="BD1191" s="4"/>
      <c r="BE1191" s="4"/>
      <c r="BF1191" s="4"/>
      <c r="BG1191" s="4"/>
      <c r="BH1191" s="4"/>
      <c r="BI1191" s="4"/>
      <c r="BJ1191" s="4"/>
      <c r="BK1191" s="4"/>
      <c r="BL1191" s="4"/>
      <c r="BM1191" s="4"/>
      <c r="BN1191" s="4"/>
      <c r="BO1191" s="4"/>
      <c r="BP1191" s="4"/>
      <c r="BQ1191" s="4"/>
      <c r="BR1191" s="4"/>
      <c r="BS1191" s="4"/>
      <c r="BT1191" s="4"/>
      <c r="BU1191" s="4"/>
      <c r="BV1191" s="4"/>
      <c r="BW1191" s="4"/>
      <c r="BX1191" s="4"/>
      <c r="BY1191" s="4"/>
      <c r="BZ1191" s="4"/>
      <c r="CA1191" s="4"/>
      <c r="CB1191" s="4"/>
      <c r="CC1191" s="4"/>
      <c r="CD1191" s="4"/>
      <c r="CE1191" s="4"/>
      <c r="CF1191" s="4"/>
      <c r="CG1191" s="4"/>
      <c r="CH1191" s="4"/>
    </row>
    <row r="1192" spans="1:86" x14ac:dyDescent="0.25">
      <c r="A1192" s="4"/>
      <c r="B1192" s="4"/>
      <c r="C1192" s="4"/>
      <c r="D1192" s="4"/>
      <c r="E1192" s="4"/>
      <c r="F1192" s="14"/>
      <c r="G1192" s="14"/>
      <c r="H1192" s="14"/>
      <c r="I1192" s="5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  <c r="AA1192" s="4"/>
      <c r="AB1192" s="4"/>
      <c r="AC1192" s="4"/>
      <c r="AD1192" s="4"/>
      <c r="AE1192" s="4"/>
      <c r="AF1192" s="4"/>
      <c r="AG1192" s="4"/>
      <c r="AH1192" s="4"/>
      <c r="AI1192" s="4"/>
      <c r="AJ1192" s="4"/>
      <c r="AK1192" s="4"/>
      <c r="AL1192" s="4"/>
      <c r="AM1192" s="4"/>
      <c r="AN1192" s="4"/>
      <c r="AO1192" s="4"/>
      <c r="AP1192" s="4"/>
      <c r="AQ1192" s="4"/>
      <c r="AR1192" s="4"/>
      <c r="AS1192" s="4"/>
      <c r="AT1192" s="4"/>
      <c r="AU1192" s="4"/>
      <c r="AV1192" s="4"/>
      <c r="AW1192" s="4"/>
      <c r="AX1192" s="4"/>
      <c r="AY1192" s="4"/>
      <c r="AZ1192" s="4"/>
      <c r="BA1192" s="4"/>
      <c r="BB1192" s="4"/>
      <c r="BC1192" s="4"/>
      <c r="BD1192" s="4"/>
      <c r="BE1192" s="4"/>
      <c r="BF1192" s="4"/>
      <c r="BG1192" s="4"/>
      <c r="BH1192" s="4"/>
      <c r="BI1192" s="4"/>
      <c r="BJ1192" s="4"/>
      <c r="BK1192" s="4"/>
      <c r="BL1192" s="4"/>
      <c r="BM1192" s="4"/>
      <c r="BN1192" s="4"/>
      <c r="BO1192" s="4"/>
      <c r="BP1192" s="4"/>
      <c r="BQ1192" s="4"/>
      <c r="BR1192" s="4"/>
      <c r="BS1192" s="4"/>
      <c r="BT1192" s="4"/>
      <c r="BU1192" s="4"/>
      <c r="BV1192" s="4"/>
      <c r="BW1192" s="4"/>
      <c r="BX1192" s="4"/>
      <c r="BY1192" s="4"/>
      <c r="BZ1192" s="4"/>
      <c r="CA1192" s="4"/>
      <c r="CB1192" s="4"/>
      <c r="CC1192" s="4"/>
      <c r="CD1192" s="4"/>
      <c r="CE1192" s="4"/>
      <c r="CF1192" s="4"/>
      <c r="CG1192" s="4"/>
      <c r="CH1192" s="4"/>
    </row>
    <row r="1193" spans="1:86" x14ac:dyDescent="0.25">
      <c r="A1193" s="4"/>
      <c r="B1193" s="4"/>
      <c r="C1193" s="4"/>
      <c r="D1193" s="4"/>
      <c r="E1193" s="4"/>
      <c r="F1193" s="14"/>
      <c r="G1193" s="14"/>
      <c r="H1193" s="14"/>
      <c r="I1193" s="5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  <c r="AA1193" s="4"/>
      <c r="AB1193" s="4"/>
      <c r="AC1193" s="4"/>
      <c r="AD1193" s="4"/>
      <c r="AE1193" s="4"/>
      <c r="AF1193" s="4"/>
      <c r="AG1193" s="4"/>
      <c r="AH1193" s="4"/>
      <c r="AI1193" s="4"/>
      <c r="AJ1193" s="4"/>
      <c r="AK1193" s="4"/>
      <c r="AL1193" s="4"/>
      <c r="AM1193" s="4"/>
      <c r="AN1193" s="4"/>
      <c r="AO1193" s="4"/>
      <c r="AP1193" s="4"/>
      <c r="AQ1193" s="4"/>
      <c r="AR1193" s="4"/>
      <c r="AS1193" s="4"/>
      <c r="AT1193" s="4"/>
      <c r="AU1193" s="4"/>
      <c r="AV1193" s="4"/>
      <c r="AW1193" s="4"/>
      <c r="AX1193" s="4"/>
      <c r="AY1193" s="4"/>
      <c r="AZ1193" s="4"/>
      <c r="BA1193" s="4"/>
      <c r="BB1193" s="4"/>
      <c r="BC1193" s="4"/>
      <c r="BD1193" s="4"/>
      <c r="BE1193" s="4"/>
      <c r="BF1193" s="4"/>
      <c r="BG1193" s="4"/>
      <c r="BH1193" s="4"/>
      <c r="BI1193" s="4"/>
      <c r="BJ1193" s="4"/>
      <c r="BK1193" s="4"/>
      <c r="BL1193" s="4"/>
      <c r="BM1193" s="4"/>
      <c r="BN1193" s="4"/>
      <c r="BO1193" s="4"/>
      <c r="BP1193" s="4"/>
      <c r="BQ1193" s="4"/>
      <c r="BR1193" s="4"/>
      <c r="BS1193" s="4"/>
      <c r="BT1193" s="4"/>
      <c r="BU1193" s="4"/>
      <c r="BV1193" s="4"/>
      <c r="BW1193" s="4"/>
      <c r="BX1193" s="4"/>
      <c r="BY1193" s="4"/>
      <c r="BZ1193" s="4"/>
      <c r="CA1193" s="4"/>
      <c r="CB1193" s="4"/>
      <c r="CC1193" s="4"/>
      <c r="CD1193" s="4"/>
      <c r="CE1193" s="4"/>
      <c r="CF1193" s="4"/>
      <c r="CG1193" s="4"/>
      <c r="CH1193" s="4"/>
    </row>
    <row r="1194" spans="1:86" x14ac:dyDescent="0.25">
      <c r="A1194" s="4"/>
      <c r="B1194" s="4"/>
      <c r="C1194" s="4"/>
      <c r="D1194" s="4"/>
      <c r="E1194" s="4"/>
      <c r="F1194" s="14"/>
      <c r="G1194" s="14"/>
      <c r="H1194" s="14"/>
      <c r="I1194" s="5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  <c r="AA1194" s="4"/>
      <c r="AB1194" s="4"/>
      <c r="AC1194" s="4"/>
      <c r="AD1194" s="4"/>
      <c r="AE1194" s="4"/>
      <c r="AF1194" s="4"/>
      <c r="AG1194" s="4"/>
      <c r="AH1194" s="4"/>
      <c r="AI1194" s="4"/>
      <c r="AJ1194" s="4"/>
      <c r="AK1194" s="4"/>
      <c r="AL1194" s="4"/>
      <c r="AM1194" s="4"/>
      <c r="AN1194" s="4"/>
      <c r="AO1194" s="4"/>
      <c r="AP1194" s="4"/>
      <c r="AQ1194" s="4"/>
      <c r="AR1194" s="4"/>
      <c r="AS1194" s="4"/>
      <c r="AT1194" s="4"/>
      <c r="AU1194" s="4"/>
      <c r="AV1194" s="4"/>
      <c r="AW1194" s="4"/>
      <c r="AX1194" s="4"/>
      <c r="AY1194" s="4"/>
      <c r="AZ1194" s="4"/>
      <c r="BA1194" s="4"/>
      <c r="BB1194" s="4"/>
      <c r="BC1194" s="4"/>
      <c r="BD1194" s="4"/>
      <c r="BE1194" s="4"/>
      <c r="BF1194" s="4"/>
      <c r="BG1194" s="4"/>
      <c r="BH1194" s="4"/>
      <c r="BI1194" s="4"/>
      <c r="BJ1194" s="4"/>
      <c r="BK1194" s="4"/>
      <c r="BL1194" s="4"/>
      <c r="BM1194" s="4"/>
      <c r="BN1194" s="4"/>
      <c r="BO1194" s="4"/>
      <c r="BP1194" s="4"/>
      <c r="BQ1194" s="4"/>
      <c r="BR1194" s="4"/>
      <c r="BS1194" s="4"/>
      <c r="BT1194" s="4"/>
      <c r="BU1194" s="4"/>
      <c r="BV1194" s="4"/>
      <c r="BW1194" s="4"/>
      <c r="BX1194" s="4"/>
      <c r="BY1194" s="4"/>
      <c r="BZ1194" s="4"/>
      <c r="CA1194" s="4"/>
      <c r="CB1194" s="4"/>
      <c r="CC1194" s="4"/>
      <c r="CD1194" s="4"/>
      <c r="CE1194" s="4"/>
      <c r="CF1194" s="4"/>
      <c r="CG1194" s="4"/>
      <c r="CH1194" s="4"/>
    </row>
    <row r="1195" spans="1:86" x14ac:dyDescent="0.25">
      <c r="A1195" s="4"/>
      <c r="B1195" s="4"/>
      <c r="C1195" s="4"/>
      <c r="D1195" s="4"/>
      <c r="E1195" s="4"/>
      <c r="F1195" s="14"/>
      <c r="G1195" s="14"/>
      <c r="H1195" s="14"/>
      <c r="I1195" s="5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  <c r="AA1195" s="4"/>
      <c r="AB1195" s="4"/>
      <c r="AC1195" s="4"/>
      <c r="AD1195" s="4"/>
      <c r="AE1195" s="4"/>
      <c r="AF1195" s="4"/>
      <c r="AG1195" s="4"/>
      <c r="AH1195" s="4"/>
      <c r="AI1195" s="4"/>
      <c r="AJ1195" s="4"/>
      <c r="AK1195" s="4"/>
      <c r="AL1195" s="4"/>
      <c r="AM1195" s="4"/>
      <c r="AN1195" s="4"/>
      <c r="AO1195" s="4"/>
      <c r="AP1195" s="4"/>
      <c r="AQ1195" s="4"/>
      <c r="AR1195" s="4"/>
      <c r="AS1195" s="4"/>
      <c r="AT1195" s="4"/>
      <c r="AU1195" s="4"/>
      <c r="AV1195" s="4"/>
      <c r="AW1195" s="4"/>
      <c r="AX1195" s="4"/>
      <c r="AY1195" s="4"/>
      <c r="AZ1195" s="4"/>
      <c r="BA1195" s="4"/>
      <c r="BB1195" s="4"/>
      <c r="BC1195" s="4"/>
      <c r="BD1195" s="4"/>
      <c r="BE1195" s="4"/>
      <c r="BF1195" s="4"/>
      <c r="BG1195" s="4"/>
      <c r="BH1195" s="4"/>
      <c r="BI1195" s="4"/>
      <c r="BJ1195" s="4"/>
      <c r="BK1195" s="4"/>
      <c r="BL1195" s="4"/>
      <c r="BM1195" s="4"/>
      <c r="BN1195" s="4"/>
      <c r="BO1195" s="4"/>
      <c r="BP1195" s="4"/>
      <c r="BQ1195" s="4"/>
      <c r="BR1195" s="4"/>
      <c r="BS1195" s="4"/>
      <c r="BT1195" s="4"/>
      <c r="BU1195" s="4"/>
      <c r="BV1195" s="4"/>
      <c r="BW1195" s="4"/>
      <c r="BX1195" s="4"/>
      <c r="BY1195" s="4"/>
      <c r="BZ1195" s="4"/>
      <c r="CA1195" s="4"/>
      <c r="CB1195" s="4"/>
      <c r="CC1195" s="4"/>
      <c r="CD1195" s="4"/>
      <c r="CE1195" s="4"/>
      <c r="CF1195" s="4"/>
      <c r="CG1195" s="4"/>
      <c r="CH1195" s="4"/>
    </row>
    <row r="1196" spans="1:86" x14ac:dyDescent="0.25">
      <c r="A1196" s="4"/>
      <c r="B1196" s="4"/>
      <c r="C1196" s="4"/>
      <c r="D1196" s="4"/>
      <c r="E1196" s="4"/>
      <c r="F1196" s="14"/>
      <c r="G1196" s="14"/>
      <c r="H1196" s="14"/>
      <c r="I1196" s="5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  <c r="AA1196" s="4"/>
      <c r="AB1196" s="4"/>
      <c r="AC1196" s="4"/>
      <c r="AD1196" s="4"/>
      <c r="AE1196" s="4"/>
      <c r="AF1196" s="4"/>
      <c r="AG1196" s="4"/>
      <c r="AH1196" s="4"/>
      <c r="AI1196" s="4"/>
      <c r="AJ1196" s="4"/>
      <c r="AK1196" s="4"/>
      <c r="AL1196" s="4"/>
      <c r="AM1196" s="4"/>
      <c r="AN1196" s="4"/>
      <c r="AO1196" s="4"/>
      <c r="AP1196" s="4"/>
      <c r="AQ1196" s="4"/>
      <c r="AR1196" s="4"/>
      <c r="AS1196" s="4"/>
      <c r="AT1196" s="4"/>
      <c r="AU1196" s="4"/>
      <c r="AV1196" s="4"/>
      <c r="AW1196" s="4"/>
      <c r="AX1196" s="4"/>
      <c r="AY1196" s="4"/>
      <c r="AZ1196" s="4"/>
      <c r="BA1196" s="4"/>
      <c r="BB1196" s="4"/>
      <c r="BC1196" s="4"/>
      <c r="BD1196" s="4"/>
      <c r="BE1196" s="4"/>
      <c r="BF1196" s="4"/>
      <c r="BG1196" s="4"/>
      <c r="BH1196" s="4"/>
      <c r="BI1196" s="4"/>
      <c r="BJ1196" s="4"/>
      <c r="BK1196" s="4"/>
      <c r="BL1196" s="4"/>
      <c r="BM1196" s="4"/>
      <c r="BN1196" s="4"/>
      <c r="BO1196" s="4"/>
      <c r="BP1196" s="4"/>
      <c r="BQ1196" s="4"/>
      <c r="BR1196" s="4"/>
      <c r="BS1196" s="4"/>
      <c r="BT1196" s="4"/>
      <c r="BU1196" s="4"/>
      <c r="BV1196" s="4"/>
      <c r="BW1196" s="4"/>
      <c r="BX1196" s="4"/>
      <c r="BY1196" s="4"/>
      <c r="BZ1196" s="4"/>
      <c r="CA1196" s="4"/>
      <c r="CB1196" s="4"/>
      <c r="CC1196" s="4"/>
      <c r="CD1196" s="4"/>
      <c r="CE1196" s="4"/>
      <c r="CF1196" s="4"/>
      <c r="CG1196" s="4"/>
      <c r="CH1196" s="4"/>
    </row>
    <row r="1197" spans="1:86" x14ac:dyDescent="0.25">
      <c r="A1197" s="4"/>
      <c r="B1197" s="4"/>
      <c r="C1197" s="4"/>
      <c r="D1197" s="4"/>
      <c r="E1197" s="4"/>
      <c r="F1197" s="14"/>
      <c r="G1197" s="14"/>
      <c r="H1197" s="14"/>
      <c r="I1197" s="5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  <c r="AA1197" s="4"/>
      <c r="AB1197" s="4"/>
      <c r="AC1197" s="4"/>
      <c r="AD1197" s="4"/>
      <c r="AE1197" s="4"/>
      <c r="AF1197" s="4"/>
      <c r="AG1197" s="4"/>
      <c r="AH1197" s="4"/>
      <c r="AI1197" s="4"/>
      <c r="AJ1197" s="4"/>
      <c r="AK1197" s="4"/>
      <c r="AL1197" s="4"/>
      <c r="AM1197" s="4"/>
      <c r="AN1197" s="4"/>
      <c r="AO1197" s="4"/>
      <c r="AP1197" s="4"/>
      <c r="AQ1197" s="4"/>
      <c r="AR1197" s="4"/>
      <c r="AS1197" s="4"/>
      <c r="AT1197" s="4"/>
      <c r="AU1197" s="4"/>
      <c r="AV1197" s="4"/>
      <c r="AW1197" s="4"/>
      <c r="AX1197" s="4"/>
      <c r="AY1197" s="4"/>
      <c r="AZ1197" s="4"/>
      <c r="BA1197" s="4"/>
      <c r="BB1197" s="4"/>
      <c r="BC1197" s="4"/>
      <c r="BD1197" s="4"/>
      <c r="BE1197" s="4"/>
      <c r="BF1197" s="4"/>
      <c r="BG1197" s="4"/>
      <c r="BH1197" s="4"/>
      <c r="BI1197" s="4"/>
      <c r="BJ1197" s="4"/>
      <c r="BK1197" s="4"/>
      <c r="BL1197" s="4"/>
      <c r="BM1197" s="4"/>
      <c r="BN1197" s="4"/>
      <c r="BO1197" s="4"/>
      <c r="BP1197" s="4"/>
      <c r="BQ1197" s="4"/>
      <c r="BR1197" s="4"/>
      <c r="BS1197" s="4"/>
      <c r="BT1197" s="4"/>
      <c r="BU1197" s="4"/>
      <c r="BV1197" s="4"/>
      <c r="BW1197" s="4"/>
      <c r="BX1197" s="4"/>
      <c r="BY1197" s="4"/>
      <c r="BZ1197" s="4"/>
      <c r="CA1197" s="4"/>
      <c r="CB1197" s="4"/>
      <c r="CC1197" s="4"/>
      <c r="CD1197" s="4"/>
      <c r="CE1197" s="4"/>
      <c r="CF1197" s="4"/>
      <c r="CG1197" s="4"/>
      <c r="CH1197" s="4"/>
    </row>
    <row r="1198" spans="1:86" x14ac:dyDescent="0.25">
      <c r="A1198" s="4"/>
      <c r="B1198" s="4"/>
      <c r="C1198" s="4"/>
      <c r="D1198" s="4"/>
      <c r="E1198" s="4"/>
      <c r="F1198" s="14"/>
      <c r="G1198" s="14"/>
      <c r="H1198" s="14"/>
      <c r="I1198" s="5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  <c r="AA1198" s="4"/>
      <c r="AB1198" s="4"/>
      <c r="AC1198" s="4"/>
      <c r="AD1198" s="4"/>
      <c r="AE1198" s="4"/>
      <c r="AF1198" s="4"/>
      <c r="AG1198" s="4"/>
      <c r="AH1198" s="4"/>
      <c r="AI1198" s="4"/>
      <c r="AJ1198" s="4"/>
      <c r="AK1198" s="4"/>
      <c r="AL1198" s="4"/>
      <c r="AM1198" s="4"/>
      <c r="AN1198" s="4"/>
      <c r="AO1198" s="4"/>
      <c r="AP1198" s="4"/>
      <c r="AQ1198" s="4"/>
      <c r="AR1198" s="4"/>
      <c r="AS1198" s="4"/>
      <c r="AT1198" s="4"/>
      <c r="AU1198" s="4"/>
      <c r="AV1198" s="4"/>
      <c r="AW1198" s="4"/>
      <c r="AX1198" s="4"/>
      <c r="AY1198" s="4"/>
      <c r="AZ1198" s="4"/>
      <c r="BA1198" s="4"/>
      <c r="BB1198" s="4"/>
      <c r="BC1198" s="4"/>
      <c r="BD1198" s="4"/>
      <c r="BE1198" s="4"/>
      <c r="BF1198" s="4"/>
      <c r="BG1198" s="4"/>
      <c r="BH1198" s="4"/>
      <c r="BI1198" s="4"/>
      <c r="BJ1198" s="4"/>
      <c r="BK1198" s="4"/>
      <c r="BL1198" s="4"/>
      <c r="BM1198" s="4"/>
      <c r="BN1198" s="4"/>
      <c r="BO1198" s="4"/>
      <c r="BP1198" s="4"/>
      <c r="BQ1198" s="4"/>
      <c r="BR1198" s="4"/>
      <c r="BS1198" s="4"/>
      <c r="BT1198" s="4"/>
      <c r="BU1198" s="4"/>
      <c r="BV1198" s="4"/>
      <c r="BW1198" s="4"/>
      <c r="BX1198" s="4"/>
      <c r="BY1198" s="4"/>
      <c r="BZ1198" s="4"/>
      <c r="CA1198" s="4"/>
      <c r="CB1198" s="4"/>
      <c r="CC1198" s="4"/>
      <c r="CD1198" s="4"/>
      <c r="CE1198" s="4"/>
      <c r="CF1198" s="4"/>
      <c r="CG1198" s="4"/>
      <c r="CH1198" s="4"/>
    </row>
    <row r="1199" spans="1:86" x14ac:dyDescent="0.25">
      <c r="A1199" s="4"/>
      <c r="B1199" s="4"/>
      <c r="C1199" s="4"/>
      <c r="D1199" s="4"/>
      <c r="E1199" s="4"/>
      <c r="F1199" s="14"/>
      <c r="G1199" s="14"/>
      <c r="H1199" s="14"/>
      <c r="I1199" s="5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  <c r="AA1199" s="4"/>
      <c r="AB1199" s="4"/>
      <c r="AC1199" s="4"/>
      <c r="AD1199" s="4"/>
      <c r="AE1199" s="4"/>
      <c r="AF1199" s="4"/>
      <c r="AG1199" s="4"/>
      <c r="AH1199" s="4"/>
      <c r="AI1199" s="4"/>
      <c r="AJ1199" s="4"/>
      <c r="AK1199" s="4"/>
      <c r="AL1199" s="4"/>
      <c r="AM1199" s="4"/>
      <c r="AN1199" s="4"/>
      <c r="AO1199" s="4"/>
      <c r="AP1199" s="4"/>
      <c r="AQ1199" s="4"/>
      <c r="AR1199" s="4"/>
      <c r="AS1199" s="4"/>
      <c r="AT1199" s="4"/>
      <c r="AU1199" s="4"/>
      <c r="AV1199" s="4"/>
      <c r="AW1199" s="4"/>
      <c r="AX1199" s="4"/>
      <c r="AY1199" s="4"/>
      <c r="AZ1199" s="4"/>
      <c r="BA1199" s="4"/>
      <c r="BB1199" s="4"/>
      <c r="BC1199" s="4"/>
      <c r="BD1199" s="4"/>
      <c r="BE1199" s="4"/>
      <c r="BF1199" s="4"/>
      <c r="BG1199" s="4"/>
      <c r="BH1199" s="4"/>
      <c r="BI1199" s="4"/>
      <c r="BJ1199" s="4"/>
      <c r="BK1199" s="4"/>
      <c r="BL1199" s="4"/>
      <c r="BM1199" s="4"/>
      <c r="BN1199" s="4"/>
      <c r="BO1199" s="4"/>
      <c r="BP1199" s="4"/>
      <c r="BQ1199" s="4"/>
      <c r="BR1199" s="4"/>
      <c r="BS1199" s="4"/>
      <c r="BT1199" s="4"/>
      <c r="BU1199" s="4"/>
      <c r="BV1199" s="4"/>
      <c r="BW1199" s="4"/>
      <c r="BX1199" s="4"/>
      <c r="BY1199" s="4"/>
      <c r="BZ1199" s="4"/>
      <c r="CA1199" s="4"/>
      <c r="CB1199" s="4"/>
      <c r="CC1199" s="4"/>
      <c r="CD1199" s="4"/>
      <c r="CE1199" s="4"/>
      <c r="CF1199" s="4"/>
      <c r="CG1199" s="4"/>
      <c r="CH1199" s="4"/>
    </row>
    <row r="1200" spans="1:86" x14ac:dyDescent="0.25">
      <c r="A1200" s="4"/>
      <c r="B1200" s="4"/>
      <c r="C1200" s="4"/>
      <c r="D1200" s="4"/>
      <c r="E1200" s="4"/>
      <c r="F1200" s="14"/>
      <c r="G1200" s="14"/>
      <c r="H1200" s="14"/>
      <c r="I1200" s="5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  <c r="AA1200" s="4"/>
      <c r="AB1200" s="4"/>
      <c r="AC1200" s="4"/>
      <c r="AD1200" s="4"/>
      <c r="AE1200" s="4"/>
      <c r="AF1200" s="4"/>
      <c r="AG1200" s="4"/>
      <c r="AH1200" s="4"/>
      <c r="AI1200" s="4"/>
      <c r="AJ1200" s="4"/>
      <c r="AK1200" s="4"/>
      <c r="AL1200" s="4"/>
      <c r="AM1200" s="4"/>
      <c r="AN1200" s="4"/>
      <c r="AO1200" s="4"/>
      <c r="AP1200" s="4"/>
      <c r="AQ1200" s="4"/>
      <c r="AR1200" s="4"/>
      <c r="AS1200" s="4"/>
      <c r="AT1200" s="4"/>
      <c r="AU1200" s="4"/>
      <c r="AV1200" s="4"/>
      <c r="AW1200" s="4"/>
      <c r="AX1200" s="4"/>
      <c r="AY1200" s="4"/>
      <c r="AZ1200" s="4"/>
      <c r="BA1200" s="4"/>
      <c r="BB1200" s="4"/>
      <c r="BC1200" s="4"/>
      <c r="BD1200" s="4"/>
      <c r="BE1200" s="4"/>
      <c r="BF1200" s="4"/>
      <c r="BG1200" s="4"/>
      <c r="BH1200" s="4"/>
      <c r="BI1200" s="4"/>
      <c r="BJ1200" s="4"/>
      <c r="BK1200" s="4"/>
      <c r="BL1200" s="4"/>
      <c r="BM1200" s="4"/>
      <c r="BN1200" s="4"/>
      <c r="BO1200" s="4"/>
      <c r="BP1200" s="4"/>
      <c r="BQ1200" s="4"/>
      <c r="BR1200" s="4"/>
      <c r="BS1200" s="4"/>
      <c r="BT1200" s="4"/>
      <c r="BU1200" s="4"/>
      <c r="BV1200" s="4"/>
      <c r="BW1200" s="4"/>
      <c r="BX1200" s="4"/>
      <c r="BY1200" s="4"/>
      <c r="BZ1200" s="4"/>
      <c r="CA1200" s="4"/>
      <c r="CB1200" s="4"/>
      <c r="CC1200" s="4"/>
      <c r="CD1200" s="4"/>
      <c r="CE1200" s="4"/>
      <c r="CF1200" s="4"/>
      <c r="CG1200" s="4"/>
      <c r="CH1200" s="4"/>
    </row>
    <row r="1201" spans="1:86" x14ac:dyDescent="0.25">
      <c r="A1201" s="4"/>
      <c r="B1201" s="4"/>
      <c r="C1201" s="4"/>
      <c r="D1201" s="4"/>
      <c r="E1201" s="4"/>
      <c r="F1201" s="14"/>
      <c r="G1201" s="14"/>
      <c r="H1201" s="14"/>
      <c r="I1201" s="5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  <c r="AA1201" s="4"/>
      <c r="AB1201" s="4"/>
      <c r="AC1201" s="4"/>
      <c r="AD1201" s="4"/>
      <c r="AE1201" s="4"/>
      <c r="AF1201" s="4"/>
      <c r="AG1201" s="4"/>
      <c r="AH1201" s="4"/>
      <c r="AI1201" s="4"/>
      <c r="AJ1201" s="4"/>
      <c r="AK1201" s="4"/>
      <c r="AL1201" s="4"/>
      <c r="AM1201" s="4"/>
      <c r="AN1201" s="4"/>
      <c r="AO1201" s="4"/>
      <c r="AP1201" s="4"/>
      <c r="AQ1201" s="4"/>
      <c r="AR1201" s="4"/>
      <c r="AS1201" s="4"/>
      <c r="AT1201" s="4"/>
      <c r="AU1201" s="4"/>
      <c r="AV1201" s="4"/>
      <c r="AW1201" s="4"/>
      <c r="AX1201" s="4"/>
      <c r="AY1201" s="4"/>
      <c r="AZ1201" s="4"/>
      <c r="BA1201" s="4"/>
      <c r="BB1201" s="4"/>
      <c r="BC1201" s="4"/>
      <c r="BD1201" s="4"/>
      <c r="BE1201" s="4"/>
      <c r="BF1201" s="4"/>
      <c r="BG1201" s="4"/>
      <c r="BH1201" s="4"/>
      <c r="BI1201" s="4"/>
      <c r="BJ1201" s="4"/>
      <c r="BK1201" s="4"/>
      <c r="BL1201" s="4"/>
      <c r="BM1201" s="4"/>
      <c r="BN1201" s="4"/>
      <c r="BO1201" s="4"/>
      <c r="BP1201" s="4"/>
      <c r="BQ1201" s="4"/>
      <c r="BR1201" s="4"/>
      <c r="BS1201" s="4"/>
      <c r="BT1201" s="4"/>
      <c r="BU1201" s="4"/>
      <c r="BV1201" s="4"/>
      <c r="BW1201" s="4"/>
      <c r="BX1201" s="4"/>
      <c r="BY1201" s="4"/>
      <c r="BZ1201" s="4"/>
      <c r="CA1201" s="4"/>
      <c r="CB1201" s="4"/>
      <c r="CC1201" s="4"/>
      <c r="CD1201" s="4"/>
      <c r="CE1201" s="4"/>
      <c r="CF1201" s="4"/>
      <c r="CG1201" s="4"/>
      <c r="CH1201" s="4"/>
    </row>
    <row r="1202" spans="1:86" x14ac:dyDescent="0.25">
      <c r="A1202" s="4"/>
      <c r="B1202" s="4"/>
      <c r="C1202" s="4"/>
      <c r="D1202" s="4"/>
      <c r="E1202" s="4"/>
      <c r="F1202" s="14"/>
      <c r="G1202" s="14"/>
      <c r="H1202" s="14"/>
      <c r="I1202" s="5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  <c r="AA1202" s="4"/>
      <c r="AB1202" s="4"/>
      <c r="AC1202" s="4"/>
      <c r="AD1202" s="4"/>
      <c r="AE1202" s="4"/>
      <c r="AF1202" s="4"/>
      <c r="AG1202" s="4"/>
      <c r="AH1202" s="4"/>
      <c r="AI1202" s="4"/>
      <c r="AJ1202" s="4"/>
      <c r="AK1202" s="4"/>
      <c r="AL1202" s="4"/>
      <c r="AM1202" s="4"/>
      <c r="AN1202" s="4"/>
      <c r="AO1202" s="4"/>
      <c r="AP1202" s="4"/>
      <c r="AQ1202" s="4"/>
      <c r="AR1202" s="4"/>
      <c r="AS1202" s="4"/>
      <c r="AT1202" s="4"/>
      <c r="AU1202" s="4"/>
      <c r="AV1202" s="4"/>
      <c r="AW1202" s="4"/>
      <c r="AX1202" s="4"/>
      <c r="AY1202" s="4"/>
      <c r="AZ1202" s="4"/>
      <c r="BA1202" s="4"/>
      <c r="BB1202" s="4"/>
      <c r="BC1202" s="4"/>
      <c r="BD1202" s="4"/>
      <c r="BE1202" s="4"/>
      <c r="BF1202" s="4"/>
      <c r="BG1202" s="4"/>
      <c r="BH1202" s="4"/>
      <c r="BI1202" s="4"/>
      <c r="BJ1202" s="4"/>
      <c r="BK1202" s="4"/>
      <c r="BL1202" s="4"/>
      <c r="BM1202" s="4"/>
      <c r="BN1202" s="4"/>
      <c r="BO1202" s="4"/>
      <c r="BP1202" s="4"/>
      <c r="BQ1202" s="4"/>
      <c r="BR1202" s="4"/>
      <c r="BS1202" s="4"/>
      <c r="BT1202" s="4"/>
      <c r="BU1202" s="4"/>
      <c r="BV1202" s="4"/>
      <c r="BW1202" s="4"/>
      <c r="BX1202" s="4"/>
      <c r="BY1202" s="4"/>
      <c r="BZ1202" s="4"/>
      <c r="CA1202" s="4"/>
      <c r="CB1202" s="4"/>
      <c r="CC1202" s="4"/>
      <c r="CD1202" s="4"/>
      <c r="CE1202" s="4"/>
      <c r="CF1202" s="4"/>
      <c r="CG1202" s="4"/>
      <c r="CH1202" s="4"/>
    </row>
    <row r="1203" spans="1:86" x14ac:dyDescent="0.25">
      <c r="A1203" s="4"/>
      <c r="B1203" s="4"/>
      <c r="C1203" s="4"/>
      <c r="D1203" s="4"/>
      <c r="E1203" s="4"/>
      <c r="F1203" s="14"/>
      <c r="G1203" s="14"/>
      <c r="H1203" s="14"/>
      <c r="I1203" s="5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  <c r="AA1203" s="4"/>
      <c r="AB1203" s="4"/>
      <c r="AC1203" s="4"/>
      <c r="AD1203" s="4"/>
      <c r="AE1203" s="4"/>
      <c r="AF1203" s="4"/>
      <c r="AG1203" s="4"/>
      <c r="AH1203" s="4"/>
      <c r="AI1203" s="4"/>
      <c r="AJ1203" s="4"/>
      <c r="AK1203" s="4"/>
      <c r="AL1203" s="4"/>
      <c r="AM1203" s="4"/>
      <c r="AN1203" s="4"/>
      <c r="AO1203" s="4"/>
      <c r="AP1203" s="4"/>
      <c r="AQ1203" s="4"/>
      <c r="AR1203" s="4"/>
      <c r="AS1203" s="4"/>
      <c r="AT1203" s="4"/>
      <c r="AU1203" s="4"/>
      <c r="AV1203" s="4"/>
      <c r="AW1203" s="4"/>
      <c r="AX1203" s="4"/>
      <c r="AY1203" s="4"/>
      <c r="AZ1203" s="4"/>
      <c r="BA1203" s="4"/>
      <c r="BB1203" s="4"/>
      <c r="BC1203" s="4"/>
      <c r="BD1203" s="4"/>
      <c r="BE1203" s="4"/>
      <c r="BF1203" s="4"/>
      <c r="BG1203" s="4"/>
      <c r="BH1203" s="4"/>
      <c r="BI1203" s="4"/>
      <c r="BJ1203" s="4"/>
      <c r="BK1203" s="4"/>
      <c r="BL1203" s="4"/>
      <c r="BM1203" s="4"/>
      <c r="BN1203" s="4"/>
      <c r="BO1203" s="4"/>
      <c r="BP1203" s="4"/>
      <c r="BQ1203" s="4"/>
      <c r="BR1203" s="4"/>
      <c r="BS1203" s="4"/>
      <c r="BT1203" s="4"/>
      <c r="BU1203" s="4"/>
      <c r="BV1203" s="4"/>
      <c r="BW1203" s="4"/>
      <c r="BX1203" s="4"/>
      <c r="BY1203" s="4"/>
      <c r="BZ1203" s="4"/>
      <c r="CA1203" s="4"/>
      <c r="CB1203" s="4"/>
      <c r="CC1203" s="4"/>
      <c r="CD1203" s="4"/>
      <c r="CE1203" s="4"/>
      <c r="CF1203" s="4"/>
      <c r="CG1203" s="4"/>
      <c r="CH1203" s="4"/>
    </row>
    <row r="1204" spans="1:86" x14ac:dyDescent="0.25">
      <c r="A1204" s="4"/>
      <c r="B1204" s="4"/>
      <c r="C1204" s="4"/>
      <c r="D1204" s="4"/>
      <c r="E1204" s="4"/>
      <c r="F1204" s="14"/>
      <c r="G1204" s="14"/>
      <c r="H1204" s="14"/>
      <c r="I1204" s="5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  <c r="AA1204" s="4"/>
      <c r="AB1204" s="4"/>
      <c r="AC1204" s="4"/>
      <c r="AD1204" s="4"/>
      <c r="AE1204" s="4"/>
      <c r="AF1204" s="4"/>
      <c r="AG1204" s="4"/>
      <c r="AH1204" s="4"/>
      <c r="AI1204" s="4"/>
      <c r="AJ1204" s="4"/>
      <c r="AK1204" s="4"/>
      <c r="AL1204" s="4"/>
      <c r="AM1204" s="4"/>
      <c r="AN1204" s="4"/>
      <c r="AO1204" s="4"/>
      <c r="AP1204" s="4"/>
      <c r="AQ1204" s="4"/>
      <c r="AR1204" s="4"/>
      <c r="AS1204" s="4"/>
      <c r="AT1204" s="4"/>
      <c r="AU1204" s="4"/>
      <c r="AV1204" s="4"/>
      <c r="AW1204" s="4"/>
      <c r="AX1204" s="4"/>
      <c r="AY1204" s="4"/>
      <c r="AZ1204" s="4"/>
      <c r="BA1204" s="4"/>
      <c r="BB1204" s="4"/>
      <c r="BC1204" s="4"/>
      <c r="BD1204" s="4"/>
      <c r="BE1204" s="4"/>
      <c r="BF1204" s="4"/>
      <c r="BG1204" s="4"/>
      <c r="BH1204" s="4"/>
      <c r="BI1204" s="4"/>
      <c r="BJ1204" s="4"/>
      <c r="BK1204" s="4"/>
      <c r="BL1204" s="4"/>
      <c r="BM1204" s="4"/>
      <c r="BN1204" s="4"/>
      <c r="BO1204" s="4"/>
      <c r="BP1204" s="4"/>
      <c r="BQ1204" s="4"/>
      <c r="BR1204" s="4"/>
      <c r="BS1204" s="4"/>
      <c r="BT1204" s="4"/>
      <c r="BU1204" s="4"/>
      <c r="BV1204" s="4"/>
      <c r="BW1204" s="4"/>
      <c r="BX1204" s="4"/>
      <c r="BY1204" s="4"/>
      <c r="BZ1204" s="4"/>
      <c r="CA1204" s="4"/>
      <c r="CB1204" s="4"/>
      <c r="CC1204" s="4"/>
      <c r="CD1204" s="4"/>
      <c r="CE1204" s="4"/>
      <c r="CF1204" s="4"/>
      <c r="CG1204" s="4"/>
      <c r="CH1204" s="4"/>
    </row>
    <row r="1205" spans="1:86" x14ac:dyDescent="0.25">
      <c r="A1205" s="4"/>
      <c r="B1205" s="4"/>
      <c r="C1205" s="4"/>
      <c r="D1205" s="4"/>
      <c r="E1205" s="4"/>
      <c r="F1205" s="14"/>
      <c r="G1205" s="14"/>
      <c r="H1205" s="14"/>
      <c r="I1205" s="5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  <c r="AA1205" s="4"/>
      <c r="AB1205" s="4"/>
      <c r="AC1205" s="4"/>
      <c r="AD1205" s="4"/>
      <c r="AE1205" s="4"/>
      <c r="AF1205" s="4"/>
      <c r="AG1205" s="4"/>
      <c r="AH1205" s="4"/>
      <c r="AI1205" s="4"/>
      <c r="AJ1205" s="4"/>
      <c r="AK1205" s="4"/>
      <c r="AL1205" s="4"/>
      <c r="AM1205" s="4"/>
      <c r="AN1205" s="4"/>
      <c r="AO1205" s="4"/>
      <c r="AP1205" s="4"/>
      <c r="AQ1205" s="4"/>
      <c r="AR1205" s="4"/>
      <c r="AS1205" s="4"/>
      <c r="AT1205" s="4"/>
      <c r="AU1205" s="4"/>
      <c r="AV1205" s="4"/>
      <c r="AW1205" s="4"/>
      <c r="AX1205" s="4"/>
      <c r="AY1205" s="4"/>
      <c r="AZ1205" s="4"/>
      <c r="BA1205" s="4"/>
      <c r="BB1205" s="4"/>
      <c r="BC1205" s="4"/>
      <c r="BD1205" s="4"/>
      <c r="BE1205" s="4"/>
      <c r="BF1205" s="4"/>
      <c r="BG1205" s="4"/>
      <c r="BH1205" s="4"/>
      <c r="BI1205" s="4"/>
      <c r="BJ1205" s="4"/>
      <c r="BK1205" s="4"/>
      <c r="BL1205" s="4"/>
      <c r="BM1205" s="4"/>
      <c r="BN1205" s="4"/>
      <c r="BO1205" s="4"/>
      <c r="BP1205" s="4"/>
      <c r="BQ1205" s="4"/>
      <c r="BR1205" s="4"/>
      <c r="BS1205" s="4"/>
      <c r="BT1205" s="4"/>
      <c r="BU1205" s="4"/>
      <c r="BV1205" s="4"/>
      <c r="BW1205" s="4"/>
      <c r="BX1205" s="4"/>
      <c r="BY1205" s="4"/>
      <c r="BZ1205" s="4"/>
      <c r="CA1205" s="4"/>
      <c r="CB1205" s="4"/>
      <c r="CC1205" s="4"/>
      <c r="CD1205" s="4"/>
      <c r="CE1205" s="4"/>
      <c r="CF1205" s="4"/>
      <c r="CG1205" s="4"/>
      <c r="CH1205" s="4"/>
    </row>
    <row r="1206" spans="1:86" x14ac:dyDescent="0.25">
      <c r="A1206" s="4"/>
      <c r="B1206" s="4"/>
      <c r="C1206" s="4"/>
      <c r="D1206" s="4"/>
      <c r="E1206" s="4"/>
      <c r="F1206" s="14"/>
      <c r="G1206" s="14"/>
      <c r="H1206" s="14"/>
      <c r="I1206" s="5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  <c r="AA1206" s="4"/>
      <c r="AB1206" s="4"/>
      <c r="AC1206" s="4"/>
      <c r="AD1206" s="4"/>
      <c r="AE1206" s="4"/>
      <c r="AF1206" s="4"/>
      <c r="AG1206" s="4"/>
      <c r="AH1206" s="4"/>
      <c r="AI1206" s="4"/>
      <c r="AJ1206" s="4"/>
      <c r="AK1206" s="4"/>
      <c r="AL1206" s="4"/>
      <c r="AM1206" s="4"/>
      <c r="AN1206" s="4"/>
      <c r="AO1206" s="4"/>
      <c r="AP1206" s="4"/>
      <c r="AQ1206" s="4"/>
      <c r="AR1206" s="4"/>
      <c r="AS1206" s="4"/>
      <c r="AT1206" s="4"/>
      <c r="AU1206" s="4"/>
      <c r="AV1206" s="4"/>
      <c r="AW1206" s="4"/>
      <c r="AX1206" s="4"/>
      <c r="AY1206" s="4"/>
      <c r="AZ1206" s="4"/>
      <c r="BA1206" s="4"/>
      <c r="BB1206" s="4"/>
      <c r="BC1206" s="4"/>
      <c r="BD1206" s="4"/>
      <c r="BE1206" s="4"/>
      <c r="BF1206" s="4"/>
      <c r="BG1206" s="4"/>
      <c r="BH1206" s="4"/>
      <c r="BI1206" s="4"/>
      <c r="BJ1206" s="4"/>
      <c r="BK1206" s="4"/>
      <c r="BL1206" s="4"/>
      <c r="BM1206" s="4"/>
      <c r="BN1206" s="4"/>
      <c r="BO1206" s="4"/>
      <c r="BP1206" s="4"/>
      <c r="BQ1206" s="4"/>
      <c r="BR1206" s="4"/>
      <c r="BS1206" s="4"/>
      <c r="BT1206" s="4"/>
      <c r="BU1206" s="4"/>
      <c r="BV1206" s="4"/>
      <c r="BW1206" s="4"/>
      <c r="BX1206" s="4"/>
      <c r="BY1206" s="4"/>
      <c r="BZ1206" s="4"/>
      <c r="CA1206" s="4"/>
      <c r="CB1206" s="4"/>
      <c r="CC1206" s="4"/>
      <c r="CD1206" s="4"/>
      <c r="CE1206" s="4"/>
      <c r="CF1206" s="4"/>
      <c r="CG1206" s="4"/>
      <c r="CH1206" s="4"/>
    </row>
    <row r="1207" spans="1:86" x14ac:dyDescent="0.25">
      <c r="A1207" s="4"/>
      <c r="B1207" s="4"/>
      <c r="C1207" s="4"/>
      <c r="D1207" s="4"/>
      <c r="E1207" s="4"/>
      <c r="F1207" s="14"/>
      <c r="G1207" s="14"/>
      <c r="H1207" s="14"/>
      <c r="I1207" s="5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  <c r="AA1207" s="4"/>
      <c r="AB1207" s="4"/>
      <c r="AC1207" s="4"/>
      <c r="AD1207" s="4"/>
      <c r="AE1207" s="4"/>
      <c r="AF1207" s="4"/>
      <c r="AG1207" s="4"/>
      <c r="AH1207" s="4"/>
      <c r="AI1207" s="4"/>
      <c r="AJ1207" s="4"/>
      <c r="AK1207" s="4"/>
      <c r="AL1207" s="4"/>
      <c r="AM1207" s="4"/>
      <c r="AN1207" s="4"/>
      <c r="AO1207" s="4"/>
      <c r="AP1207" s="4"/>
      <c r="AQ1207" s="4"/>
      <c r="AR1207" s="4"/>
      <c r="AS1207" s="4"/>
      <c r="AT1207" s="4"/>
      <c r="AU1207" s="4"/>
      <c r="AV1207" s="4"/>
      <c r="AW1207" s="4"/>
      <c r="AX1207" s="4"/>
      <c r="AY1207" s="4"/>
      <c r="AZ1207" s="4"/>
      <c r="BA1207" s="4"/>
      <c r="BB1207" s="4"/>
      <c r="BC1207" s="4"/>
      <c r="BD1207" s="4"/>
      <c r="BE1207" s="4"/>
      <c r="BF1207" s="4"/>
      <c r="BG1207" s="4"/>
      <c r="BH1207" s="4"/>
      <c r="BI1207" s="4"/>
      <c r="BJ1207" s="4"/>
      <c r="BK1207" s="4"/>
      <c r="BL1207" s="4"/>
      <c r="BM1207" s="4"/>
      <c r="BN1207" s="4"/>
      <c r="BO1207" s="4"/>
      <c r="BP1207" s="4"/>
      <c r="BQ1207" s="4"/>
      <c r="BR1207" s="4"/>
      <c r="BS1207" s="4"/>
      <c r="BT1207" s="4"/>
      <c r="BU1207" s="4"/>
      <c r="BV1207" s="4"/>
      <c r="BW1207" s="4"/>
      <c r="BX1207" s="4"/>
      <c r="BY1207" s="4"/>
      <c r="BZ1207" s="4"/>
      <c r="CA1207" s="4"/>
      <c r="CB1207" s="4"/>
      <c r="CC1207" s="4"/>
      <c r="CD1207" s="4"/>
      <c r="CE1207" s="4"/>
      <c r="CF1207" s="4"/>
      <c r="CG1207" s="4"/>
      <c r="CH1207" s="4"/>
    </row>
    <row r="1208" spans="1:86" x14ac:dyDescent="0.25">
      <c r="A1208" s="4"/>
      <c r="B1208" s="4"/>
      <c r="C1208" s="4"/>
      <c r="D1208" s="4"/>
      <c r="E1208" s="4"/>
      <c r="F1208" s="14"/>
      <c r="G1208" s="14"/>
      <c r="H1208" s="14"/>
      <c r="I1208" s="5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  <c r="AA1208" s="4"/>
      <c r="AB1208" s="4"/>
      <c r="AC1208" s="4"/>
      <c r="AD1208" s="4"/>
      <c r="AE1208" s="4"/>
      <c r="AF1208" s="4"/>
      <c r="AG1208" s="4"/>
      <c r="AH1208" s="4"/>
      <c r="AI1208" s="4"/>
      <c r="AJ1208" s="4"/>
      <c r="AK1208" s="4"/>
      <c r="AL1208" s="4"/>
      <c r="AM1208" s="4"/>
      <c r="AN1208" s="4"/>
      <c r="AO1208" s="4"/>
      <c r="AP1208" s="4"/>
      <c r="AQ1208" s="4"/>
      <c r="AR1208" s="4"/>
      <c r="AS1208" s="4"/>
      <c r="AT1208" s="4"/>
      <c r="AU1208" s="4"/>
      <c r="AV1208" s="4"/>
      <c r="AW1208" s="4"/>
      <c r="AX1208" s="4"/>
      <c r="AY1208" s="4"/>
      <c r="AZ1208" s="4"/>
      <c r="BA1208" s="4"/>
      <c r="BB1208" s="4"/>
      <c r="BC1208" s="4"/>
      <c r="BD1208" s="4"/>
      <c r="BE1208" s="4"/>
      <c r="BF1208" s="4"/>
      <c r="BG1208" s="4"/>
      <c r="BH1208" s="4"/>
      <c r="BI1208" s="4"/>
      <c r="BJ1208" s="4"/>
      <c r="BK1208" s="4"/>
      <c r="BL1208" s="4"/>
      <c r="BM1208" s="4"/>
      <c r="BN1208" s="4"/>
      <c r="BO1208" s="4"/>
      <c r="BP1208" s="4"/>
      <c r="BQ1208" s="4"/>
      <c r="BR1208" s="4"/>
      <c r="BS1208" s="4"/>
      <c r="BT1208" s="4"/>
      <c r="BU1208" s="4"/>
      <c r="BV1208" s="4"/>
      <c r="BW1208" s="4"/>
      <c r="BX1208" s="4"/>
      <c r="BY1208" s="4"/>
      <c r="BZ1208" s="4"/>
      <c r="CA1208" s="4"/>
      <c r="CB1208" s="4"/>
      <c r="CC1208" s="4"/>
      <c r="CD1208" s="4"/>
      <c r="CE1208" s="4"/>
      <c r="CF1208" s="4"/>
      <c r="CG1208" s="4"/>
      <c r="CH1208" s="4"/>
    </row>
    <row r="1209" spans="1:86" x14ac:dyDescent="0.25">
      <c r="A1209" s="4"/>
      <c r="B1209" s="4"/>
      <c r="C1209" s="4"/>
      <c r="D1209" s="4"/>
      <c r="E1209" s="4"/>
      <c r="F1209" s="14"/>
      <c r="G1209" s="14"/>
      <c r="H1209" s="14"/>
      <c r="I1209" s="5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  <c r="AA1209" s="4"/>
      <c r="AB1209" s="4"/>
      <c r="AC1209" s="4"/>
      <c r="AD1209" s="4"/>
      <c r="AE1209" s="4"/>
      <c r="AF1209" s="4"/>
      <c r="AG1209" s="4"/>
      <c r="AH1209" s="4"/>
      <c r="AI1209" s="4"/>
      <c r="AJ1209" s="4"/>
      <c r="AK1209" s="4"/>
      <c r="AL1209" s="4"/>
      <c r="AM1209" s="4"/>
      <c r="AN1209" s="4"/>
      <c r="AO1209" s="4"/>
      <c r="AP1209" s="4"/>
      <c r="AQ1209" s="4"/>
      <c r="AR1209" s="4"/>
      <c r="AS1209" s="4"/>
      <c r="AT1209" s="4"/>
      <c r="AU1209" s="4"/>
      <c r="AV1209" s="4"/>
      <c r="AW1209" s="4"/>
      <c r="AX1209" s="4"/>
      <c r="AY1209" s="4"/>
      <c r="AZ1209" s="4"/>
      <c r="BA1209" s="4"/>
      <c r="BB1209" s="4"/>
      <c r="BC1209" s="4"/>
      <c r="BD1209" s="4"/>
      <c r="BE1209" s="4"/>
      <c r="BF1209" s="4"/>
      <c r="BG1209" s="4"/>
      <c r="BH1209" s="4"/>
      <c r="BI1209" s="4"/>
      <c r="BJ1209" s="4"/>
      <c r="BK1209" s="4"/>
      <c r="BL1209" s="4"/>
      <c r="BM1209" s="4"/>
      <c r="BN1209" s="4"/>
      <c r="BO1209" s="4"/>
      <c r="BP1209" s="4"/>
      <c r="BQ1209" s="4"/>
      <c r="BR1209" s="4"/>
      <c r="BS1209" s="4"/>
      <c r="BT1209" s="4"/>
      <c r="BU1209" s="4"/>
      <c r="BV1209" s="4"/>
      <c r="BW1209" s="4"/>
      <c r="BX1209" s="4"/>
      <c r="BY1209" s="4"/>
      <c r="BZ1209" s="4"/>
      <c r="CA1209" s="4"/>
      <c r="CB1209" s="4"/>
      <c r="CC1209" s="4"/>
      <c r="CD1209" s="4"/>
      <c r="CE1209" s="4"/>
      <c r="CF1209" s="4"/>
      <c r="CG1209" s="4"/>
      <c r="CH1209" s="4"/>
    </row>
    <row r="1210" spans="1:86" x14ac:dyDescent="0.25">
      <c r="A1210" s="4"/>
      <c r="B1210" s="4"/>
      <c r="C1210" s="4"/>
      <c r="D1210" s="4"/>
      <c r="E1210" s="4"/>
      <c r="F1210" s="14"/>
      <c r="G1210" s="14"/>
      <c r="H1210" s="14"/>
      <c r="I1210" s="5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  <c r="AA1210" s="4"/>
      <c r="AB1210" s="4"/>
      <c r="AC1210" s="4"/>
      <c r="AD1210" s="4"/>
      <c r="AE1210" s="4"/>
      <c r="AF1210" s="4"/>
      <c r="AG1210" s="4"/>
      <c r="AH1210" s="4"/>
      <c r="AI1210" s="4"/>
      <c r="AJ1210" s="4"/>
      <c r="AK1210" s="4"/>
      <c r="AL1210" s="4"/>
      <c r="AM1210" s="4"/>
      <c r="AN1210" s="4"/>
      <c r="AO1210" s="4"/>
      <c r="AP1210" s="4"/>
      <c r="AQ1210" s="4"/>
      <c r="AR1210" s="4"/>
      <c r="AS1210" s="4"/>
      <c r="AT1210" s="4"/>
      <c r="AU1210" s="4"/>
      <c r="AV1210" s="4"/>
      <c r="AW1210" s="4"/>
      <c r="AX1210" s="4"/>
      <c r="AY1210" s="4"/>
      <c r="AZ1210" s="4"/>
      <c r="BA1210" s="4"/>
      <c r="BB1210" s="4"/>
      <c r="BC1210" s="4"/>
      <c r="BD1210" s="4"/>
      <c r="BE1210" s="4"/>
      <c r="BF1210" s="4"/>
      <c r="BG1210" s="4"/>
      <c r="BH1210" s="4"/>
      <c r="BI1210" s="4"/>
      <c r="BJ1210" s="4"/>
      <c r="BK1210" s="4"/>
      <c r="BL1210" s="4"/>
      <c r="BM1210" s="4"/>
      <c r="BN1210" s="4"/>
      <c r="BO1210" s="4"/>
      <c r="BP1210" s="4"/>
      <c r="BQ1210" s="4"/>
      <c r="BR1210" s="4"/>
      <c r="BS1210" s="4"/>
      <c r="BT1210" s="4"/>
      <c r="BU1210" s="4"/>
      <c r="BV1210" s="4"/>
      <c r="BW1210" s="4"/>
      <c r="BX1210" s="4"/>
      <c r="BY1210" s="4"/>
      <c r="BZ1210" s="4"/>
      <c r="CA1210" s="4"/>
      <c r="CB1210" s="4"/>
      <c r="CC1210" s="4"/>
      <c r="CD1210" s="4"/>
      <c r="CE1210" s="4"/>
      <c r="CF1210" s="4"/>
      <c r="CG1210" s="4"/>
      <c r="CH1210" s="4"/>
    </row>
    <row r="1211" spans="1:86" x14ac:dyDescent="0.25">
      <c r="A1211" s="4"/>
      <c r="B1211" s="4"/>
      <c r="C1211" s="4"/>
      <c r="D1211" s="4"/>
      <c r="E1211" s="4"/>
      <c r="F1211" s="14"/>
      <c r="G1211" s="14"/>
      <c r="H1211" s="14"/>
      <c r="I1211" s="5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  <c r="AA1211" s="4"/>
      <c r="AB1211" s="4"/>
      <c r="AC1211" s="4"/>
      <c r="AD1211" s="4"/>
      <c r="AE1211" s="4"/>
      <c r="AF1211" s="4"/>
      <c r="AG1211" s="4"/>
      <c r="AH1211" s="4"/>
      <c r="AI1211" s="4"/>
      <c r="AJ1211" s="4"/>
      <c r="AK1211" s="4"/>
      <c r="AL1211" s="4"/>
      <c r="AM1211" s="4"/>
      <c r="AN1211" s="4"/>
      <c r="AO1211" s="4"/>
      <c r="AP1211" s="4"/>
      <c r="AQ1211" s="4"/>
      <c r="AR1211" s="4"/>
      <c r="AS1211" s="4"/>
      <c r="AT1211" s="4"/>
      <c r="AU1211" s="4"/>
      <c r="AV1211" s="4"/>
      <c r="AW1211" s="4"/>
      <c r="AX1211" s="4"/>
      <c r="AY1211" s="4"/>
      <c r="AZ1211" s="4"/>
      <c r="BA1211" s="4"/>
      <c r="BB1211" s="4"/>
      <c r="BC1211" s="4"/>
      <c r="BD1211" s="4"/>
      <c r="BE1211" s="4"/>
      <c r="BF1211" s="4"/>
      <c r="BG1211" s="4"/>
      <c r="BH1211" s="4"/>
      <c r="BI1211" s="4"/>
      <c r="BJ1211" s="4"/>
      <c r="BK1211" s="4"/>
      <c r="BL1211" s="4"/>
      <c r="BM1211" s="4"/>
      <c r="BN1211" s="4"/>
      <c r="BO1211" s="4"/>
      <c r="BP1211" s="4"/>
      <c r="BQ1211" s="4"/>
      <c r="BR1211" s="4"/>
      <c r="BS1211" s="4"/>
      <c r="BT1211" s="4"/>
      <c r="BU1211" s="4"/>
      <c r="BV1211" s="4"/>
      <c r="BW1211" s="4"/>
      <c r="BX1211" s="4"/>
      <c r="BY1211" s="4"/>
      <c r="BZ1211" s="4"/>
      <c r="CA1211" s="4"/>
      <c r="CB1211" s="4"/>
      <c r="CC1211" s="4"/>
      <c r="CD1211" s="4"/>
      <c r="CE1211" s="4"/>
      <c r="CF1211" s="4"/>
      <c r="CG1211" s="4"/>
      <c r="CH1211" s="4"/>
    </row>
    <row r="1212" spans="1:86" x14ac:dyDescent="0.25">
      <c r="A1212" s="4"/>
      <c r="B1212" s="4"/>
      <c r="C1212" s="4"/>
      <c r="D1212" s="4"/>
      <c r="E1212" s="4"/>
      <c r="F1212" s="14"/>
      <c r="G1212" s="14"/>
      <c r="H1212" s="14"/>
      <c r="I1212" s="5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  <c r="AA1212" s="4"/>
      <c r="AB1212" s="4"/>
      <c r="AC1212" s="4"/>
      <c r="AD1212" s="4"/>
      <c r="AE1212" s="4"/>
      <c r="AF1212" s="4"/>
      <c r="AG1212" s="4"/>
      <c r="AH1212" s="4"/>
      <c r="AI1212" s="4"/>
      <c r="AJ1212" s="4"/>
      <c r="AK1212" s="4"/>
      <c r="AL1212" s="4"/>
      <c r="AM1212" s="4"/>
      <c r="AN1212" s="4"/>
      <c r="AO1212" s="4"/>
      <c r="AP1212" s="4"/>
      <c r="AQ1212" s="4"/>
      <c r="AR1212" s="4"/>
      <c r="AS1212" s="4"/>
      <c r="AT1212" s="4"/>
      <c r="AU1212" s="4"/>
      <c r="AV1212" s="4"/>
      <c r="AW1212" s="4"/>
      <c r="AX1212" s="4"/>
      <c r="AY1212" s="4"/>
      <c r="AZ1212" s="4"/>
      <c r="BA1212" s="4"/>
      <c r="BB1212" s="4"/>
      <c r="BC1212" s="4"/>
      <c r="BD1212" s="4"/>
      <c r="BE1212" s="4"/>
      <c r="BF1212" s="4"/>
      <c r="BG1212" s="4"/>
      <c r="BH1212" s="4"/>
      <c r="BI1212" s="4"/>
      <c r="BJ1212" s="4"/>
      <c r="BK1212" s="4"/>
      <c r="BL1212" s="4"/>
      <c r="BM1212" s="4"/>
      <c r="BN1212" s="4"/>
      <c r="BO1212" s="4"/>
      <c r="BP1212" s="4"/>
      <c r="BQ1212" s="4"/>
      <c r="BR1212" s="4"/>
      <c r="BS1212" s="4"/>
      <c r="BT1212" s="4"/>
      <c r="BU1212" s="4"/>
      <c r="BV1212" s="4"/>
      <c r="BW1212" s="4"/>
      <c r="BX1212" s="4"/>
      <c r="BY1212" s="4"/>
      <c r="BZ1212" s="4"/>
      <c r="CA1212" s="4"/>
      <c r="CB1212" s="4"/>
      <c r="CC1212" s="4"/>
      <c r="CD1212" s="4"/>
      <c r="CE1212" s="4"/>
      <c r="CF1212" s="4"/>
      <c r="CG1212" s="4"/>
      <c r="CH1212" s="4"/>
    </row>
    <row r="1213" spans="1:86" x14ac:dyDescent="0.25">
      <c r="A1213" s="4"/>
      <c r="B1213" s="4"/>
      <c r="C1213" s="4"/>
      <c r="D1213" s="4"/>
      <c r="E1213" s="4"/>
      <c r="F1213" s="14"/>
      <c r="G1213" s="14"/>
      <c r="H1213" s="14"/>
      <c r="I1213" s="5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  <c r="AA1213" s="4"/>
      <c r="AB1213" s="4"/>
      <c r="AC1213" s="4"/>
      <c r="AD1213" s="4"/>
      <c r="AE1213" s="4"/>
      <c r="AF1213" s="4"/>
      <c r="AG1213" s="4"/>
      <c r="AH1213" s="4"/>
      <c r="AI1213" s="4"/>
      <c r="AJ1213" s="4"/>
      <c r="AK1213" s="4"/>
      <c r="AL1213" s="4"/>
      <c r="AM1213" s="4"/>
      <c r="AN1213" s="4"/>
      <c r="AO1213" s="4"/>
      <c r="AP1213" s="4"/>
      <c r="AQ1213" s="4"/>
      <c r="AR1213" s="4"/>
      <c r="AS1213" s="4"/>
      <c r="AT1213" s="4"/>
      <c r="AU1213" s="4"/>
      <c r="AV1213" s="4"/>
      <c r="AW1213" s="4"/>
      <c r="AX1213" s="4"/>
      <c r="AY1213" s="4"/>
      <c r="AZ1213" s="4"/>
      <c r="BA1213" s="4"/>
      <c r="BB1213" s="4"/>
      <c r="BC1213" s="4"/>
      <c r="BD1213" s="4"/>
      <c r="BE1213" s="4"/>
      <c r="BF1213" s="4"/>
      <c r="BG1213" s="4"/>
      <c r="BH1213" s="4"/>
      <c r="BI1213" s="4"/>
      <c r="BJ1213" s="4"/>
      <c r="BK1213" s="4"/>
      <c r="BL1213" s="4"/>
      <c r="BM1213" s="4"/>
      <c r="BN1213" s="4"/>
      <c r="BO1213" s="4"/>
      <c r="BP1213" s="4"/>
      <c r="BQ1213" s="4"/>
      <c r="BR1213" s="4"/>
      <c r="BS1213" s="4"/>
      <c r="BT1213" s="4"/>
      <c r="BU1213" s="4"/>
      <c r="BV1213" s="4"/>
      <c r="BW1213" s="4"/>
      <c r="BX1213" s="4"/>
      <c r="BY1213" s="4"/>
      <c r="BZ1213" s="4"/>
      <c r="CA1213" s="4"/>
      <c r="CB1213" s="4"/>
      <c r="CC1213" s="4"/>
      <c r="CD1213" s="4"/>
      <c r="CE1213" s="4"/>
      <c r="CF1213" s="4"/>
      <c r="CG1213" s="4"/>
      <c r="CH1213" s="4"/>
    </row>
    <row r="1214" spans="1:86" x14ac:dyDescent="0.25">
      <c r="A1214" s="4"/>
      <c r="B1214" s="4"/>
      <c r="C1214" s="4"/>
      <c r="D1214" s="4"/>
      <c r="E1214" s="4"/>
      <c r="F1214" s="14"/>
      <c r="G1214" s="14"/>
      <c r="H1214" s="14"/>
      <c r="I1214" s="5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  <c r="AA1214" s="4"/>
      <c r="AB1214" s="4"/>
      <c r="AC1214" s="4"/>
      <c r="AD1214" s="4"/>
      <c r="AE1214" s="4"/>
      <c r="AF1214" s="4"/>
      <c r="AG1214" s="4"/>
      <c r="AH1214" s="4"/>
      <c r="AI1214" s="4"/>
      <c r="AJ1214" s="4"/>
      <c r="AK1214" s="4"/>
      <c r="AL1214" s="4"/>
      <c r="AM1214" s="4"/>
      <c r="AN1214" s="4"/>
      <c r="AO1214" s="4"/>
      <c r="AP1214" s="4"/>
      <c r="AQ1214" s="4"/>
      <c r="AR1214" s="4"/>
      <c r="AS1214" s="4"/>
      <c r="AT1214" s="4"/>
      <c r="AU1214" s="4"/>
      <c r="AV1214" s="4"/>
      <c r="AW1214" s="4"/>
      <c r="AX1214" s="4"/>
      <c r="AY1214" s="4"/>
      <c r="AZ1214" s="4"/>
      <c r="BA1214" s="4"/>
      <c r="BB1214" s="4"/>
      <c r="BC1214" s="4"/>
      <c r="BD1214" s="4"/>
      <c r="BE1214" s="4"/>
      <c r="BF1214" s="4"/>
      <c r="BG1214" s="4"/>
      <c r="BH1214" s="4"/>
      <c r="BI1214" s="4"/>
      <c r="BJ1214" s="4"/>
      <c r="BK1214" s="4"/>
      <c r="BL1214" s="4"/>
      <c r="BM1214" s="4"/>
      <c r="BN1214" s="4"/>
      <c r="BO1214" s="4"/>
      <c r="BP1214" s="4"/>
      <c r="BQ1214" s="4"/>
      <c r="BR1214" s="4"/>
      <c r="BS1214" s="4"/>
      <c r="BT1214" s="4"/>
      <c r="BU1214" s="4"/>
      <c r="BV1214" s="4"/>
      <c r="BW1214" s="4"/>
      <c r="BX1214" s="4"/>
      <c r="BY1214" s="4"/>
      <c r="BZ1214" s="4"/>
      <c r="CA1214" s="4"/>
      <c r="CB1214" s="4"/>
      <c r="CC1214" s="4"/>
      <c r="CD1214" s="4"/>
      <c r="CE1214" s="4"/>
      <c r="CF1214" s="4"/>
      <c r="CG1214" s="4"/>
      <c r="CH1214" s="4"/>
    </row>
    <row r="1215" spans="1:86" x14ac:dyDescent="0.25">
      <c r="A1215" s="4"/>
      <c r="B1215" s="4"/>
      <c r="C1215" s="4"/>
      <c r="D1215" s="4"/>
      <c r="E1215" s="4"/>
      <c r="F1215" s="14"/>
      <c r="G1215" s="14"/>
      <c r="H1215" s="14"/>
      <c r="I1215" s="5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  <c r="AA1215" s="4"/>
      <c r="AB1215" s="4"/>
      <c r="AC1215" s="4"/>
      <c r="AD1215" s="4"/>
      <c r="AE1215" s="4"/>
      <c r="AF1215" s="4"/>
      <c r="AG1215" s="4"/>
      <c r="AH1215" s="4"/>
      <c r="AI1215" s="4"/>
      <c r="AJ1215" s="4"/>
      <c r="AK1215" s="4"/>
      <c r="AL1215" s="4"/>
      <c r="AM1215" s="4"/>
      <c r="AN1215" s="4"/>
      <c r="AO1215" s="4"/>
      <c r="AP1215" s="4"/>
      <c r="AQ1215" s="4"/>
      <c r="AR1215" s="4"/>
      <c r="AS1215" s="4"/>
      <c r="AT1215" s="4"/>
      <c r="AU1215" s="4"/>
      <c r="AV1215" s="4"/>
      <c r="AW1215" s="4"/>
      <c r="AX1215" s="4"/>
      <c r="AY1215" s="4"/>
      <c r="AZ1215" s="4"/>
      <c r="BA1215" s="4"/>
      <c r="BB1215" s="4"/>
      <c r="BC1215" s="4"/>
      <c r="BD1215" s="4"/>
      <c r="BE1215" s="4"/>
      <c r="BF1215" s="4"/>
      <c r="BG1215" s="4"/>
      <c r="BH1215" s="4"/>
      <c r="BI1215" s="4"/>
      <c r="BJ1215" s="4"/>
      <c r="BK1215" s="4"/>
      <c r="BL1215" s="4"/>
      <c r="BM1215" s="4"/>
      <c r="BN1215" s="4"/>
      <c r="BO1215" s="4"/>
      <c r="BP1215" s="4"/>
      <c r="BQ1215" s="4"/>
      <c r="BR1215" s="4"/>
      <c r="BS1215" s="4"/>
      <c r="BT1215" s="4"/>
      <c r="BU1215" s="4"/>
      <c r="BV1215" s="4"/>
      <c r="BW1215" s="4"/>
      <c r="BX1215" s="4"/>
      <c r="BY1215" s="4"/>
      <c r="BZ1215" s="4"/>
      <c r="CA1215" s="4"/>
      <c r="CB1215" s="4"/>
      <c r="CC1215" s="4"/>
      <c r="CD1215" s="4"/>
      <c r="CE1215" s="4"/>
      <c r="CF1215" s="4"/>
      <c r="CG1215" s="4"/>
      <c r="CH1215" s="4"/>
    </row>
    <row r="1216" spans="1:86" x14ac:dyDescent="0.25">
      <c r="A1216" s="4"/>
      <c r="B1216" s="4"/>
      <c r="C1216" s="4"/>
      <c r="D1216" s="4"/>
      <c r="E1216" s="4"/>
      <c r="F1216" s="14"/>
      <c r="G1216" s="14"/>
      <c r="H1216" s="14"/>
      <c r="I1216" s="5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  <c r="AA1216" s="4"/>
      <c r="AB1216" s="4"/>
      <c r="AC1216" s="4"/>
      <c r="AD1216" s="4"/>
      <c r="AE1216" s="4"/>
      <c r="AF1216" s="4"/>
      <c r="AG1216" s="4"/>
      <c r="AH1216" s="4"/>
      <c r="AI1216" s="4"/>
      <c r="AJ1216" s="4"/>
      <c r="AK1216" s="4"/>
      <c r="AL1216" s="4"/>
      <c r="AM1216" s="4"/>
      <c r="AN1216" s="4"/>
      <c r="AO1216" s="4"/>
      <c r="AP1216" s="4"/>
      <c r="AQ1216" s="4"/>
      <c r="AR1216" s="4"/>
      <c r="AS1216" s="4"/>
      <c r="AT1216" s="4"/>
      <c r="AU1216" s="4"/>
      <c r="AV1216" s="4"/>
      <c r="AW1216" s="4"/>
      <c r="AX1216" s="4"/>
      <c r="AY1216" s="4"/>
      <c r="AZ1216" s="4"/>
      <c r="BA1216" s="4"/>
      <c r="BB1216" s="4"/>
      <c r="BC1216" s="4"/>
      <c r="BD1216" s="4"/>
      <c r="BE1216" s="4"/>
      <c r="BF1216" s="4"/>
      <c r="BG1216" s="4"/>
      <c r="BH1216" s="4"/>
      <c r="BI1216" s="4"/>
      <c r="BJ1216" s="4"/>
      <c r="BK1216" s="4"/>
      <c r="BL1216" s="4"/>
      <c r="BM1216" s="4"/>
      <c r="BN1216" s="4"/>
      <c r="BO1216" s="4"/>
      <c r="BP1216" s="4"/>
      <c r="BQ1216" s="4"/>
      <c r="BR1216" s="4"/>
      <c r="BS1216" s="4"/>
      <c r="BT1216" s="4"/>
      <c r="BU1216" s="4"/>
      <c r="BV1216" s="4"/>
      <c r="BW1216" s="4"/>
      <c r="BX1216" s="4"/>
      <c r="BY1216" s="4"/>
      <c r="BZ1216" s="4"/>
      <c r="CA1216" s="4"/>
      <c r="CB1216" s="4"/>
      <c r="CC1216" s="4"/>
      <c r="CD1216" s="4"/>
      <c r="CE1216" s="4"/>
      <c r="CF1216" s="4"/>
      <c r="CG1216" s="4"/>
      <c r="CH1216" s="4"/>
    </row>
    <row r="1217" spans="1:86" x14ac:dyDescent="0.25">
      <c r="A1217" s="4"/>
      <c r="B1217" s="4"/>
      <c r="C1217" s="4"/>
      <c r="D1217" s="4"/>
      <c r="E1217" s="4"/>
      <c r="F1217" s="14"/>
      <c r="G1217" s="14"/>
      <c r="H1217" s="14"/>
      <c r="I1217" s="5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  <c r="AA1217" s="4"/>
      <c r="AB1217" s="4"/>
      <c r="AC1217" s="4"/>
      <c r="AD1217" s="4"/>
      <c r="AE1217" s="4"/>
      <c r="AF1217" s="4"/>
      <c r="AG1217" s="4"/>
      <c r="AH1217" s="4"/>
      <c r="AI1217" s="4"/>
      <c r="AJ1217" s="4"/>
      <c r="AK1217" s="4"/>
      <c r="AL1217" s="4"/>
      <c r="AM1217" s="4"/>
      <c r="AN1217" s="4"/>
      <c r="AO1217" s="4"/>
      <c r="AP1217" s="4"/>
      <c r="AQ1217" s="4"/>
      <c r="AR1217" s="4"/>
      <c r="AS1217" s="4"/>
      <c r="AT1217" s="4"/>
      <c r="AU1217" s="4"/>
      <c r="AV1217" s="4"/>
      <c r="AW1217" s="4"/>
      <c r="AX1217" s="4"/>
      <c r="AY1217" s="4"/>
      <c r="AZ1217" s="4"/>
      <c r="BA1217" s="4"/>
      <c r="BB1217" s="4"/>
      <c r="BC1217" s="4"/>
      <c r="BD1217" s="4"/>
      <c r="BE1217" s="4"/>
      <c r="BF1217" s="4"/>
      <c r="BG1217" s="4"/>
      <c r="BH1217" s="4"/>
      <c r="BI1217" s="4"/>
      <c r="BJ1217" s="4"/>
      <c r="BK1217" s="4"/>
      <c r="BL1217" s="4"/>
      <c r="BM1217" s="4"/>
      <c r="BN1217" s="4"/>
      <c r="BO1217" s="4"/>
      <c r="BP1217" s="4"/>
      <c r="BQ1217" s="4"/>
      <c r="BR1217" s="4"/>
      <c r="BS1217" s="4"/>
      <c r="BT1217" s="4"/>
      <c r="BU1217" s="4"/>
      <c r="BV1217" s="4"/>
      <c r="BW1217" s="4"/>
      <c r="BX1217" s="4"/>
      <c r="BY1217" s="4"/>
      <c r="BZ1217" s="4"/>
      <c r="CA1217" s="4"/>
      <c r="CB1217" s="4"/>
      <c r="CC1217" s="4"/>
      <c r="CD1217" s="4"/>
      <c r="CE1217" s="4"/>
      <c r="CF1217" s="4"/>
      <c r="CG1217" s="4"/>
      <c r="CH1217" s="4"/>
    </row>
    <row r="1218" spans="1:86" x14ac:dyDescent="0.25">
      <c r="A1218" s="4"/>
      <c r="B1218" s="4"/>
      <c r="C1218" s="4"/>
      <c r="D1218" s="4"/>
      <c r="E1218" s="4"/>
      <c r="F1218" s="14"/>
      <c r="G1218" s="14"/>
      <c r="H1218" s="14"/>
      <c r="I1218" s="5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  <c r="AA1218" s="4"/>
      <c r="AB1218" s="4"/>
      <c r="AC1218" s="4"/>
      <c r="AD1218" s="4"/>
      <c r="AE1218" s="4"/>
      <c r="AF1218" s="4"/>
      <c r="AG1218" s="4"/>
      <c r="AH1218" s="4"/>
      <c r="AI1218" s="4"/>
      <c r="AJ1218" s="4"/>
      <c r="AK1218" s="4"/>
      <c r="AL1218" s="4"/>
      <c r="AM1218" s="4"/>
      <c r="AN1218" s="4"/>
      <c r="AO1218" s="4"/>
      <c r="AP1218" s="4"/>
      <c r="AQ1218" s="4"/>
      <c r="AR1218" s="4"/>
      <c r="AS1218" s="4"/>
      <c r="AT1218" s="4"/>
      <c r="AU1218" s="4"/>
      <c r="AV1218" s="4"/>
      <c r="AW1218" s="4"/>
      <c r="AX1218" s="4"/>
      <c r="AY1218" s="4"/>
      <c r="AZ1218" s="4"/>
      <c r="BA1218" s="4"/>
      <c r="BB1218" s="4"/>
      <c r="BC1218" s="4"/>
      <c r="BD1218" s="4"/>
      <c r="BE1218" s="4"/>
      <c r="BF1218" s="4"/>
      <c r="BG1218" s="4"/>
      <c r="BH1218" s="4"/>
      <c r="BI1218" s="4"/>
      <c r="BJ1218" s="4"/>
      <c r="BK1218" s="4"/>
      <c r="BL1218" s="4"/>
      <c r="BM1218" s="4"/>
      <c r="BN1218" s="4"/>
      <c r="BO1218" s="4"/>
      <c r="BP1218" s="4"/>
      <c r="BQ1218" s="4"/>
      <c r="BR1218" s="4"/>
      <c r="BS1218" s="4"/>
      <c r="BT1218" s="4"/>
      <c r="BU1218" s="4"/>
      <c r="BV1218" s="4"/>
      <c r="BW1218" s="4"/>
      <c r="BX1218" s="4"/>
      <c r="BY1218" s="4"/>
      <c r="BZ1218" s="4"/>
      <c r="CA1218" s="4"/>
      <c r="CB1218" s="4"/>
      <c r="CC1218" s="4"/>
      <c r="CD1218" s="4"/>
      <c r="CE1218" s="4"/>
      <c r="CF1218" s="4"/>
      <c r="CG1218" s="4"/>
      <c r="CH1218" s="4"/>
    </row>
    <row r="1219" spans="1:86" x14ac:dyDescent="0.25">
      <c r="A1219" s="4"/>
      <c r="B1219" s="4"/>
      <c r="C1219" s="4"/>
      <c r="D1219" s="4"/>
      <c r="E1219" s="4"/>
      <c r="F1219" s="14"/>
      <c r="G1219" s="14"/>
      <c r="H1219" s="14"/>
      <c r="I1219" s="5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  <c r="AA1219" s="4"/>
      <c r="AB1219" s="4"/>
      <c r="AC1219" s="4"/>
      <c r="AD1219" s="4"/>
      <c r="AE1219" s="4"/>
      <c r="AF1219" s="4"/>
      <c r="AG1219" s="4"/>
      <c r="AH1219" s="4"/>
      <c r="AI1219" s="4"/>
      <c r="AJ1219" s="4"/>
      <c r="AK1219" s="4"/>
      <c r="AL1219" s="4"/>
      <c r="AM1219" s="4"/>
      <c r="AN1219" s="4"/>
      <c r="AO1219" s="4"/>
      <c r="AP1219" s="4"/>
      <c r="AQ1219" s="4"/>
      <c r="AR1219" s="4"/>
      <c r="AS1219" s="4"/>
      <c r="AT1219" s="4"/>
      <c r="AU1219" s="4"/>
      <c r="AV1219" s="4"/>
      <c r="AW1219" s="4"/>
      <c r="AX1219" s="4"/>
      <c r="AY1219" s="4"/>
      <c r="AZ1219" s="4"/>
      <c r="BA1219" s="4"/>
      <c r="BB1219" s="4"/>
      <c r="BC1219" s="4"/>
      <c r="BD1219" s="4"/>
      <c r="BE1219" s="4"/>
      <c r="BF1219" s="4"/>
      <c r="BG1219" s="4"/>
      <c r="BH1219" s="4"/>
      <c r="BI1219" s="4"/>
      <c r="BJ1219" s="4"/>
      <c r="BK1219" s="4"/>
      <c r="BL1219" s="4"/>
      <c r="BM1219" s="4"/>
      <c r="BN1219" s="4"/>
      <c r="BO1219" s="4"/>
      <c r="BP1219" s="4"/>
      <c r="BQ1219" s="4"/>
      <c r="BR1219" s="4"/>
      <c r="BS1219" s="4"/>
      <c r="BT1219" s="4"/>
      <c r="BU1219" s="4"/>
      <c r="BV1219" s="4"/>
      <c r="BW1219" s="4"/>
      <c r="BX1219" s="4"/>
      <c r="BY1219" s="4"/>
      <c r="BZ1219" s="4"/>
      <c r="CA1219" s="4"/>
      <c r="CB1219" s="4"/>
      <c r="CC1219" s="4"/>
      <c r="CD1219" s="4"/>
      <c r="CE1219" s="4"/>
      <c r="CF1219" s="4"/>
      <c r="CG1219" s="4"/>
      <c r="CH1219" s="4"/>
    </row>
    <row r="1220" spans="1:86" x14ac:dyDescent="0.25">
      <c r="A1220" s="4"/>
      <c r="B1220" s="4"/>
      <c r="C1220" s="4"/>
      <c r="D1220" s="4"/>
      <c r="E1220" s="4"/>
      <c r="F1220" s="14"/>
      <c r="G1220" s="14"/>
      <c r="H1220" s="14"/>
      <c r="I1220" s="5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  <c r="AA1220" s="4"/>
      <c r="AB1220" s="4"/>
      <c r="AC1220" s="4"/>
      <c r="AD1220" s="4"/>
      <c r="AE1220" s="4"/>
      <c r="AF1220" s="4"/>
      <c r="AG1220" s="4"/>
      <c r="AH1220" s="4"/>
      <c r="AI1220" s="4"/>
      <c r="AJ1220" s="4"/>
      <c r="AK1220" s="4"/>
      <c r="AL1220" s="4"/>
      <c r="AM1220" s="4"/>
      <c r="AN1220" s="4"/>
      <c r="AO1220" s="4"/>
      <c r="AP1220" s="4"/>
      <c r="AQ1220" s="4"/>
      <c r="AR1220" s="4"/>
      <c r="AS1220" s="4"/>
      <c r="AT1220" s="4"/>
      <c r="AU1220" s="4"/>
      <c r="AV1220" s="4"/>
      <c r="AW1220" s="4"/>
      <c r="AX1220" s="4"/>
      <c r="AY1220" s="4"/>
      <c r="AZ1220" s="4"/>
      <c r="BA1220" s="4"/>
      <c r="BB1220" s="4"/>
      <c r="BC1220" s="4"/>
      <c r="BD1220" s="4"/>
      <c r="BE1220" s="4"/>
      <c r="BF1220" s="4"/>
      <c r="BG1220" s="4"/>
      <c r="BH1220" s="4"/>
      <c r="BI1220" s="4"/>
      <c r="BJ1220" s="4"/>
      <c r="BK1220" s="4"/>
      <c r="BL1220" s="4"/>
      <c r="BM1220" s="4"/>
      <c r="BN1220" s="4"/>
      <c r="BO1220" s="4"/>
      <c r="BP1220" s="4"/>
      <c r="BQ1220" s="4"/>
      <c r="BR1220" s="4"/>
      <c r="BS1220" s="4"/>
      <c r="BT1220" s="4"/>
      <c r="BU1220" s="4"/>
      <c r="BV1220" s="4"/>
      <c r="BW1220" s="4"/>
      <c r="BX1220" s="4"/>
      <c r="BY1220" s="4"/>
      <c r="BZ1220" s="4"/>
      <c r="CA1220" s="4"/>
      <c r="CB1220" s="4"/>
      <c r="CC1220" s="4"/>
      <c r="CD1220" s="4"/>
      <c r="CE1220" s="4"/>
      <c r="CF1220" s="4"/>
      <c r="CG1220" s="4"/>
      <c r="CH1220" s="4"/>
    </row>
    <row r="1221" spans="1:86" x14ac:dyDescent="0.25">
      <c r="A1221" s="4"/>
      <c r="B1221" s="4"/>
      <c r="C1221" s="4"/>
      <c r="D1221" s="4"/>
      <c r="E1221" s="4"/>
      <c r="F1221" s="14"/>
      <c r="G1221" s="14"/>
      <c r="H1221" s="14"/>
      <c r="I1221" s="5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  <c r="AA1221" s="4"/>
      <c r="AB1221" s="4"/>
      <c r="AC1221" s="4"/>
      <c r="AD1221" s="4"/>
      <c r="AE1221" s="4"/>
      <c r="AF1221" s="4"/>
      <c r="AG1221" s="4"/>
      <c r="AH1221" s="4"/>
      <c r="AI1221" s="4"/>
      <c r="AJ1221" s="4"/>
      <c r="AK1221" s="4"/>
      <c r="AL1221" s="4"/>
      <c r="AM1221" s="4"/>
      <c r="AN1221" s="4"/>
      <c r="AO1221" s="4"/>
      <c r="AP1221" s="4"/>
      <c r="AQ1221" s="4"/>
      <c r="AR1221" s="4"/>
      <c r="AS1221" s="4"/>
      <c r="AT1221" s="4"/>
      <c r="AU1221" s="4"/>
      <c r="AV1221" s="4"/>
      <c r="AW1221" s="4"/>
      <c r="AX1221" s="4"/>
      <c r="AY1221" s="4"/>
      <c r="AZ1221" s="4"/>
      <c r="BA1221" s="4"/>
      <c r="BB1221" s="4"/>
      <c r="BC1221" s="4"/>
      <c r="BD1221" s="4"/>
      <c r="BE1221" s="4"/>
      <c r="BF1221" s="4"/>
      <c r="BG1221" s="4"/>
      <c r="BH1221" s="4"/>
      <c r="BI1221" s="4"/>
      <c r="BJ1221" s="4"/>
      <c r="BK1221" s="4"/>
      <c r="BL1221" s="4"/>
      <c r="BM1221" s="4"/>
      <c r="BN1221" s="4"/>
      <c r="BO1221" s="4"/>
      <c r="BP1221" s="4"/>
      <c r="BQ1221" s="4"/>
      <c r="BR1221" s="4"/>
      <c r="BS1221" s="4"/>
      <c r="BT1221" s="4"/>
      <c r="BU1221" s="4"/>
      <c r="BV1221" s="4"/>
      <c r="BW1221" s="4"/>
      <c r="BX1221" s="4"/>
      <c r="BY1221" s="4"/>
      <c r="BZ1221" s="4"/>
      <c r="CA1221" s="4"/>
      <c r="CB1221" s="4"/>
      <c r="CC1221" s="4"/>
      <c r="CD1221" s="4"/>
      <c r="CE1221" s="4"/>
      <c r="CF1221" s="4"/>
      <c r="CG1221" s="4"/>
      <c r="CH1221" s="4"/>
    </row>
    <row r="1222" spans="1:86" x14ac:dyDescent="0.25">
      <c r="A1222" s="4"/>
      <c r="B1222" s="4"/>
      <c r="C1222" s="4"/>
      <c r="D1222" s="4"/>
      <c r="E1222" s="4"/>
      <c r="F1222" s="14"/>
      <c r="G1222" s="14"/>
      <c r="H1222" s="14"/>
      <c r="I1222" s="5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  <c r="AA1222" s="4"/>
      <c r="AB1222" s="4"/>
      <c r="AC1222" s="4"/>
      <c r="AD1222" s="4"/>
      <c r="AE1222" s="4"/>
      <c r="AF1222" s="4"/>
      <c r="AG1222" s="4"/>
      <c r="AH1222" s="4"/>
      <c r="AI1222" s="4"/>
      <c r="AJ1222" s="4"/>
      <c r="AK1222" s="4"/>
      <c r="AL1222" s="4"/>
      <c r="AM1222" s="4"/>
      <c r="AN1222" s="4"/>
      <c r="AO1222" s="4"/>
      <c r="AP1222" s="4"/>
      <c r="AQ1222" s="4"/>
      <c r="AR1222" s="4"/>
      <c r="AS1222" s="4"/>
      <c r="AT1222" s="4"/>
      <c r="AU1222" s="4"/>
      <c r="AV1222" s="4"/>
      <c r="AW1222" s="4"/>
      <c r="AX1222" s="4"/>
      <c r="AY1222" s="4"/>
      <c r="AZ1222" s="4"/>
      <c r="BA1222" s="4"/>
      <c r="BB1222" s="4"/>
      <c r="BC1222" s="4"/>
      <c r="BD1222" s="4"/>
      <c r="BE1222" s="4"/>
      <c r="BF1222" s="4"/>
      <c r="BG1222" s="4"/>
      <c r="BH1222" s="4"/>
      <c r="BI1222" s="4"/>
      <c r="BJ1222" s="4"/>
      <c r="BK1222" s="4"/>
      <c r="BL1222" s="4"/>
      <c r="BM1222" s="4"/>
      <c r="BN1222" s="4"/>
      <c r="BO1222" s="4"/>
      <c r="BP1222" s="4"/>
      <c r="BQ1222" s="4"/>
      <c r="BR1222" s="4"/>
      <c r="BS1222" s="4"/>
      <c r="BT1222" s="4"/>
      <c r="BU1222" s="4"/>
      <c r="BV1222" s="4"/>
      <c r="BW1222" s="4"/>
      <c r="BX1222" s="4"/>
      <c r="BY1222" s="4"/>
      <c r="BZ1222" s="4"/>
      <c r="CA1222" s="4"/>
      <c r="CB1222" s="4"/>
      <c r="CC1222" s="4"/>
      <c r="CD1222" s="4"/>
      <c r="CE1222" s="4"/>
      <c r="CF1222" s="4"/>
      <c r="CG1222" s="4"/>
      <c r="CH1222" s="4"/>
    </row>
    <row r="1223" spans="1:86" x14ac:dyDescent="0.25">
      <c r="A1223" s="4"/>
      <c r="B1223" s="4"/>
      <c r="C1223" s="4"/>
      <c r="D1223" s="4"/>
      <c r="E1223" s="4"/>
      <c r="F1223" s="14"/>
      <c r="G1223" s="14"/>
      <c r="H1223" s="14"/>
      <c r="I1223" s="5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  <c r="AA1223" s="4"/>
      <c r="AB1223" s="4"/>
      <c r="AC1223" s="4"/>
      <c r="AD1223" s="4"/>
      <c r="AE1223" s="4"/>
      <c r="AF1223" s="4"/>
      <c r="AG1223" s="4"/>
      <c r="AH1223" s="4"/>
      <c r="AI1223" s="4"/>
      <c r="AJ1223" s="4"/>
      <c r="AK1223" s="4"/>
      <c r="AL1223" s="4"/>
      <c r="AM1223" s="4"/>
      <c r="AN1223" s="4"/>
      <c r="AO1223" s="4"/>
      <c r="AP1223" s="4"/>
      <c r="AQ1223" s="4"/>
      <c r="AR1223" s="4"/>
      <c r="AS1223" s="4"/>
      <c r="AT1223" s="4"/>
      <c r="AU1223" s="4"/>
      <c r="AV1223" s="4"/>
      <c r="AW1223" s="4"/>
      <c r="AX1223" s="4"/>
      <c r="AY1223" s="4"/>
      <c r="AZ1223" s="4"/>
      <c r="BA1223" s="4"/>
      <c r="BB1223" s="4"/>
      <c r="BC1223" s="4"/>
      <c r="BD1223" s="4"/>
      <c r="BE1223" s="4"/>
      <c r="BF1223" s="4"/>
      <c r="BG1223" s="4"/>
      <c r="BH1223" s="4"/>
      <c r="BI1223" s="4"/>
      <c r="BJ1223" s="4"/>
      <c r="BK1223" s="4"/>
      <c r="BL1223" s="4"/>
      <c r="BM1223" s="4"/>
      <c r="BN1223" s="4"/>
      <c r="BO1223" s="4"/>
      <c r="BP1223" s="4"/>
      <c r="BQ1223" s="4"/>
      <c r="BR1223" s="4"/>
      <c r="BS1223" s="4"/>
      <c r="BT1223" s="4"/>
      <c r="BU1223" s="4"/>
      <c r="BV1223" s="4"/>
      <c r="BW1223" s="4"/>
      <c r="BX1223" s="4"/>
      <c r="BY1223" s="4"/>
      <c r="BZ1223" s="4"/>
      <c r="CA1223" s="4"/>
      <c r="CB1223" s="4"/>
      <c r="CC1223" s="4"/>
      <c r="CD1223" s="4"/>
      <c r="CE1223" s="4"/>
      <c r="CF1223" s="4"/>
      <c r="CG1223" s="4"/>
      <c r="CH1223" s="4"/>
    </row>
    <row r="1224" spans="1:86" x14ac:dyDescent="0.25">
      <c r="A1224" s="4"/>
      <c r="B1224" s="4"/>
      <c r="C1224" s="4"/>
      <c r="D1224" s="4"/>
      <c r="E1224" s="4"/>
      <c r="F1224" s="14"/>
      <c r="G1224" s="14"/>
      <c r="H1224" s="14"/>
      <c r="I1224" s="5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  <c r="AA1224" s="4"/>
      <c r="AB1224" s="4"/>
      <c r="AC1224" s="4"/>
      <c r="AD1224" s="4"/>
      <c r="AE1224" s="4"/>
      <c r="AF1224" s="4"/>
      <c r="AG1224" s="4"/>
      <c r="AH1224" s="4"/>
      <c r="AI1224" s="4"/>
      <c r="AJ1224" s="4"/>
      <c r="AK1224" s="4"/>
      <c r="AL1224" s="4"/>
      <c r="AM1224" s="4"/>
      <c r="AN1224" s="4"/>
      <c r="AO1224" s="4"/>
      <c r="AP1224" s="4"/>
      <c r="AQ1224" s="4"/>
      <c r="AR1224" s="4"/>
      <c r="AS1224" s="4"/>
      <c r="AT1224" s="4"/>
      <c r="AU1224" s="4"/>
      <c r="AV1224" s="4"/>
      <c r="AW1224" s="4"/>
      <c r="AX1224" s="4"/>
      <c r="AY1224" s="4"/>
      <c r="AZ1224" s="4"/>
      <c r="BA1224" s="4"/>
      <c r="BB1224" s="4"/>
      <c r="BC1224" s="4"/>
      <c r="BD1224" s="4"/>
      <c r="BE1224" s="4"/>
      <c r="BF1224" s="4"/>
      <c r="BG1224" s="4"/>
      <c r="BH1224" s="4"/>
      <c r="BI1224" s="4"/>
      <c r="BJ1224" s="4"/>
      <c r="BK1224" s="4"/>
      <c r="BL1224" s="4"/>
      <c r="BM1224" s="4"/>
      <c r="BN1224" s="4"/>
      <c r="BO1224" s="4"/>
      <c r="BP1224" s="4"/>
      <c r="BQ1224" s="4"/>
      <c r="BR1224" s="4"/>
      <c r="BS1224" s="4"/>
      <c r="BT1224" s="4"/>
      <c r="BU1224" s="4"/>
      <c r="BV1224" s="4"/>
      <c r="BW1224" s="4"/>
      <c r="BX1224" s="4"/>
      <c r="BY1224" s="4"/>
      <c r="BZ1224" s="4"/>
      <c r="CA1224" s="4"/>
      <c r="CB1224" s="4"/>
      <c r="CC1224" s="4"/>
      <c r="CD1224" s="4"/>
      <c r="CE1224" s="4"/>
      <c r="CF1224" s="4"/>
      <c r="CG1224" s="4"/>
      <c r="CH1224" s="4"/>
    </row>
    <row r="1225" spans="1:86" x14ac:dyDescent="0.25">
      <c r="A1225" s="4"/>
      <c r="B1225" s="4"/>
      <c r="C1225" s="4"/>
      <c r="D1225" s="4"/>
      <c r="E1225" s="4"/>
      <c r="F1225" s="14"/>
      <c r="G1225" s="14"/>
      <c r="H1225" s="14"/>
      <c r="I1225" s="5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  <c r="AA1225" s="4"/>
      <c r="AB1225" s="4"/>
      <c r="AC1225" s="4"/>
      <c r="AD1225" s="4"/>
      <c r="AE1225" s="4"/>
      <c r="AF1225" s="4"/>
      <c r="AG1225" s="4"/>
      <c r="AH1225" s="4"/>
      <c r="AI1225" s="4"/>
      <c r="AJ1225" s="4"/>
      <c r="AK1225" s="4"/>
      <c r="AL1225" s="4"/>
      <c r="AM1225" s="4"/>
      <c r="AN1225" s="4"/>
      <c r="AO1225" s="4"/>
      <c r="AP1225" s="4"/>
      <c r="AQ1225" s="4"/>
      <c r="AR1225" s="4"/>
      <c r="AS1225" s="4"/>
      <c r="AT1225" s="4"/>
      <c r="AU1225" s="4"/>
      <c r="AV1225" s="4"/>
      <c r="AW1225" s="4"/>
      <c r="AX1225" s="4"/>
      <c r="AY1225" s="4"/>
      <c r="AZ1225" s="4"/>
      <c r="BA1225" s="4"/>
      <c r="BB1225" s="4"/>
      <c r="BC1225" s="4"/>
      <c r="BD1225" s="4"/>
      <c r="BE1225" s="4"/>
      <c r="BF1225" s="4"/>
      <c r="BG1225" s="4"/>
      <c r="BH1225" s="4"/>
      <c r="BI1225" s="4"/>
      <c r="BJ1225" s="4"/>
      <c r="BK1225" s="4"/>
      <c r="BL1225" s="4"/>
      <c r="BM1225" s="4"/>
      <c r="BN1225" s="4"/>
      <c r="BO1225" s="4"/>
      <c r="BP1225" s="4"/>
      <c r="BQ1225" s="4"/>
      <c r="BR1225" s="4"/>
      <c r="BS1225" s="4"/>
      <c r="BT1225" s="4"/>
      <c r="BU1225" s="4"/>
      <c r="BV1225" s="4"/>
      <c r="BW1225" s="4"/>
      <c r="BX1225" s="4"/>
      <c r="BY1225" s="4"/>
      <c r="BZ1225" s="4"/>
      <c r="CA1225" s="4"/>
      <c r="CB1225" s="4"/>
      <c r="CC1225" s="4"/>
      <c r="CD1225" s="4"/>
      <c r="CE1225" s="4"/>
      <c r="CF1225" s="4"/>
      <c r="CG1225" s="4"/>
      <c r="CH1225" s="4"/>
    </row>
    <row r="1226" spans="1:86" x14ac:dyDescent="0.25">
      <c r="A1226" s="4"/>
      <c r="B1226" s="4"/>
      <c r="C1226" s="4"/>
      <c r="D1226" s="4"/>
      <c r="E1226" s="4"/>
      <c r="F1226" s="14"/>
      <c r="G1226" s="14"/>
      <c r="H1226" s="14"/>
      <c r="I1226" s="5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  <c r="AA1226" s="4"/>
      <c r="AB1226" s="4"/>
      <c r="AC1226" s="4"/>
      <c r="AD1226" s="4"/>
      <c r="AE1226" s="4"/>
      <c r="AF1226" s="4"/>
      <c r="AG1226" s="4"/>
      <c r="AH1226" s="4"/>
      <c r="AI1226" s="4"/>
      <c r="AJ1226" s="4"/>
      <c r="AK1226" s="4"/>
      <c r="AL1226" s="4"/>
      <c r="AM1226" s="4"/>
      <c r="AN1226" s="4"/>
      <c r="AO1226" s="4"/>
      <c r="AP1226" s="4"/>
      <c r="AQ1226" s="4"/>
      <c r="AR1226" s="4"/>
      <c r="AS1226" s="4"/>
      <c r="AT1226" s="4"/>
      <c r="AU1226" s="4"/>
      <c r="AV1226" s="4"/>
      <c r="AW1226" s="4"/>
      <c r="AX1226" s="4"/>
      <c r="AY1226" s="4"/>
      <c r="AZ1226" s="4"/>
      <c r="BA1226" s="4"/>
      <c r="BB1226" s="4"/>
      <c r="BC1226" s="4"/>
      <c r="BD1226" s="4"/>
      <c r="BE1226" s="4"/>
      <c r="BF1226" s="4"/>
      <c r="BG1226" s="4"/>
      <c r="BH1226" s="4"/>
      <c r="BI1226" s="4"/>
      <c r="BJ1226" s="4"/>
      <c r="BK1226" s="4"/>
      <c r="BL1226" s="4"/>
      <c r="BM1226" s="4"/>
      <c r="BN1226" s="4"/>
      <c r="BO1226" s="4"/>
      <c r="BP1226" s="4"/>
      <c r="BQ1226" s="4"/>
      <c r="BR1226" s="4"/>
      <c r="BS1226" s="4"/>
      <c r="BT1226" s="4"/>
      <c r="BU1226" s="4"/>
      <c r="BV1226" s="4"/>
      <c r="BW1226" s="4"/>
      <c r="BX1226" s="4"/>
      <c r="BY1226" s="4"/>
      <c r="BZ1226" s="4"/>
      <c r="CA1226" s="4"/>
      <c r="CB1226" s="4"/>
      <c r="CC1226" s="4"/>
      <c r="CD1226" s="4"/>
      <c r="CE1226" s="4"/>
      <c r="CF1226" s="4"/>
      <c r="CG1226" s="4"/>
      <c r="CH1226" s="4"/>
    </row>
    <row r="1227" spans="1:86" x14ac:dyDescent="0.25">
      <c r="A1227" s="4"/>
      <c r="B1227" s="4"/>
      <c r="C1227" s="4"/>
      <c r="D1227" s="4"/>
      <c r="E1227" s="4"/>
      <c r="F1227" s="14"/>
      <c r="G1227" s="14"/>
      <c r="H1227" s="14"/>
      <c r="I1227" s="5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  <c r="AA1227" s="4"/>
      <c r="AB1227" s="4"/>
      <c r="AC1227" s="4"/>
      <c r="AD1227" s="4"/>
      <c r="AE1227" s="4"/>
      <c r="AF1227" s="4"/>
      <c r="AG1227" s="4"/>
      <c r="AH1227" s="4"/>
      <c r="AI1227" s="4"/>
      <c r="AJ1227" s="4"/>
      <c r="AK1227" s="4"/>
      <c r="AL1227" s="4"/>
      <c r="AM1227" s="4"/>
      <c r="AN1227" s="4"/>
      <c r="AO1227" s="4"/>
      <c r="AP1227" s="4"/>
      <c r="AQ1227" s="4"/>
      <c r="AR1227" s="4"/>
      <c r="AS1227" s="4"/>
      <c r="AT1227" s="4"/>
      <c r="AU1227" s="4"/>
      <c r="AV1227" s="4"/>
      <c r="AW1227" s="4"/>
      <c r="AX1227" s="4"/>
      <c r="AY1227" s="4"/>
      <c r="AZ1227" s="4"/>
      <c r="BA1227" s="4"/>
      <c r="BB1227" s="4"/>
      <c r="BC1227" s="4"/>
      <c r="BD1227" s="4"/>
      <c r="BE1227" s="4"/>
      <c r="BF1227" s="4"/>
      <c r="BG1227" s="4"/>
      <c r="BH1227" s="4"/>
      <c r="BI1227" s="4"/>
      <c r="BJ1227" s="4"/>
      <c r="BK1227" s="4"/>
      <c r="BL1227" s="4"/>
      <c r="BM1227" s="4"/>
      <c r="BN1227" s="4"/>
      <c r="BO1227" s="4"/>
      <c r="BP1227" s="4"/>
      <c r="BQ1227" s="4"/>
      <c r="BR1227" s="4"/>
      <c r="BS1227" s="4"/>
      <c r="BT1227" s="4"/>
      <c r="BU1227" s="4"/>
      <c r="BV1227" s="4"/>
      <c r="BW1227" s="4"/>
      <c r="BX1227" s="4"/>
      <c r="BY1227" s="4"/>
      <c r="BZ1227" s="4"/>
      <c r="CA1227" s="4"/>
      <c r="CB1227" s="4"/>
      <c r="CC1227" s="4"/>
      <c r="CD1227" s="4"/>
      <c r="CE1227" s="4"/>
      <c r="CF1227" s="4"/>
      <c r="CG1227" s="4"/>
      <c r="CH1227" s="4"/>
    </row>
    <row r="1228" spans="1:86" x14ac:dyDescent="0.25">
      <c r="A1228" s="4"/>
      <c r="B1228" s="4"/>
      <c r="C1228" s="4"/>
      <c r="D1228" s="4"/>
      <c r="E1228" s="4"/>
      <c r="F1228" s="14"/>
      <c r="G1228" s="14"/>
      <c r="H1228" s="14"/>
      <c r="I1228" s="5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  <c r="AA1228" s="4"/>
      <c r="AB1228" s="4"/>
      <c r="AC1228" s="4"/>
      <c r="AD1228" s="4"/>
      <c r="AE1228" s="4"/>
      <c r="AF1228" s="4"/>
      <c r="AG1228" s="4"/>
      <c r="AH1228" s="4"/>
      <c r="AI1228" s="4"/>
      <c r="AJ1228" s="4"/>
      <c r="AK1228" s="4"/>
      <c r="AL1228" s="4"/>
      <c r="AM1228" s="4"/>
      <c r="AN1228" s="4"/>
      <c r="AO1228" s="4"/>
      <c r="AP1228" s="4"/>
      <c r="AQ1228" s="4"/>
      <c r="AR1228" s="4"/>
      <c r="AS1228" s="4"/>
      <c r="AT1228" s="4"/>
      <c r="AU1228" s="4"/>
      <c r="AV1228" s="4"/>
      <c r="AW1228" s="4"/>
      <c r="AX1228" s="4"/>
      <c r="AY1228" s="4"/>
      <c r="AZ1228" s="4"/>
      <c r="BA1228" s="4"/>
      <c r="BB1228" s="4"/>
      <c r="BC1228" s="4"/>
      <c r="BD1228" s="4"/>
      <c r="BE1228" s="4"/>
      <c r="BF1228" s="4"/>
      <c r="BG1228" s="4"/>
      <c r="BH1228" s="4"/>
      <c r="BI1228" s="4"/>
      <c r="BJ1228" s="4"/>
      <c r="BK1228" s="4"/>
      <c r="BL1228" s="4"/>
      <c r="BM1228" s="4"/>
      <c r="BN1228" s="4"/>
      <c r="BO1228" s="4"/>
      <c r="BP1228" s="4"/>
      <c r="BQ1228" s="4"/>
      <c r="BR1228" s="4"/>
      <c r="BS1228" s="4"/>
      <c r="BT1228" s="4"/>
      <c r="BU1228" s="4"/>
      <c r="BV1228" s="4"/>
      <c r="BW1228" s="4"/>
      <c r="BX1228" s="4"/>
      <c r="BY1228" s="4"/>
      <c r="BZ1228" s="4"/>
      <c r="CA1228" s="4"/>
      <c r="CB1228" s="4"/>
      <c r="CC1228" s="4"/>
      <c r="CD1228" s="4"/>
      <c r="CE1228" s="4"/>
      <c r="CF1228" s="4"/>
      <c r="CG1228" s="4"/>
      <c r="CH1228" s="4"/>
    </row>
    <row r="1229" spans="1:86" x14ac:dyDescent="0.25">
      <c r="A1229" s="4"/>
      <c r="B1229" s="4"/>
      <c r="C1229" s="4"/>
      <c r="D1229" s="4"/>
      <c r="E1229" s="4"/>
      <c r="F1229" s="14"/>
      <c r="G1229" s="14"/>
      <c r="H1229" s="14"/>
      <c r="I1229" s="5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  <c r="AA1229" s="4"/>
      <c r="AB1229" s="4"/>
      <c r="AC1229" s="4"/>
      <c r="AD1229" s="4"/>
      <c r="AE1229" s="4"/>
      <c r="AF1229" s="4"/>
      <c r="AG1229" s="4"/>
      <c r="AH1229" s="4"/>
      <c r="AI1229" s="4"/>
      <c r="AJ1229" s="4"/>
      <c r="AK1229" s="4"/>
      <c r="AL1229" s="4"/>
      <c r="AM1229" s="4"/>
      <c r="AN1229" s="4"/>
      <c r="AO1229" s="4"/>
      <c r="AP1229" s="4"/>
      <c r="AQ1229" s="4"/>
      <c r="AR1229" s="4"/>
      <c r="AS1229" s="4"/>
      <c r="AT1229" s="4"/>
      <c r="AU1229" s="4"/>
      <c r="AV1229" s="4"/>
      <c r="AW1229" s="4"/>
      <c r="AX1229" s="4"/>
      <c r="AY1229" s="4"/>
      <c r="AZ1229" s="4"/>
      <c r="BA1229" s="4"/>
      <c r="BB1229" s="4"/>
      <c r="BC1229" s="4"/>
      <c r="BD1229" s="4"/>
      <c r="BE1229" s="4"/>
      <c r="BF1229" s="4"/>
      <c r="BG1229" s="4"/>
      <c r="BH1229" s="4"/>
      <c r="BI1229" s="4"/>
      <c r="BJ1229" s="4"/>
      <c r="BK1229" s="4"/>
      <c r="BL1229" s="4"/>
      <c r="BM1229" s="4"/>
      <c r="BN1229" s="4"/>
      <c r="BO1229" s="4"/>
      <c r="BP1229" s="4"/>
      <c r="BQ1229" s="4"/>
      <c r="BR1229" s="4"/>
      <c r="BS1229" s="4"/>
      <c r="BT1229" s="4"/>
      <c r="BU1229" s="4"/>
      <c r="BV1229" s="4"/>
      <c r="BW1229" s="4"/>
      <c r="BX1229" s="4"/>
      <c r="BY1229" s="4"/>
      <c r="BZ1229" s="4"/>
      <c r="CA1229" s="4"/>
      <c r="CB1229" s="4"/>
      <c r="CC1229" s="4"/>
      <c r="CD1229" s="4"/>
      <c r="CE1229" s="4"/>
      <c r="CF1229" s="4"/>
      <c r="CG1229" s="4"/>
      <c r="CH1229" s="4"/>
    </row>
    <row r="1230" spans="1:86" x14ac:dyDescent="0.25">
      <c r="A1230" s="4"/>
      <c r="B1230" s="4"/>
      <c r="C1230" s="4"/>
      <c r="D1230" s="4"/>
      <c r="E1230" s="4"/>
      <c r="F1230" s="14"/>
      <c r="G1230" s="14"/>
      <c r="H1230" s="14"/>
      <c r="I1230" s="5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  <c r="AA1230" s="4"/>
      <c r="AB1230" s="4"/>
      <c r="AC1230" s="4"/>
      <c r="AD1230" s="4"/>
      <c r="AE1230" s="4"/>
      <c r="AF1230" s="4"/>
      <c r="AG1230" s="4"/>
      <c r="AH1230" s="4"/>
      <c r="AI1230" s="4"/>
      <c r="AJ1230" s="4"/>
      <c r="AK1230" s="4"/>
      <c r="AL1230" s="4"/>
      <c r="AM1230" s="4"/>
      <c r="AN1230" s="4"/>
      <c r="AO1230" s="4"/>
      <c r="AP1230" s="4"/>
      <c r="AQ1230" s="4"/>
      <c r="AR1230" s="4"/>
      <c r="AS1230" s="4"/>
      <c r="AT1230" s="4"/>
      <c r="AU1230" s="4"/>
      <c r="AV1230" s="4"/>
      <c r="AW1230" s="4"/>
      <c r="AX1230" s="4"/>
      <c r="AY1230" s="4"/>
      <c r="AZ1230" s="4"/>
      <c r="BA1230" s="4"/>
      <c r="BB1230" s="4"/>
      <c r="BC1230" s="4"/>
      <c r="BD1230" s="4"/>
      <c r="BE1230" s="4"/>
      <c r="BF1230" s="4"/>
      <c r="BG1230" s="4"/>
      <c r="BH1230" s="4"/>
      <c r="BI1230" s="4"/>
      <c r="BJ1230" s="4"/>
      <c r="BK1230" s="4"/>
      <c r="BL1230" s="4"/>
      <c r="BM1230" s="4"/>
      <c r="BN1230" s="4"/>
      <c r="BO1230" s="4"/>
      <c r="BP1230" s="4"/>
      <c r="BQ1230" s="4"/>
      <c r="BR1230" s="4"/>
      <c r="BS1230" s="4"/>
      <c r="BT1230" s="4"/>
      <c r="BU1230" s="4"/>
      <c r="BV1230" s="4"/>
      <c r="BW1230" s="4"/>
      <c r="BX1230" s="4"/>
      <c r="BY1230" s="4"/>
      <c r="BZ1230" s="4"/>
      <c r="CA1230" s="4"/>
      <c r="CB1230" s="4"/>
      <c r="CC1230" s="4"/>
      <c r="CD1230" s="4"/>
      <c r="CE1230" s="4"/>
      <c r="CF1230" s="4"/>
      <c r="CG1230" s="4"/>
      <c r="CH1230" s="4"/>
    </row>
    <row r="1231" spans="1:86" x14ac:dyDescent="0.25">
      <c r="A1231" s="4"/>
      <c r="B1231" s="4"/>
      <c r="C1231" s="4"/>
      <c r="D1231" s="4"/>
      <c r="E1231" s="4"/>
      <c r="F1231" s="14"/>
      <c r="G1231" s="14"/>
      <c r="H1231" s="14"/>
      <c r="I1231" s="5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  <c r="AA1231" s="4"/>
      <c r="AB1231" s="4"/>
      <c r="AC1231" s="4"/>
      <c r="AD1231" s="4"/>
      <c r="AE1231" s="4"/>
      <c r="AF1231" s="4"/>
      <c r="AG1231" s="4"/>
      <c r="AH1231" s="4"/>
      <c r="AI1231" s="4"/>
      <c r="AJ1231" s="4"/>
      <c r="AK1231" s="4"/>
      <c r="AL1231" s="4"/>
      <c r="AM1231" s="4"/>
      <c r="AN1231" s="4"/>
      <c r="AO1231" s="4"/>
      <c r="AP1231" s="4"/>
      <c r="AQ1231" s="4"/>
      <c r="AR1231" s="4"/>
      <c r="AS1231" s="4"/>
      <c r="AT1231" s="4"/>
      <c r="AU1231" s="4"/>
      <c r="AV1231" s="4"/>
      <c r="AW1231" s="4"/>
      <c r="AX1231" s="4"/>
      <c r="AY1231" s="4"/>
      <c r="AZ1231" s="4"/>
      <c r="BA1231" s="4"/>
      <c r="BB1231" s="4"/>
      <c r="BC1231" s="4"/>
      <c r="BD1231" s="4"/>
      <c r="BE1231" s="4"/>
      <c r="BF1231" s="4"/>
      <c r="BG1231" s="4"/>
      <c r="BH1231" s="4"/>
      <c r="BI1231" s="4"/>
      <c r="BJ1231" s="4"/>
      <c r="BK1231" s="4"/>
      <c r="BL1231" s="4"/>
      <c r="BM1231" s="4"/>
      <c r="BN1231" s="4"/>
      <c r="BO1231" s="4"/>
      <c r="BP1231" s="4"/>
      <c r="BQ1231" s="4"/>
      <c r="BR1231" s="4"/>
      <c r="BS1231" s="4"/>
      <c r="BT1231" s="4"/>
      <c r="BU1231" s="4"/>
      <c r="BV1231" s="4"/>
      <c r="BW1231" s="4"/>
      <c r="BX1231" s="4"/>
      <c r="BY1231" s="4"/>
      <c r="BZ1231" s="4"/>
      <c r="CA1231" s="4"/>
      <c r="CB1231" s="4"/>
      <c r="CC1231" s="4"/>
      <c r="CD1231" s="4"/>
      <c r="CE1231" s="4"/>
      <c r="CF1231" s="4"/>
      <c r="CG1231" s="4"/>
      <c r="CH1231" s="4"/>
    </row>
    <row r="1232" spans="1:86" x14ac:dyDescent="0.25">
      <c r="A1232" s="4"/>
      <c r="B1232" s="4"/>
      <c r="C1232" s="4"/>
      <c r="D1232" s="4"/>
      <c r="E1232" s="4"/>
      <c r="F1232" s="14"/>
      <c r="G1232" s="14"/>
      <c r="H1232" s="14"/>
      <c r="I1232" s="5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  <c r="AA1232" s="4"/>
      <c r="AB1232" s="4"/>
      <c r="AC1232" s="4"/>
      <c r="AD1232" s="4"/>
      <c r="AE1232" s="4"/>
      <c r="AF1232" s="4"/>
      <c r="AG1232" s="4"/>
      <c r="AH1232" s="4"/>
      <c r="AI1232" s="4"/>
      <c r="AJ1232" s="4"/>
      <c r="AK1232" s="4"/>
      <c r="AL1232" s="4"/>
      <c r="AM1232" s="4"/>
      <c r="AN1232" s="4"/>
      <c r="AO1232" s="4"/>
      <c r="AP1232" s="4"/>
      <c r="AQ1232" s="4"/>
      <c r="AR1232" s="4"/>
      <c r="AS1232" s="4"/>
      <c r="AT1232" s="4"/>
      <c r="AU1232" s="4"/>
      <c r="AV1232" s="4"/>
      <c r="AW1232" s="4"/>
      <c r="AX1232" s="4"/>
      <c r="AY1232" s="4"/>
      <c r="AZ1232" s="4"/>
      <c r="BA1232" s="4"/>
      <c r="BB1232" s="4"/>
      <c r="BC1232" s="4"/>
      <c r="BD1232" s="4"/>
      <c r="BE1232" s="4"/>
      <c r="BF1232" s="4"/>
      <c r="BG1232" s="4"/>
      <c r="BH1232" s="4"/>
      <c r="BI1232" s="4"/>
      <c r="BJ1232" s="4"/>
      <c r="BK1232" s="4"/>
      <c r="BL1232" s="4"/>
      <c r="BM1232" s="4"/>
      <c r="BN1232" s="4"/>
      <c r="BO1232" s="4"/>
      <c r="BP1232" s="4"/>
      <c r="BQ1232" s="4"/>
      <c r="BR1232" s="4"/>
      <c r="BS1232" s="4"/>
      <c r="BT1232" s="4"/>
      <c r="BU1232" s="4"/>
      <c r="BV1232" s="4"/>
      <c r="BW1232" s="4"/>
      <c r="BX1232" s="4"/>
      <c r="BY1232" s="4"/>
      <c r="BZ1232" s="4"/>
      <c r="CA1232" s="4"/>
      <c r="CB1232" s="4"/>
      <c r="CC1232" s="4"/>
      <c r="CD1232" s="4"/>
      <c r="CE1232" s="4"/>
      <c r="CF1232" s="4"/>
      <c r="CG1232" s="4"/>
      <c r="CH1232" s="4"/>
    </row>
    <row r="1233" spans="1:86" x14ac:dyDescent="0.25">
      <c r="A1233" s="4"/>
      <c r="B1233" s="4"/>
      <c r="C1233" s="4"/>
      <c r="D1233" s="4"/>
      <c r="E1233" s="4"/>
      <c r="F1233" s="14"/>
      <c r="G1233" s="14"/>
      <c r="H1233" s="14"/>
      <c r="I1233" s="5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  <c r="AA1233" s="4"/>
      <c r="AB1233" s="4"/>
      <c r="AC1233" s="4"/>
      <c r="AD1233" s="4"/>
      <c r="AE1233" s="4"/>
      <c r="AF1233" s="4"/>
      <c r="AG1233" s="4"/>
      <c r="AH1233" s="4"/>
      <c r="AI1233" s="4"/>
      <c r="AJ1233" s="4"/>
      <c r="AK1233" s="4"/>
      <c r="AL1233" s="4"/>
      <c r="AM1233" s="4"/>
      <c r="AN1233" s="4"/>
      <c r="AO1233" s="4"/>
      <c r="AP1233" s="4"/>
      <c r="AQ1233" s="4"/>
      <c r="AR1233" s="4"/>
      <c r="AS1233" s="4"/>
      <c r="AT1233" s="4"/>
      <c r="AU1233" s="4"/>
      <c r="AV1233" s="4"/>
      <c r="AW1233" s="4"/>
      <c r="AX1233" s="4"/>
      <c r="AY1233" s="4"/>
      <c r="AZ1233" s="4"/>
      <c r="BA1233" s="4"/>
      <c r="BB1233" s="4"/>
      <c r="BC1233" s="4"/>
      <c r="BD1233" s="4"/>
      <c r="BE1233" s="4"/>
      <c r="BF1233" s="4"/>
      <c r="BG1233" s="4"/>
      <c r="BH1233" s="4"/>
      <c r="BI1233" s="4"/>
      <c r="BJ1233" s="4"/>
      <c r="BK1233" s="4"/>
      <c r="BL1233" s="4"/>
      <c r="BM1233" s="4"/>
      <c r="BN1233" s="4"/>
      <c r="BO1233" s="4"/>
      <c r="BP1233" s="4"/>
      <c r="BQ1233" s="4"/>
      <c r="BR1233" s="4"/>
      <c r="BS1233" s="4"/>
      <c r="BT1233" s="4"/>
      <c r="BU1233" s="4"/>
      <c r="BV1233" s="4"/>
      <c r="BW1233" s="4"/>
      <c r="BX1233" s="4"/>
      <c r="BY1233" s="4"/>
      <c r="BZ1233" s="4"/>
      <c r="CA1233" s="4"/>
      <c r="CB1233" s="4"/>
      <c r="CC1233" s="4"/>
      <c r="CD1233" s="4"/>
      <c r="CE1233" s="4"/>
      <c r="CF1233" s="4"/>
      <c r="CG1233" s="4"/>
      <c r="CH1233" s="4"/>
    </row>
    <row r="1234" spans="1:86" x14ac:dyDescent="0.25">
      <c r="A1234" s="4"/>
      <c r="B1234" s="4"/>
      <c r="C1234" s="4"/>
      <c r="D1234" s="4"/>
      <c r="E1234" s="4"/>
      <c r="F1234" s="4"/>
      <c r="G1234" s="4"/>
      <c r="H1234" s="4"/>
      <c r="I1234" s="5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  <c r="AA1234" s="4"/>
      <c r="AB1234" s="4"/>
      <c r="AC1234" s="4"/>
      <c r="AD1234" s="4"/>
      <c r="AE1234" s="4"/>
      <c r="AF1234" s="4"/>
      <c r="AG1234" s="4"/>
      <c r="AH1234" s="4"/>
      <c r="AI1234" s="4"/>
      <c r="AJ1234" s="4"/>
      <c r="AK1234" s="4"/>
      <c r="AL1234" s="4"/>
      <c r="AM1234" s="4"/>
      <c r="AN1234" s="4"/>
      <c r="AO1234" s="4"/>
      <c r="AP1234" s="4"/>
      <c r="AQ1234" s="4"/>
      <c r="AR1234" s="4"/>
      <c r="AS1234" s="4"/>
      <c r="AT1234" s="4"/>
      <c r="AU1234" s="4"/>
      <c r="AV1234" s="4"/>
      <c r="AW1234" s="4"/>
      <c r="AX1234" s="4"/>
      <c r="AY1234" s="4"/>
      <c r="AZ1234" s="4"/>
      <c r="BA1234" s="4"/>
      <c r="BB1234" s="4"/>
      <c r="BC1234" s="4"/>
      <c r="BD1234" s="4"/>
      <c r="BE1234" s="4"/>
      <c r="BF1234" s="4"/>
      <c r="BG1234" s="4"/>
      <c r="BH1234" s="4"/>
      <c r="BI1234" s="4"/>
      <c r="BJ1234" s="4"/>
      <c r="BK1234" s="4"/>
      <c r="BL1234" s="4"/>
      <c r="BM1234" s="4"/>
      <c r="BN1234" s="4"/>
      <c r="BO1234" s="4"/>
      <c r="BP1234" s="4"/>
      <c r="BQ1234" s="4"/>
      <c r="BR1234" s="4"/>
      <c r="BS1234" s="4"/>
      <c r="BT1234" s="4"/>
      <c r="BU1234" s="4"/>
      <c r="BV1234" s="4"/>
      <c r="BW1234" s="4"/>
      <c r="BX1234" s="4"/>
      <c r="BY1234" s="4"/>
      <c r="BZ1234" s="4"/>
      <c r="CA1234" s="4"/>
      <c r="CB1234" s="4"/>
      <c r="CC1234" s="4"/>
      <c r="CD1234" s="4"/>
      <c r="CE1234" s="4"/>
      <c r="CF1234" s="4"/>
      <c r="CG1234" s="4"/>
      <c r="CH1234" s="4"/>
    </row>
    <row r="1235" spans="1:86" x14ac:dyDescent="0.25">
      <c r="A1235" s="4"/>
      <c r="B1235" s="4"/>
      <c r="C1235" s="4"/>
      <c r="D1235" s="4"/>
      <c r="E1235" s="4"/>
      <c r="F1235" s="4"/>
      <c r="G1235" s="4"/>
      <c r="H1235" s="4"/>
      <c r="I1235" s="5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  <c r="AA1235" s="4"/>
      <c r="AB1235" s="4"/>
      <c r="AC1235" s="4"/>
      <c r="AD1235" s="4"/>
      <c r="AE1235" s="4"/>
      <c r="AF1235" s="4"/>
      <c r="AG1235" s="4"/>
      <c r="AH1235" s="4"/>
      <c r="AI1235" s="4"/>
      <c r="AJ1235" s="4"/>
      <c r="AK1235" s="4"/>
      <c r="AL1235" s="4"/>
      <c r="AM1235" s="4"/>
      <c r="AN1235" s="4"/>
      <c r="AO1235" s="4"/>
      <c r="AP1235" s="4"/>
      <c r="AQ1235" s="4"/>
      <c r="AR1235" s="4"/>
      <c r="AS1235" s="4"/>
      <c r="AT1235" s="4"/>
      <c r="AU1235" s="4"/>
      <c r="AV1235" s="4"/>
      <c r="AW1235" s="4"/>
      <c r="AX1235" s="4"/>
      <c r="AY1235" s="4"/>
      <c r="AZ1235" s="4"/>
      <c r="BA1235" s="4"/>
      <c r="BB1235" s="4"/>
      <c r="BC1235" s="4"/>
      <c r="BD1235" s="4"/>
      <c r="BE1235" s="4"/>
      <c r="BF1235" s="4"/>
      <c r="BG1235" s="4"/>
      <c r="BH1235" s="4"/>
      <c r="BI1235" s="4"/>
      <c r="BJ1235" s="4"/>
      <c r="BK1235" s="4"/>
      <c r="BL1235" s="4"/>
      <c r="BM1235" s="4"/>
      <c r="BN1235" s="4"/>
      <c r="BO1235" s="4"/>
      <c r="BP1235" s="4"/>
      <c r="BQ1235" s="4"/>
      <c r="BR1235" s="4"/>
      <c r="BS1235" s="4"/>
      <c r="BT1235" s="4"/>
      <c r="BU1235" s="4"/>
      <c r="BV1235" s="4"/>
      <c r="BW1235" s="4"/>
      <c r="BX1235" s="4"/>
      <c r="BY1235" s="4"/>
      <c r="BZ1235" s="4"/>
      <c r="CA1235" s="4"/>
      <c r="CB1235" s="4"/>
      <c r="CC1235" s="4"/>
      <c r="CD1235" s="4"/>
      <c r="CE1235" s="4"/>
      <c r="CF1235" s="4"/>
      <c r="CG1235" s="4"/>
      <c r="CH1235" s="4"/>
    </row>
    <row r="1236" spans="1:86" x14ac:dyDescent="0.25">
      <c r="A1236" s="4"/>
      <c r="B1236" s="4"/>
      <c r="C1236" s="4"/>
      <c r="D1236" s="4"/>
      <c r="E1236" s="4"/>
      <c r="F1236" s="4"/>
      <c r="G1236" s="4"/>
      <c r="H1236" s="4"/>
      <c r="I1236" s="5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  <c r="AA1236" s="4"/>
      <c r="AB1236" s="4"/>
      <c r="AC1236" s="4"/>
      <c r="AD1236" s="4"/>
      <c r="AE1236" s="4"/>
      <c r="AF1236" s="4"/>
      <c r="AG1236" s="4"/>
      <c r="AH1236" s="4"/>
      <c r="AI1236" s="4"/>
      <c r="AJ1236" s="4"/>
      <c r="AK1236" s="4"/>
      <c r="AL1236" s="4"/>
      <c r="AM1236" s="4"/>
      <c r="AN1236" s="4"/>
      <c r="AO1236" s="4"/>
      <c r="AP1236" s="4"/>
      <c r="AQ1236" s="4"/>
      <c r="AR1236" s="4"/>
      <c r="AS1236" s="4"/>
      <c r="AT1236" s="4"/>
      <c r="AU1236" s="4"/>
      <c r="AV1236" s="4"/>
      <c r="AW1236" s="4"/>
      <c r="AX1236" s="4"/>
      <c r="AY1236" s="4"/>
      <c r="AZ1236" s="4"/>
      <c r="BA1236" s="4"/>
      <c r="BB1236" s="4"/>
      <c r="BC1236" s="4"/>
      <c r="BD1236" s="4"/>
      <c r="BE1236" s="4"/>
      <c r="BF1236" s="4"/>
      <c r="BG1236" s="4"/>
      <c r="BH1236" s="4"/>
      <c r="BI1236" s="4"/>
      <c r="BJ1236" s="4"/>
      <c r="BK1236" s="4"/>
      <c r="BL1236" s="4"/>
      <c r="BM1236" s="4"/>
      <c r="BN1236" s="4"/>
      <c r="BO1236" s="4"/>
      <c r="BP1236" s="4"/>
      <c r="BQ1236" s="4"/>
      <c r="BR1236" s="4"/>
      <c r="BS1236" s="4"/>
      <c r="BT1236" s="4"/>
      <c r="BU1236" s="4"/>
      <c r="BV1236" s="4"/>
      <c r="BW1236" s="4"/>
      <c r="BX1236" s="4"/>
      <c r="BY1236" s="4"/>
      <c r="BZ1236" s="4"/>
      <c r="CA1236" s="4"/>
      <c r="CB1236" s="4"/>
      <c r="CC1236" s="4"/>
      <c r="CD1236" s="4"/>
      <c r="CE1236" s="4"/>
      <c r="CF1236" s="4"/>
      <c r="CG1236" s="4"/>
      <c r="CH1236" s="4"/>
    </row>
    <row r="1237" spans="1:86" x14ac:dyDescent="0.25">
      <c r="A1237" s="4"/>
      <c r="B1237" s="4"/>
      <c r="C1237" s="4"/>
      <c r="D1237" s="4"/>
      <c r="E1237" s="4"/>
      <c r="F1237" s="4"/>
      <c r="G1237" s="4"/>
      <c r="H1237" s="4"/>
      <c r="I1237" s="5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  <c r="AA1237" s="4"/>
      <c r="AB1237" s="4"/>
      <c r="AC1237" s="4"/>
      <c r="AD1237" s="4"/>
      <c r="AE1237" s="4"/>
      <c r="AF1237" s="4"/>
      <c r="AG1237" s="4"/>
      <c r="AH1237" s="4"/>
      <c r="AI1237" s="4"/>
      <c r="AJ1237" s="4"/>
      <c r="AK1237" s="4"/>
      <c r="AL1237" s="4"/>
      <c r="AM1237" s="4"/>
      <c r="AN1237" s="4"/>
      <c r="AO1237" s="4"/>
      <c r="AP1237" s="4"/>
      <c r="AQ1237" s="4"/>
      <c r="AR1237" s="4"/>
      <c r="AS1237" s="4"/>
      <c r="AT1237" s="4"/>
      <c r="AU1237" s="4"/>
      <c r="AV1237" s="4"/>
      <c r="AW1237" s="4"/>
      <c r="AX1237" s="4"/>
      <c r="AY1237" s="4"/>
      <c r="AZ1237" s="4"/>
      <c r="BA1237" s="4"/>
      <c r="BB1237" s="4"/>
      <c r="BC1237" s="4"/>
      <c r="BD1237" s="4"/>
      <c r="BE1237" s="4"/>
      <c r="BF1237" s="4"/>
      <c r="BG1237" s="4"/>
      <c r="BH1237" s="4"/>
      <c r="BI1237" s="4"/>
      <c r="BJ1237" s="4"/>
      <c r="BK1237" s="4"/>
      <c r="BL1237" s="4"/>
      <c r="BM1237" s="4"/>
      <c r="BN1237" s="4"/>
      <c r="BO1237" s="4"/>
      <c r="BP1237" s="4"/>
      <c r="BQ1237" s="4"/>
      <c r="BR1237" s="4"/>
      <c r="BS1237" s="4"/>
      <c r="BT1237" s="4"/>
      <c r="BU1237" s="4"/>
      <c r="BV1237" s="4"/>
      <c r="BW1237" s="4"/>
      <c r="BX1237" s="4"/>
      <c r="BY1237" s="4"/>
      <c r="BZ1237" s="4"/>
      <c r="CA1237" s="4"/>
      <c r="CB1237" s="4"/>
      <c r="CC1237" s="4"/>
      <c r="CD1237" s="4"/>
      <c r="CE1237" s="4"/>
      <c r="CF1237" s="4"/>
      <c r="CG1237" s="4"/>
      <c r="CH1237" s="4"/>
    </row>
    <row r="1238" spans="1:86" x14ac:dyDescent="0.25">
      <c r="A1238" s="4"/>
      <c r="B1238" s="4"/>
      <c r="C1238" s="4"/>
      <c r="D1238" s="4"/>
      <c r="E1238" s="4"/>
      <c r="F1238" s="4"/>
      <c r="G1238" s="4"/>
      <c r="H1238" s="4"/>
      <c r="I1238" s="5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  <c r="AA1238" s="4"/>
      <c r="AB1238" s="4"/>
      <c r="AC1238" s="4"/>
      <c r="AD1238" s="4"/>
      <c r="AE1238" s="4"/>
      <c r="AF1238" s="4"/>
      <c r="AG1238" s="4"/>
      <c r="AH1238" s="4"/>
      <c r="AI1238" s="4"/>
      <c r="AJ1238" s="4"/>
      <c r="AK1238" s="4"/>
      <c r="AL1238" s="4"/>
      <c r="AM1238" s="4"/>
      <c r="AN1238" s="4"/>
      <c r="AO1238" s="4"/>
      <c r="AP1238" s="4"/>
      <c r="AQ1238" s="4"/>
      <c r="AR1238" s="4"/>
      <c r="AS1238" s="4"/>
      <c r="AT1238" s="4"/>
      <c r="AU1238" s="4"/>
      <c r="AV1238" s="4"/>
      <c r="AW1238" s="4"/>
      <c r="AX1238" s="4"/>
      <c r="AY1238" s="4"/>
      <c r="AZ1238" s="4"/>
      <c r="BA1238" s="4"/>
      <c r="BB1238" s="4"/>
      <c r="BC1238" s="4"/>
      <c r="BD1238" s="4"/>
      <c r="BE1238" s="4"/>
      <c r="BF1238" s="4"/>
      <c r="BG1238" s="4"/>
      <c r="BH1238" s="4"/>
      <c r="BI1238" s="4"/>
      <c r="BJ1238" s="4"/>
      <c r="BK1238" s="4"/>
      <c r="BL1238" s="4"/>
      <c r="BM1238" s="4"/>
      <c r="BN1238" s="4"/>
      <c r="BO1238" s="4"/>
      <c r="BP1238" s="4"/>
      <c r="BQ1238" s="4"/>
      <c r="BR1238" s="4"/>
      <c r="BS1238" s="4"/>
      <c r="BT1238" s="4"/>
      <c r="BU1238" s="4"/>
      <c r="BV1238" s="4"/>
      <c r="BW1238" s="4"/>
      <c r="BX1238" s="4"/>
      <c r="BY1238" s="4"/>
      <c r="BZ1238" s="4"/>
      <c r="CA1238" s="4"/>
      <c r="CB1238" s="4"/>
      <c r="CC1238" s="4"/>
      <c r="CD1238" s="4"/>
      <c r="CE1238" s="4"/>
      <c r="CF1238" s="4"/>
      <c r="CG1238" s="4"/>
      <c r="CH1238" s="4"/>
    </row>
    <row r="1239" spans="1:86" x14ac:dyDescent="0.25">
      <c r="A1239" s="4"/>
      <c r="B1239" s="4"/>
      <c r="C1239" s="4"/>
      <c r="D1239" s="4"/>
      <c r="E1239" s="4"/>
      <c r="F1239" s="4"/>
      <c r="G1239" s="4"/>
      <c r="H1239" s="4"/>
      <c r="I1239" s="5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  <c r="AA1239" s="4"/>
      <c r="AB1239" s="4"/>
      <c r="AC1239" s="4"/>
      <c r="AD1239" s="4"/>
      <c r="AE1239" s="4"/>
      <c r="AF1239" s="4"/>
      <c r="AG1239" s="4"/>
      <c r="AH1239" s="4"/>
      <c r="AI1239" s="4"/>
      <c r="AJ1239" s="4"/>
      <c r="AK1239" s="4"/>
      <c r="AL1239" s="4"/>
      <c r="AM1239" s="4"/>
      <c r="AN1239" s="4"/>
      <c r="AO1239" s="4"/>
      <c r="AP1239" s="4"/>
      <c r="AQ1239" s="4"/>
      <c r="AR1239" s="4"/>
      <c r="AS1239" s="4"/>
      <c r="AT1239" s="4"/>
      <c r="AU1239" s="4"/>
      <c r="AV1239" s="4"/>
      <c r="AW1239" s="4"/>
      <c r="AX1239" s="4"/>
      <c r="AY1239" s="4"/>
      <c r="AZ1239" s="4"/>
      <c r="BA1239" s="4"/>
      <c r="BB1239" s="4"/>
      <c r="BC1239" s="4"/>
      <c r="BD1239" s="4"/>
      <c r="BE1239" s="4"/>
      <c r="BF1239" s="4"/>
      <c r="BG1239" s="4"/>
      <c r="BH1239" s="4"/>
      <c r="BI1239" s="4"/>
      <c r="BJ1239" s="4"/>
      <c r="BK1239" s="4"/>
      <c r="BL1239" s="4"/>
      <c r="BM1239" s="4"/>
      <c r="BN1239" s="4"/>
      <c r="BO1239" s="4"/>
      <c r="BP1239" s="4"/>
      <c r="BQ1239" s="4"/>
      <c r="BR1239" s="4"/>
      <c r="BS1239" s="4"/>
      <c r="BT1239" s="4"/>
      <c r="BU1239" s="4"/>
      <c r="BV1239" s="4"/>
      <c r="BW1239" s="4"/>
      <c r="BX1239" s="4"/>
      <c r="BY1239" s="4"/>
      <c r="BZ1239" s="4"/>
      <c r="CA1239" s="4"/>
      <c r="CB1239" s="4"/>
      <c r="CC1239" s="4"/>
      <c r="CD1239" s="4"/>
      <c r="CE1239" s="4"/>
      <c r="CF1239" s="4"/>
      <c r="CG1239" s="4"/>
      <c r="CH1239" s="4"/>
    </row>
    <row r="1240" spans="1:86" x14ac:dyDescent="0.25">
      <c r="A1240" s="4"/>
      <c r="B1240" s="4"/>
      <c r="C1240" s="4"/>
      <c r="D1240" s="4"/>
      <c r="E1240" s="4"/>
      <c r="F1240" s="4"/>
      <c r="G1240" s="4"/>
      <c r="H1240" s="4"/>
      <c r="I1240" s="5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  <c r="AA1240" s="4"/>
      <c r="AB1240" s="4"/>
      <c r="AC1240" s="4"/>
      <c r="AD1240" s="4"/>
      <c r="AE1240" s="4"/>
      <c r="AF1240" s="4"/>
      <c r="AG1240" s="4"/>
      <c r="AH1240" s="4"/>
      <c r="AI1240" s="4"/>
      <c r="AJ1240" s="4"/>
      <c r="AK1240" s="4"/>
      <c r="AL1240" s="4"/>
      <c r="AM1240" s="4"/>
      <c r="AN1240" s="4"/>
      <c r="AO1240" s="4"/>
      <c r="AP1240" s="4"/>
      <c r="AQ1240" s="4"/>
      <c r="AR1240" s="4"/>
      <c r="AS1240" s="4"/>
      <c r="AT1240" s="4"/>
      <c r="AU1240" s="4"/>
      <c r="AV1240" s="4"/>
      <c r="AW1240" s="4"/>
      <c r="AX1240" s="4"/>
      <c r="AY1240" s="4"/>
      <c r="AZ1240" s="4"/>
      <c r="BA1240" s="4"/>
      <c r="BB1240" s="4"/>
      <c r="BC1240" s="4"/>
      <c r="BD1240" s="4"/>
      <c r="BE1240" s="4"/>
      <c r="BF1240" s="4"/>
      <c r="BG1240" s="4"/>
      <c r="BH1240" s="4"/>
      <c r="BI1240" s="4"/>
      <c r="BJ1240" s="4"/>
      <c r="BK1240" s="4"/>
      <c r="BL1240" s="4"/>
      <c r="BM1240" s="4"/>
      <c r="BN1240" s="4"/>
      <c r="BO1240" s="4"/>
      <c r="BP1240" s="4"/>
      <c r="BQ1240" s="4"/>
      <c r="BR1240" s="4"/>
      <c r="BS1240" s="4"/>
      <c r="BT1240" s="4"/>
      <c r="BU1240" s="4"/>
      <c r="BV1240" s="4"/>
      <c r="BW1240" s="4"/>
      <c r="BX1240" s="4"/>
      <c r="BY1240" s="4"/>
      <c r="BZ1240" s="4"/>
      <c r="CA1240" s="4"/>
      <c r="CB1240" s="4"/>
      <c r="CC1240" s="4"/>
      <c r="CD1240" s="4"/>
      <c r="CE1240" s="4"/>
      <c r="CF1240" s="4"/>
      <c r="CG1240" s="4"/>
      <c r="CH1240" s="4"/>
    </row>
    <row r="1241" spans="1:86" x14ac:dyDescent="0.25">
      <c r="A1241" s="4"/>
      <c r="B1241" s="4"/>
      <c r="C1241" s="4"/>
      <c r="D1241" s="4"/>
      <c r="E1241" s="4"/>
      <c r="F1241" s="4"/>
      <c r="G1241" s="4"/>
      <c r="H1241" s="4"/>
      <c r="I1241" s="5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  <c r="AA1241" s="4"/>
      <c r="AB1241" s="4"/>
      <c r="AC1241" s="4"/>
      <c r="AD1241" s="4"/>
      <c r="AE1241" s="4"/>
      <c r="AF1241" s="4"/>
      <c r="AG1241" s="4"/>
      <c r="AH1241" s="4"/>
      <c r="AI1241" s="4"/>
      <c r="AJ1241" s="4"/>
      <c r="AK1241" s="4"/>
      <c r="AL1241" s="4"/>
      <c r="AM1241" s="4"/>
      <c r="AN1241" s="4"/>
      <c r="AO1241" s="4"/>
      <c r="AP1241" s="4"/>
      <c r="AQ1241" s="4"/>
      <c r="AR1241" s="4"/>
      <c r="AS1241" s="4"/>
      <c r="AT1241" s="4"/>
      <c r="AU1241" s="4"/>
      <c r="AV1241" s="4"/>
      <c r="AW1241" s="4"/>
      <c r="AX1241" s="4"/>
      <c r="AY1241" s="4"/>
      <c r="AZ1241" s="4"/>
      <c r="BA1241" s="4"/>
      <c r="BB1241" s="4"/>
      <c r="BC1241" s="4"/>
      <c r="BD1241" s="4"/>
      <c r="BE1241" s="4"/>
      <c r="BF1241" s="4"/>
      <c r="BG1241" s="4"/>
      <c r="BH1241" s="4"/>
      <c r="BI1241" s="4"/>
      <c r="BJ1241" s="4"/>
      <c r="BK1241" s="4"/>
      <c r="BL1241" s="4"/>
      <c r="BM1241" s="4"/>
      <c r="BN1241" s="4"/>
      <c r="BO1241" s="4"/>
      <c r="BP1241" s="4"/>
      <c r="BQ1241" s="4"/>
      <c r="BR1241" s="4"/>
      <c r="BS1241" s="4"/>
      <c r="BT1241" s="4"/>
      <c r="BU1241" s="4"/>
      <c r="BV1241" s="4"/>
      <c r="BW1241" s="4"/>
      <c r="BX1241" s="4"/>
      <c r="BY1241" s="4"/>
      <c r="BZ1241" s="4"/>
      <c r="CA1241" s="4"/>
      <c r="CB1241" s="4"/>
      <c r="CC1241" s="4"/>
      <c r="CD1241" s="4"/>
      <c r="CE1241" s="4"/>
      <c r="CF1241" s="4"/>
      <c r="CG1241" s="4"/>
      <c r="CH1241" s="4"/>
    </row>
    <row r="1242" spans="1:86" x14ac:dyDescent="0.25">
      <c r="A1242" s="4"/>
      <c r="B1242" s="4"/>
      <c r="C1242" s="4"/>
      <c r="D1242" s="4"/>
      <c r="E1242" s="4"/>
      <c r="F1242" s="4"/>
      <c r="G1242" s="4"/>
      <c r="H1242" s="4"/>
      <c r="I1242" s="5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  <c r="AA1242" s="4"/>
      <c r="AB1242" s="4"/>
      <c r="AC1242" s="4"/>
      <c r="AD1242" s="4"/>
      <c r="AE1242" s="4"/>
      <c r="AF1242" s="4"/>
      <c r="AG1242" s="4"/>
      <c r="AH1242" s="4"/>
      <c r="AI1242" s="4"/>
      <c r="AJ1242" s="4"/>
      <c r="AK1242" s="4"/>
      <c r="AL1242" s="4"/>
      <c r="AM1242" s="4"/>
      <c r="AN1242" s="4"/>
      <c r="AO1242" s="4"/>
      <c r="AP1242" s="4"/>
      <c r="AQ1242" s="4"/>
      <c r="AR1242" s="4"/>
      <c r="AS1242" s="4"/>
      <c r="AT1242" s="4"/>
      <c r="AU1242" s="4"/>
      <c r="AV1242" s="4"/>
      <c r="AW1242" s="4"/>
      <c r="AX1242" s="4"/>
      <c r="AY1242" s="4"/>
      <c r="AZ1242" s="4"/>
      <c r="BA1242" s="4"/>
      <c r="BB1242" s="4"/>
      <c r="BC1242" s="4"/>
      <c r="BD1242" s="4"/>
      <c r="BE1242" s="4"/>
      <c r="BF1242" s="4"/>
      <c r="BG1242" s="4"/>
      <c r="BH1242" s="4"/>
      <c r="BI1242" s="4"/>
      <c r="BJ1242" s="4"/>
      <c r="BK1242" s="4"/>
      <c r="BL1242" s="4"/>
      <c r="BM1242" s="4"/>
      <c r="BN1242" s="4"/>
      <c r="BO1242" s="4"/>
      <c r="BP1242" s="4"/>
      <c r="BQ1242" s="4"/>
      <c r="BR1242" s="4"/>
      <c r="BS1242" s="4"/>
      <c r="BT1242" s="4"/>
      <c r="BU1242" s="4"/>
      <c r="BV1242" s="4"/>
      <c r="BW1242" s="4"/>
      <c r="BX1242" s="4"/>
      <c r="BY1242" s="4"/>
      <c r="BZ1242" s="4"/>
      <c r="CA1242" s="4"/>
      <c r="CB1242" s="4"/>
      <c r="CC1242" s="4"/>
      <c r="CD1242" s="4"/>
      <c r="CE1242" s="4"/>
      <c r="CF1242" s="4"/>
      <c r="CG1242" s="4"/>
      <c r="CH1242" s="4"/>
    </row>
    <row r="1243" spans="1:86" x14ac:dyDescent="0.25">
      <c r="A1243" s="4"/>
      <c r="B1243" s="4"/>
      <c r="C1243" s="4"/>
      <c r="D1243" s="4"/>
      <c r="E1243" s="4"/>
      <c r="F1243" s="4"/>
      <c r="G1243" s="4"/>
      <c r="H1243" s="4"/>
      <c r="I1243" s="5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  <c r="AA1243" s="4"/>
      <c r="AB1243" s="4"/>
      <c r="AC1243" s="4"/>
      <c r="AD1243" s="4"/>
      <c r="AE1243" s="4"/>
      <c r="AF1243" s="4"/>
      <c r="AG1243" s="4"/>
      <c r="AH1243" s="4"/>
      <c r="AI1243" s="4"/>
      <c r="AJ1243" s="4"/>
      <c r="AK1243" s="4"/>
      <c r="AL1243" s="4"/>
      <c r="AM1243" s="4"/>
      <c r="AN1243" s="4"/>
      <c r="AO1243" s="4"/>
      <c r="AP1243" s="4"/>
      <c r="AQ1243" s="4"/>
      <c r="AR1243" s="4"/>
      <c r="AS1243" s="4"/>
      <c r="AT1243" s="4"/>
      <c r="AU1243" s="4"/>
      <c r="AV1243" s="4"/>
      <c r="AW1243" s="4"/>
      <c r="AX1243" s="4"/>
      <c r="AY1243" s="4"/>
      <c r="AZ1243" s="4"/>
      <c r="BA1243" s="4"/>
      <c r="BB1243" s="4"/>
      <c r="BC1243" s="4"/>
      <c r="BD1243" s="4"/>
      <c r="BE1243" s="4"/>
      <c r="BF1243" s="4"/>
      <c r="BG1243" s="4"/>
      <c r="BH1243" s="4"/>
      <c r="BI1243" s="4"/>
      <c r="BJ1243" s="4"/>
      <c r="BK1243" s="4"/>
      <c r="BL1243" s="4"/>
      <c r="BM1243" s="4"/>
      <c r="BN1243" s="4"/>
      <c r="BO1243" s="4"/>
      <c r="BP1243" s="4"/>
      <c r="BQ1243" s="4"/>
      <c r="BR1243" s="4"/>
      <c r="BS1243" s="4"/>
      <c r="BT1243" s="4"/>
      <c r="BU1243" s="4"/>
      <c r="BV1243" s="4"/>
      <c r="BW1243" s="4"/>
      <c r="BX1243" s="4"/>
      <c r="BY1243" s="4"/>
      <c r="BZ1243" s="4"/>
      <c r="CA1243" s="4"/>
      <c r="CB1243" s="4"/>
      <c r="CC1243" s="4"/>
      <c r="CD1243" s="4"/>
      <c r="CE1243" s="4"/>
      <c r="CF1243" s="4"/>
      <c r="CG1243" s="4"/>
      <c r="CH1243" s="4"/>
    </row>
    <row r="1244" spans="1:86" x14ac:dyDescent="0.25">
      <c r="A1244" s="4"/>
      <c r="B1244" s="4"/>
      <c r="C1244" s="4"/>
      <c r="D1244" s="4"/>
      <c r="E1244" s="4"/>
      <c r="F1244" s="4"/>
      <c r="G1244" s="4"/>
      <c r="H1244" s="4"/>
      <c r="I1244" s="5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  <c r="AA1244" s="4"/>
      <c r="AB1244" s="4"/>
      <c r="AC1244" s="4"/>
      <c r="AD1244" s="4"/>
      <c r="AE1244" s="4"/>
      <c r="AF1244" s="4"/>
      <c r="AG1244" s="4"/>
      <c r="AH1244" s="4"/>
      <c r="AI1244" s="4"/>
      <c r="AJ1244" s="4"/>
      <c r="AK1244" s="4"/>
      <c r="AL1244" s="4"/>
      <c r="AM1244" s="4"/>
      <c r="AN1244" s="4"/>
      <c r="AO1244" s="4"/>
      <c r="AP1244" s="4"/>
      <c r="AQ1244" s="4"/>
      <c r="AR1244" s="4"/>
      <c r="AS1244" s="4"/>
      <c r="AT1244" s="4"/>
      <c r="AU1244" s="4"/>
      <c r="AV1244" s="4"/>
      <c r="AW1244" s="4"/>
      <c r="AX1244" s="4"/>
      <c r="AY1244" s="4"/>
      <c r="AZ1244" s="4"/>
      <c r="BA1244" s="4"/>
      <c r="BB1244" s="4"/>
      <c r="BC1244" s="4"/>
      <c r="BD1244" s="4"/>
      <c r="BE1244" s="4"/>
      <c r="BF1244" s="4"/>
      <c r="BG1244" s="4"/>
      <c r="BH1244" s="4"/>
      <c r="BI1244" s="4"/>
      <c r="BJ1244" s="4"/>
      <c r="BK1244" s="4"/>
      <c r="BL1244" s="4"/>
      <c r="BM1244" s="4"/>
      <c r="BN1244" s="4"/>
      <c r="BO1244" s="4"/>
      <c r="BP1244" s="4"/>
      <c r="BQ1244" s="4"/>
      <c r="BR1244" s="4"/>
      <c r="BS1244" s="4"/>
      <c r="BT1244" s="4"/>
      <c r="BU1244" s="4"/>
      <c r="BV1244" s="4"/>
      <c r="BW1244" s="4"/>
      <c r="BX1244" s="4"/>
      <c r="BY1244" s="4"/>
      <c r="BZ1244" s="4"/>
      <c r="CA1244" s="4"/>
      <c r="CB1244" s="4"/>
      <c r="CC1244" s="4"/>
      <c r="CD1244" s="4"/>
      <c r="CE1244" s="4"/>
      <c r="CF1244" s="4"/>
      <c r="CG1244" s="4"/>
      <c r="CH1244" s="4"/>
    </row>
    <row r="1245" spans="1:86" x14ac:dyDescent="0.25">
      <c r="A1245" s="4"/>
      <c r="B1245" s="4"/>
      <c r="C1245" s="4"/>
      <c r="D1245" s="4"/>
      <c r="E1245" s="4"/>
      <c r="F1245" s="4"/>
      <c r="G1245" s="4"/>
      <c r="H1245" s="4"/>
      <c r="I1245" s="5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  <c r="AA1245" s="4"/>
      <c r="AB1245" s="4"/>
      <c r="AC1245" s="4"/>
      <c r="AD1245" s="4"/>
      <c r="AE1245" s="4"/>
      <c r="AF1245" s="4"/>
      <c r="AG1245" s="4"/>
      <c r="AH1245" s="4"/>
      <c r="AI1245" s="4"/>
      <c r="AJ1245" s="4"/>
      <c r="AK1245" s="4"/>
      <c r="AL1245" s="4"/>
      <c r="AM1245" s="4"/>
      <c r="AN1245" s="4"/>
      <c r="AO1245" s="4"/>
      <c r="AP1245" s="4"/>
      <c r="AQ1245" s="4"/>
      <c r="AR1245" s="4"/>
      <c r="AS1245" s="4"/>
      <c r="AT1245" s="4"/>
      <c r="AU1245" s="4"/>
      <c r="AV1245" s="4"/>
      <c r="AW1245" s="4"/>
      <c r="AX1245" s="4"/>
      <c r="AY1245" s="4"/>
      <c r="AZ1245" s="4"/>
      <c r="BA1245" s="4"/>
      <c r="BB1245" s="4"/>
      <c r="BC1245" s="4"/>
      <c r="BD1245" s="4"/>
      <c r="BE1245" s="4"/>
      <c r="BF1245" s="4"/>
      <c r="BG1245" s="4"/>
      <c r="BH1245" s="4"/>
      <c r="BI1245" s="4"/>
      <c r="BJ1245" s="4"/>
      <c r="BK1245" s="4"/>
      <c r="BL1245" s="4"/>
      <c r="BM1245" s="4"/>
      <c r="BN1245" s="4"/>
      <c r="BO1245" s="4"/>
      <c r="BP1245" s="4"/>
      <c r="BQ1245" s="4"/>
      <c r="BR1245" s="4"/>
      <c r="BS1245" s="4"/>
      <c r="BT1245" s="4"/>
      <c r="BU1245" s="4"/>
      <c r="BV1245" s="4"/>
      <c r="BW1245" s="4"/>
      <c r="BX1245" s="4"/>
      <c r="BY1245" s="4"/>
      <c r="BZ1245" s="4"/>
      <c r="CA1245" s="4"/>
      <c r="CB1245" s="4"/>
      <c r="CC1245" s="4"/>
      <c r="CD1245" s="4"/>
      <c r="CE1245" s="4"/>
      <c r="CF1245" s="4"/>
      <c r="CG1245" s="4"/>
      <c r="CH1245" s="4"/>
    </row>
    <row r="1246" spans="1:86" x14ac:dyDescent="0.25">
      <c r="A1246" s="4"/>
      <c r="B1246" s="4"/>
      <c r="C1246" s="4"/>
      <c r="D1246" s="4"/>
      <c r="E1246" s="4"/>
      <c r="F1246" s="4"/>
      <c r="G1246" s="4"/>
      <c r="H1246" s="4"/>
      <c r="I1246" s="5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  <c r="AA1246" s="4"/>
      <c r="AB1246" s="4"/>
      <c r="AC1246" s="4"/>
      <c r="AD1246" s="4"/>
      <c r="AE1246" s="4"/>
      <c r="AF1246" s="4"/>
      <c r="AG1246" s="4"/>
      <c r="AH1246" s="4"/>
      <c r="AI1246" s="4"/>
      <c r="AJ1246" s="4"/>
      <c r="AK1246" s="4"/>
      <c r="AL1246" s="4"/>
      <c r="AM1246" s="4"/>
      <c r="AN1246" s="4"/>
      <c r="AO1246" s="4"/>
      <c r="AP1246" s="4"/>
      <c r="AQ1246" s="4"/>
      <c r="AR1246" s="4"/>
      <c r="AS1246" s="4"/>
      <c r="AT1246" s="4"/>
      <c r="AU1246" s="4"/>
      <c r="AV1246" s="4"/>
      <c r="AW1246" s="4"/>
      <c r="AX1246" s="4"/>
      <c r="AY1246" s="4"/>
      <c r="AZ1246" s="4"/>
      <c r="BA1246" s="4"/>
      <c r="BB1246" s="4"/>
      <c r="BC1246" s="4"/>
      <c r="BD1246" s="4"/>
      <c r="BE1246" s="4"/>
      <c r="BF1246" s="4"/>
      <c r="BG1246" s="4"/>
      <c r="BH1246" s="4"/>
      <c r="BI1246" s="4"/>
      <c r="BJ1246" s="4"/>
      <c r="BK1246" s="4"/>
      <c r="BL1246" s="4"/>
      <c r="BM1246" s="4"/>
      <c r="BN1246" s="4"/>
      <c r="BO1246" s="4"/>
      <c r="BP1246" s="4"/>
      <c r="BQ1246" s="4"/>
      <c r="BR1246" s="4"/>
      <c r="BS1246" s="4"/>
      <c r="BT1246" s="4"/>
      <c r="BU1246" s="4"/>
      <c r="BV1246" s="4"/>
      <c r="BW1246" s="4"/>
      <c r="BX1246" s="4"/>
      <c r="BY1246" s="4"/>
      <c r="BZ1246" s="4"/>
      <c r="CA1246" s="4"/>
      <c r="CB1246" s="4"/>
      <c r="CC1246" s="4"/>
      <c r="CD1246" s="4"/>
      <c r="CE1246" s="4"/>
      <c r="CF1246" s="4"/>
      <c r="CG1246" s="4"/>
      <c r="CH1246" s="4"/>
    </row>
    <row r="1247" spans="1:86" x14ac:dyDescent="0.25">
      <c r="A1247" s="4"/>
      <c r="B1247" s="4"/>
      <c r="C1247" s="4"/>
      <c r="D1247" s="4"/>
      <c r="E1247" s="4"/>
      <c r="F1247" s="4"/>
      <c r="G1247" s="4"/>
      <c r="H1247" s="4"/>
      <c r="I1247" s="5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  <c r="AA1247" s="4"/>
      <c r="AB1247" s="4"/>
      <c r="AC1247" s="4"/>
      <c r="AD1247" s="4"/>
      <c r="AE1247" s="4"/>
      <c r="AF1247" s="4"/>
      <c r="AG1247" s="4"/>
      <c r="AH1247" s="4"/>
      <c r="AI1247" s="4"/>
      <c r="AJ1247" s="4"/>
      <c r="AK1247" s="4"/>
      <c r="AL1247" s="4"/>
      <c r="AM1247" s="4"/>
      <c r="AN1247" s="4"/>
      <c r="AO1247" s="4"/>
      <c r="AP1247" s="4"/>
      <c r="AQ1247" s="4"/>
      <c r="AR1247" s="4"/>
      <c r="AS1247" s="4"/>
      <c r="AT1247" s="4"/>
      <c r="AU1247" s="4"/>
      <c r="AV1247" s="4"/>
      <c r="AW1247" s="4"/>
      <c r="AX1247" s="4"/>
      <c r="AY1247" s="4"/>
      <c r="AZ1247" s="4"/>
      <c r="BA1247" s="4"/>
      <c r="BB1247" s="4"/>
      <c r="BC1247" s="4"/>
      <c r="BD1247" s="4"/>
      <c r="BE1247" s="4"/>
      <c r="BF1247" s="4"/>
      <c r="BG1247" s="4"/>
      <c r="BH1247" s="4"/>
      <c r="BI1247" s="4"/>
      <c r="BJ1247" s="4"/>
      <c r="BK1247" s="4"/>
      <c r="BL1247" s="4"/>
      <c r="BM1247" s="4"/>
      <c r="BN1247" s="4"/>
      <c r="BO1247" s="4"/>
      <c r="BP1247" s="4"/>
      <c r="BQ1247" s="4"/>
      <c r="BR1247" s="4"/>
      <c r="BS1247" s="4"/>
      <c r="BT1247" s="4"/>
      <c r="BU1247" s="4"/>
      <c r="BV1247" s="4"/>
      <c r="BW1247" s="4"/>
      <c r="BX1247" s="4"/>
      <c r="BY1247" s="4"/>
      <c r="BZ1247" s="4"/>
      <c r="CA1247" s="4"/>
      <c r="CB1247" s="4"/>
      <c r="CC1247" s="4"/>
      <c r="CD1247" s="4"/>
      <c r="CE1247" s="4"/>
      <c r="CF1247" s="4"/>
      <c r="CG1247" s="4"/>
      <c r="CH1247" s="4"/>
    </row>
    <row r="1248" spans="1:86" x14ac:dyDescent="0.25">
      <c r="A1248" s="4"/>
      <c r="B1248" s="4"/>
      <c r="C1248" s="4"/>
      <c r="D1248" s="4"/>
      <c r="E1248" s="4"/>
      <c r="F1248" s="4"/>
      <c r="G1248" s="4"/>
      <c r="H1248" s="4"/>
      <c r="I1248" s="5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  <c r="AA1248" s="4"/>
      <c r="AB1248" s="4"/>
      <c r="AC1248" s="4"/>
      <c r="AD1248" s="4"/>
      <c r="AE1248" s="4"/>
      <c r="AF1248" s="4"/>
      <c r="AG1248" s="4"/>
      <c r="AH1248" s="4"/>
      <c r="AI1248" s="4"/>
      <c r="AJ1248" s="4"/>
      <c r="AK1248" s="4"/>
      <c r="AL1248" s="4"/>
      <c r="AM1248" s="4"/>
      <c r="AN1248" s="4"/>
      <c r="AO1248" s="4"/>
      <c r="AP1248" s="4"/>
      <c r="AQ1248" s="4"/>
      <c r="AR1248" s="4"/>
      <c r="AS1248" s="4"/>
      <c r="AT1248" s="4"/>
      <c r="AU1248" s="4"/>
      <c r="AV1248" s="4"/>
      <c r="AW1248" s="4"/>
      <c r="AX1248" s="4"/>
      <c r="AY1248" s="4"/>
      <c r="AZ1248" s="4"/>
      <c r="BA1248" s="4"/>
      <c r="BB1248" s="4"/>
      <c r="BC1248" s="4"/>
      <c r="BD1248" s="4"/>
      <c r="BE1248" s="4"/>
      <c r="BF1248" s="4"/>
      <c r="BG1248" s="4"/>
      <c r="BH1248" s="4"/>
      <c r="BI1248" s="4"/>
      <c r="BJ1248" s="4"/>
      <c r="BK1248" s="4"/>
      <c r="BL1248" s="4"/>
      <c r="BM1248" s="4"/>
      <c r="BN1248" s="4"/>
      <c r="BO1248" s="4"/>
      <c r="BP1248" s="4"/>
      <c r="BQ1248" s="4"/>
      <c r="BR1248" s="4"/>
      <c r="BS1248" s="4"/>
      <c r="BT1248" s="4"/>
      <c r="BU1248" s="4"/>
      <c r="BV1248" s="4"/>
      <c r="BW1248" s="4"/>
      <c r="BX1248" s="4"/>
      <c r="BY1248" s="4"/>
      <c r="BZ1248" s="4"/>
      <c r="CA1248" s="4"/>
      <c r="CB1248" s="4"/>
      <c r="CC1248" s="4"/>
      <c r="CD1248" s="4"/>
      <c r="CE1248" s="4"/>
      <c r="CF1248" s="4"/>
      <c r="CG1248" s="4"/>
      <c r="CH1248" s="4"/>
    </row>
    <row r="1249" spans="1:86" x14ac:dyDescent="0.25">
      <c r="A1249" s="4"/>
      <c r="B1249" s="4"/>
      <c r="C1249" s="4"/>
      <c r="D1249" s="4"/>
      <c r="E1249" s="4"/>
      <c r="F1249" s="4"/>
      <c r="G1249" s="4"/>
      <c r="H1249" s="4"/>
      <c r="I1249" s="5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  <c r="AA1249" s="4"/>
      <c r="AB1249" s="4"/>
      <c r="AC1249" s="4"/>
      <c r="AD1249" s="4"/>
      <c r="AE1249" s="4"/>
      <c r="AF1249" s="4"/>
      <c r="AG1249" s="4"/>
      <c r="AH1249" s="4"/>
      <c r="AI1249" s="4"/>
      <c r="AJ1249" s="4"/>
      <c r="AK1249" s="4"/>
      <c r="AL1249" s="4"/>
      <c r="AM1249" s="4"/>
      <c r="AN1249" s="4"/>
      <c r="AO1249" s="4"/>
      <c r="AP1249" s="4"/>
      <c r="AQ1249" s="4"/>
      <c r="AR1249" s="4"/>
      <c r="AS1249" s="4"/>
      <c r="AT1249" s="4"/>
      <c r="AU1249" s="4"/>
      <c r="AV1249" s="4"/>
      <c r="AW1249" s="4"/>
      <c r="AX1249" s="4"/>
      <c r="AY1249" s="4"/>
      <c r="AZ1249" s="4"/>
      <c r="BA1249" s="4"/>
      <c r="BB1249" s="4"/>
      <c r="BC1249" s="4"/>
      <c r="BD1249" s="4"/>
      <c r="BE1249" s="4"/>
      <c r="BF1249" s="4"/>
      <c r="BG1249" s="4"/>
      <c r="BH1249" s="4"/>
      <c r="BI1249" s="4"/>
      <c r="BJ1249" s="4"/>
      <c r="BK1249" s="4"/>
      <c r="BL1249" s="4"/>
      <c r="BM1249" s="4"/>
      <c r="BN1249" s="4"/>
      <c r="BO1249" s="4"/>
      <c r="BP1249" s="4"/>
      <c r="BQ1249" s="4"/>
      <c r="BR1249" s="4"/>
      <c r="BS1249" s="4"/>
      <c r="BT1249" s="4"/>
      <c r="BU1249" s="4"/>
      <c r="BV1249" s="4"/>
      <c r="BW1249" s="4"/>
      <c r="BX1249" s="4"/>
      <c r="BY1249" s="4"/>
      <c r="BZ1249" s="4"/>
      <c r="CA1249" s="4"/>
      <c r="CB1249" s="4"/>
      <c r="CC1249" s="4"/>
      <c r="CD1249" s="4"/>
      <c r="CE1249" s="4"/>
      <c r="CF1249" s="4"/>
      <c r="CG1249" s="4"/>
      <c r="CH1249" s="4"/>
    </row>
    <row r="1250" spans="1:86" x14ac:dyDescent="0.25">
      <c r="A1250" s="4"/>
      <c r="B1250" s="4"/>
      <c r="C1250" s="4"/>
      <c r="D1250" s="4"/>
      <c r="E1250" s="4"/>
      <c r="F1250" s="4"/>
      <c r="G1250" s="4"/>
      <c r="H1250" s="4"/>
      <c r="I1250" s="5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  <c r="AA1250" s="4"/>
      <c r="AB1250" s="4"/>
      <c r="AC1250" s="4"/>
      <c r="AD1250" s="4"/>
      <c r="AE1250" s="4"/>
      <c r="AF1250" s="4"/>
      <c r="AG1250" s="4"/>
      <c r="AH1250" s="4"/>
      <c r="AI1250" s="4"/>
      <c r="AJ1250" s="4"/>
      <c r="AK1250" s="4"/>
      <c r="AL1250" s="4"/>
      <c r="AM1250" s="4"/>
      <c r="AN1250" s="4"/>
      <c r="AO1250" s="4"/>
      <c r="AP1250" s="4"/>
      <c r="AQ1250" s="4"/>
      <c r="AR1250" s="4"/>
      <c r="AS1250" s="4"/>
      <c r="AT1250" s="4"/>
      <c r="AU1250" s="4"/>
      <c r="AV1250" s="4"/>
      <c r="AW1250" s="4"/>
      <c r="AX1250" s="4"/>
      <c r="AY1250" s="4"/>
      <c r="AZ1250" s="4"/>
      <c r="BA1250" s="4"/>
      <c r="BB1250" s="4"/>
      <c r="BC1250" s="4"/>
      <c r="BD1250" s="4"/>
      <c r="BE1250" s="4"/>
      <c r="BF1250" s="4"/>
      <c r="BG1250" s="4"/>
      <c r="BH1250" s="4"/>
      <c r="BI1250" s="4"/>
      <c r="BJ1250" s="4"/>
      <c r="BK1250" s="4"/>
      <c r="BL1250" s="4"/>
      <c r="BM1250" s="4"/>
      <c r="BN1250" s="4"/>
      <c r="BO1250" s="4"/>
      <c r="BP1250" s="4"/>
      <c r="BQ1250" s="4"/>
      <c r="BR1250" s="4"/>
      <c r="BS1250" s="4"/>
      <c r="BT1250" s="4"/>
      <c r="BU1250" s="4"/>
      <c r="BV1250" s="4"/>
      <c r="BW1250" s="4"/>
      <c r="BX1250" s="4"/>
      <c r="BY1250" s="4"/>
      <c r="BZ1250" s="4"/>
      <c r="CA1250" s="4"/>
      <c r="CB1250" s="4"/>
      <c r="CC1250" s="4"/>
      <c r="CD1250" s="4"/>
      <c r="CE1250" s="4"/>
      <c r="CF1250" s="4"/>
      <c r="CG1250" s="4"/>
      <c r="CH1250" s="4"/>
    </row>
    <row r="1251" spans="1:86" x14ac:dyDescent="0.25">
      <c r="A1251" s="4"/>
      <c r="B1251" s="4"/>
      <c r="C1251" s="4"/>
      <c r="D1251" s="4"/>
      <c r="E1251" s="4"/>
      <c r="F1251" s="4"/>
      <c r="G1251" s="4"/>
      <c r="H1251" s="4"/>
      <c r="I1251" s="5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  <c r="AA1251" s="4"/>
      <c r="AB1251" s="4"/>
      <c r="AC1251" s="4"/>
      <c r="AD1251" s="4"/>
      <c r="AE1251" s="4"/>
      <c r="AF1251" s="4"/>
      <c r="AG1251" s="4"/>
      <c r="AH1251" s="4"/>
      <c r="AI1251" s="4"/>
      <c r="AJ1251" s="4"/>
      <c r="AK1251" s="4"/>
      <c r="AL1251" s="4"/>
      <c r="AM1251" s="4"/>
      <c r="AN1251" s="4"/>
      <c r="AO1251" s="4"/>
      <c r="AP1251" s="4"/>
      <c r="AQ1251" s="4"/>
      <c r="AR1251" s="4"/>
      <c r="AS1251" s="4"/>
      <c r="AT1251" s="4"/>
      <c r="AU1251" s="4"/>
      <c r="AV1251" s="4"/>
      <c r="AW1251" s="4"/>
      <c r="AX1251" s="4"/>
      <c r="AY1251" s="4"/>
      <c r="AZ1251" s="4"/>
      <c r="BA1251" s="4"/>
      <c r="BB1251" s="4"/>
      <c r="BC1251" s="4"/>
      <c r="BD1251" s="4"/>
      <c r="BE1251" s="4"/>
      <c r="BF1251" s="4"/>
      <c r="BG1251" s="4"/>
      <c r="BH1251" s="4"/>
      <c r="BI1251" s="4"/>
      <c r="BJ1251" s="4"/>
      <c r="BK1251" s="4"/>
      <c r="BL1251" s="4"/>
      <c r="BM1251" s="4"/>
      <c r="BN1251" s="4"/>
      <c r="BO1251" s="4"/>
      <c r="BP1251" s="4"/>
      <c r="BQ1251" s="4"/>
      <c r="BR1251" s="4"/>
      <c r="BS1251" s="4"/>
      <c r="BT1251" s="4"/>
      <c r="BU1251" s="4"/>
      <c r="BV1251" s="4"/>
      <c r="BW1251" s="4"/>
      <c r="BX1251" s="4"/>
      <c r="BY1251" s="4"/>
      <c r="BZ1251" s="4"/>
      <c r="CA1251" s="4"/>
      <c r="CB1251" s="4"/>
      <c r="CC1251" s="4"/>
      <c r="CD1251" s="4"/>
      <c r="CE1251" s="4"/>
      <c r="CF1251" s="4"/>
      <c r="CG1251" s="4"/>
      <c r="CH1251" s="4"/>
    </row>
    <row r="1252" spans="1:86" x14ac:dyDescent="0.25">
      <c r="A1252" s="4"/>
      <c r="B1252" s="4"/>
      <c r="C1252" s="4"/>
      <c r="D1252" s="4"/>
      <c r="E1252" s="4"/>
      <c r="F1252" s="4"/>
      <c r="G1252" s="4"/>
      <c r="H1252" s="4"/>
      <c r="I1252" s="5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  <c r="AA1252" s="4"/>
      <c r="AB1252" s="4"/>
      <c r="AC1252" s="4"/>
      <c r="AD1252" s="4"/>
      <c r="AE1252" s="4"/>
      <c r="AF1252" s="4"/>
      <c r="AG1252" s="4"/>
      <c r="AH1252" s="4"/>
      <c r="AI1252" s="4"/>
      <c r="AJ1252" s="4"/>
      <c r="AK1252" s="4"/>
      <c r="AL1252" s="4"/>
      <c r="AM1252" s="4"/>
      <c r="AN1252" s="4"/>
      <c r="AO1252" s="4"/>
      <c r="AP1252" s="4"/>
      <c r="AQ1252" s="4"/>
      <c r="AR1252" s="4"/>
      <c r="AS1252" s="4"/>
      <c r="AT1252" s="4"/>
      <c r="AU1252" s="4"/>
      <c r="AV1252" s="4"/>
      <c r="AW1252" s="4"/>
      <c r="AX1252" s="4"/>
      <c r="AY1252" s="4"/>
      <c r="AZ1252" s="4"/>
      <c r="BA1252" s="4"/>
      <c r="BB1252" s="4"/>
      <c r="BC1252" s="4"/>
      <c r="BD1252" s="4"/>
      <c r="BE1252" s="4"/>
      <c r="BF1252" s="4"/>
      <c r="BG1252" s="4"/>
      <c r="BH1252" s="4"/>
      <c r="BI1252" s="4"/>
      <c r="BJ1252" s="4"/>
      <c r="BK1252" s="4"/>
      <c r="BL1252" s="4"/>
      <c r="BM1252" s="4"/>
      <c r="BN1252" s="4"/>
      <c r="BO1252" s="4"/>
      <c r="BP1252" s="4"/>
      <c r="BQ1252" s="4"/>
      <c r="BR1252" s="4"/>
      <c r="BS1252" s="4"/>
      <c r="BT1252" s="4"/>
      <c r="BU1252" s="4"/>
      <c r="BV1252" s="4"/>
      <c r="BW1252" s="4"/>
      <c r="BX1252" s="4"/>
      <c r="BY1252" s="4"/>
      <c r="BZ1252" s="4"/>
      <c r="CA1252" s="4"/>
      <c r="CB1252" s="4"/>
      <c r="CC1252" s="4"/>
      <c r="CD1252" s="4"/>
      <c r="CE1252" s="4"/>
      <c r="CF1252" s="4"/>
      <c r="CG1252" s="4"/>
      <c r="CH1252" s="4"/>
    </row>
    <row r="1253" spans="1:86" x14ac:dyDescent="0.25">
      <c r="A1253" s="4"/>
      <c r="B1253" s="4"/>
      <c r="C1253" s="4"/>
      <c r="D1253" s="4"/>
      <c r="E1253" s="4"/>
      <c r="F1253" s="4"/>
      <c r="G1253" s="4"/>
      <c r="H1253" s="4"/>
      <c r="I1253" s="5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  <c r="AA1253" s="4"/>
      <c r="AB1253" s="4"/>
      <c r="AC1253" s="4"/>
      <c r="AD1253" s="4"/>
      <c r="AE1253" s="4"/>
      <c r="AF1253" s="4"/>
      <c r="AG1253" s="4"/>
      <c r="AH1253" s="4"/>
      <c r="AI1253" s="4"/>
      <c r="AJ1253" s="4"/>
      <c r="AK1253" s="4"/>
      <c r="AL1253" s="4"/>
      <c r="AM1253" s="4"/>
      <c r="AN1253" s="4"/>
      <c r="AO1253" s="4"/>
      <c r="AP1253" s="4"/>
      <c r="AQ1253" s="4"/>
      <c r="AR1253" s="4"/>
      <c r="AS1253" s="4"/>
      <c r="AT1253" s="4"/>
      <c r="AU1253" s="4"/>
      <c r="AV1253" s="4"/>
      <c r="AW1253" s="4"/>
      <c r="AX1253" s="4"/>
      <c r="AY1253" s="4"/>
      <c r="AZ1253" s="4"/>
      <c r="BA1253" s="4"/>
      <c r="BB1253" s="4"/>
      <c r="BC1253" s="4"/>
      <c r="BD1253" s="4"/>
      <c r="BE1253" s="4"/>
      <c r="BF1253" s="4"/>
      <c r="BG1253" s="4"/>
      <c r="BH1253" s="4"/>
      <c r="BI1253" s="4"/>
      <c r="BJ1253" s="4"/>
      <c r="BK1253" s="4"/>
      <c r="BL1253" s="4"/>
      <c r="BM1253" s="4"/>
      <c r="BN1253" s="4"/>
      <c r="BO1253" s="4"/>
      <c r="BP1253" s="4"/>
      <c r="BQ1253" s="4"/>
      <c r="BR1253" s="4"/>
      <c r="BS1253" s="4"/>
      <c r="BT1253" s="4"/>
      <c r="BU1253" s="4"/>
      <c r="BV1253" s="4"/>
      <c r="BW1253" s="4"/>
      <c r="BX1253" s="4"/>
      <c r="BY1253" s="4"/>
      <c r="BZ1253" s="4"/>
      <c r="CA1253" s="4"/>
      <c r="CB1253" s="4"/>
      <c r="CC1253" s="4"/>
      <c r="CD1253" s="4"/>
      <c r="CE1253" s="4"/>
      <c r="CF1253" s="4"/>
      <c r="CG1253" s="4"/>
      <c r="CH1253" s="4"/>
    </row>
    <row r="1254" spans="1:86" x14ac:dyDescent="0.25">
      <c r="A1254" s="4"/>
      <c r="B1254" s="4"/>
      <c r="C1254" s="4"/>
      <c r="D1254" s="4"/>
      <c r="E1254" s="4"/>
      <c r="F1254" s="4"/>
      <c r="G1254" s="4"/>
      <c r="H1254" s="4"/>
      <c r="I1254" s="5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  <c r="AA1254" s="4"/>
      <c r="AB1254" s="4"/>
      <c r="AC1254" s="4"/>
      <c r="AD1254" s="4"/>
      <c r="AE1254" s="4"/>
      <c r="AF1254" s="4"/>
      <c r="AG1254" s="4"/>
      <c r="AH1254" s="4"/>
      <c r="AI1254" s="4"/>
      <c r="AJ1254" s="4"/>
      <c r="AK1254" s="4"/>
      <c r="AL1254" s="4"/>
      <c r="AM1254" s="4"/>
      <c r="AN1254" s="4"/>
      <c r="AO1254" s="4"/>
      <c r="AP1254" s="4"/>
      <c r="AQ1254" s="4"/>
      <c r="AR1254" s="4"/>
      <c r="AS1254" s="4"/>
      <c r="AT1254" s="4"/>
      <c r="AU1254" s="4"/>
      <c r="AV1254" s="4"/>
      <c r="AW1254" s="4"/>
      <c r="AX1254" s="4"/>
      <c r="AY1254" s="4"/>
      <c r="AZ1254" s="4"/>
      <c r="BA1254" s="4"/>
      <c r="BB1254" s="4"/>
      <c r="BC1254" s="4"/>
      <c r="BD1254" s="4"/>
      <c r="BE1254" s="4"/>
      <c r="BF1254" s="4"/>
      <c r="BG1254" s="4"/>
      <c r="BH1254" s="4"/>
      <c r="BI1254" s="4"/>
      <c r="BJ1254" s="4"/>
      <c r="BK1254" s="4"/>
      <c r="BL1254" s="4"/>
      <c r="BM1254" s="4"/>
      <c r="BN1254" s="4"/>
      <c r="BO1254" s="4"/>
      <c r="BP1254" s="4"/>
      <c r="BQ1254" s="4"/>
      <c r="BR1254" s="4"/>
      <c r="BS1254" s="4"/>
      <c r="BT1254" s="4"/>
      <c r="BU1254" s="4"/>
      <c r="BV1254" s="4"/>
      <c r="BW1254" s="4"/>
      <c r="BX1254" s="4"/>
      <c r="BY1254" s="4"/>
      <c r="BZ1254" s="4"/>
      <c r="CA1254" s="4"/>
      <c r="CB1254" s="4"/>
      <c r="CC1254" s="4"/>
      <c r="CD1254" s="4"/>
      <c r="CE1254" s="4"/>
      <c r="CF1254" s="4"/>
      <c r="CG1254" s="4"/>
      <c r="CH1254" s="4"/>
    </row>
    <row r="1255" spans="1:86" x14ac:dyDescent="0.25">
      <c r="A1255" s="4"/>
      <c r="B1255" s="4"/>
      <c r="C1255" s="4"/>
      <c r="D1255" s="4"/>
      <c r="E1255" s="4"/>
      <c r="F1255" s="4"/>
      <c r="G1255" s="4"/>
      <c r="H1255" s="4"/>
      <c r="I1255" s="5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  <c r="AA1255" s="4"/>
      <c r="AB1255" s="4"/>
      <c r="AC1255" s="4"/>
      <c r="AD1255" s="4"/>
      <c r="AE1255" s="4"/>
      <c r="AF1255" s="4"/>
      <c r="AG1255" s="4"/>
      <c r="AH1255" s="4"/>
      <c r="AI1255" s="4"/>
      <c r="AJ1255" s="4"/>
      <c r="AK1255" s="4"/>
      <c r="AL1255" s="4"/>
      <c r="AM1255" s="4"/>
      <c r="AN1255" s="4"/>
      <c r="AO1255" s="4"/>
      <c r="AP1255" s="4"/>
      <c r="AQ1255" s="4"/>
      <c r="AR1255" s="4"/>
      <c r="AS1255" s="4"/>
      <c r="AT1255" s="4"/>
      <c r="AU1255" s="4"/>
      <c r="AV1255" s="4"/>
      <c r="AW1255" s="4"/>
      <c r="AX1255" s="4"/>
      <c r="AY1255" s="4"/>
      <c r="AZ1255" s="4"/>
      <c r="BA1255" s="4"/>
      <c r="BB1255" s="4"/>
      <c r="BC1255" s="4"/>
      <c r="BD1255" s="4"/>
      <c r="BE1255" s="4"/>
      <c r="BF1255" s="4"/>
      <c r="BG1255" s="4"/>
      <c r="BH1255" s="4"/>
      <c r="BI1255" s="4"/>
      <c r="BJ1255" s="4"/>
      <c r="BK1255" s="4"/>
      <c r="BL1255" s="4"/>
      <c r="BM1255" s="4"/>
      <c r="BN1255" s="4"/>
      <c r="BO1255" s="4"/>
      <c r="BP1255" s="4"/>
      <c r="BQ1255" s="4"/>
      <c r="BR1255" s="4"/>
      <c r="BS1255" s="4"/>
      <c r="BT1255" s="4"/>
      <c r="BU1255" s="4"/>
      <c r="BV1255" s="4"/>
      <c r="BW1255" s="4"/>
      <c r="BX1255" s="4"/>
      <c r="BY1255" s="4"/>
      <c r="BZ1255" s="4"/>
      <c r="CA1255" s="4"/>
      <c r="CB1255" s="4"/>
      <c r="CC1255" s="4"/>
      <c r="CD1255" s="4"/>
      <c r="CE1255" s="4"/>
      <c r="CF1255" s="4"/>
      <c r="CG1255" s="4"/>
      <c r="CH1255" s="4"/>
    </row>
    <row r="1256" spans="1:86" x14ac:dyDescent="0.25">
      <c r="A1256" s="4"/>
      <c r="B1256" s="4"/>
      <c r="C1256" s="4"/>
      <c r="D1256" s="4"/>
      <c r="E1256" s="4"/>
      <c r="F1256" s="4"/>
      <c r="G1256" s="4"/>
      <c r="H1256" s="4"/>
      <c r="I1256" s="5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  <c r="AA1256" s="4"/>
      <c r="AB1256" s="4"/>
      <c r="AC1256" s="4"/>
      <c r="AD1256" s="4"/>
      <c r="AE1256" s="4"/>
      <c r="AF1256" s="4"/>
      <c r="AG1256" s="4"/>
      <c r="AH1256" s="4"/>
      <c r="AI1256" s="4"/>
      <c r="AJ1256" s="4"/>
      <c r="AK1256" s="4"/>
      <c r="AL1256" s="4"/>
      <c r="AM1256" s="4"/>
      <c r="AN1256" s="4"/>
      <c r="AO1256" s="4"/>
      <c r="AP1256" s="4"/>
      <c r="AQ1256" s="4"/>
      <c r="AR1256" s="4"/>
      <c r="AS1256" s="4"/>
      <c r="AT1256" s="4"/>
      <c r="AU1256" s="4"/>
      <c r="AV1256" s="4"/>
      <c r="AW1256" s="4"/>
      <c r="AX1256" s="4"/>
      <c r="AY1256" s="4"/>
      <c r="AZ1256" s="4"/>
      <c r="BA1256" s="4"/>
      <c r="BB1256" s="4"/>
      <c r="BC1256" s="4"/>
      <c r="BD1256" s="4"/>
      <c r="BE1256" s="4"/>
      <c r="BF1256" s="4"/>
      <c r="BG1256" s="4"/>
      <c r="BH1256" s="4"/>
      <c r="BI1256" s="4"/>
      <c r="BJ1256" s="4"/>
      <c r="BK1256" s="4"/>
      <c r="BL1256" s="4"/>
      <c r="BM1256" s="4"/>
      <c r="BN1256" s="4"/>
      <c r="BO1256" s="4"/>
      <c r="BP1256" s="4"/>
      <c r="BQ1256" s="4"/>
      <c r="BR1256" s="4"/>
      <c r="BS1256" s="4"/>
      <c r="BT1256" s="4"/>
      <c r="BU1256" s="4"/>
      <c r="BV1256" s="4"/>
      <c r="BW1256" s="4"/>
      <c r="BX1256" s="4"/>
      <c r="BY1256" s="4"/>
      <c r="BZ1256" s="4"/>
      <c r="CA1256" s="4"/>
      <c r="CB1256" s="4"/>
      <c r="CC1256" s="4"/>
      <c r="CD1256" s="4"/>
      <c r="CE1256" s="4"/>
      <c r="CF1256" s="4"/>
      <c r="CG1256" s="4"/>
      <c r="CH1256" s="4"/>
    </row>
    <row r="1257" spans="1:86" x14ac:dyDescent="0.25">
      <c r="A1257" s="4"/>
      <c r="B1257" s="4"/>
      <c r="C1257" s="4"/>
      <c r="D1257" s="4"/>
      <c r="E1257" s="4"/>
      <c r="F1257" s="4"/>
      <c r="G1257" s="4"/>
      <c r="H1257" s="4"/>
      <c r="I1257" s="5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  <c r="AA1257" s="4"/>
      <c r="AB1257" s="4"/>
      <c r="AC1257" s="4"/>
      <c r="AD1257" s="4"/>
      <c r="AE1257" s="4"/>
      <c r="AF1257" s="4"/>
      <c r="AG1257" s="4"/>
      <c r="AH1257" s="4"/>
      <c r="AI1257" s="4"/>
      <c r="AJ1257" s="4"/>
      <c r="AK1257" s="4"/>
      <c r="AL1257" s="4"/>
      <c r="AM1257" s="4"/>
      <c r="AN1257" s="4"/>
      <c r="AO1257" s="4"/>
      <c r="AP1257" s="4"/>
      <c r="AQ1257" s="4"/>
      <c r="AR1257" s="4"/>
      <c r="AS1257" s="4"/>
      <c r="AT1257" s="4"/>
      <c r="AU1257" s="4"/>
      <c r="AV1257" s="4"/>
      <c r="AW1257" s="4"/>
      <c r="AX1257" s="4"/>
      <c r="AY1257" s="4"/>
      <c r="AZ1257" s="4"/>
      <c r="BA1257" s="4"/>
      <c r="BB1257" s="4"/>
      <c r="BC1257" s="4"/>
      <c r="BD1257" s="4"/>
      <c r="BE1257" s="4"/>
      <c r="BF1257" s="4"/>
      <c r="BG1257" s="4"/>
      <c r="BH1257" s="4"/>
      <c r="BI1257" s="4"/>
      <c r="BJ1257" s="4"/>
      <c r="BK1257" s="4"/>
      <c r="BL1257" s="4"/>
      <c r="BM1257" s="4"/>
      <c r="BN1257" s="4"/>
      <c r="BO1257" s="4"/>
      <c r="BP1257" s="4"/>
      <c r="BQ1257" s="4"/>
      <c r="BR1257" s="4"/>
      <c r="BS1257" s="4"/>
      <c r="BT1257" s="4"/>
      <c r="BU1257" s="4"/>
      <c r="BV1257" s="4"/>
      <c r="BW1257" s="4"/>
      <c r="BX1257" s="4"/>
      <c r="BY1257" s="4"/>
      <c r="BZ1257" s="4"/>
      <c r="CA1257" s="4"/>
      <c r="CB1257" s="4"/>
      <c r="CC1257" s="4"/>
      <c r="CD1257" s="4"/>
      <c r="CE1257" s="4"/>
      <c r="CF1257" s="4"/>
      <c r="CG1257" s="4"/>
      <c r="CH1257" s="4"/>
    </row>
    <row r="1258" spans="1:86" x14ac:dyDescent="0.25">
      <c r="A1258" s="4"/>
      <c r="B1258" s="4"/>
      <c r="C1258" s="4"/>
      <c r="D1258" s="4"/>
      <c r="E1258" s="4"/>
      <c r="F1258" s="4"/>
      <c r="G1258" s="4"/>
      <c r="H1258" s="4"/>
      <c r="I1258" s="5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  <c r="AA1258" s="4"/>
      <c r="AB1258" s="4"/>
      <c r="AC1258" s="4"/>
      <c r="AD1258" s="4"/>
      <c r="AE1258" s="4"/>
      <c r="AF1258" s="4"/>
      <c r="AG1258" s="4"/>
      <c r="AH1258" s="4"/>
      <c r="AI1258" s="4"/>
      <c r="AJ1258" s="4"/>
      <c r="AK1258" s="4"/>
      <c r="AL1258" s="4"/>
      <c r="AM1258" s="4"/>
      <c r="AN1258" s="4"/>
      <c r="AO1258" s="4"/>
      <c r="AP1258" s="4"/>
      <c r="AQ1258" s="4"/>
      <c r="AR1258" s="4"/>
      <c r="AS1258" s="4"/>
      <c r="AT1258" s="4"/>
      <c r="AU1258" s="4"/>
      <c r="AV1258" s="4"/>
      <c r="AW1258" s="4"/>
      <c r="AX1258" s="4"/>
      <c r="AY1258" s="4"/>
      <c r="AZ1258" s="4"/>
      <c r="BA1258" s="4"/>
      <c r="BB1258" s="4"/>
      <c r="BC1258" s="4"/>
      <c r="BD1258" s="4"/>
      <c r="BE1258" s="4"/>
      <c r="BF1258" s="4"/>
      <c r="BG1258" s="4"/>
      <c r="BH1258" s="4"/>
      <c r="BI1258" s="4"/>
      <c r="BJ1258" s="4"/>
      <c r="BK1258" s="4"/>
      <c r="BL1258" s="4"/>
      <c r="BM1258" s="4"/>
      <c r="BN1258" s="4"/>
      <c r="BO1258" s="4"/>
      <c r="BP1258" s="4"/>
      <c r="BQ1258" s="4"/>
      <c r="BR1258" s="4"/>
      <c r="BS1258" s="4"/>
      <c r="BT1258" s="4"/>
      <c r="BU1258" s="4"/>
      <c r="BV1258" s="4"/>
      <c r="BW1258" s="4"/>
      <c r="BX1258" s="4"/>
      <c r="BY1258" s="4"/>
      <c r="BZ1258" s="4"/>
      <c r="CA1258" s="4"/>
      <c r="CB1258" s="4"/>
      <c r="CC1258" s="4"/>
      <c r="CD1258" s="4"/>
      <c r="CE1258" s="4"/>
      <c r="CF1258" s="4"/>
      <c r="CG1258" s="4"/>
      <c r="CH1258" s="4"/>
    </row>
    <row r="1259" spans="1:86" x14ac:dyDescent="0.25">
      <c r="A1259" s="4"/>
      <c r="B1259" s="4"/>
      <c r="C1259" s="4"/>
      <c r="D1259" s="4"/>
      <c r="E1259" s="4"/>
      <c r="F1259" s="4"/>
      <c r="G1259" s="4"/>
      <c r="H1259" s="4"/>
      <c r="I1259" s="5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  <c r="AA1259" s="4"/>
      <c r="AB1259" s="4"/>
      <c r="AC1259" s="4"/>
      <c r="AD1259" s="4"/>
      <c r="AE1259" s="4"/>
      <c r="AF1259" s="4"/>
      <c r="AG1259" s="4"/>
      <c r="AH1259" s="4"/>
      <c r="AI1259" s="4"/>
      <c r="AJ1259" s="4"/>
      <c r="AK1259" s="4"/>
      <c r="AL1259" s="4"/>
      <c r="AM1259" s="4"/>
      <c r="AN1259" s="4"/>
      <c r="AO1259" s="4"/>
      <c r="AP1259" s="4"/>
      <c r="AQ1259" s="4"/>
      <c r="AR1259" s="4"/>
      <c r="AS1259" s="4"/>
      <c r="AT1259" s="4"/>
      <c r="AU1259" s="4"/>
      <c r="AV1259" s="4"/>
      <c r="AW1259" s="4"/>
      <c r="AX1259" s="4"/>
      <c r="AY1259" s="4"/>
      <c r="AZ1259" s="4"/>
      <c r="BA1259" s="4"/>
      <c r="BB1259" s="4"/>
      <c r="BC1259" s="4"/>
      <c r="BD1259" s="4"/>
      <c r="BE1259" s="4"/>
      <c r="BF1259" s="4"/>
      <c r="BG1259" s="4"/>
      <c r="BH1259" s="4"/>
      <c r="BI1259" s="4"/>
      <c r="BJ1259" s="4"/>
      <c r="BK1259" s="4"/>
      <c r="BL1259" s="4"/>
      <c r="BM1259" s="4"/>
      <c r="BN1259" s="4"/>
      <c r="BO1259" s="4"/>
      <c r="BP1259" s="4"/>
      <c r="BQ1259" s="4"/>
      <c r="BR1259" s="4"/>
      <c r="BS1259" s="4"/>
      <c r="BT1259" s="4"/>
      <c r="BU1259" s="4"/>
      <c r="BV1259" s="4"/>
      <c r="BW1259" s="4"/>
      <c r="BX1259" s="4"/>
      <c r="BY1259" s="4"/>
      <c r="BZ1259" s="4"/>
      <c r="CA1259" s="4"/>
      <c r="CB1259" s="4"/>
      <c r="CC1259" s="4"/>
      <c r="CD1259" s="4"/>
      <c r="CE1259" s="4"/>
      <c r="CF1259" s="4"/>
      <c r="CG1259" s="4"/>
      <c r="CH1259" s="4"/>
    </row>
    <row r="1260" spans="1:86" x14ac:dyDescent="0.25">
      <c r="A1260" s="4"/>
      <c r="B1260" s="4"/>
      <c r="C1260" s="4"/>
      <c r="D1260" s="4"/>
      <c r="E1260" s="4"/>
      <c r="F1260" s="4"/>
      <c r="G1260" s="4"/>
      <c r="H1260" s="4"/>
      <c r="I1260" s="5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  <c r="AA1260" s="4"/>
      <c r="AB1260" s="4"/>
      <c r="AC1260" s="4"/>
      <c r="AD1260" s="4"/>
      <c r="AE1260" s="4"/>
      <c r="AF1260" s="4"/>
      <c r="AG1260" s="4"/>
      <c r="AH1260" s="4"/>
      <c r="AI1260" s="4"/>
      <c r="AJ1260" s="4"/>
      <c r="AK1260" s="4"/>
      <c r="AL1260" s="4"/>
      <c r="AM1260" s="4"/>
      <c r="AN1260" s="4"/>
      <c r="AO1260" s="4"/>
      <c r="AP1260" s="4"/>
      <c r="AQ1260" s="4"/>
      <c r="AR1260" s="4"/>
      <c r="AS1260" s="4"/>
      <c r="AT1260" s="4"/>
      <c r="AU1260" s="4"/>
      <c r="AV1260" s="4"/>
      <c r="AW1260" s="4"/>
      <c r="AX1260" s="4"/>
      <c r="AY1260" s="4"/>
      <c r="AZ1260" s="4"/>
      <c r="BA1260" s="4"/>
      <c r="BB1260" s="4"/>
      <c r="BC1260" s="4"/>
      <c r="BD1260" s="4"/>
      <c r="BE1260" s="4"/>
      <c r="BF1260" s="4"/>
      <c r="BG1260" s="4"/>
      <c r="BH1260" s="4"/>
      <c r="BI1260" s="4"/>
      <c r="BJ1260" s="4"/>
      <c r="BK1260" s="4"/>
      <c r="BL1260" s="4"/>
      <c r="BM1260" s="4"/>
      <c r="BN1260" s="4"/>
      <c r="BO1260" s="4"/>
      <c r="BP1260" s="4"/>
      <c r="BQ1260" s="4"/>
      <c r="BR1260" s="4"/>
      <c r="BS1260" s="4"/>
      <c r="BT1260" s="4"/>
      <c r="BU1260" s="4"/>
      <c r="BV1260" s="4"/>
      <c r="BW1260" s="4"/>
      <c r="BX1260" s="4"/>
      <c r="BY1260" s="4"/>
      <c r="BZ1260" s="4"/>
      <c r="CA1260" s="4"/>
      <c r="CB1260" s="4"/>
      <c r="CC1260" s="4"/>
      <c r="CD1260" s="4"/>
      <c r="CE1260" s="4"/>
      <c r="CF1260" s="4"/>
      <c r="CG1260" s="4"/>
      <c r="CH1260" s="4"/>
    </row>
    <row r="1261" spans="1:86" x14ac:dyDescent="0.25">
      <c r="A1261" s="4"/>
      <c r="B1261" s="4"/>
      <c r="C1261" s="4"/>
      <c r="D1261" s="4"/>
      <c r="E1261" s="4"/>
      <c r="F1261" s="4"/>
      <c r="G1261" s="4"/>
      <c r="H1261" s="4"/>
      <c r="I1261" s="5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  <c r="AA1261" s="4"/>
      <c r="AB1261" s="4"/>
      <c r="AC1261" s="4"/>
      <c r="AD1261" s="4"/>
      <c r="AE1261" s="4"/>
      <c r="AF1261" s="4"/>
      <c r="AG1261" s="4"/>
      <c r="AH1261" s="4"/>
      <c r="AI1261" s="4"/>
      <c r="AJ1261" s="4"/>
      <c r="AK1261" s="4"/>
      <c r="AL1261" s="4"/>
      <c r="AM1261" s="4"/>
      <c r="AN1261" s="4"/>
      <c r="AO1261" s="4"/>
      <c r="AP1261" s="4"/>
      <c r="AQ1261" s="4"/>
      <c r="AR1261" s="4"/>
      <c r="AS1261" s="4"/>
      <c r="AT1261" s="4"/>
      <c r="AU1261" s="4"/>
      <c r="AV1261" s="4"/>
      <c r="AW1261" s="4"/>
      <c r="AX1261" s="4"/>
      <c r="AY1261" s="4"/>
      <c r="AZ1261" s="4"/>
      <c r="BA1261" s="4"/>
      <c r="BB1261" s="4"/>
      <c r="BC1261" s="4"/>
      <c r="BD1261" s="4"/>
      <c r="BE1261" s="4"/>
      <c r="BF1261" s="4"/>
      <c r="BG1261" s="4"/>
      <c r="BH1261" s="4"/>
      <c r="BI1261" s="4"/>
      <c r="BJ1261" s="4"/>
      <c r="BK1261" s="4"/>
      <c r="BL1261" s="4"/>
      <c r="BM1261" s="4"/>
      <c r="BN1261" s="4"/>
      <c r="BO1261" s="4"/>
      <c r="BP1261" s="4"/>
      <c r="BQ1261" s="4"/>
      <c r="BR1261" s="4"/>
      <c r="BS1261" s="4"/>
      <c r="BT1261" s="4"/>
      <c r="BU1261" s="4"/>
      <c r="BV1261" s="4"/>
      <c r="BW1261" s="4"/>
      <c r="BX1261" s="4"/>
      <c r="BY1261" s="4"/>
      <c r="BZ1261" s="4"/>
      <c r="CA1261" s="4"/>
      <c r="CB1261" s="4"/>
      <c r="CC1261" s="4"/>
      <c r="CD1261" s="4"/>
      <c r="CE1261" s="4"/>
      <c r="CF1261" s="4"/>
      <c r="CG1261" s="4"/>
      <c r="CH1261" s="4"/>
    </row>
    <row r="1262" spans="1:86" x14ac:dyDescent="0.25">
      <c r="A1262" s="4"/>
      <c r="B1262" s="4"/>
      <c r="C1262" s="4"/>
      <c r="D1262" s="4"/>
      <c r="E1262" s="4"/>
      <c r="F1262" s="4"/>
      <c r="G1262" s="4"/>
      <c r="H1262" s="4"/>
      <c r="I1262" s="5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  <c r="AA1262" s="4"/>
      <c r="AB1262" s="4"/>
      <c r="AC1262" s="4"/>
      <c r="AD1262" s="4"/>
      <c r="AE1262" s="4"/>
      <c r="AF1262" s="4"/>
      <c r="AG1262" s="4"/>
      <c r="AH1262" s="4"/>
      <c r="AI1262" s="4"/>
      <c r="AJ1262" s="4"/>
      <c r="AK1262" s="4"/>
      <c r="AL1262" s="4"/>
      <c r="AM1262" s="4"/>
      <c r="AN1262" s="4"/>
      <c r="AO1262" s="4"/>
      <c r="AP1262" s="4"/>
      <c r="AQ1262" s="4"/>
      <c r="AR1262" s="4"/>
      <c r="AS1262" s="4"/>
      <c r="AT1262" s="4"/>
      <c r="AU1262" s="4"/>
      <c r="AV1262" s="4"/>
      <c r="AW1262" s="4"/>
      <c r="AX1262" s="4"/>
      <c r="AY1262" s="4"/>
      <c r="AZ1262" s="4"/>
      <c r="BA1262" s="4"/>
      <c r="BB1262" s="4"/>
      <c r="BC1262" s="4"/>
      <c r="BD1262" s="4"/>
      <c r="BE1262" s="4"/>
      <c r="BF1262" s="4"/>
      <c r="BG1262" s="4"/>
      <c r="BH1262" s="4"/>
      <c r="BI1262" s="4"/>
      <c r="BJ1262" s="4"/>
      <c r="BK1262" s="4"/>
      <c r="BL1262" s="4"/>
      <c r="BM1262" s="4"/>
      <c r="BN1262" s="4"/>
      <c r="BO1262" s="4"/>
      <c r="BP1262" s="4"/>
      <c r="BQ1262" s="4"/>
      <c r="BR1262" s="4"/>
      <c r="BS1262" s="4"/>
      <c r="BT1262" s="4"/>
      <c r="BU1262" s="4"/>
      <c r="BV1262" s="4"/>
      <c r="BW1262" s="4"/>
      <c r="BX1262" s="4"/>
      <c r="BY1262" s="4"/>
      <c r="BZ1262" s="4"/>
      <c r="CA1262" s="4"/>
      <c r="CB1262" s="4"/>
      <c r="CC1262" s="4"/>
      <c r="CD1262" s="4"/>
      <c r="CE1262" s="4"/>
      <c r="CF1262" s="4"/>
      <c r="CG1262" s="4"/>
      <c r="CH1262" s="4"/>
    </row>
    <row r="1263" spans="1:86" x14ac:dyDescent="0.25">
      <c r="A1263" s="4"/>
      <c r="B1263" s="4"/>
      <c r="C1263" s="4"/>
      <c r="D1263" s="4"/>
      <c r="E1263" s="4"/>
      <c r="F1263" s="4"/>
      <c r="G1263" s="4"/>
      <c r="H1263" s="4"/>
      <c r="I1263" s="5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  <c r="AA1263" s="4"/>
      <c r="AB1263" s="4"/>
      <c r="AC1263" s="4"/>
      <c r="AD1263" s="4"/>
      <c r="AE1263" s="4"/>
      <c r="AF1263" s="4"/>
      <c r="AG1263" s="4"/>
      <c r="AH1263" s="4"/>
      <c r="AI1263" s="4"/>
      <c r="AJ1263" s="4"/>
      <c r="AK1263" s="4"/>
      <c r="AL1263" s="4"/>
      <c r="AM1263" s="4"/>
      <c r="AN1263" s="4"/>
      <c r="AO1263" s="4"/>
      <c r="AP1263" s="4"/>
      <c r="AQ1263" s="4"/>
      <c r="AR1263" s="4"/>
      <c r="AS1263" s="4"/>
      <c r="AT1263" s="4"/>
      <c r="AU1263" s="4"/>
      <c r="AV1263" s="4"/>
      <c r="AW1263" s="4"/>
      <c r="AX1263" s="4"/>
      <c r="AY1263" s="4"/>
      <c r="AZ1263" s="4"/>
      <c r="BA1263" s="4"/>
      <c r="BB1263" s="4"/>
      <c r="BC1263" s="4"/>
      <c r="BD1263" s="4"/>
      <c r="BE1263" s="4"/>
      <c r="BF1263" s="4"/>
      <c r="BG1263" s="4"/>
      <c r="BH1263" s="4"/>
      <c r="BI1263" s="4"/>
      <c r="BJ1263" s="4"/>
      <c r="BK1263" s="4"/>
      <c r="BL1263" s="4"/>
      <c r="BM1263" s="4"/>
      <c r="BN1263" s="4"/>
      <c r="BO1263" s="4"/>
      <c r="BP1263" s="4"/>
      <c r="BQ1263" s="4"/>
      <c r="BR1263" s="4"/>
      <c r="BS1263" s="4"/>
      <c r="BT1263" s="4"/>
      <c r="BU1263" s="4"/>
      <c r="BV1263" s="4"/>
      <c r="BW1263" s="4"/>
      <c r="BX1263" s="4"/>
      <c r="BY1263" s="4"/>
      <c r="BZ1263" s="4"/>
      <c r="CA1263" s="4"/>
      <c r="CB1263" s="4"/>
      <c r="CC1263" s="4"/>
      <c r="CD1263" s="4"/>
      <c r="CE1263" s="4"/>
      <c r="CF1263" s="4"/>
      <c r="CG1263" s="4"/>
      <c r="CH1263" s="4"/>
    </row>
    <row r="1264" spans="1:86" x14ac:dyDescent="0.25">
      <c r="A1264" s="4"/>
      <c r="B1264" s="4"/>
      <c r="C1264" s="4"/>
      <c r="D1264" s="4"/>
      <c r="E1264" s="4"/>
      <c r="F1264" s="4"/>
      <c r="G1264" s="4"/>
      <c r="H1264" s="4"/>
      <c r="I1264" s="5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  <c r="AA1264" s="4"/>
      <c r="AB1264" s="4"/>
      <c r="AC1264" s="4"/>
      <c r="AD1264" s="4"/>
      <c r="AE1264" s="4"/>
      <c r="AF1264" s="4"/>
      <c r="AG1264" s="4"/>
      <c r="AH1264" s="4"/>
      <c r="AI1264" s="4"/>
      <c r="AJ1264" s="4"/>
      <c r="AK1264" s="4"/>
      <c r="AL1264" s="4"/>
      <c r="AM1264" s="4"/>
      <c r="AN1264" s="4"/>
      <c r="AO1264" s="4"/>
      <c r="AP1264" s="4"/>
      <c r="AQ1264" s="4"/>
      <c r="AR1264" s="4"/>
      <c r="AS1264" s="4"/>
      <c r="AT1264" s="4"/>
      <c r="AU1264" s="4"/>
      <c r="AV1264" s="4"/>
      <c r="AW1264" s="4"/>
      <c r="AX1264" s="4"/>
      <c r="AY1264" s="4"/>
      <c r="AZ1264" s="4"/>
      <c r="BA1264" s="4"/>
      <c r="BB1264" s="4"/>
      <c r="BC1264" s="4"/>
      <c r="BD1264" s="4"/>
      <c r="BE1264" s="4"/>
      <c r="BF1264" s="4"/>
      <c r="BG1264" s="4"/>
      <c r="BH1264" s="4"/>
      <c r="BI1264" s="4"/>
      <c r="BJ1264" s="4"/>
      <c r="BK1264" s="4"/>
      <c r="BL1264" s="4"/>
      <c r="BM1264" s="4"/>
      <c r="BN1264" s="4"/>
      <c r="BO1264" s="4"/>
      <c r="BP1264" s="4"/>
      <c r="BQ1264" s="4"/>
      <c r="BR1264" s="4"/>
      <c r="BS1264" s="4"/>
      <c r="BT1264" s="4"/>
      <c r="BU1264" s="4"/>
      <c r="BV1264" s="4"/>
      <c r="BW1264" s="4"/>
      <c r="BX1264" s="4"/>
      <c r="BY1264" s="4"/>
      <c r="BZ1264" s="4"/>
      <c r="CA1264" s="4"/>
      <c r="CB1264" s="4"/>
      <c r="CC1264" s="4"/>
      <c r="CD1264" s="4"/>
      <c r="CE1264" s="4"/>
      <c r="CF1264" s="4"/>
      <c r="CG1264" s="4"/>
      <c r="CH1264" s="4"/>
    </row>
    <row r="1265" spans="1:86" x14ac:dyDescent="0.25">
      <c r="A1265" s="4"/>
      <c r="B1265" s="4"/>
      <c r="C1265" s="4"/>
      <c r="D1265" s="4"/>
      <c r="E1265" s="4"/>
      <c r="F1265" s="4"/>
      <c r="G1265" s="4"/>
      <c r="H1265" s="4"/>
      <c r="I1265" s="5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  <c r="AA1265" s="4"/>
      <c r="AB1265" s="4"/>
      <c r="AC1265" s="4"/>
      <c r="AD1265" s="4"/>
      <c r="AE1265" s="4"/>
      <c r="AF1265" s="4"/>
      <c r="AG1265" s="4"/>
      <c r="AH1265" s="4"/>
      <c r="AI1265" s="4"/>
      <c r="AJ1265" s="4"/>
      <c r="AK1265" s="4"/>
      <c r="AL1265" s="4"/>
      <c r="AM1265" s="4"/>
      <c r="AN1265" s="4"/>
      <c r="AO1265" s="4"/>
      <c r="AP1265" s="4"/>
      <c r="AQ1265" s="4"/>
      <c r="AR1265" s="4"/>
      <c r="AS1265" s="4"/>
      <c r="AT1265" s="4"/>
      <c r="AU1265" s="4"/>
      <c r="AV1265" s="4"/>
      <c r="AW1265" s="4"/>
      <c r="AX1265" s="4"/>
      <c r="AY1265" s="4"/>
      <c r="AZ1265" s="4"/>
      <c r="BA1265" s="4"/>
      <c r="BB1265" s="4"/>
      <c r="BC1265" s="4"/>
      <c r="BD1265" s="4"/>
      <c r="BE1265" s="4"/>
      <c r="BF1265" s="4"/>
      <c r="BG1265" s="4"/>
      <c r="BH1265" s="4"/>
      <c r="BI1265" s="4"/>
      <c r="BJ1265" s="4"/>
      <c r="BK1265" s="4"/>
      <c r="BL1265" s="4"/>
      <c r="BM1265" s="4"/>
      <c r="BN1265" s="4"/>
      <c r="BO1265" s="4"/>
      <c r="BP1265" s="4"/>
      <c r="BQ1265" s="4"/>
      <c r="BR1265" s="4"/>
      <c r="BS1265" s="4"/>
      <c r="BT1265" s="4"/>
      <c r="BU1265" s="4"/>
      <c r="BV1265" s="4"/>
      <c r="BW1265" s="4"/>
      <c r="BX1265" s="4"/>
      <c r="BY1265" s="4"/>
      <c r="BZ1265" s="4"/>
      <c r="CA1265" s="4"/>
      <c r="CB1265" s="4"/>
      <c r="CC1265" s="4"/>
      <c r="CD1265" s="4"/>
      <c r="CE1265" s="4"/>
      <c r="CF1265" s="4"/>
      <c r="CG1265" s="4"/>
      <c r="CH1265" s="4"/>
    </row>
    <row r="1266" spans="1:86" x14ac:dyDescent="0.25">
      <c r="A1266" s="4"/>
      <c r="B1266" s="4"/>
      <c r="C1266" s="4"/>
      <c r="D1266" s="4"/>
      <c r="E1266" s="4"/>
      <c r="F1266" s="4"/>
      <c r="G1266" s="4"/>
      <c r="H1266" s="4"/>
      <c r="I1266" s="5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  <c r="AA1266" s="4"/>
      <c r="AB1266" s="4"/>
      <c r="AC1266" s="4"/>
      <c r="AD1266" s="4"/>
      <c r="AE1266" s="4"/>
      <c r="AF1266" s="4"/>
      <c r="AG1266" s="4"/>
      <c r="AH1266" s="4"/>
      <c r="AI1266" s="4"/>
      <c r="AJ1266" s="4"/>
      <c r="AK1266" s="4"/>
      <c r="AL1266" s="4"/>
      <c r="AM1266" s="4"/>
      <c r="AN1266" s="4"/>
      <c r="AO1266" s="4"/>
      <c r="AP1266" s="4"/>
      <c r="AQ1266" s="4"/>
      <c r="AR1266" s="4"/>
      <c r="AS1266" s="4"/>
      <c r="AT1266" s="4"/>
      <c r="AU1266" s="4"/>
      <c r="AV1266" s="4"/>
      <c r="AW1266" s="4"/>
      <c r="AX1266" s="4"/>
      <c r="AY1266" s="4"/>
      <c r="AZ1266" s="4"/>
      <c r="BA1266" s="4"/>
      <c r="BB1266" s="4"/>
      <c r="BC1266" s="4"/>
      <c r="BD1266" s="4"/>
      <c r="BE1266" s="4"/>
      <c r="BF1266" s="4"/>
      <c r="BG1266" s="4"/>
      <c r="BH1266" s="4"/>
      <c r="BI1266" s="4"/>
      <c r="BJ1266" s="4"/>
      <c r="BK1266" s="4"/>
      <c r="BL1266" s="4"/>
      <c r="BM1266" s="4"/>
      <c r="BN1266" s="4"/>
      <c r="BO1266" s="4"/>
      <c r="BP1266" s="4"/>
      <c r="BQ1266" s="4"/>
      <c r="BR1266" s="4"/>
      <c r="BS1266" s="4"/>
      <c r="BT1266" s="4"/>
      <c r="BU1266" s="4"/>
      <c r="BV1266" s="4"/>
      <c r="BW1266" s="4"/>
      <c r="BX1266" s="4"/>
      <c r="BY1266" s="4"/>
      <c r="BZ1266" s="4"/>
      <c r="CA1266" s="4"/>
      <c r="CB1266" s="4"/>
      <c r="CC1266" s="4"/>
      <c r="CD1266" s="4"/>
      <c r="CE1266" s="4"/>
      <c r="CF1266" s="4"/>
      <c r="CG1266" s="4"/>
      <c r="CH1266" s="4"/>
    </row>
    <row r="1267" spans="1:86" x14ac:dyDescent="0.25">
      <c r="A1267" s="4"/>
      <c r="B1267" s="4"/>
      <c r="C1267" s="4"/>
      <c r="D1267" s="4"/>
      <c r="E1267" s="4"/>
      <c r="F1267" s="4"/>
      <c r="G1267" s="4"/>
      <c r="H1267" s="4"/>
      <c r="I1267" s="5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  <c r="AA1267" s="4"/>
      <c r="AB1267" s="4"/>
      <c r="AC1267" s="4"/>
      <c r="AD1267" s="4"/>
      <c r="AE1267" s="4"/>
      <c r="AF1267" s="4"/>
      <c r="AG1267" s="4"/>
      <c r="AH1267" s="4"/>
      <c r="AI1267" s="4"/>
      <c r="AJ1267" s="4"/>
      <c r="AK1267" s="4"/>
      <c r="AL1267" s="4"/>
      <c r="AM1267" s="4"/>
      <c r="AN1267" s="4"/>
      <c r="AO1267" s="4"/>
      <c r="AP1267" s="4"/>
      <c r="AQ1267" s="4"/>
      <c r="AR1267" s="4"/>
      <c r="AS1267" s="4"/>
      <c r="AT1267" s="4"/>
      <c r="AU1267" s="4"/>
      <c r="AV1267" s="4"/>
      <c r="AW1267" s="4"/>
      <c r="AX1267" s="4"/>
      <c r="AY1267" s="4"/>
      <c r="AZ1267" s="4"/>
      <c r="BA1267" s="4"/>
      <c r="BB1267" s="4"/>
      <c r="BC1267" s="4"/>
      <c r="BD1267" s="4"/>
      <c r="BE1267" s="4"/>
      <c r="BF1267" s="4"/>
      <c r="BG1267" s="4"/>
      <c r="BH1267" s="4"/>
      <c r="BI1267" s="4"/>
      <c r="BJ1267" s="4"/>
      <c r="BK1267" s="4"/>
      <c r="BL1267" s="4"/>
      <c r="BM1267" s="4"/>
      <c r="BN1267" s="4"/>
      <c r="BO1267" s="4"/>
      <c r="BP1267" s="4"/>
      <c r="BQ1267" s="4"/>
      <c r="BR1267" s="4"/>
      <c r="BS1267" s="4"/>
      <c r="BT1267" s="4"/>
      <c r="BU1267" s="4"/>
      <c r="BV1267" s="4"/>
      <c r="BW1267" s="4"/>
      <c r="BX1267" s="4"/>
      <c r="BY1267" s="4"/>
      <c r="BZ1267" s="4"/>
      <c r="CA1267" s="4"/>
      <c r="CB1267" s="4"/>
      <c r="CC1267" s="4"/>
      <c r="CD1267" s="4"/>
      <c r="CE1267" s="4"/>
      <c r="CF1267" s="4"/>
      <c r="CG1267" s="4"/>
      <c r="CH1267" s="4"/>
    </row>
    <row r="1268" spans="1:86" x14ac:dyDescent="0.25">
      <c r="A1268" s="4"/>
      <c r="B1268" s="4"/>
      <c r="C1268" s="4"/>
      <c r="D1268" s="4"/>
      <c r="E1268" s="4"/>
      <c r="F1268" s="4"/>
      <c r="G1268" s="4"/>
      <c r="H1268" s="4"/>
      <c r="I1268" s="5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  <c r="AA1268" s="4"/>
      <c r="AB1268" s="4"/>
      <c r="AC1268" s="4"/>
      <c r="AD1268" s="4"/>
      <c r="AE1268" s="4"/>
      <c r="AF1268" s="4"/>
      <c r="AG1268" s="4"/>
      <c r="AH1268" s="4"/>
      <c r="AI1268" s="4"/>
      <c r="AJ1268" s="4"/>
      <c r="AK1268" s="4"/>
      <c r="AL1268" s="4"/>
      <c r="AM1268" s="4"/>
      <c r="AN1268" s="4"/>
      <c r="AO1268" s="4"/>
      <c r="AP1268" s="4"/>
      <c r="AQ1268" s="4"/>
      <c r="AR1268" s="4"/>
      <c r="AS1268" s="4"/>
      <c r="AT1268" s="4"/>
      <c r="AU1268" s="4"/>
      <c r="AV1268" s="4"/>
      <c r="AW1268" s="4"/>
      <c r="AX1268" s="4"/>
      <c r="AY1268" s="4"/>
      <c r="AZ1268" s="4"/>
      <c r="BA1268" s="4"/>
      <c r="BB1268" s="4"/>
      <c r="BC1268" s="4"/>
      <c r="BD1268" s="4"/>
      <c r="BE1268" s="4"/>
      <c r="BF1268" s="4"/>
      <c r="BG1268" s="4"/>
      <c r="BH1268" s="4"/>
      <c r="BI1268" s="4"/>
      <c r="BJ1268" s="4"/>
      <c r="BK1268" s="4"/>
      <c r="BL1268" s="4"/>
      <c r="BM1268" s="4"/>
      <c r="BN1268" s="4"/>
      <c r="BO1268" s="4"/>
      <c r="BP1268" s="4"/>
      <c r="BQ1268" s="4"/>
      <c r="BR1268" s="4"/>
      <c r="BS1268" s="4"/>
      <c r="BT1268" s="4"/>
      <c r="BU1268" s="4"/>
      <c r="BV1268" s="4"/>
      <c r="BW1268" s="4"/>
      <c r="BX1268" s="4"/>
      <c r="BY1268" s="4"/>
      <c r="BZ1268" s="4"/>
      <c r="CA1268" s="4"/>
      <c r="CB1268" s="4"/>
      <c r="CC1268" s="4"/>
      <c r="CD1268" s="4"/>
      <c r="CE1268" s="4"/>
      <c r="CF1268" s="4"/>
      <c r="CG1268" s="4"/>
      <c r="CH1268" s="4"/>
    </row>
    <row r="1269" spans="1:86" x14ac:dyDescent="0.25">
      <c r="A1269" s="4"/>
      <c r="B1269" s="4"/>
      <c r="C1269" s="4"/>
      <c r="D1269" s="4"/>
      <c r="E1269" s="4"/>
      <c r="F1269" s="4"/>
      <c r="G1269" s="4"/>
      <c r="H1269" s="4"/>
      <c r="I1269" s="5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  <c r="AA1269" s="4"/>
      <c r="AB1269" s="4"/>
      <c r="AC1269" s="4"/>
      <c r="AD1269" s="4"/>
      <c r="AE1269" s="4"/>
      <c r="AF1269" s="4"/>
      <c r="AG1269" s="4"/>
      <c r="AH1269" s="4"/>
      <c r="AI1269" s="4"/>
      <c r="AJ1269" s="4"/>
      <c r="AK1269" s="4"/>
      <c r="AL1269" s="4"/>
      <c r="AM1269" s="4"/>
      <c r="AN1269" s="4"/>
      <c r="AO1269" s="4"/>
      <c r="AP1269" s="4"/>
      <c r="AQ1269" s="4"/>
      <c r="AR1269" s="4"/>
      <c r="AS1269" s="4"/>
      <c r="AT1269" s="4"/>
      <c r="AU1269" s="4"/>
      <c r="AV1269" s="4"/>
      <c r="AW1269" s="4"/>
      <c r="AX1269" s="4"/>
      <c r="AY1269" s="4"/>
      <c r="AZ1269" s="4"/>
      <c r="BA1269" s="4"/>
      <c r="BB1269" s="4"/>
      <c r="BC1269" s="4"/>
      <c r="BD1269" s="4"/>
      <c r="BE1269" s="4"/>
      <c r="BF1269" s="4"/>
      <c r="BG1269" s="4"/>
      <c r="BH1269" s="4"/>
      <c r="BI1269" s="4"/>
      <c r="BJ1269" s="4"/>
      <c r="BK1269" s="4"/>
      <c r="BL1269" s="4"/>
      <c r="BM1269" s="4"/>
      <c r="BN1269" s="4"/>
      <c r="BO1269" s="4"/>
      <c r="BP1269" s="4"/>
      <c r="BQ1269" s="4"/>
      <c r="BR1269" s="4"/>
      <c r="BS1269" s="4"/>
      <c r="BT1269" s="4"/>
      <c r="BU1269" s="4"/>
      <c r="BV1269" s="4"/>
      <c r="BW1269" s="4"/>
      <c r="BX1269" s="4"/>
      <c r="BY1269" s="4"/>
      <c r="BZ1269" s="4"/>
      <c r="CA1269" s="4"/>
      <c r="CB1269" s="4"/>
      <c r="CC1269" s="4"/>
      <c r="CD1269" s="4"/>
      <c r="CE1269" s="4"/>
      <c r="CF1269" s="4"/>
      <c r="CG1269" s="4"/>
      <c r="CH1269" s="4"/>
    </row>
  </sheetData>
  <conditionalFormatting sqref="C4:C1100">
    <cfRule type="duplicateValues" dxfId="2" priority="103"/>
    <cfRule type="duplicateValues" dxfId="1" priority="104"/>
  </conditionalFormatting>
  <conditionalFormatting sqref="C4:C1102">
    <cfRule type="duplicateValues" dxfId="0" priority="107"/>
  </conditionalFormatting>
  <hyperlinks>
    <hyperlink ref="B9" r:id="rId1" xr:uid="{46297B94-AC14-45CC-AA0C-4FAAB7EF8F6D}"/>
    <hyperlink ref="B18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2" r:id="rId7" xr:uid="{D55ED292-2F81-464F-B65E-BE78D3C95B57}"/>
    <hyperlink ref="B11" r:id="rId8" xr:uid="{0EBF7698-D3BC-4934-A7F4-537F29CCF8B4}"/>
    <hyperlink ref="B98" r:id="rId9" xr:uid="{79586EC1-F21B-4073-BA24-BCB8D7768073}"/>
    <hyperlink ref="B123" r:id="rId10" xr:uid="{1691DF9F-80EE-40F0-98FB-85DD567180FC}"/>
    <hyperlink ref="B87" r:id="rId11" xr:uid="{64F849D1-F450-4555-80C6-CED6178FD111}"/>
    <hyperlink ref="B30" r:id="rId12" xr:uid="{63C8BBD0-BBF5-4728-B63F-8778ACFA73CD}"/>
    <hyperlink ref="B31" r:id="rId13" xr:uid="{C5A87BC8-E354-423F-B92C-B011D75ECCCF}"/>
    <hyperlink ref="B19" r:id="rId14" xr:uid="{6ABBC8AF-1788-4F66-83E4-735DE38C0666}"/>
    <hyperlink ref="B48" r:id="rId15" xr:uid="{0BC635AE-4F95-4E10-A94F-2732C9C0ACF1}"/>
    <hyperlink ref="B73" r:id="rId16" xr:uid="{57F98D26-B165-4AB9-8C32-F2C275C9856F}"/>
    <hyperlink ref="B16" r:id="rId17" xr:uid="{F0E412CC-AA9E-433F-8B58-0ADD79B99C59}"/>
    <hyperlink ref="B34" r:id="rId18" xr:uid="{230AD7FC-F6A7-47D6-9C2D-0B01018AAD14}"/>
    <hyperlink ref="B13" r:id="rId19" xr:uid="{ADC65BE2-5B3F-4EB3-89B1-58E7D9C5B4C1}"/>
    <hyperlink ref="B108" r:id="rId20" xr:uid="{42D9B4C2-49DB-4976-8CCA-C4017A3941C0}"/>
    <hyperlink ref="B57" r:id="rId21" xr:uid="{86E91B6F-F7FB-481D-B8D1-FEE07E94759F}"/>
    <hyperlink ref="B22" r:id="rId22" xr:uid="{3B29A2B2-ACEC-4631-9D2B-137FB4FD8485}"/>
    <hyperlink ref="B14" r:id="rId23" xr:uid="{59B51422-4A12-4402-88DB-27D64A7EE5EC}"/>
    <hyperlink ref="B5" r:id="rId24" xr:uid="{A958CCC7-0F6A-4E85-B00A-C650FD6A1173}"/>
    <hyperlink ref="B15" r:id="rId25" xr:uid="{0C051AFE-4486-4BFC-AB84-764B7F49FF92}"/>
    <hyperlink ref="B21" r:id="rId26" xr:uid="{34FF06C9-667C-4E52-8F71-7CA624B5B13B}"/>
    <hyperlink ref="B20" r:id="rId27" xr:uid="{912F90E8-A4B5-4A8F-A5AE-C3A000A1F07B}"/>
    <hyperlink ref="B52" r:id="rId28" xr:uid="{15F4BDC5-BFD9-42E4-9244-2FAAB753FC64}"/>
    <hyperlink ref="B24" r:id="rId29" xr:uid="{7DDF0BE1-A6F4-4611-B633-C1D1EA6C2139}"/>
    <hyperlink ref="B23" r:id="rId30" xr:uid="{A8F25F35-C408-4366-97C0-6F9FD7113006}"/>
    <hyperlink ref="B25" r:id="rId31" xr:uid="{E8B9AE54-1883-496E-9EBB-058A9138CA18}"/>
    <hyperlink ref="B47" r:id="rId32" xr:uid="{B14F56C4-0269-430C-B784-857F30E85725}"/>
    <hyperlink ref="B27" r:id="rId33" xr:uid="{DDD3A7BD-556F-44BA-AE30-F939360FC127}"/>
    <hyperlink ref="B28" r:id="rId34" xr:uid="{2C831D96-B4B9-491E-831B-5894D585E8C8}"/>
    <hyperlink ref="B50" r:id="rId35" xr:uid="{5B06212A-3594-4A82-A65F-019D409C886F}"/>
    <hyperlink ref="B58" r:id="rId36" xr:uid="{AC9CA120-06B3-450A-8BD8-3F4B6FD6CA81}"/>
    <hyperlink ref="B59" r:id="rId37" xr:uid="{F18E5EE9-0C6D-4617-AC11-EC59FD45803C}"/>
    <hyperlink ref="B39" r:id="rId38" xr:uid="{8EA1C049-EA77-423B-8550-C70B9E5854CF}"/>
    <hyperlink ref="B32" r:id="rId39" xr:uid="{B84EC302-2735-4656-8952-595D8500CFD6}"/>
    <hyperlink ref="B26" r:id="rId40" xr:uid="{6B787C62-59B7-46FE-9933-77EE574BE474}"/>
    <hyperlink ref="B33" r:id="rId41" xr:uid="{D3FA63AD-BF24-425B-98A5-2CE3BF3D1EEA}"/>
    <hyperlink ref="B41" r:id="rId42" xr:uid="{0861642F-9E36-4921-A816-2FAEB50142F3}"/>
    <hyperlink ref="B61" r:id="rId43" xr:uid="{CE35F8AF-4D81-4514-AAE3-A0B6A1DFAF53}"/>
    <hyperlink ref="B51" r:id="rId44" xr:uid="{36869399-1692-4FD6-930E-D7887A95E3DC}"/>
    <hyperlink ref="B89" r:id="rId45" xr:uid="{36250E3E-3E1A-4D5F-BF38-AF1827922505}"/>
    <hyperlink ref="B156" r:id="rId46" xr:uid="{6BE6B375-FE8F-41D2-9638-C08176153FC9}"/>
    <hyperlink ref="B155" r:id="rId47" xr:uid="{83D93FC6-E047-4DB4-9086-8432ADFFE781}"/>
    <hyperlink ref="B29" r:id="rId48" xr:uid="{135277CF-6DC3-47F7-8FC6-007EBD401D21}"/>
    <hyperlink ref="B92" r:id="rId49" xr:uid="{B5BADCA7-FA1F-4469-8A4E-6DBF15BC2D45}"/>
    <hyperlink ref="B40" r:id="rId50" xr:uid="{DBE7D97F-741F-4800-8404-1F451AE4011C}"/>
    <hyperlink ref="B66" r:id="rId51" xr:uid="{0E9D99A8-629A-40C5-9D3C-7194C13A22B7}"/>
    <hyperlink ref="B148" r:id="rId52" xr:uid="{F85335ED-F5E2-4F84-9E57-1E2C1D595DC8}"/>
    <hyperlink ref="B17" r:id="rId53" xr:uid="{D135A82C-11BB-4EAD-A0B7-FCC5F0615625}"/>
    <hyperlink ref="B42" r:id="rId54" xr:uid="{094B8790-8C71-4E0F-8C2B-530826ADB19A}"/>
    <hyperlink ref="B131" r:id="rId55" xr:uid="{0E3C612F-A0F5-453F-BC38-C02F2D2FA502}"/>
    <hyperlink ref="B75" r:id="rId56" xr:uid="{3F9849AA-4262-44B1-BA9B-685CC173DF66}"/>
    <hyperlink ref="B205" r:id="rId57" xr:uid="{D1EBA843-70C5-4428-A072-81B6E708F014}"/>
    <hyperlink ref="B323" r:id="rId58" xr:uid="{A7EA8EE8-AC20-400C-A0E2-D86C34E0AC9B}"/>
    <hyperlink ref="B45" r:id="rId59" xr:uid="{E9F4DA1F-D069-4239-B886-BC201C31B81D}"/>
    <hyperlink ref="B49" r:id="rId60" xr:uid="{F38B3DB2-1F85-47E7-95A8-73CD5818464B}"/>
    <hyperlink ref="B82" r:id="rId61" xr:uid="{DA0B8C0C-33D7-41F2-88B7-6BDB934C3545}"/>
    <hyperlink ref="B209" r:id="rId62" xr:uid="{4F30C6D9-CD3F-4669-A3E7-171F621E2514}"/>
    <hyperlink ref="B84" r:id="rId63" xr:uid="{53669B02-34BA-4B85-AA51-86A4CC1BFCD4}"/>
    <hyperlink ref="B104" r:id="rId64" xr:uid="{74C3A2E7-0C03-48E3-B42F-9BC0BC403D8B}"/>
    <hyperlink ref="B322" r:id="rId65" xr:uid="{2EF44218-0FFB-4AD2-AA85-724FAB9B6964}"/>
    <hyperlink ref="B46" r:id="rId66" xr:uid="{A67C8237-A0F1-4A17-A742-D6FE9552A04A}"/>
    <hyperlink ref="B44" r:id="rId67" xr:uid="{26ECE735-DD01-4AC2-A7BF-B58A0C21AC4C}"/>
    <hyperlink ref="B56" r:id="rId68" xr:uid="{6718A887-05B5-4711-BDAC-F73D7E4BCA46}"/>
    <hyperlink ref="B249" r:id="rId69" xr:uid="{B18B5185-F69E-4727-B9A5-9536254CB591}"/>
    <hyperlink ref="B60" r:id="rId70" xr:uid="{727AB356-39CF-4BB2-99B5-9FB8245AFDE6}"/>
    <hyperlink ref="B35" r:id="rId71" xr:uid="{A7954308-0310-4A3F-A898-8AA2046ABEF3}"/>
    <hyperlink ref="B37" r:id="rId72" xr:uid="{CD207CF6-4C45-4FA4-9692-EAC880B06FBC}"/>
    <hyperlink ref="B62" r:id="rId73" xr:uid="{63B6BA87-ED53-4EDA-AA5E-C182D12A623D}"/>
    <hyperlink ref="B68" r:id="rId74" xr:uid="{B7B70500-171D-4A40-BAED-5F900D3C4524}"/>
    <hyperlink ref="B78" r:id="rId75" xr:uid="{FEB4F40A-21A1-4154-9B05-F59B8A06263C}"/>
    <hyperlink ref="B93" r:id="rId76" xr:uid="{0053453D-700B-44AA-BC1B-981AD992E1CC}"/>
    <hyperlink ref="B134" r:id="rId77" xr:uid="{646239C4-1DE0-47B0-8A7F-6EDCD4A7379E}"/>
    <hyperlink ref="B154" r:id="rId78" xr:uid="{0C4F2B8B-E9BD-400F-85EB-B74291F1866B}"/>
    <hyperlink ref="B178" r:id="rId79" xr:uid="{EE957A18-C1D3-4C3C-A662-B9CA7DC06F8D}"/>
    <hyperlink ref="B122" r:id="rId80" xr:uid="{955F7B47-6997-4737-A3CE-BAEA5B36D5C3}"/>
    <hyperlink ref="B76" r:id="rId81" xr:uid="{77B560CC-6503-4732-BA03-EBD96AB1C1E8}"/>
    <hyperlink ref="B1100" r:id="rId82" xr:uid="{CC7AF7EF-FD58-40F3-9751-C19C471B5320}"/>
    <hyperlink ref="B1101" r:id="rId83" xr:uid="{52749962-867F-4855-ACBB-76F6560C195D}"/>
    <hyperlink ref="B1099" r:id="rId84" xr:uid="{183849A2-82AE-4CD1-A9BB-C5F5B0BD616B}"/>
    <hyperlink ref="B293" r:id="rId85" xr:uid="{169337C6-DF90-4649-B61A-B3A727423BB4}"/>
    <hyperlink ref="B1102" r:id="rId86" xr:uid="{C33CEF87-C448-44DC-8D3C-76ED6050B4C6}"/>
    <hyperlink ref="B1103" r:id="rId87" xr:uid="{08DFB937-4A07-43A5-8FDF-1CAC363B74F2}"/>
    <hyperlink ref="B10" r:id="rId88" xr:uid="{C6D6D9DF-939F-4B72-9D11-E3B4B041421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EB21D-A40A-44EE-91A8-34673298BBA9}">
  <dimension ref="A1:O427"/>
  <sheetViews>
    <sheetView topLeftCell="A415" zoomScale="200" zoomScaleNormal="200" workbookViewId="0">
      <selection activeCell="B428" sqref="B428"/>
    </sheetView>
  </sheetViews>
  <sheetFormatPr defaultRowHeight="12.75" x14ac:dyDescent="0.2"/>
  <cols>
    <col min="1" max="1" width="5" style="57" bestFit="1" customWidth="1"/>
    <col min="2" max="2" width="21.5703125" style="57" customWidth="1"/>
    <col min="3" max="16384" width="9.140625" style="57"/>
  </cols>
  <sheetData>
    <row r="1" spans="1:15" x14ac:dyDescent="0.2">
      <c r="A1" s="13" t="s">
        <v>958</v>
      </c>
    </row>
    <row r="2" spans="1:15" x14ac:dyDescent="0.2">
      <c r="A2" s="57" t="s">
        <v>771</v>
      </c>
    </row>
    <row r="3" spans="1:15" x14ac:dyDescent="0.2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3153</v>
      </c>
      <c r="G3" s="8" t="s">
        <v>3</v>
      </c>
      <c r="H3" s="8" t="s">
        <v>4</v>
      </c>
      <c r="I3" s="8" t="s">
        <v>5</v>
      </c>
      <c r="J3" s="8"/>
      <c r="K3" s="8"/>
      <c r="L3" s="8"/>
      <c r="M3" s="8"/>
      <c r="N3" s="8"/>
      <c r="O3" s="20"/>
    </row>
    <row r="4" spans="1:15" x14ac:dyDescent="0.2">
      <c r="A4" s="58">
        <v>1</v>
      </c>
      <c r="B4" s="59" t="s">
        <v>6</v>
      </c>
      <c r="C4" s="60" t="s">
        <v>31</v>
      </c>
    </row>
    <row r="5" spans="1:15" x14ac:dyDescent="0.2">
      <c r="A5" s="58">
        <f>1+A4</f>
        <v>2</v>
      </c>
      <c r="B5" s="59" t="s">
        <v>8</v>
      </c>
      <c r="C5" s="60" t="s">
        <v>428</v>
      </c>
    </row>
    <row r="6" spans="1:15" x14ac:dyDescent="0.2">
      <c r="A6" s="58">
        <f t="shared" ref="A6:A57" si="0">1+A5</f>
        <v>3</v>
      </c>
      <c r="B6" s="59" t="s">
        <v>2608</v>
      </c>
      <c r="C6" s="60" t="s">
        <v>34</v>
      </c>
    </row>
    <row r="7" spans="1:15" x14ac:dyDescent="0.2">
      <c r="A7" s="58">
        <f t="shared" si="0"/>
        <v>4</v>
      </c>
      <c r="B7" s="59" t="s">
        <v>3162</v>
      </c>
      <c r="C7" s="60" t="s">
        <v>811</v>
      </c>
    </row>
    <row r="8" spans="1:15" x14ac:dyDescent="0.2">
      <c r="A8" s="58">
        <f t="shared" si="0"/>
        <v>5</v>
      </c>
      <c r="B8" s="59" t="s">
        <v>11</v>
      </c>
      <c r="C8" s="60" t="s">
        <v>37</v>
      </c>
    </row>
    <row r="9" spans="1:15" x14ac:dyDescent="0.2">
      <c r="A9" s="58">
        <f t="shared" si="0"/>
        <v>6</v>
      </c>
      <c r="B9" s="59" t="s">
        <v>14</v>
      </c>
      <c r="C9" s="60" t="s">
        <v>36</v>
      </c>
    </row>
    <row r="10" spans="1:15" x14ac:dyDescent="0.2">
      <c r="A10" s="58">
        <f t="shared" si="0"/>
        <v>7</v>
      </c>
      <c r="B10" s="59" t="s">
        <v>115</v>
      </c>
      <c r="C10" s="60" t="s">
        <v>116</v>
      </c>
    </row>
    <row r="11" spans="1:15" x14ac:dyDescent="0.2">
      <c r="A11" s="58">
        <f t="shared" si="0"/>
        <v>8</v>
      </c>
      <c r="B11" s="59" t="s">
        <v>202</v>
      </c>
      <c r="C11" s="60" t="s">
        <v>203</v>
      </c>
    </row>
    <row r="12" spans="1:15" x14ac:dyDescent="0.2">
      <c r="A12" s="58">
        <f t="shared" si="0"/>
        <v>9</v>
      </c>
      <c r="B12" s="57" t="s">
        <v>15</v>
      </c>
      <c r="C12" s="58" t="s">
        <v>57</v>
      </c>
    </row>
    <row r="13" spans="1:15" x14ac:dyDescent="0.2">
      <c r="A13" s="58">
        <f t="shared" si="0"/>
        <v>10</v>
      </c>
      <c r="B13" s="57" t="s">
        <v>25</v>
      </c>
      <c r="C13" s="57" t="s">
        <v>25</v>
      </c>
    </row>
    <row r="14" spans="1:15" x14ac:dyDescent="0.2">
      <c r="A14" s="58">
        <f t="shared" si="0"/>
        <v>11</v>
      </c>
      <c r="B14" s="57" t="s">
        <v>3528</v>
      </c>
      <c r="C14" s="57" t="s">
        <v>3529</v>
      </c>
      <c r="D14" s="57" t="s">
        <v>768</v>
      </c>
    </row>
    <row r="15" spans="1:15" x14ac:dyDescent="0.2">
      <c r="A15" s="58">
        <f t="shared" si="0"/>
        <v>12</v>
      </c>
      <c r="B15" s="57" t="s">
        <v>18</v>
      </c>
      <c r="C15" s="57" t="s">
        <v>3530</v>
      </c>
    </row>
    <row r="16" spans="1:15" x14ac:dyDescent="0.2">
      <c r="A16" s="58">
        <f t="shared" si="0"/>
        <v>13</v>
      </c>
      <c r="B16" s="57" t="s">
        <v>3531</v>
      </c>
      <c r="C16" s="57" t="s">
        <v>2594</v>
      </c>
    </row>
    <row r="17" spans="1:4" x14ac:dyDescent="0.2">
      <c r="A17" s="58">
        <f t="shared" si="0"/>
        <v>14</v>
      </c>
      <c r="B17" s="57" t="s">
        <v>810</v>
      </c>
      <c r="C17" s="57" t="s">
        <v>3532</v>
      </c>
    </row>
    <row r="18" spans="1:4" x14ac:dyDescent="0.2">
      <c r="A18" s="58">
        <f t="shared" si="0"/>
        <v>15</v>
      </c>
      <c r="B18" s="57" t="s">
        <v>3533</v>
      </c>
      <c r="C18" s="57" t="s">
        <v>3534</v>
      </c>
    </row>
    <row r="19" spans="1:4" x14ac:dyDescent="0.2">
      <c r="A19" s="58">
        <f t="shared" si="0"/>
        <v>16</v>
      </c>
      <c r="B19" s="57" t="s">
        <v>340</v>
      </c>
      <c r="C19" s="57" t="s">
        <v>341</v>
      </c>
    </row>
    <row r="20" spans="1:4" x14ac:dyDescent="0.2">
      <c r="A20" s="58">
        <f t="shared" si="0"/>
        <v>17</v>
      </c>
      <c r="B20" s="57" t="s">
        <v>3535</v>
      </c>
      <c r="C20" s="57" t="s">
        <v>807</v>
      </c>
      <c r="D20" s="57" t="s">
        <v>3536</v>
      </c>
    </row>
    <row r="21" spans="1:4" x14ac:dyDescent="0.2">
      <c r="A21" s="58">
        <f t="shared" si="0"/>
        <v>18</v>
      </c>
      <c r="B21" s="57" t="s">
        <v>543</v>
      </c>
      <c r="C21" s="57" t="s">
        <v>544</v>
      </c>
    </row>
    <row r="22" spans="1:4" x14ac:dyDescent="0.2">
      <c r="A22" s="58">
        <f t="shared" si="0"/>
        <v>19</v>
      </c>
      <c r="B22" s="57" t="s">
        <v>873</v>
      </c>
      <c r="C22" s="57" t="s">
        <v>3545</v>
      </c>
      <c r="D22" s="57" t="s">
        <v>46</v>
      </c>
    </row>
    <row r="23" spans="1:4" x14ac:dyDescent="0.2">
      <c r="A23" s="58">
        <f t="shared" si="0"/>
        <v>20</v>
      </c>
      <c r="B23" s="57" t="s">
        <v>575</v>
      </c>
      <c r="C23" s="57" t="s">
        <v>576</v>
      </c>
    </row>
    <row r="24" spans="1:4" x14ac:dyDescent="0.2">
      <c r="A24" s="58">
        <f t="shared" si="0"/>
        <v>21</v>
      </c>
      <c r="B24" s="57" t="s">
        <v>3537</v>
      </c>
      <c r="C24" s="57" t="s">
        <v>656</v>
      </c>
      <c r="D24" s="57" t="s">
        <v>3538</v>
      </c>
    </row>
    <row r="25" spans="1:4" x14ac:dyDescent="0.2">
      <c r="A25" s="58">
        <f t="shared" si="0"/>
        <v>22</v>
      </c>
      <c r="B25" s="57" t="s">
        <v>3539</v>
      </c>
      <c r="C25" s="57" t="s">
        <v>872</v>
      </c>
    </row>
    <row r="26" spans="1:4" x14ac:dyDescent="0.2">
      <c r="A26" s="58">
        <f t="shared" si="0"/>
        <v>23</v>
      </c>
      <c r="B26" s="57" t="s">
        <v>683</v>
      </c>
      <c r="C26" s="57" t="s">
        <v>684</v>
      </c>
    </row>
    <row r="27" spans="1:4" x14ac:dyDescent="0.2">
      <c r="A27" s="58">
        <f t="shared" si="0"/>
        <v>24</v>
      </c>
      <c r="B27" s="57" t="s">
        <v>13</v>
      </c>
    </row>
    <row r="28" spans="1:4" x14ac:dyDescent="0.2">
      <c r="A28" s="58">
        <f t="shared" si="0"/>
        <v>25</v>
      </c>
      <c r="B28" s="57" t="s">
        <v>16</v>
      </c>
    </row>
    <row r="29" spans="1:4" x14ac:dyDescent="0.2">
      <c r="A29" s="58">
        <f t="shared" si="0"/>
        <v>26</v>
      </c>
      <c r="B29" s="57" t="s">
        <v>776</v>
      </c>
    </row>
    <row r="30" spans="1:4" x14ac:dyDescent="0.2">
      <c r="A30" s="58">
        <f t="shared" si="0"/>
        <v>27</v>
      </c>
      <c r="B30" s="57" t="s">
        <v>111</v>
      </c>
    </row>
    <row r="31" spans="1:4" x14ac:dyDescent="0.2">
      <c r="A31" s="58">
        <f t="shared" si="0"/>
        <v>28</v>
      </c>
      <c r="B31" s="57" t="s">
        <v>64</v>
      </c>
    </row>
    <row r="32" spans="1:4" x14ac:dyDescent="0.2">
      <c r="A32" s="58">
        <f t="shared" si="0"/>
        <v>29</v>
      </c>
      <c r="B32" s="57" t="s">
        <v>3540</v>
      </c>
    </row>
    <row r="33" spans="1:3" x14ac:dyDescent="0.2">
      <c r="A33" s="58">
        <f t="shared" si="0"/>
        <v>30</v>
      </c>
      <c r="B33" s="57" t="s">
        <v>27</v>
      </c>
    </row>
    <row r="34" spans="1:3" x14ac:dyDescent="0.2">
      <c r="A34" s="58">
        <f t="shared" si="0"/>
        <v>31</v>
      </c>
      <c r="B34" s="57" t="s">
        <v>22</v>
      </c>
    </row>
    <row r="35" spans="1:3" x14ac:dyDescent="0.2">
      <c r="A35" s="58">
        <f t="shared" si="0"/>
        <v>32</v>
      </c>
      <c r="B35" s="57" t="s">
        <v>772</v>
      </c>
    </row>
    <row r="36" spans="1:3" x14ac:dyDescent="0.2">
      <c r="A36" s="58">
        <f t="shared" si="0"/>
        <v>33</v>
      </c>
      <c r="B36" s="57" t="s">
        <v>3541</v>
      </c>
    </row>
    <row r="37" spans="1:3" x14ac:dyDescent="0.2">
      <c r="A37" s="58">
        <f t="shared" si="0"/>
        <v>34</v>
      </c>
      <c r="B37" s="57" t="s">
        <v>959</v>
      </c>
    </row>
    <row r="38" spans="1:3" x14ac:dyDescent="0.2">
      <c r="A38" s="58">
        <f t="shared" si="0"/>
        <v>35</v>
      </c>
      <c r="B38" s="57" t="s">
        <v>3542</v>
      </c>
    </row>
    <row r="39" spans="1:3" x14ac:dyDescent="0.2">
      <c r="A39" s="58">
        <f t="shared" si="0"/>
        <v>36</v>
      </c>
      <c r="B39" s="57" t="s">
        <v>61</v>
      </c>
    </row>
    <row r="40" spans="1:3" x14ac:dyDescent="0.2">
      <c r="A40" s="58">
        <f t="shared" si="0"/>
        <v>37</v>
      </c>
      <c r="B40" s="57" t="s">
        <v>130</v>
      </c>
    </row>
    <row r="41" spans="1:3" x14ac:dyDescent="0.2">
      <c r="A41" s="58">
        <f t="shared" si="0"/>
        <v>38</v>
      </c>
      <c r="B41" s="57" t="s">
        <v>10</v>
      </c>
    </row>
    <row r="42" spans="1:3" x14ac:dyDescent="0.2">
      <c r="A42" s="58">
        <f t="shared" si="0"/>
        <v>39</v>
      </c>
      <c r="B42" s="59" t="s">
        <v>3165</v>
      </c>
      <c r="C42" s="60" t="s">
        <v>3166</v>
      </c>
    </row>
    <row r="43" spans="1:3" x14ac:dyDescent="0.2">
      <c r="A43" s="58">
        <f t="shared" si="0"/>
        <v>40</v>
      </c>
      <c r="B43" s="59" t="s">
        <v>3167</v>
      </c>
      <c r="C43" s="60" t="s">
        <v>499</v>
      </c>
    </row>
    <row r="44" spans="1:3" x14ac:dyDescent="0.2">
      <c r="A44" s="58">
        <f t="shared" si="0"/>
        <v>41</v>
      </c>
      <c r="B44" s="59" t="s">
        <v>3168</v>
      </c>
      <c r="C44" s="60" t="s">
        <v>3169</v>
      </c>
    </row>
    <row r="45" spans="1:3" x14ac:dyDescent="0.2">
      <c r="A45" s="58">
        <f t="shared" si="0"/>
        <v>42</v>
      </c>
      <c r="B45" s="59" t="s">
        <v>113</v>
      </c>
      <c r="C45" s="60"/>
    </row>
    <row r="46" spans="1:3" x14ac:dyDescent="0.2">
      <c r="A46" s="58">
        <f t="shared" si="0"/>
        <v>43</v>
      </c>
      <c r="B46" s="59" t="s">
        <v>819</v>
      </c>
      <c r="C46" s="60"/>
    </row>
    <row r="47" spans="1:3" x14ac:dyDescent="0.2">
      <c r="A47" s="58">
        <f t="shared" si="0"/>
        <v>44</v>
      </c>
      <c r="B47" s="59" t="s">
        <v>3546</v>
      </c>
      <c r="C47" s="60"/>
    </row>
    <row r="48" spans="1:3" x14ac:dyDescent="0.2">
      <c r="A48" s="58">
        <f t="shared" si="0"/>
        <v>45</v>
      </c>
      <c r="B48" s="59" t="s">
        <v>3547</v>
      </c>
      <c r="C48" s="60"/>
    </row>
    <row r="49" spans="1:3" x14ac:dyDescent="0.2">
      <c r="A49" s="58">
        <f t="shared" si="0"/>
        <v>46</v>
      </c>
      <c r="B49" s="59" t="s">
        <v>2705</v>
      </c>
      <c r="C49" s="60"/>
    </row>
    <row r="50" spans="1:3" x14ac:dyDescent="0.2">
      <c r="A50" s="58">
        <f t="shared" si="0"/>
        <v>47</v>
      </c>
      <c r="B50" s="59" t="s">
        <v>3548</v>
      </c>
      <c r="C50" s="60"/>
    </row>
    <row r="51" spans="1:3" x14ac:dyDescent="0.2">
      <c r="A51" s="58">
        <f t="shared" si="0"/>
        <v>48</v>
      </c>
      <c r="B51" s="59" t="s">
        <v>1216</v>
      </c>
      <c r="C51" s="60"/>
    </row>
    <row r="52" spans="1:3" x14ac:dyDescent="0.2">
      <c r="A52" s="58">
        <f t="shared" si="0"/>
        <v>49</v>
      </c>
      <c r="B52" s="59" t="s">
        <v>1463</v>
      </c>
      <c r="C52" s="60"/>
    </row>
    <row r="53" spans="1:3" x14ac:dyDescent="0.2">
      <c r="A53" s="58">
        <f t="shared" si="0"/>
        <v>50</v>
      </c>
      <c r="B53" s="59" t="s">
        <v>3549</v>
      </c>
      <c r="C53" s="60"/>
    </row>
    <row r="54" spans="1:3" x14ac:dyDescent="0.2">
      <c r="A54" s="58">
        <f t="shared" si="0"/>
        <v>51</v>
      </c>
      <c r="B54" s="59" t="s">
        <v>465</v>
      </c>
      <c r="C54" s="60"/>
    </row>
    <row r="55" spans="1:3" x14ac:dyDescent="0.2">
      <c r="A55" s="58">
        <f t="shared" si="0"/>
        <v>52</v>
      </c>
      <c r="B55" s="59" t="s">
        <v>3550</v>
      </c>
      <c r="C55" s="60"/>
    </row>
    <row r="56" spans="1:3" x14ac:dyDescent="0.2">
      <c r="A56" s="58">
        <f t="shared" si="0"/>
        <v>53</v>
      </c>
      <c r="B56" s="59" t="s">
        <v>135</v>
      </c>
      <c r="C56" s="60"/>
    </row>
    <row r="57" spans="1:3" x14ac:dyDescent="0.2">
      <c r="A57" s="58">
        <f t="shared" si="0"/>
        <v>54</v>
      </c>
      <c r="B57" s="57" t="s">
        <v>268</v>
      </c>
    </row>
    <row r="59" spans="1:3" x14ac:dyDescent="0.2">
      <c r="A59" s="58">
        <v>1</v>
      </c>
      <c r="B59" s="16" t="s">
        <v>808</v>
      </c>
    </row>
    <row r="60" spans="1:3" x14ac:dyDescent="0.2">
      <c r="A60" s="58">
        <f t="shared" ref="A60:A123" si="1">1+A59</f>
        <v>2</v>
      </c>
      <c r="B60" s="57" t="s">
        <v>3156</v>
      </c>
      <c r="C60" s="60" t="s">
        <v>808</v>
      </c>
    </row>
    <row r="61" spans="1:3" x14ac:dyDescent="0.2">
      <c r="A61" s="58">
        <f t="shared" si="1"/>
        <v>3</v>
      </c>
      <c r="B61" s="57" t="s">
        <v>3157</v>
      </c>
      <c r="C61" s="60" t="s">
        <v>808</v>
      </c>
    </row>
    <row r="62" spans="1:3" x14ac:dyDescent="0.2">
      <c r="A62" s="58">
        <f t="shared" si="1"/>
        <v>4</v>
      </c>
      <c r="B62" s="57" t="s">
        <v>3158</v>
      </c>
      <c r="C62" s="60" t="s">
        <v>808</v>
      </c>
    </row>
    <row r="63" spans="1:3" x14ac:dyDescent="0.2">
      <c r="A63" s="58">
        <f t="shared" si="1"/>
        <v>5</v>
      </c>
      <c r="B63" s="59" t="s">
        <v>916</v>
      </c>
      <c r="C63" s="60" t="s">
        <v>808</v>
      </c>
    </row>
    <row r="64" spans="1:3" x14ac:dyDescent="0.2">
      <c r="A64" s="58">
        <f t="shared" si="1"/>
        <v>6</v>
      </c>
      <c r="B64" s="59" t="s">
        <v>888</v>
      </c>
      <c r="C64" s="60" t="s">
        <v>808</v>
      </c>
    </row>
    <row r="65" spans="1:4" x14ac:dyDescent="0.2">
      <c r="A65" s="58">
        <f t="shared" si="1"/>
        <v>7</v>
      </c>
      <c r="B65" s="59" t="s">
        <v>3163</v>
      </c>
      <c r="C65" s="60" t="s">
        <v>808</v>
      </c>
    </row>
    <row r="66" spans="1:4" x14ac:dyDescent="0.2">
      <c r="A66" s="58">
        <f t="shared" si="1"/>
        <v>8</v>
      </c>
      <c r="B66" s="59" t="s">
        <v>3164</v>
      </c>
      <c r="C66" s="60" t="s">
        <v>808</v>
      </c>
    </row>
    <row r="67" spans="1:4" x14ac:dyDescent="0.2">
      <c r="A67" s="58">
        <f t="shared" si="1"/>
        <v>9</v>
      </c>
      <c r="B67" s="59" t="s">
        <v>3170</v>
      </c>
      <c r="C67" s="60" t="s">
        <v>808</v>
      </c>
    </row>
    <row r="68" spans="1:4" x14ac:dyDescent="0.2">
      <c r="A68" s="58">
        <f t="shared" si="1"/>
        <v>10</v>
      </c>
      <c r="B68" s="59" t="s">
        <v>3171</v>
      </c>
      <c r="C68" s="60" t="s">
        <v>808</v>
      </c>
    </row>
    <row r="69" spans="1:4" x14ac:dyDescent="0.2">
      <c r="A69" s="58">
        <f t="shared" si="1"/>
        <v>11</v>
      </c>
      <c r="B69" s="59" t="s">
        <v>3172</v>
      </c>
      <c r="C69" s="60" t="s">
        <v>808</v>
      </c>
    </row>
    <row r="70" spans="1:4" x14ac:dyDescent="0.2">
      <c r="A70" s="58">
        <f t="shared" si="1"/>
        <v>12</v>
      </c>
      <c r="B70" s="59" t="s">
        <v>3173</v>
      </c>
      <c r="C70" s="60" t="s">
        <v>808</v>
      </c>
    </row>
    <row r="71" spans="1:4" x14ac:dyDescent="0.2">
      <c r="A71" s="58">
        <f t="shared" si="1"/>
        <v>13</v>
      </c>
      <c r="B71" s="59" t="s">
        <v>3543</v>
      </c>
      <c r="C71" s="60" t="s">
        <v>808</v>
      </c>
    </row>
    <row r="72" spans="1:4" x14ac:dyDescent="0.2">
      <c r="A72" s="58">
        <f t="shared" si="1"/>
        <v>14</v>
      </c>
      <c r="B72" s="59" t="s">
        <v>3544</v>
      </c>
      <c r="C72" s="60" t="s">
        <v>808</v>
      </c>
    </row>
    <row r="73" spans="1:4" x14ac:dyDescent="0.2">
      <c r="A73" s="58">
        <f t="shared" si="1"/>
        <v>15</v>
      </c>
      <c r="B73" s="59" t="s">
        <v>3174</v>
      </c>
      <c r="C73" s="60" t="s">
        <v>808</v>
      </c>
    </row>
    <row r="74" spans="1:4" x14ac:dyDescent="0.2">
      <c r="A74" s="58">
        <f t="shared" si="1"/>
        <v>16</v>
      </c>
      <c r="B74" s="59" t="s">
        <v>3175</v>
      </c>
      <c r="C74" s="60" t="s">
        <v>808</v>
      </c>
    </row>
    <row r="75" spans="1:4" x14ac:dyDescent="0.2">
      <c r="A75" s="58">
        <f t="shared" si="1"/>
        <v>17</v>
      </c>
      <c r="B75" s="59" t="s">
        <v>3176</v>
      </c>
      <c r="C75" s="60" t="s">
        <v>808</v>
      </c>
    </row>
    <row r="76" spans="1:4" x14ac:dyDescent="0.2">
      <c r="A76" s="58">
        <f t="shared" si="1"/>
        <v>18</v>
      </c>
      <c r="B76" s="59" t="s">
        <v>3177</v>
      </c>
      <c r="C76" s="60" t="s">
        <v>808</v>
      </c>
    </row>
    <row r="77" spans="1:4" x14ac:dyDescent="0.2">
      <c r="A77" s="58">
        <f t="shared" si="1"/>
        <v>19</v>
      </c>
      <c r="B77" s="59" t="s">
        <v>810</v>
      </c>
      <c r="C77" s="60" t="s">
        <v>808</v>
      </c>
    </row>
    <row r="78" spans="1:4" x14ac:dyDescent="0.2">
      <c r="A78" s="58">
        <f t="shared" si="1"/>
        <v>20</v>
      </c>
      <c r="B78" s="59" t="s">
        <v>3178</v>
      </c>
      <c r="C78" s="60" t="s">
        <v>1205</v>
      </c>
    </row>
    <row r="79" spans="1:4" x14ac:dyDescent="0.2">
      <c r="A79" s="58">
        <f t="shared" si="1"/>
        <v>21</v>
      </c>
      <c r="B79" s="59" t="s">
        <v>889</v>
      </c>
      <c r="C79" s="60" t="s">
        <v>808</v>
      </c>
      <c r="D79" s="65">
        <v>10000</v>
      </c>
    </row>
    <row r="80" spans="1:4" x14ac:dyDescent="0.2">
      <c r="A80" s="58">
        <f t="shared" si="1"/>
        <v>22</v>
      </c>
      <c r="B80" s="59" t="s">
        <v>3179</v>
      </c>
      <c r="C80" s="60" t="s">
        <v>808</v>
      </c>
    </row>
    <row r="81" spans="1:3" x14ac:dyDescent="0.2">
      <c r="A81" s="58">
        <f t="shared" si="1"/>
        <v>23</v>
      </c>
      <c r="B81" s="59" t="s">
        <v>3180</v>
      </c>
      <c r="C81" s="60" t="s">
        <v>808</v>
      </c>
    </row>
    <row r="82" spans="1:3" x14ac:dyDescent="0.2">
      <c r="A82" s="58">
        <f t="shared" si="1"/>
        <v>24</v>
      </c>
      <c r="B82" s="59" t="s">
        <v>3181</v>
      </c>
      <c r="C82" s="60" t="s">
        <v>808</v>
      </c>
    </row>
    <row r="83" spans="1:3" x14ac:dyDescent="0.2">
      <c r="A83" s="58">
        <f t="shared" si="1"/>
        <v>25</v>
      </c>
      <c r="B83" s="59" t="s">
        <v>3182</v>
      </c>
      <c r="C83" s="60" t="s">
        <v>808</v>
      </c>
    </row>
    <row r="84" spans="1:3" x14ac:dyDescent="0.2">
      <c r="A84" s="58">
        <f t="shared" si="1"/>
        <v>26</v>
      </c>
      <c r="B84" s="59" t="s">
        <v>3183</v>
      </c>
      <c r="C84" s="60" t="s">
        <v>808</v>
      </c>
    </row>
    <row r="85" spans="1:3" x14ac:dyDescent="0.2">
      <c r="A85" s="58">
        <f t="shared" si="1"/>
        <v>27</v>
      </c>
      <c r="B85" s="59" t="s">
        <v>3184</v>
      </c>
      <c r="C85" s="60" t="s">
        <v>808</v>
      </c>
    </row>
    <row r="86" spans="1:3" x14ac:dyDescent="0.2">
      <c r="A86" s="58">
        <f t="shared" si="1"/>
        <v>28</v>
      </c>
      <c r="B86" s="59" t="s">
        <v>3185</v>
      </c>
      <c r="C86" s="60" t="s">
        <v>808</v>
      </c>
    </row>
    <row r="87" spans="1:3" x14ac:dyDescent="0.2">
      <c r="A87" s="58">
        <f t="shared" si="1"/>
        <v>29</v>
      </c>
      <c r="B87" s="59" t="s">
        <v>3186</v>
      </c>
      <c r="C87" s="60" t="s">
        <v>808</v>
      </c>
    </row>
    <row r="88" spans="1:3" x14ac:dyDescent="0.2">
      <c r="A88" s="58">
        <f t="shared" si="1"/>
        <v>30</v>
      </c>
      <c r="B88" s="59" t="s">
        <v>3187</v>
      </c>
      <c r="C88" s="60" t="s">
        <v>808</v>
      </c>
    </row>
    <row r="89" spans="1:3" x14ac:dyDescent="0.2">
      <c r="A89" s="58">
        <f t="shared" si="1"/>
        <v>31</v>
      </c>
      <c r="B89" s="59" t="s">
        <v>3188</v>
      </c>
      <c r="C89" s="60" t="s">
        <v>808</v>
      </c>
    </row>
    <row r="90" spans="1:3" x14ac:dyDescent="0.2">
      <c r="A90" s="58">
        <f t="shared" si="1"/>
        <v>32</v>
      </c>
      <c r="B90" s="59" t="s">
        <v>3189</v>
      </c>
      <c r="C90" s="60" t="s">
        <v>808</v>
      </c>
    </row>
    <row r="91" spans="1:3" x14ac:dyDescent="0.2">
      <c r="A91" s="58">
        <f t="shared" si="1"/>
        <v>33</v>
      </c>
      <c r="B91" s="59" t="s">
        <v>3190</v>
      </c>
      <c r="C91" s="60" t="s">
        <v>808</v>
      </c>
    </row>
    <row r="92" spans="1:3" x14ac:dyDescent="0.2">
      <c r="A92" s="58">
        <f t="shared" si="1"/>
        <v>34</v>
      </c>
      <c r="B92" s="61" t="s">
        <v>3191</v>
      </c>
      <c r="C92" s="62" t="s">
        <v>808</v>
      </c>
    </row>
    <row r="93" spans="1:3" x14ac:dyDescent="0.2">
      <c r="A93" s="58">
        <f t="shared" si="1"/>
        <v>35</v>
      </c>
      <c r="B93" s="59" t="s">
        <v>3192</v>
      </c>
      <c r="C93" s="60" t="s">
        <v>808</v>
      </c>
    </row>
    <row r="94" spans="1:3" x14ac:dyDescent="0.2">
      <c r="A94" s="58">
        <f t="shared" si="1"/>
        <v>36</v>
      </c>
      <c r="B94" s="59" t="s">
        <v>3193</v>
      </c>
      <c r="C94" s="60" t="s">
        <v>808</v>
      </c>
    </row>
    <row r="95" spans="1:3" x14ac:dyDescent="0.2">
      <c r="A95" s="58">
        <f t="shared" si="1"/>
        <v>37</v>
      </c>
      <c r="B95" s="59" t="s">
        <v>3194</v>
      </c>
      <c r="C95" s="60" t="s">
        <v>808</v>
      </c>
    </row>
    <row r="96" spans="1:3" x14ac:dyDescent="0.2">
      <c r="A96" s="58">
        <f t="shared" si="1"/>
        <v>38</v>
      </c>
      <c r="B96" s="59" t="s">
        <v>3195</v>
      </c>
      <c r="C96" s="60" t="s">
        <v>808</v>
      </c>
    </row>
    <row r="97" spans="1:3" x14ac:dyDescent="0.2">
      <c r="A97" s="58">
        <f t="shared" si="1"/>
        <v>39</v>
      </c>
      <c r="B97" s="59" t="s">
        <v>3196</v>
      </c>
      <c r="C97" s="60" t="s">
        <v>808</v>
      </c>
    </row>
    <row r="98" spans="1:3" x14ac:dyDescent="0.2">
      <c r="A98" s="58">
        <f t="shared" si="1"/>
        <v>40</v>
      </c>
      <c r="B98" s="59" t="s">
        <v>3197</v>
      </c>
      <c r="C98" s="60" t="s">
        <v>808</v>
      </c>
    </row>
    <row r="99" spans="1:3" x14ac:dyDescent="0.2">
      <c r="A99" s="58">
        <f t="shared" si="1"/>
        <v>41</v>
      </c>
      <c r="B99" s="59" t="s">
        <v>3198</v>
      </c>
      <c r="C99" s="60" t="s">
        <v>808</v>
      </c>
    </row>
    <row r="100" spans="1:3" x14ac:dyDescent="0.2">
      <c r="A100" s="58">
        <f t="shared" si="1"/>
        <v>42</v>
      </c>
      <c r="B100" s="59" t="s">
        <v>3199</v>
      </c>
      <c r="C100" s="60" t="s">
        <v>808</v>
      </c>
    </row>
    <row r="101" spans="1:3" x14ac:dyDescent="0.2">
      <c r="A101" s="58">
        <f t="shared" si="1"/>
        <v>43</v>
      </c>
      <c r="B101" s="59" t="s">
        <v>3200</v>
      </c>
      <c r="C101" s="60" t="s">
        <v>808</v>
      </c>
    </row>
    <row r="102" spans="1:3" x14ac:dyDescent="0.2">
      <c r="A102" s="58">
        <f t="shared" si="1"/>
        <v>44</v>
      </c>
      <c r="B102" s="59" t="s">
        <v>3201</v>
      </c>
      <c r="C102" s="60" t="s">
        <v>808</v>
      </c>
    </row>
    <row r="103" spans="1:3" x14ac:dyDescent="0.2">
      <c r="A103" s="58">
        <f t="shared" si="1"/>
        <v>45</v>
      </c>
      <c r="B103" s="59" t="s">
        <v>3202</v>
      </c>
      <c r="C103" s="60" t="s">
        <v>808</v>
      </c>
    </row>
    <row r="104" spans="1:3" x14ac:dyDescent="0.2">
      <c r="A104" s="58">
        <f t="shared" si="1"/>
        <v>46</v>
      </c>
      <c r="B104" s="61" t="s">
        <v>3203</v>
      </c>
      <c r="C104" s="62" t="s">
        <v>808</v>
      </c>
    </row>
    <row r="105" spans="1:3" x14ac:dyDescent="0.2">
      <c r="A105" s="58">
        <f t="shared" si="1"/>
        <v>47</v>
      </c>
      <c r="B105" s="59" t="s">
        <v>3204</v>
      </c>
      <c r="C105" s="60" t="s">
        <v>808</v>
      </c>
    </row>
    <row r="106" spans="1:3" x14ac:dyDescent="0.2">
      <c r="A106" s="58">
        <f t="shared" si="1"/>
        <v>48</v>
      </c>
      <c r="B106" s="59" t="s">
        <v>3205</v>
      </c>
      <c r="C106" s="60" t="s">
        <v>808</v>
      </c>
    </row>
    <row r="107" spans="1:3" x14ac:dyDescent="0.2">
      <c r="A107" s="58">
        <f t="shared" si="1"/>
        <v>49</v>
      </c>
      <c r="B107" s="59" t="s">
        <v>3206</v>
      </c>
      <c r="C107" s="60" t="s">
        <v>808</v>
      </c>
    </row>
    <row r="108" spans="1:3" x14ac:dyDescent="0.2">
      <c r="A108" s="58">
        <f t="shared" si="1"/>
        <v>50</v>
      </c>
      <c r="B108" s="59" t="s">
        <v>3207</v>
      </c>
      <c r="C108" s="60" t="s">
        <v>808</v>
      </c>
    </row>
    <row r="109" spans="1:3" x14ac:dyDescent="0.2">
      <c r="A109" s="58">
        <f t="shared" si="1"/>
        <v>51</v>
      </c>
      <c r="B109" s="59" t="s">
        <v>3208</v>
      </c>
      <c r="C109" s="60" t="s">
        <v>808</v>
      </c>
    </row>
    <row r="110" spans="1:3" x14ac:dyDescent="0.2">
      <c r="A110" s="58">
        <f t="shared" si="1"/>
        <v>52</v>
      </c>
      <c r="B110" s="59" t="s">
        <v>3209</v>
      </c>
      <c r="C110" s="60" t="s">
        <v>808</v>
      </c>
    </row>
    <row r="111" spans="1:3" x14ac:dyDescent="0.2">
      <c r="A111" s="58">
        <f t="shared" si="1"/>
        <v>53</v>
      </c>
      <c r="B111" s="59" t="s">
        <v>3210</v>
      </c>
      <c r="C111" s="60" t="s">
        <v>808</v>
      </c>
    </row>
    <row r="112" spans="1:3" x14ac:dyDescent="0.2">
      <c r="A112" s="58">
        <f t="shared" si="1"/>
        <v>54</v>
      </c>
      <c r="B112" s="59" t="s">
        <v>3211</v>
      </c>
      <c r="C112" s="60" t="s">
        <v>808</v>
      </c>
    </row>
    <row r="113" spans="1:3" x14ac:dyDescent="0.2">
      <c r="A113" s="58">
        <f t="shared" si="1"/>
        <v>55</v>
      </c>
      <c r="B113" s="61" t="s">
        <v>3212</v>
      </c>
      <c r="C113" s="62" t="s">
        <v>808</v>
      </c>
    </row>
    <row r="114" spans="1:3" x14ac:dyDescent="0.2">
      <c r="A114" s="58">
        <f t="shared" si="1"/>
        <v>56</v>
      </c>
      <c r="B114" s="61" t="s">
        <v>3213</v>
      </c>
      <c r="C114" s="62" t="s">
        <v>808</v>
      </c>
    </row>
    <row r="115" spans="1:3" x14ac:dyDescent="0.2">
      <c r="A115" s="58">
        <f t="shared" si="1"/>
        <v>57</v>
      </c>
      <c r="B115" s="61" t="s">
        <v>3214</v>
      </c>
      <c r="C115" s="62" t="s">
        <v>808</v>
      </c>
    </row>
    <row r="116" spans="1:3" x14ac:dyDescent="0.2">
      <c r="A116" s="58">
        <f t="shared" si="1"/>
        <v>58</v>
      </c>
      <c r="B116" s="59" t="s">
        <v>3215</v>
      </c>
      <c r="C116" s="60" t="s">
        <v>808</v>
      </c>
    </row>
    <row r="117" spans="1:3" x14ac:dyDescent="0.2">
      <c r="A117" s="58">
        <f t="shared" si="1"/>
        <v>59</v>
      </c>
      <c r="B117" s="59" t="s">
        <v>3216</v>
      </c>
      <c r="C117" s="60" t="s">
        <v>808</v>
      </c>
    </row>
    <row r="118" spans="1:3" x14ac:dyDescent="0.2">
      <c r="A118" s="58">
        <f t="shared" si="1"/>
        <v>60</v>
      </c>
      <c r="B118" s="59" t="s">
        <v>3217</v>
      </c>
      <c r="C118" s="60" t="s">
        <v>808</v>
      </c>
    </row>
    <row r="119" spans="1:3" x14ac:dyDescent="0.2">
      <c r="A119" s="58">
        <f t="shared" si="1"/>
        <v>61</v>
      </c>
      <c r="B119" s="59" t="s">
        <v>3218</v>
      </c>
      <c r="C119" s="60" t="s">
        <v>808</v>
      </c>
    </row>
    <row r="120" spans="1:3" x14ac:dyDescent="0.2">
      <c r="A120" s="58">
        <f t="shared" si="1"/>
        <v>62</v>
      </c>
      <c r="B120" s="59" t="s">
        <v>3219</v>
      </c>
      <c r="C120" s="60" t="s">
        <v>808</v>
      </c>
    </row>
    <row r="121" spans="1:3" x14ac:dyDescent="0.2">
      <c r="A121" s="58">
        <f t="shared" si="1"/>
        <v>63</v>
      </c>
      <c r="B121" s="59" t="s">
        <v>3220</v>
      </c>
      <c r="C121" s="60" t="s">
        <v>808</v>
      </c>
    </row>
    <row r="122" spans="1:3" x14ac:dyDescent="0.2">
      <c r="A122" s="58">
        <f t="shared" si="1"/>
        <v>64</v>
      </c>
      <c r="B122" s="59" t="s">
        <v>3221</v>
      </c>
      <c r="C122" s="60" t="s">
        <v>808</v>
      </c>
    </row>
    <row r="123" spans="1:3" x14ac:dyDescent="0.2">
      <c r="A123" s="58">
        <f t="shared" si="1"/>
        <v>65</v>
      </c>
      <c r="B123" s="59" t="s">
        <v>3222</v>
      </c>
      <c r="C123" s="60" t="s">
        <v>808</v>
      </c>
    </row>
    <row r="124" spans="1:3" x14ac:dyDescent="0.2">
      <c r="A124" s="58">
        <f t="shared" ref="A124:A187" si="2">1+A123</f>
        <v>66</v>
      </c>
      <c r="B124" s="59" t="s">
        <v>3223</v>
      </c>
      <c r="C124" s="60" t="s">
        <v>808</v>
      </c>
    </row>
    <row r="125" spans="1:3" x14ac:dyDescent="0.2">
      <c r="A125" s="58">
        <f t="shared" si="2"/>
        <v>67</v>
      </c>
      <c r="B125" s="61" t="s">
        <v>3224</v>
      </c>
      <c r="C125" s="62" t="s">
        <v>808</v>
      </c>
    </row>
    <row r="126" spans="1:3" x14ac:dyDescent="0.2">
      <c r="A126" s="58">
        <f t="shared" si="2"/>
        <v>68</v>
      </c>
      <c r="B126" s="61" t="s">
        <v>3225</v>
      </c>
      <c r="C126" s="62" t="s">
        <v>808</v>
      </c>
    </row>
    <row r="127" spans="1:3" x14ac:dyDescent="0.2">
      <c r="A127" s="58">
        <f t="shared" si="2"/>
        <v>69</v>
      </c>
      <c r="B127" s="59" t="s">
        <v>3226</v>
      </c>
      <c r="C127" s="60" t="s">
        <v>808</v>
      </c>
    </row>
    <row r="128" spans="1:3" x14ac:dyDescent="0.2">
      <c r="A128" s="58">
        <f t="shared" si="2"/>
        <v>70</v>
      </c>
      <c r="B128" s="61" t="s">
        <v>3227</v>
      </c>
      <c r="C128" s="62" t="s">
        <v>808</v>
      </c>
    </row>
    <row r="129" spans="1:3" x14ac:dyDescent="0.2">
      <c r="A129" s="58">
        <f t="shared" si="2"/>
        <v>71</v>
      </c>
      <c r="B129" s="59" t="s">
        <v>3228</v>
      </c>
      <c r="C129" s="60" t="s">
        <v>808</v>
      </c>
    </row>
    <row r="130" spans="1:3" x14ac:dyDescent="0.2">
      <c r="A130" s="58">
        <f t="shared" si="2"/>
        <v>72</v>
      </c>
      <c r="B130" s="59" t="s">
        <v>3229</v>
      </c>
      <c r="C130" s="60" t="s">
        <v>808</v>
      </c>
    </row>
    <row r="131" spans="1:3" x14ac:dyDescent="0.2">
      <c r="A131" s="58">
        <f t="shared" si="2"/>
        <v>73</v>
      </c>
      <c r="B131" s="59" t="s">
        <v>3230</v>
      </c>
      <c r="C131" s="60" t="s">
        <v>808</v>
      </c>
    </row>
    <row r="132" spans="1:3" x14ac:dyDescent="0.2">
      <c r="A132" s="58">
        <f t="shared" si="2"/>
        <v>74</v>
      </c>
      <c r="B132" s="59" t="s">
        <v>3231</v>
      </c>
      <c r="C132" s="60" t="s">
        <v>808</v>
      </c>
    </row>
    <row r="133" spans="1:3" x14ac:dyDescent="0.2">
      <c r="A133" s="58">
        <f t="shared" si="2"/>
        <v>75</v>
      </c>
      <c r="B133" s="59" t="s">
        <v>3232</v>
      </c>
      <c r="C133" s="60" t="s">
        <v>808</v>
      </c>
    </row>
    <row r="134" spans="1:3" x14ac:dyDescent="0.2">
      <c r="A134" s="58">
        <f t="shared" si="2"/>
        <v>76</v>
      </c>
      <c r="B134" s="59" t="s">
        <v>3233</v>
      </c>
      <c r="C134" s="60" t="s">
        <v>808</v>
      </c>
    </row>
    <row r="135" spans="1:3" x14ac:dyDescent="0.2">
      <c r="A135" s="58">
        <f t="shared" si="2"/>
        <v>77</v>
      </c>
      <c r="B135" s="59" t="s">
        <v>3234</v>
      </c>
      <c r="C135" s="60" t="s">
        <v>808</v>
      </c>
    </row>
    <row r="136" spans="1:3" x14ac:dyDescent="0.2">
      <c r="A136" s="58">
        <f t="shared" si="2"/>
        <v>78</v>
      </c>
      <c r="B136" s="59" t="s">
        <v>3235</v>
      </c>
      <c r="C136" s="60" t="s">
        <v>808</v>
      </c>
    </row>
    <row r="137" spans="1:3" x14ac:dyDescent="0.2">
      <c r="A137" s="58">
        <f t="shared" si="2"/>
        <v>79</v>
      </c>
      <c r="B137" s="59" t="s">
        <v>3236</v>
      </c>
      <c r="C137" s="60" t="s">
        <v>808</v>
      </c>
    </row>
    <row r="138" spans="1:3" x14ac:dyDescent="0.2">
      <c r="A138" s="58">
        <f t="shared" si="2"/>
        <v>80</v>
      </c>
      <c r="B138" s="59" t="s">
        <v>3237</v>
      </c>
      <c r="C138" s="60" t="s">
        <v>808</v>
      </c>
    </row>
    <row r="139" spans="1:3" x14ac:dyDescent="0.2">
      <c r="A139" s="58">
        <f t="shared" si="2"/>
        <v>81</v>
      </c>
      <c r="B139" s="59" t="s">
        <v>3238</v>
      </c>
      <c r="C139" s="60" t="s">
        <v>808</v>
      </c>
    </row>
    <row r="140" spans="1:3" x14ac:dyDescent="0.2">
      <c r="A140" s="58">
        <f t="shared" si="2"/>
        <v>82</v>
      </c>
      <c r="B140" s="59" t="s">
        <v>3239</v>
      </c>
      <c r="C140" s="60" t="s">
        <v>808</v>
      </c>
    </row>
    <row r="141" spans="1:3" x14ac:dyDescent="0.2">
      <c r="A141" s="58">
        <f t="shared" si="2"/>
        <v>83</v>
      </c>
      <c r="B141" s="61" t="s">
        <v>3240</v>
      </c>
      <c r="C141" s="60" t="s">
        <v>808</v>
      </c>
    </row>
    <row r="142" spans="1:3" x14ac:dyDescent="0.2">
      <c r="A142" s="58">
        <f t="shared" si="2"/>
        <v>84</v>
      </c>
      <c r="B142" s="59" t="s">
        <v>3241</v>
      </c>
      <c r="C142" s="60" t="s">
        <v>808</v>
      </c>
    </row>
    <row r="143" spans="1:3" x14ac:dyDescent="0.2">
      <c r="A143" s="58">
        <f t="shared" si="2"/>
        <v>85</v>
      </c>
      <c r="B143" s="59" t="s">
        <v>3242</v>
      </c>
      <c r="C143" s="60" t="s">
        <v>808</v>
      </c>
    </row>
    <row r="144" spans="1:3" x14ac:dyDescent="0.2">
      <c r="A144" s="58">
        <f t="shared" si="2"/>
        <v>86</v>
      </c>
      <c r="B144" s="59" t="s">
        <v>3243</v>
      </c>
      <c r="C144" s="60" t="s">
        <v>808</v>
      </c>
    </row>
    <row r="145" spans="1:3" x14ac:dyDescent="0.2">
      <c r="A145" s="58">
        <f t="shared" si="2"/>
        <v>87</v>
      </c>
      <c r="B145" s="59" t="s">
        <v>3244</v>
      </c>
      <c r="C145" s="60" t="s">
        <v>808</v>
      </c>
    </row>
    <row r="146" spans="1:3" x14ac:dyDescent="0.2">
      <c r="A146" s="58">
        <f t="shared" si="2"/>
        <v>88</v>
      </c>
      <c r="B146" s="59" t="s">
        <v>3245</v>
      </c>
      <c r="C146" s="60" t="s">
        <v>808</v>
      </c>
    </row>
    <row r="147" spans="1:3" x14ac:dyDescent="0.2">
      <c r="A147" s="58">
        <f t="shared" si="2"/>
        <v>89</v>
      </c>
      <c r="B147" s="59" t="s">
        <v>3246</v>
      </c>
      <c r="C147" s="60" t="s">
        <v>808</v>
      </c>
    </row>
    <row r="148" spans="1:3" x14ac:dyDescent="0.2">
      <c r="A148" s="58">
        <f t="shared" si="2"/>
        <v>90</v>
      </c>
      <c r="B148" s="59" t="s">
        <v>3247</v>
      </c>
      <c r="C148" s="60" t="s">
        <v>808</v>
      </c>
    </row>
    <row r="149" spans="1:3" x14ac:dyDescent="0.2">
      <c r="A149" s="58">
        <f t="shared" si="2"/>
        <v>91</v>
      </c>
      <c r="B149" s="59" t="s">
        <v>3248</v>
      </c>
      <c r="C149" s="60" t="s">
        <v>808</v>
      </c>
    </row>
    <row r="150" spans="1:3" x14ac:dyDescent="0.2">
      <c r="A150" s="58">
        <f t="shared" si="2"/>
        <v>92</v>
      </c>
      <c r="B150" s="59" t="s">
        <v>3249</v>
      </c>
      <c r="C150" s="60" t="s">
        <v>808</v>
      </c>
    </row>
    <row r="151" spans="1:3" x14ac:dyDescent="0.2">
      <c r="A151" s="58">
        <f t="shared" si="2"/>
        <v>93</v>
      </c>
      <c r="B151" s="59" t="s">
        <v>3250</v>
      </c>
      <c r="C151" s="60" t="s">
        <v>808</v>
      </c>
    </row>
    <row r="152" spans="1:3" x14ac:dyDescent="0.2">
      <c r="A152" s="58">
        <f t="shared" si="2"/>
        <v>94</v>
      </c>
      <c r="B152" s="59" t="s">
        <v>3251</v>
      </c>
      <c r="C152" s="60" t="s">
        <v>808</v>
      </c>
    </row>
    <row r="153" spans="1:3" x14ac:dyDescent="0.2">
      <c r="A153" s="58">
        <f t="shared" si="2"/>
        <v>95</v>
      </c>
      <c r="B153" s="59" t="s">
        <v>3252</v>
      </c>
      <c r="C153" s="60" t="s">
        <v>808</v>
      </c>
    </row>
    <row r="154" spans="1:3" x14ac:dyDescent="0.2">
      <c r="A154" s="58">
        <f t="shared" si="2"/>
        <v>96</v>
      </c>
      <c r="B154" s="59" t="s">
        <v>3253</v>
      </c>
      <c r="C154" s="60" t="s">
        <v>808</v>
      </c>
    </row>
    <row r="155" spans="1:3" x14ac:dyDescent="0.2">
      <c r="A155" s="58">
        <f t="shared" si="2"/>
        <v>97</v>
      </c>
      <c r="B155" s="59" t="s">
        <v>3254</v>
      </c>
      <c r="C155" s="60" t="s">
        <v>808</v>
      </c>
    </row>
    <row r="156" spans="1:3" x14ac:dyDescent="0.2">
      <c r="A156" s="58">
        <f t="shared" si="2"/>
        <v>98</v>
      </c>
      <c r="B156" s="59" t="s">
        <v>3255</v>
      </c>
      <c r="C156" s="60" t="s">
        <v>808</v>
      </c>
    </row>
    <row r="157" spans="1:3" x14ac:dyDescent="0.2">
      <c r="A157" s="58">
        <f t="shared" si="2"/>
        <v>99</v>
      </c>
      <c r="B157" s="59" t="s">
        <v>3256</v>
      </c>
      <c r="C157" s="60" t="s">
        <v>808</v>
      </c>
    </row>
    <row r="158" spans="1:3" x14ac:dyDescent="0.2">
      <c r="A158" s="58">
        <f t="shared" si="2"/>
        <v>100</v>
      </c>
      <c r="B158" s="59" t="s">
        <v>3257</v>
      </c>
      <c r="C158" s="60" t="s">
        <v>808</v>
      </c>
    </row>
    <row r="159" spans="1:3" x14ac:dyDescent="0.2">
      <c r="A159" s="58">
        <f t="shared" si="2"/>
        <v>101</v>
      </c>
      <c r="B159" s="59" t="s">
        <v>3258</v>
      </c>
      <c r="C159" s="60" t="s">
        <v>808</v>
      </c>
    </row>
    <row r="160" spans="1:3" x14ac:dyDescent="0.2">
      <c r="A160" s="58">
        <f t="shared" si="2"/>
        <v>102</v>
      </c>
      <c r="B160" s="59" t="s">
        <v>3259</v>
      </c>
      <c r="C160" s="60" t="s">
        <v>808</v>
      </c>
    </row>
    <row r="161" spans="1:3" x14ac:dyDescent="0.2">
      <c r="A161" s="58">
        <f t="shared" si="2"/>
        <v>103</v>
      </c>
      <c r="B161" s="59" t="s">
        <v>3260</v>
      </c>
      <c r="C161" s="60" t="s">
        <v>808</v>
      </c>
    </row>
    <row r="162" spans="1:3" x14ac:dyDescent="0.2">
      <c r="A162" s="58">
        <f t="shared" si="2"/>
        <v>104</v>
      </c>
      <c r="B162" s="59" t="s">
        <v>3261</v>
      </c>
      <c r="C162" s="60" t="s">
        <v>808</v>
      </c>
    </row>
    <row r="163" spans="1:3" x14ac:dyDescent="0.2">
      <c r="A163" s="58">
        <f t="shared" si="2"/>
        <v>105</v>
      </c>
      <c r="B163" s="59" t="s">
        <v>3262</v>
      </c>
      <c r="C163" s="60" t="s">
        <v>808</v>
      </c>
    </row>
    <row r="164" spans="1:3" x14ac:dyDescent="0.2">
      <c r="A164" s="58">
        <f t="shared" si="2"/>
        <v>106</v>
      </c>
      <c r="B164" s="59" t="s">
        <v>3263</v>
      </c>
      <c r="C164" s="60" t="s">
        <v>808</v>
      </c>
    </row>
    <row r="165" spans="1:3" x14ac:dyDescent="0.2">
      <c r="A165" s="58">
        <f t="shared" si="2"/>
        <v>107</v>
      </c>
      <c r="B165" s="59" t="s">
        <v>3264</v>
      </c>
      <c r="C165" s="60" t="s">
        <v>808</v>
      </c>
    </row>
    <row r="166" spans="1:3" x14ac:dyDescent="0.2">
      <c r="A166" s="58">
        <f t="shared" si="2"/>
        <v>108</v>
      </c>
      <c r="B166" s="59" t="s">
        <v>3265</v>
      </c>
      <c r="C166" s="60" t="s">
        <v>808</v>
      </c>
    </row>
    <row r="167" spans="1:3" x14ac:dyDescent="0.2">
      <c r="A167" s="58">
        <f t="shared" si="2"/>
        <v>109</v>
      </c>
      <c r="B167" s="59" t="s">
        <v>3266</v>
      </c>
      <c r="C167" s="60" t="s">
        <v>808</v>
      </c>
    </row>
    <row r="168" spans="1:3" x14ac:dyDescent="0.2">
      <c r="A168" s="58">
        <f t="shared" si="2"/>
        <v>110</v>
      </c>
      <c r="B168" s="59" t="s">
        <v>3267</v>
      </c>
      <c r="C168" s="60" t="s">
        <v>808</v>
      </c>
    </row>
    <row r="169" spans="1:3" x14ac:dyDescent="0.2">
      <c r="A169" s="58">
        <f t="shared" si="2"/>
        <v>111</v>
      </c>
      <c r="B169" s="59" t="s">
        <v>3268</v>
      </c>
      <c r="C169" s="60" t="s">
        <v>808</v>
      </c>
    </row>
    <row r="170" spans="1:3" x14ac:dyDescent="0.2">
      <c r="A170" s="58">
        <f t="shared" si="2"/>
        <v>112</v>
      </c>
      <c r="B170" s="59" t="s">
        <v>3269</v>
      </c>
      <c r="C170" s="60" t="s">
        <v>808</v>
      </c>
    </row>
    <row r="171" spans="1:3" x14ac:dyDescent="0.2">
      <c r="A171" s="58">
        <f t="shared" si="2"/>
        <v>113</v>
      </c>
      <c r="B171" s="61" t="s">
        <v>3270</v>
      </c>
      <c r="C171" s="62" t="s">
        <v>808</v>
      </c>
    </row>
    <row r="172" spans="1:3" x14ac:dyDescent="0.2">
      <c r="A172" s="58">
        <f t="shared" si="2"/>
        <v>114</v>
      </c>
      <c r="B172" s="59" t="s">
        <v>3271</v>
      </c>
      <c r="C172" s="60" t="s">
        <v>808</v>
      </c>
    </row>
    <row r="173" spans="1:3" x14ac:dyDescent="0.2">
      <c r="A173" s="58">
        <f t="shared" si="2"/>
        <v>115</v>
      </c>
      <c r="B173" s="59" t="s">
        <v>3272</v>
      </c>
      <c r="C173" s="60" t="s">
        <v>808</v>
      </c>
    </row>
    <row r="174" spans="1:3" x14ac:dyDescent="0.2">
      <c r="A174" s="58">
        <f t="shared" si="2"/>
        <v>116</v>
      </c>
      <c r="B174" s="59" t="s">
        <v>3273</v>
      </c>
      <c r="C174" s="60" t="s">
        <v>808</v>
      </c>
    </row>
    <row r="175" spans="1:3" x14ac:dyDescent="0.2">
      <c r="A175" s="58">
        <f t="shared" si="2"/>
        <v>117</v>
      </c>
      <c r="B175" s="59" t="s">
        <v>3274</v>
      </c>
      <c r="C175" s="60" t="s">
        <v>808</v>
      </c>
    </row>
    <row r="176" spans="1:3" x14ac:dyDescent="0.2">
      <c r="A176" s="58">
        <f t="shared" si="2"/>
        <v>118</v>
      </c>
      <c r="B176" s="59" t="s">
        <v>3275</v>
      </c>
      <c r="C176" s="60" t="s">
        <v>808</v>
      </c>
    </row>
    <row r="177" spans="1:3" x14ac:dyDescent="0.2">
      <c r="A177" s="58">
        <f t="shared" si="2"/>
        <v>119</v>
      </c>
      <c r="B177" s="59" t="s">
        <v>3276</v>
      </c>
      <c r="C177" s="60" t="s">
        <v>808</v>
      </c>
    </row>
    <row r="178" spans="1:3" x14ac:dyDescent="0.2">
      <c r="A178" s="58">
        <f t="shared" si="2"/>
        <v>120</v>
      </c>
      <c r="B178" s="59" t="s">
        <v>3277</v>
      </c>
      <c r="C178" s="60" t="s">
        <v>808</v>
      </c>
    </row>
    <row r="179" spans="1:3" x14ac:dyDescent="0.2">
      <c r="A179" s="58">
        <f t="shared" si="2"/>
        <v>121</v>
      </c>
      <c r="B179" s="59" t="s">
        <v>3278</v>
      </c>
      <c r="C179" s="60" t="s">
        <v>808</v>
      </c>
    </row>
    <row r="180" spans="1:3" x14ac:dyDescent="0.2">
      <c r="A180" s="58">
        <f t="shared" si="2"/>
        <v>122</v>
      </c>
      <c r="B180" s="59" t="s">
        <v>3279</v>
      </c>
      <c r="C180" s="60" t="s">
        <v>808</v>
      </c>
    </row>
    <row r="181" spans="1:3" x14ac:dyDescent="0.2">
      <c r="A181" s="58">
        <f t="shared" si="2"/>
        <v>123</v>
      </c>
      <c r="B181" s="59" t="s">
        <v>3280</v>
      </c>
      <c r="C181" s="60" t="s">
        <v>808</v>
      </c>
    </row>
    <row r="182" spans="1:3" x14ac:dyDescent="0.2">
      <c r="A182" s="58">
        <f t="shared" si="2"/>
        <v>124</v>
      </c>
      <c r="B182" s="59" t="s">
        <v>3281</v>
      </c>
      <c r="C182" s="60" t="s">
        <v>808</v>
      </c>
    </row>
    <row r="183" spans="1:3" x14ac:dyDescent="0.2">
      <c r="A183" s="58">
        <f t="shared" si="2"/>
        <v>125</v>
      </c>
      <c r="B183" s="61" t="s">
        <v>3282</v>
      </c>
      <c r="C183" s="62" t="s">
        <v>808</v>
      </c>
    </row>
    <row r="184" spans="1:3" x14ac:dyDescent="0.2">
      <c r="A184" s="58">
        <f t="shared" si="2"/>
        <v>126</v>
      </c>
      <c r="B184" s="59" t="s">
        <v>3283</v>
      </c>
      <c r="C184" s="60" t="s">
        <v>808</v>
      </c>
    </row>
    <row r="185" spans="1:3" x14ac:dyDescent="0.2">
      <c r="A185" s="58">
        <f t="shared" si="2"/>
        <v>127</v>
      </c>
      <c r="B185" s="61" t="s">
        <v>3284</v>
      </c>
      <c r="C185" s="62" t="s">
        <v>808</v>
      </c>
    </row>
    <row r="186" spans="1:3" x14ac:dyDescent="0.2">
      <c r="A186" s="58">
        <f t="shared" si="2"/>
        <v>128</v>
      </c>
      <c r="B186" s="59" t="s">
        <v>3285</v>
      </c>
      <c r="C186" s="60" t="s">
        <v>808</v>
      </c>
    </row>
    <row r="187" spans="1:3" x14ac:dyDescent="0.2">
      <c r="A187" s="58">
        <f t="shared" si="2"/>
        <v>129</v>
      </c>
      <c r="B187" s="59" t="s">
        <v>3286</v>
      </c>
      <c r="C187" s="60" t="s">
        <v>808</v>
      </c>
    </row>
    <row r="188" spans="1:3" x14ac:dyDescent="0.2">
      <c r="A188" s="58">
        <f t="shared" ref="A188:A251" si="3">1+A187</f>
        <v>130</v>
      </c>
      <c r="B188" s="59" t="s">
        <v>3287</v>
      </c>
      <c r="C188" s="60" t="s">
        <v>808</v>
      </c>
    </row>
    <row r="189" spans="1:3" x14ac:dyDescent="0.2">
      <c r="A189" s="58">
        <f t="shared" si="3"/>
        <v>131</v>
      </c>
      <c r="B189" s="59" t="s">
        <v>3288</v>
      </c>
      <c r="C189" s="60" t="s">
        <v>808</v>
      </c>
    </row>
    <row r="190" spans="1:3" x14ac:dyDescent="0.2">
      <c r="A190" s="58">
        <f t="shared" si="3"/>
        <v>132</v>
      </c>
      <c r="B190" s="59" t="s">
        <v>3289</v>
      </c>
      <c r="C190" s="60" t="s">
        <v>808</v>
      </c>
    </row>
    <row r="191" spans="1:3" x14ac:dyDescent="0.2">
      <c r="A191" s="58">
        <f t="shared" si="3"/>
        <v>133</v>
      </c>
      <c r="B191" s="59" t="s">
        <v>3290</v>
      </c>
      <c r="C191" s="60" t="s">
        <v>808</v>
      </c>
    </row>
    <row r="192" spans="1:3" x14ac:dyDescent="0.2">
      <c r="A192" s="58">
        <f t="shared" si="3"/>
        <v>134</v>
      </c>
      <c r="B192" s="59" t="s">
        <v>3291</v>
      </c>
      <c r="C192" s="60" t="s">
        <v>808</v>
      </c>
    </row>
    <row r="193" spans="1:3" x14ac:dyDescent="0.2">
      <c r="A193" s="58">
        <f t="shared" si="3"/>
        <v>135</v>
      </c>
      <c r="B193" s="61" t="s">
        <v>3292</v>
      </c>
      <c r="C193" s="62" t="s">
        <v>808</v>
      </c>
    </row>
    <row r="194" spans="1:3" x14ac:dyDescent="0.2">
      <c r="A194" s="58">
        <f t="shared" si="3"/>
        <v>136</v>
      </c>
      <c r="B194" s="59" t="s">
        <v>3293</v>
      </c>
      <c r="C194" s="60" t="s">
        <v>808</v>
      </c>
    </row>
    <row r="195" spans="1:3" x14ac:dyDescent="0.2">
      <c r="A195" s="58">
        <f t="shared" si="3"/>
        <v>137</v>
      </c>
      <c r="B195" s="59" t="s">
        <v>3294</v>
      </c>
      <c r="C195" s="60" t="s">
        <v>808</v>
      </c>
    </row>
    <row r="196" spans="1:3" x14ac:dyDescent="0.2">
      <c r="A196" s="58">
        <f t="shared" si="3"/>
        <v>138</v>
      </c>
      <c r="B196" s="59" t="s">
        <v>3295</v>
      </c>
      <c r="C196" s="60" t="s">
        <v>808</v>
      </c>
    </row>
    <row r="197" spans="1:3" x14ac:dyDescent="0.2">
      <c r="A197" s="58">
        <f t="shared" si="3"/>
        <v>139</v>
      </c>
      <c r="B197" s="59" t="s">
        <v>3296</v>
      </c>
      <c r="C197" s="60" t="s">
        <v>808</v>
      </c>
    </row>
    <row r="198" spans="1:3" x14ac:dyDescent="0.2">
      <c r="A198" s="58">
        <f t="shared" si="3"/>
        <v>140</v>
      </c>
      <c r="B198" s="59" t="s">
        <v>3297</v>
      </c>
      <c r="C198" s="60" t="s">
        <v>808</v>
      </c>
    </row>
    <row r="199" spans="1:3" x14ac:dyDescent="0.2">
      <c r="A199" s="58">
        <f t="shared" si="3"/>
        <v>141</v>
      </c>
      <c r="B199" s="59" t="s">
        <v>3298</v>
      </c>
      <c r="C199" s="60" t="s">
        <v>808</v>
      </c>
    </row>
    <row r="200" spans="1:3" x14ac:dyDescent="0.2">
      <c r="A200" s="58">
        <f t="shared" si="3"/>
        <v>142</v>
      </c>
      <c r="B200" s="59" t="s">
        <v>3299</v>
      </c>
      <c r="C200" s="60" t="s">
        <v>808</v>
      </c>
    </row>
    <row r="201" spans="1:3" x14ac:dyDescent="0.2">
      <c r="A201" s="58">
        <f t="shared" si="3"/>
        <v>143</v>
      </c>
      <c r="B201" s="59" t="s">
        <v>3300</v>
      </c>
      <c r="C201" s="60" t="s">
        <v>808</v>
      </c>
    </row>
    <row r="202" spans="1:3" x14ac:dyDescent="0.2">
      <c r="A202" s="58">
        <f t="shared" si="3"/>
        <v>144</v>
      </c>
      <c r="B202" s="61" t="s">
        <v>3301</v>
      </c>
      <c r="C202" s="62" t="s">
        <v>808</v>
      </c>
    </row>
    <row r="203" spans="1:3" x14ac:dyDescent="0.2">
      <c r="A203" s="58">
        <f t="shared" si="3"/>
        <v>145</v>
      </c>
      <c r="B203" s="59" t="s">
        <v>3302</v>
      </c>
      <c r="C203" s="60" t="s">
        <v>808</v>
      </c>
    </row>
    <row r="204" spans="1:3" x14ac:dyDescent="0.2">
      <c r="A204" s="58">
        <f t="shared" si="3"/>
        <v>146</v>
      </c>
      <c r="B204" s="59" t="s">
        <v>3303</v>
      </c>
      <c r="C204" s="60" t="s">
        <v>808</v>
      </c>
    </row>
    <row r="205" spans="1:3" x14ac:dyDescent="0.2">
      <c r="A205" s="58">
        <f t="shared" si="3"/>
        <v>147</v>
      </c>
      <c r="B205" s="59" t="s">
        <v>3304</v>
      </c>
      <c r="C205" s="60" t="s">
        <v>808</v>
      </c>
    </row>
    <row r="206" spans="1:3" x14ac:dyDescent="0.2">
      <c r="A206" s="58">
        <f t="shared" si="3"/>
        <v>148</v>
      </c>
      <c r="B206" s="59" t="s">
        <v>3305</v>
      </c>
      <c r="C206" s="60" t="s">
        <v>808</v>
      </c>
    </row>
    <row r="207" spans="1:3" x14ac:dyDescent="0.2">
      <c r="A207" s="58">
        <f t="shared" si="3"/>
        <v>149</v>
      </c>
      <c r="B207" s="59" t="s">
        <v>3306</v>
      </c>
      <c r="C207" s="60" t="s">
        <v>808</v>
      </c>
    </row>
    <row r="208" spans="1:3" x14ac:dyDescent="0.2">
      <c r="A208" s="58">
        <f t="shared" si="3"/>
        <v>150</v>
      </c>
      <c r="B208" s="59" t="s">
        <v>3307</v>
      </c>
      <c r="C208" s="60" t="s">
        <v>808</v>
      </c>
    </row>
    <row r="209" spans="1:3" x14ac:dyDescent="0.2">
      <c r="A209" s="58">
        <f t="shared" si="3"/>
        <v>151</v>
      </c>
      <c r="B209" s="59" t="s">
        <v>3308</v>
      </c>
      <c r="C209" s="60" t="s">
        <v>808</v>
      </c>
    </row>
    <row r="210" spans="1:3" x14ac:dyDescent="0.2">
      <c r="A210" s="58">
        <f t="shared" si="3"/>
        <v>152</v>
      </c>
      <c r="B210" s="61" t="s">
        <v>3309</v>
      </c>
      <c r="C210" s="62" t="s">
        <v>808</v>
      </c>
    </row>
    <row r="211" spans="1:3" x14ac:dyDescent="0.2">
      <c r="A211" s="58">
        <f t="shared" si="3"/>
        <v>153</v>
      </c>
      <c r="B211" s="59" t="s">
        <v>3310</v>
      </c>
      <c r="C211" s="60" t="s">
        <v>808</v>
      </c>
    </row>
    <row r="212" spans="1:3" x14ac:dyDescent="0.2">
      <c r="A212" s="58">
        <f t="shared" si="3"/>
        <v>154</v>
      </c>
      <c r="B212" s="59" t="s">
        <v>3311</v>
      </c>
      <c r="C212" s="60" t="s">
        <v>808</v>
      </c>
    </row>
    <row r="213" spans="1:3" x14ac:dyDescent="0.2">
      <c r="A213" s="58">
        <f t="shared" si="3"/>
        <v>155</v>
      </c>
      <c r="B213" s="59" t="s">
        <v>3312</v>
      </c>
      <c r="C213" s="60" t="s">
        <v>808</v>
      </c>
    </row>
    <row r="214" spans="1:3" x14ac:dyDescent="0.2">
      <c r="A214" s="58">
        <f t="shared" si="3"/>
        <v>156</v>
      </c>
      <c r="B214" s="59" t="s">
        <v>3313</v>
      </c>
      <c r="C214" s="60" t="s">
        <v>808</v>
      </c>
    </row>
    <row r="215" spans="1:3" x14ac:dyDescent="0.2">
      <c r="A215" s="58">
        <f t="shared" si="3"/>
        <v>157</v>
      </c>
      <c r="B215" s="59" t="s">
        <v>3314</v>
      </c>
      <c r="C215" s="60" t="s">
        <v>808</v>
      </c>
    </row>
    <row r="216" spans="1:3" x14ac:dyDescent="0.2">
      <c r="A216" s="58">
        <f t="shared" si="3"/>
        <v>158</v>
      </c>
      <c r="B216" s="59" t="s">
        <v>3315</v>
      </c>
      <c r="C216" s="60" t="s">
        <v>808</v>
      </c>
    </row>
    <row r="217" spans="1:3" x14ac:dyDescent="0.2">
      <c r="A217" s="58">
        <f t="shared" si="3"/>
        <v>159</v>
      </c>
      <c r="B217" s="59" t="s">
        <v>3316</v>
      </c>
      <c r="C217" s="60" t="s">
        <v>808</v>
      </c>
    </row>
    <row r="218" spans="1:3" x14ac:dyDescent="0.2">
      <c r="A218" s="58">
        <f t="shared" si="3"/>
        <v>160</v>
      </c>
      <c r="B218" s="59" t="s">
        <v>3317</v>
      </c>
      <c r="C218" s="60" t="s">
        <v>808</v>
      </c>
    </row>
    <row r="219" spans="1:3" x14ac:dyDescent="0.2">
      <c r="A219" s="58">
        <f t="shared" si="3"/>
        <v>161</v>
      </c>
      <c r="B219" s="59" t="s">
        <v>3318</v>
      </c>
      <c r="C219" s="60" t="s">
        <v>808</v>
      </c>
    </row>
    <row r="220" spans="1:3" x14ac:dyDescent="0.2">
      <c r="A220" s="58">
        <f t="shared" si="3"/>
        <v>162</v>
      </c>
      <c r="B220" s="61" t="s">
        <v>3319</v>
      </c>
      <c r="C220" s="62" t="s">
        <v>808</v>
      </c>
    </row>
    <row r="221" spans="1:3" x14ac:dyDescent="0.2">
      <c r="A221" s="58">
        <f t="shared" si="3"/>
        <v>163</v>
      </c>
      <c r="B221" s="59" t="s">
        <v>3320</v>
      </c>
      <c r="C221" s="60" t="s">
        <v>808</v>
      </c>
    </row>
    <row r="222" spans="1:3" x14ac:dyDescent="0.2">
      <c r="A222" s="58">
        <f t="shared" si="3"/>
        <v>164</v>
      </c>
      <c r="B222" s="59" t="s">
        <v>3321</v>
      </c>
      <c r="C222" s="60" t="s">
        <v>808</v>
      </c>
    </row>
    <row r="223" spans="1:3" x14ac:dyDescent="0.2">
      <c r="A223" s="58">
        <f t="shared" si="3"/>
        <v>165</v>
      </c>
      <c r="B223" s="59" t="s">
        <v>3322</v>
      </c>
      <c r="C223" s="60" t="s">
        <v>808</v>
      </c>
    </row>
    <row r="224" spans="1:3" x14ac:dyDescent="0.2">
      <c r="A224" s="58">
        <f t="shared" si="3"/>
        <v>166</v>
      </c>
      <c r="B224" s="59" t="s">
        <v>3323</v>
      </c>
      <c r="C224" s="60" t="s">
        <v>808</v>
      </c>
    </row>
    <row r="225" spans="1:3" x14ac:dyDescent="0.2">
      <c r="A225" s="58">
        <f t="shared" si="3"/>
        <v>167</v>
      </c>
      <c r="B225" s="61" t="s">
        <v>3324</v>
      </c>
      <c r="C225" s="62" t="s">
        <v>808</v>
      </c>
    </row>
    <row r="226" spans="1:3" x14ac:dyDescent="0.2">
      <c r="A226" s="58">
        <f t="shared" si="3"/>
        <v>168</v>
      </c>
      <c r="B226" s="59" t="s">
        <v>3325</v>
      </c>
      <c r="C226" s="60" t="s">
        <v>808</v>
      </c>
    </row>
    <row r="227" spans="1:3" x14ac:dyDescent="0.2">
      <c r="A227" s="58">
        <f t="shared" si="3"/>
        <v>169</v>
      </c>
      <c r="B227" s="59" t="s">
        <v>3326</v>
      </c>
      <c r="C227" s="60" t="s">
        <v>808</v>
      </c>
    </row>
    <row r="228" spans="1:3" x14ac:dyDescent="0.2">
      <c r="A228" s="58">
        <f t="shared" si="3"/>
        <v>170</v>
      </c>
      <c r="B228" s="59" t="s">
        <v>3327</v>
      </c>
      <c r="C228" s="60" t="s">
        <v>808</v>
      </c>
    </row>
    <row r="229" spans="1:3" x14ac:dyDescent="0.2">
      <c r="A229" s="58">
        <f t="shared" si="3"/>
        <v>171</v>
      </c>
      <c r="B229" s="63" t="s">
        <v>3328</v>
      </c>
      <c r="C229" s="64" t="s">
        <v>808</v>
      </c>
    </row>
    <row r="230" spans="1:3" x14ac:dyDescent="0.2">
      <c r="A230" s="58">
        <f t="shared" si="3"/>
        <v>172</v>
      </c>
      <c r="B230" s="59" t="s">
        <v>3329</v>
      </c>
      <c r="C230" s="60" t="s">
        <v>808</v>
      </c>
    </row>
    <row r="231" spans="1:3" x14ac:dyDescent="0.2">
      <c r="A231" s="58">
        <f t="shared" si="3"/>
        <v>173</v>
      </c>
      <c r="B231" s="59" t="s">
        <v>3330</v>
      </c>
      <c r="C231" s="60" t="s">
        <v>808</v>
      </c>
    </row>
    <row r="232" spans="1:3" x14ac:dyDescent="0.2">
      <c r="A232" s="58">
        <f t="shared" si="3"/>
        <v>174</v>
      </c>
      <c r="B232" s="59" t="s">
        <v>3331</v>
      </c>
      <c r="C232" s="60" t="s">
        <v>808</v>
      </c>
    </row>
    <row r="233" spans="1:3" x14ac:dyDescent="0.2">
      <c r="A233" s="58">
        <f t="shared" si="3"/>
        <v>175</v>
      </c>
      <c r="B233" s="59" t="s">
        <v>3332</v>
      </c>
      <c r="C233" s="60" t="s">
        <v>808</v>
      </c>
    </row>
    <row r="234" spans="1:3" x14ac:dyDescent="0.2">
      <c r="A234" s="58">
        <f t="shared" si="3"/>
        <v>176</v>
      </c>
      <c r="B234" s="59" t="s">
        <v>3333</v>
      </c>
      <c r="C234" s="60" t="s">
        <v>808</v>
      </c>
    </row>
    <row r="235" spans="1:3" x14ac:dyDescent="0.2">
      <c r="A235" s="58">
        <f t="shared" si="3"/>
        <v>177</v>
      </c>
      <c r="B235" s="59" t="s">
        <v>3334</v>
      </c>
      <c r="C235" s="60" t="s">
        <v>808</v>
      </c>
    </row>
    <row r="236" spans="1:3" x14ac:dyDescent="0.2">
      <c r="A236" s="58">
        <f t="shared" si="3"/>
        <v>178</v>
      </c>
      <c r="B236" s="59" t="s">
        <v>3335</v>
      </c>
      <c r="C236" s="60" t="s">
        <v>808</v>
      </c>
    </row>
    <row r="237" spans="1:3" x14ac:dyDescent="0.2">
      <c r="A237" s="58">
        <f t="shared" si="3"/>
        <v>179</v>
      </c>
      <c r="B237" s="59" t="s">
        <v>3336</v>
      </c>
      <c r="C237" s="60" t="s">
        <v>808</v>
      </c>
    </row>
    <row r="238" spans="1:3" x14ac:dyDescent="0.2">
      <c r="A238" s="58">
        <f t="shared" si="3"/>
        <v>180</v>
      </c>
      <c r="B238" s="59" t="s">
        <v>3337</v>
      </c>
      <c r="C238" s="60" t="s">
        <v>808</v>
      </c>
    </row>
    <row r="239" spans="1:3" x14ac:dyDescent="0.2">
      <c r="A239" s="58">
        <f t="shared" si="3"/>
        <v>181</v>
      </c>
      <c r="B239" s="59" t="s">
        <v>3338</v>
      </c>
      <c r="C239" s="60" t="s">
        <v>808</v>
      </c>
    </row>
    <row r="240" spans="1:3" x14ac:dyDescent="0.2">
      <c r="A240" s="58">
        <f t="shared" si="3"/>
        <v>182</v>
      </c>
      <c r="B240" s="61" t="s">
        <v>3339</v>
      </c>
      <c r="C240" s="62" t="s">
        <v>808</v>
      </c>
    </row>
    <row r="241" spans="1:3" x14ac:dyDescent="0.2">
      <c r="A241" s="58">
        <f t="shared" si="3"/>
        <v>183</v>
      </c>
      <c r="B241" s="59" t="s">
        <v>3340</v>
      </c>
      <c r="C241" s="60" t="s">
        <v>808</v>
      </c>
    </row>
    <row r="242" spans="1:3" x14ac:dyDescent="0.2">
      <c r="A242" s="58">
        <f t="shared" si="3"/>
        <v>184</v>
      </c>
      <c r="B242" s="59" t="s">
        <v>3341</v>
      </c>
      <c r="C242" s="60" t="s">
        <v>808</v>
      </c>
    </row>
    <row r="243" spans="1:3" x14ac:dyDescent="0.2">
      <c r="A243" s="58">
        <f t="shared" si="3"/>
        <v>185</v>
      </c>
      <c r="B243" s="59" t="s">
        <v>3342</v>
      </c>
      <c r="C243" s="60" t="s">
        <v>808</v>
      </c>
    </row>
    <row r="244" spans="1:3" x14ac:dyDescent="0.2">
      <c r="A244" s="58">
        <f t="shared" si="3"/>
        <v>186</v>
      </c>
      <c r="B244" s="59" t="s">
        <v>3343</v>
      </c>
      <c r="C244" s="60" t="s">
        <v>808</v>
      </c>
    </row>
    <row r="245" spans="1:3" x14ac:dyDescent="0.2">
      <c r="A245" s="58">
        <f t="shared" si="3"/>
        <v>187</v>
      </c>
      <c r="B245" s="59" t="s">
        <v>3344</v>
      </c>
      <c r="C245" s="60" t="s">
        <v>808</v>
      </c>
    </row>
    <row r="246" spans="1:3" x14ac:dyDescent="0.2">
      <c r="A246" s="58">
        <f t="shared" si="3"/>
        <v>188</v>
      </c>
      <c r="B246" s="59" t="s">
        <v>3345</v>
      </c>
      <c r="C246" s="60" t="s">
        <v>808</v>
      </c>
    </row>
    <row r="247" spans="1:3" x14ac:dyDescent="0.2">
      <c r="A247" s="58">
        <f t="shared" si="3"/>
        <v>189</v>
      </c>
      <c r="B247" s="59" t="s">
        <v>3346</v>
      </c>
      <c r="C247" s="60" t="s">
        <v>808</v>
      </c>
    </row>
    <row r="248" spans="1:3" x14ac:dyDescent="0.2">
      <c r="A248" s="58">
        <f t="shared" si="3"/>
        <v>190</v>
      </c>
      <c r="B248" s="59" t="s">
        <v>3347</v>
      </c>
      <c r="C248" s="60" t="s">
        <v>808</v>
      </c>
    </row>
    <row r="249" spans="1:3" x14ac:dyDescent="0.2">
      <c r="A249" s="58">
        <f t="shared" si="3"/>
        <v>191</v>
      </c>
      <c r="B249" s="59" t="s">
        <v>3348</v>
      </c>
      <c r="C249" s="60" t="s">
        <v>808</v>
      </c>
    </row>
    <row r="250" spans="1:3" x14ac:dyDescent="0.2">
      <c r="A250" s="58">
        <f t="shared" si="3"/>
        <v>192</v>
      </c>
      <c r="B250" s="59" t="s">
        <v>3349</v>
      </c>
      <c r="C250" s="60" t="s">
        <v>808</v>
      </c>
    </row>
    <row r="251" spans="1:3" x14ac:dyDescent="0.2">
      <c r="A251" s="58">
        <f t="shared" si="3"/>
        <v>193</v>
      </c>
      <c r="B251" s="59" t="s">
        <v>3350</v>
      </c>
      <c r="C251" s="60" t="s">
        <v>808</v>
      </c>
    </row>
    <row r="252" spans="1:3" x14ac:dyDescent="0.2">
      <c r="A252" s="58">
        <f t="shared" ref="A252:A315" si="4">1+A251</f>
        <v>194</v>
      </c>
      <c r="B252" s="59" t="s">
        <v>3351</v>
      </c>
      <c r="C252" s="60" t="s">
        <v>808</v>
      </c>
    </row>
    <row r="253" spans="1:3" x14ac:dyDescent="0.2">
      <c r="A253" s="58">
        <f t="shared" si="4"/>
        <v>195</v>
      </c>
      <c r="B253" s="59" t="s">
        <v>3352</v>
      </c>
      <c r="C253" s="60" t="s">
        <v>808</v>
      </c>
    </row>
    <row r="254" spans="1:3" x14ac:dyDescent="0.2">
      <c r="A254" s="58">
        <f t="shared" si="4"/>
        <v>196</v>
      </c>
      <c r="B254" s="59" t="s">
        <v>3353</v>
      </c>
      <c r="C254" s="60" t="s">
        <v>808</v>
      </c>
    </row>
    <row r="255" spans="1:3" x14ac:dyDescent="0.2">
      <c r="A255" s="58">
        <f t="shared" si="4"/>
        <v>197</v>
      </c>
      <c r="B255" s="59" t="s">
        <v>3354</v>
      </c>
      <c r="C255" s="60" t="s">
        <v>808</v>
      </c>
    </row>
    <row r="256" spans="1:3" x14ac:dyDescent="0.2">
      <c r="A256" s="58">
        <f t="shared" si="4"/>
        <v>198</v>
      </c>
      <c r="B256" s="59" t="s">
        <v>3355</v>
      </c>
      <c r="C256" s="60" t="s">
        <v>808</v>
      </c>
    </row>
    <row r="257" spans="1:3" x14ac:dyDescent="0.2">
      <c r="A257" s="58">
        <f t="shared" si="4"/>
        <v>199</v>
      </c>
      <c r="B257" s="59" t="s">
        <v>3356</v>
      </c>
      <c r="C257" s="60" t="s">
        <v>808</v>
      </c>
    </row>
    <row r="258" spans="1:3" x14ac:dyDescent="0.2">
      <c r="A258" s="58">
        <f t="shared" si="4"/>
        <v>200</v>
      </c>
      <c r="B258" s="59" t="s">
        <v>3357</v>
      </c>
      <c r="C258" s="60" t="s">
        <v>808</v>
      </c>
    </row>
    <row r="259" spans="1:3" x14ac:dyDescent="0.2">
      <c r="A259" s="58">
        <f t="shared" si="4"/>
        <v>201</v>
      </c>
      <c r="B259" s="59" t="s">
        <v>3358</v>
      </c>
      <c r="C259" s="60" t="s">
        <v>808</v>
      </c>
    </row>
    <row r="260" spans="1:3" x14ac:dyDescent="0.2">
      <c r="A260" s="58">
        <f t="shared" si="4"/>
        <v>202</v>
      </c>
      <c r="B260" s="59" t="s">
        <v>3359</v>
      </c>
      <c r="C260" s="60" t="s">
        <v>808</v>
      </c>
    </row>
    <row r="261" spans="1:3" x14ac:dyDescent="0.2">
      <c r="A261" s="58">
        <f t="shared" si="4"/>
        <v>203</v>
      </c>
      <c r="B261" s="59" t="s">
        <v>3360</v>
      </c>
      <c r="C261" s="60" t="s">
        <v>808</v>
      </c>
    </row>
    <row r="262" spans="1:3" x14ac:dyDescent="0.2">
      <c r="A262" s="58">
        <f t="shared" si="4"/>
        <v>204</v>
      </c>
      <c r="B262" s="59" t="s">
        <v>3361</v>
      </c>
      <c r="C262" s="60" t="s">
        <v>808</v>
      </c>
    </row>
    <row r="263" spans="1:3" x14ac:dyDescent="0.2">
      <c r="A263" s="58">
        <f t="shared" si="4"/>
        <v>205</v>
      </c>
      <c r="B263" s="59" t="s">
        <v>3362</v>
      </c>
      <c r="C263" s="60" t="s">
        <v>808</v>
      </c>
    </row>
    <row r="264" spans="1:3" x14ac:dyDescent="0.2">
      <c r="A264" s="58">
        <f t="shared" si="4"/>
        <v>206</v>
      </c>
      <c r="B264" s="59" t="s">
        <v>3363</v>
      </c>
      <c r="C264" s="60" t="s">
        <v>808</v>
      </c>
    </row>
    <row r="265" spans="1:3" x14ac:dyDescent="0.2">
      <c r="A265" s="58">
        <f t="shared" si="4"/>
        <v>207</v>
      </c>
      <c r="B265" s="59" t="s">
        <v>3364</v>
      </c>
      <c r="C265" s="60" t="s">
        <v>808</v>
      </c>
    </row>
    <row r="266" spans="1:3" x14ac:dyDescent="0.2">
      <c r="A266" s="58">
        <f t="shared" si="4"/>
        <v>208</v>
      </c>
      <c r="B266" s="59" t="s">
        <v>3365</v>
      </c>
      <c r="C266" s="60" t="s">
        <v>808</v>
      </c>
    </row>
    <row r="267" spans="1:3" x14ac:dyDescent="0.2">
      <c r="A267" s="58">
        <f t="shared" si="4"/>
        <v>209</v>
      </c>
      <c r="B267" s="59" t="s">
        <v>3366</v>
      </c>
      <c r="C267" s="60" t="s">
        <v>808</v>
      </c>
    </row>
    <row r="268" spans="1:3" x14ac:dyDescent="0.2">
      <c r="A268" s="58">
        <f t="shared" si="4"/>
        <v>210</v>
      </c>
      <c r="B268" s="59" t="s">
        <v>3367</v>
      </c>
      <c r="C268" s="60" t="s">
        <v>808</v>
      </c>
    </row>
    <row r="269" spans="1:3" x14ac:dyDescent="0.2">
      <c r="A269" s="58">
        <f t="shared" si="4"/>
        <v>211</v>
      </c>
      <c r="B269" s="59" t="s">
        <v>3368</v>
      </c>
      <c r="C269" s="60" t="s">
        <v>808</v>
      </c>
    </row>
    <row r="270" spans="1:3" x14ac:dyDescent="0.2">
      <c r="A270" s="58">
        <f t="shared" si="4"/>
        <v>212</v>
      </c>
      <c r="B270" s="59" t="s">
        <v>3369</v>
      </c>
      <c r="C270" s="60" t="s">
        <v>808</v>
      </c>
    </row>
    <row r="271" spans="1:3" x14ac:dyDescent="0.2">
      <c r="A271" s="58">
        <f t="shared" si="4"/>
        <v>213</v>
      </c>
      <c r="B271" s="59" t="s">
        <v>3370</v>
      </c>
      <c r="C271" s="60" t="s">
        <v>808</v>
      </c>
    </row>
    <row r="272" spans="1:3" x14ac:dyDescent="0.2">
      <c r="A272" s="58">
        <f t="shared" si="4"/>
        <v>214</v>
      </c>
      <c r="B272" s="59" t="s">
        <v>3371</v>
      </c>
      <c r="C272" s="60" t="s">
        <v>808</v>
      </c>
    </row>
    <row r="273" spans="1:3" x14ac:dyDescent="0.2">
      <c r="A273" s="58">
        <f t="shared" si="4"/>
        <v>215</v>
      </c>
      <c r="B273" s="59" t="s">
        <v>3372</v>
      </c>
      <c r="C273" s="60" t="s">
        <v>808</v>
      </c>
    </row>
    <row r="274" spans="1:3" x14ac:dyDescent="0.2">
      <c r="A274" s="58">
        <f t="shared" si="4"/>
        <v>216</v>
      </c>
      <c r="B274" s="59" t="s">
        <v>3373</v>
      </c>
      <c r="C274" s="60" t="s">
        <v>808</v>
      </c>
    </row>
    <row r="275" spans="1:3" x14ac:dyDescent="0.2">
      <c r="A275" s="58">
        <f t="shared" si="4"/>
        <v>217</v>
      </c>
      <c r="B275" s="59" t="s">
        <v>3374</v>
      </c>
      <c r="C275" s="60" t="s">
        <v>808</v>
      </c>
    </row>
    <row r="276" spans="1:3" x14ac:dyDescent="0.2">
      <c r="A276" s="58">
        <f t="shared" si="4"/>
        <v>218</v>
      </c>
      <c r="B276" s="59" t="s">
        <v>3375</v>
      </c>
      <c r="C276" s="60" t="s">
        <v>808</v>
      </c>
    </row>
    <row r="277" spans="1:3" x14ac:dyDescent="0.2">
      <c r="A277" s="58">
        <f t="shared" si="4"/>
        <v>219</v>
      </c>
      <c r="B277" s="59" t="s">
        <v>3376</v>
      </c>
      <c r="C277" s="60" t="s">
        <v>808</v>
      </c>
    </row>
    <row r="278" spans="1:3" x14ac:dyDescent="0.2">
      <c r="A278" s="58">
        <f t="shared" si="4"/>
        <v>220</v>
      </c>
      <c r="B278" s="59" t="s">
        <v>3377</v>
      </c>
      <c r="C278" s="60" t="s">
        <v>808</v>
      </c>
    </row>
    <row r="279" spans="1:3" x14ac:dyDescent="0.2">
      <c r="A279" s="58">
        <f t="shared" si="4"/>
        <v>221</v>
      </c>
      <c r="B279" s="59" t="s">
        <v>3378</v>
      </c>
      <c r="C279" s="60" t="s">
        <v>808</v>
      </c>
    </row>
    <row r="280" spans="1:3" x14ac:dyDescent="0.2">
      <c r="A280" s="58">
        <f t="shared" si="4"/>
        <v>222</v>
      </c>
      <c r="B280" s="59" t="s">
        <v>3379</v>
      </c>
      <c r="C280" s="60" t="s">
        <v>808</v>
      </c>
    </row>
    <row r="281" spans="1:3" x14ac:dyDescent="0.2">
      <c r="A281" s="58">
        <f t="shared" si="4"/>
        <v>223</v>
      </c>
      <c r="B281" s="59" t="s">
        <v>3380</v>
      </c>
      <c r="C281" s="60" t="s">
        <v>808</v>
      </c>
    </row>
    <row r="282" spans="1:3" x14ac:dyDescent="0.2">
      <c r="A282" s="58">
        <f t="shared" si="4"/>
        <v>224</v>
      </c>
      <c r="B282" s="59" t="s">
        <v>3381</v>
      </c>
      <c r="C282" s="60" t="s">
        <v>808</v>
      </c>
    </row>
    <row r="283" spans="1:3" x14ac:dyDescent="0.2">
      <c r="A283" s="58">
        <f t="shared" si="4"/>
        <v>225</v>
      </c>
      <c r="B283" s="59" t="s">
        <v>3382</v>
      </c>
      <c r="C283" s="60" t="s">
        <v>808</v>
      </c>
    </row>
    <row r="284" spans="1:3" x14ac:dyDescent="0.2">
      <c r="A284" s="58">
        <f t="shared" si="4"/>
        <v>226</v>
      </c>
      <c r="B284" s="59" t="s">
        <v>3383</v>
      </c>
      <c r="C284" s="60" t="s">
        <v>808</v>
      </c>
    </row>
    <row r="285" spans="1:3" x14ac:dyDescent="0.2">
      <c r="A285" s="58">
        <f t="shared" si="4"/>
        <v>227</v>
      </c>
      <c r="B285" s="59" t="s">
        <v>3384</v>
      </c>
      <c r="C285" s="60" t="s">
        <v>808</v>
      </c>
    </row>
    <row r="286" spans="1:3" x14ac:dyDescent="0.2">
      <c r="A286" s="58">
        <f t="shared" si="4"/>
        <v>228</v>
      </c>
      <c r="B286" s="59" t="s">
        <v>3385</v>
      </c>
      <c r="C286" s="60" t="s">
        <v>808</v>
      </c>
    </row>
    <row r="287" spans="1:3" x14ac:dyDescent="0.2">
      <c r="A287" s="58">
        <f t="shared" si="4"/>
        <v>229</v>
      </c>
      <c r="B287" s="59" t="s">
        <v>3386</v>
      </c>
      <c r="C287" s="60" t="s">
        <v>808</v>
      </c>
    </row>
    <row r="288" spans="1:3" x14ac:dyDescent="0.2">
      <c r="A288" s="58">
        <f t="shared" si="4"/>
        <v>230</v>
      </c>
      <c r="B288" s="61" t="s">
        <v>3387</v>
      </c>
      <c r="C288" s="62" t="s">
        <v>808</v>
      </c>
    </row>
    <row r="289" spans="1:3" x14ac:dyDescent="0.2">
      <c r="A289" s="58">
        <f t="shared" si="4"/>
        <v>231</v>
      </c>
      <c r="B289" s="61" t="s">
        <v>3388</v>
      </c>
      <c r="C289" s="62" t="s">
        <v>808</v>
      </c>
    </row>
    <row r="290" spans="1:3" x14ac:dyDescent="0.2">
      <c r="A290" s="58">
        <f t="shared" si="4"/>
        <v>232</v>
      </c>
      <c r="B290" s="61" t="s">
        <v>3389</v>
      </c>
      <c r="C290" s="60" t="s">
        <v>808</v>
      </c>
    </row>
    <row r="291" spans="1:3" x14ac:dyDescent="0.2">
      <c r="A291" s="58">
        <f t="shared" si="4"/>
        <v>233</v>
      </c>
      <c r="B291" s="59" t="s">
        <v>3390</v>
      </c>
      <c r="C291" s="60" t="s">
        <v>808</v>
      </c>
    </row>
    <row r="292" spans="1:3" x14ac:dyDescent="0.2">
      <c r="A292" s="58">
        <f t="shared" si="4"/>
        <v>234</v>
      </c>
      <c r="B292" s="59" t="s">
        <v>3391</v>
      </c>
      <c r="C292" s="60" t="s">
        <v>808</v>
      </c>
    </row>
    <row r="293" spans="1:3" x14ac:dyDescent="0.2">
      <c r="A293" s="58">
        <f t="shared" si="4"/>
        <v>235</v>
      </c>
      <c r="B293" s="59" t="s">
        <v>3392</v>
      </c>
      <c r="C293" s="60" t="s">
        <v>808</v>
      </c>
    </row>
    <row r="294" spans="1:3" x14ac:dyDescent="0.2">
      <c r="A294" s="58">
        <f t="shared" si="4"/>
        <v>236</v>
      </c>
      <c r="B294" s="61" t="s">
        <v>3393</v>
      </c>
      <c r="C294" s="62" t="s">
        <v>808</v>
      </c>
    </row>
    <row r="295" spans="1:3" x14ac:dyDescent="0.2">
      <c r="A295" s="58">
        <f t="shared" si="4"/>
        <v>237</v>
      </c>
      <c r="B295" s="61" t="s">
        <v>3394</v>
      </c>
      <c r="C295" s="62" t="s">
        <v>808</v>
      </c>
    </row>
    <row r="296" spans="1:3" x14ac:dyDescent="0.2">
      <c r="A296" s="58">
        <f t="shared" si="4"/>
        <v>238</v>
      </c>
      <c r="B296" s="59" t="s">
        <v>3395</v>
      </c>
      <c r="C296" s="60" t="s">
        <v>808</v>
      </c>
    </row>
    <row r="297" spans="1:3" x14ac:dyDescent="0.2">
      <c r="A297" s="58">
        <f t="shared" si="4"/>
        <v>239</v>
      </c>
      <c r="B297" s="59" t="s">
        <v>3396</v>
      </c>
      <c r="C297" s="60" t="s">
        <v>808</v>
      </c>
    </row>
    <row r="298" spans="1:3" x14ac:dyDescent="0.2">
      <c r="A298" s="58">
        <f t="shared" si="4"/>
        <v>240</v>
      </c>
      <c r="B298" s="59" t="s">
        <v>3397</v>
      </c>
      <c r="C298" s="60" t="s">
        <v>808</v>
      </c>
    </row>
    <row r="299" spans="1:3" x14ac:dyDescent="0.2">
      <c r="A299" s="58">
        <f t="shared" si="4"/>
        <v>241</v>
      </c>
      <c r="B299" s="59" t="s">
        <v>3398</v>
      </c>
      <c r="C299" s="60" t="s">
        <v>808</v>
      </c>
    </row>
    <row r="300" spans="1:3" x14ac:dyDescent="0.2">
      <c r="A300" s="58">
        <f t="shared" si="4"/>
        <v>242</v>
      </c>
      <c r="B300" s="59" t="s">
        <v>3399</v>
      </c>
      <c r="C300" s="60" t="s">
        <v>808</v>
      </c>
    </row>
    <row r="301" spans="1:3" x14ac:dyDescent="0.2">
      <c r="A301" s="58">
        <f t="shared" si="4"/>
        <v>243</v>
      </c>
      <c r="B301" s="59" t="s">
        <v>3400</v>
      </c>
      <c r="C301" s="60" t="s">
        <v>808</v>
      </c>
    </row>
    <row r="302" spans="1:3" x14ac:dyDescent="0.2">
      <c r="A302" s="58">
        <f t="shared" si="4"/>
        <v>244</v>
      </c>
      <c r="B302" s="59" t="s">
        <v>3401</v>
      </c>
      <c r="C302" s="60" t="s">
        <v>808</v>
      </c>
    </row>
    <row r="303" spans="1:3" x14ac:dyDescent="0.2">
      <c r="A303" s="58">
        <f t="shared" si="4"/>
        <v>245</v>
      </c>
      <c r="B303" s="59" t="s">
        <v>3402</v>
      </c>
      <c r="C303" s="60" t="s">
        <v>808</v>
      </c>
    </row>
    <row r="304" spans="1:3" x14ac:dyDescent="0.2">
      <c r="A304" s="58">
        <f t="shared" si="4"/>
        <v>246</v>
      </c>
      <c r="B304" s="59" t="s">
        <v>3403</v>
      </c>
      <c r="C304" s="60" t="s">
        <v>808</v>
      </c>
    </row>
    <row r="305" spans="1:3" x14ac:dyDescent="0.2">
      <c r="A305" s="58">
        <f t="shared" si="4"/>
        <v>247</v>
      </c>
      <c r="B305" s="59" t="s">
        <v>3404</v>
      </c>
      <c r="C305" s="60" t="s">
        <v>808</v>
      </c>
    </row>
    <row r="306" spans="1:3" x14ac:dyDescent="0.2">
      <c r="A306" s="58">
        <f t="shared" si="4"/>
        <v>248</v>
      </c>
      <c r="B306" s="59" t="s">
        <v>3405</v>
      </c>
      <c r="C306" s="60" t="s">
        <v>808</v>
      </c>
    </row>
    <row r="307" spans="1:3" x14ac:dyDescent="0.2">
      <c r="A307" s="58">
        <f t="shared" si="4"/>
        <v>249</v>
      </c>
      <c r="B307" s="59" t="s">
        <v>3406</v>
      </c>
      <c r="C307" s="60" t="s">
        <v>808</v>
      </c>
    </row>
    <row r="308" spans="1:3" x14ac:dyDescent="0.2">
      <c r="A308" s="58">
        <f t="shared" si="4"/>
        <v>250</v>
      </c>
      <c r="B308" s="59" t="s">
        <v>3407</v>
      </c>
      <c r="C308" s="60" t="s">
        <v>808</v>
      </c>
    </row>
    <row r="309" spans="1:3" x14ac:dyDescent="0.2">
      <c r="A309" s="58">
        <f t="shared" si="4"/>
        <v>251</v>
      </c>
      <c r="B309" s="59" t="s">
        <v>3408</v>
      </c>
      <c r="C309" s="60" t="s">
        <v>808</v>
      </c>
    </row>
    <row r="310" spans="1:3" x14ac:dyDescent="0.2">
      <c r="A310" s="58">
        <f t="shared" si="4"/>
        <v>252</v>
      </c>
      <c r="B310" s="59" t="s">
        <v>3409</v>
      </c>
      <c r="C310" s="60" t="s">
        <v>808</v>
      </c>
    </row>
    <row r="311" spans="1:3" x14ac:dyDescent="0.2">
      <c r="A311" s="58">
        <f t="shared" si="4"/>
        <v>253</v>
      </c>
      <c r="B311" s="59" t="s">
        <v>3410</v>
      </c>
      <c r="C311" s="60" t="s">
        <v>808</v>
      </c>
    </row>
    <row r="312" spans="1:3" x14ac:dyDescent="0.2">
      <c r="A312" s="58">
        <f t="shared" si="4"/>
        <v>254</v>
      </c>
      <c r="B312" s="61" t="s">
        <v>3411</v>
      </c>
      <c r="C312" s="62" t="s">
        <v>808</v>
      </c>
    </row>
    <row r="313" spans="1:3" x14ac:dyDescent="0.2">
      <c r="A313" s="58">
        <f t="shared" si="4"/>
        <v>255</v>
      </c>
      <c r="B313" s="59" t="s">
        <v>3412</v>
      </c>
      <c r="C313" s="60" t="s">
        <v>808</v>
      </c>
    </row>
    <row r="314" spans="1:3" x14ac:dyDescent="0.2">
      <c r="A314" s="58">
        <f t="shared" si="4"/>
        <v>256</v>
      </c>
      <c r="B314" s="61" t="s">
        <v>3413</v>
      </c>
      <c r="C314" s="62" t="s">
        <v>808</v>
      </c>
    </row>
    <row r="315" spans="1:3" x14ac:dyDescent="0.2">
      <c r="A315" s="58">
        <f t="shared" si="4"/>
        <v>257</v>
      </c>
      <c r="B315" s="61" t="s">
        <v>3414</v>
      </c>
      <c r="C315" s="62" t="s">
        <v>808</v>
      </c>
    </row>
    <row r="316" spans="1:3" x14ac:dyDescent="0.2">
      <c r="A316" s="58">
        <f t="shared" ref="A316:A379" si="5">1+A315</f>
        <v>258</v>
      </c>
      <c r="B316" s="59" t="s">
        <v>3415</v>
      </c>
      <c r="C316" s="60" t="s">
        <v>808</v>
      </c>
    </row>
    <row r="317" spans="1:3" x14ac:dyDescent="0.2">
      <c r="A317" s="58">
        <f t="shared" si="5"/>
        <v>259</v>
      </c>
      <c r="B317" s="59" t="s">
        <v>3416</v>
      </c>
      <c r="C317" s="60" t="s">
        <v>808</v>
      </c>
    </row>
    <row r="318" spans="1:3" x14ac:dyDescent="0.2">
      <c r="A318" s="58">
        <f t="shared" si="5"/>
        <v>260</v>
      </c>
      <c r="B318" s="59" t="s">
        <v>3417</v>
      </c>
      <c r="C318" s="60" t="s">
        <v>808</v>
      </c>
    </row>
    <row r="319" spans="1:3" x14ac:dyDescent="0.2">
      <c r="A319" s="58">
        <f t="shared" si="5"/>
        <v>261</v>
      </c>
      <c r="B319" s="59" t="s">
        <v>3418</v>
      </c>
      <c r="C319" s="60" t="s">
        <v>808</v>
      </c>
    </row>
    <row r="320" spans="1:3" x14ac:dyDescent="0.2">
      <c r="A320" s="58">
        <f t="shared" si="5"/>
        <v>262</v>
      </c>
      <c r="B320" s="59" t="s">
        <v>3419</v>
      </c>
      <c r="C320" s="60" t="s">
        <v>808</v>
      </c>
    </row>
    <row r="321" spans="1:3" x14ac:dyDescent="0.2">
      <c r="A321" s="58">
        <f t="shared" si="5"/>
        <v>263</v>
      </c>
      <c r="B321" s="59" t="s">
        <v>3420</v>
      </c>
      <c r="C321" s="60" t="s">
        <v>808</v>
      </c>
    </row>
    <row r="322" spans="1:3" x14ac:dyDescent="0.2">
      <c r="A322" s="58">
        <f t="shared" si="5"/>
        <v>264</v>
      </c>
      <c r="B322" s="59" t="s">
        <v>3421</v>
      </c>
      <c r="C322" s="60" t="s">
        <v>808</v>
      </c>
    </row>
    <row r="323" spans="1:3" x14ac:dyDescent="0.2">
      <c r="A323" s="58">
        <f t="shared" si="5"/>
        <v>265</v>
      </c>
      <c r="B323" s="59" t="s">
        <v>3422</v>
      </c>
      <c r="C323" s="60" t="s">
        <v>808</v>
      </c>
    </row>
    <row r="324" spans="1:3" x14ac:dyDescent="0.2">
      <c r="A324" s="58">
        <f t="shared" si="5"/>
        <v>266</v>
      </c>
      <c r="B324" s="61" t="s">
        <v>3423</v>
      </c>
      <c r="C324" s="62" t="s">
        <v>808</v>
      </c>
    </row>
    <row r="325" spans="1:3" x14ac:dyDescent="0.2">
      <c r="A325" s="58">
        <f t="shared" si="5"/>
        <v>267</v>
      </c>
      <c r="B325" s="59" t="s">
        <v>3424</v>
      </c>
      <c r="C325" s="60" t="s">
        <v>808</v>
      </c>
    </row>
    <row r="326" spans="1:3" x14ac:dyDescent="0.2">
      <c r="A326" s="58">
        <f t="shared" si="5"/>
        <v>268</v>
      </c>
      <c r="B326" s="59" t="s">
        <v>3425</v>
      </c>
      <c r="C326" s="60" t="s">
        <v>808</v>
      </c>
    </row>
    <row r="327" spans="1:3" x14ac:dyDescent="0.2">
      <c r="A327" s="58">
        <f t="shared" si="5"/>
        <v>269</v>
      </c>
      <c r="B327" s="59" t="s">
        <v>3426</v>
      </c>
      <c r="C327" s="60" t="s">
        <v>808</v>
      </c>
    </row>
    <row r="328" spans="1:3" x14ac:dyDescent="0.2">
      <c r="A328" s="58">
        <f t="shared" si="5"/>
        <v>270</v>
      </c>
      <c r="B328" s="59" t="s">
        <v>3427</v>
      </c>
      <c r="C328" s="60" t="s">
        <v>808</v>
      </c>
    </row>
    <row r="329" spans="1:3" x14ac:dyDescent="0.2">
      <c r="A329" s="58">
        <f t="shared" si="5"/>
        <v>271</v>
      </c>
      <c r="B329" s="59" t="s">
        <v>3428</v>
      </c>
      <c r="C329" s="60" t="s">
        <v>808</v>
      </c>
    </row>
    <row r="330" spans="1:3" x14ac:dyDescent="0.2">
      <c r="A330" s="58">
        <f t="shared" si="5"/>
        <v>272</v>
      </c>
      <c r="B330" s="59" t="s">
        <v>3429</v>
      </c>
      <c r="C330" s="60" t="s">
        <v>808</v>
      </c>
    </row>
    <row r="331" spans="1:3" x14ac:dyDescent="0.2">
      <c r="A331" s="58">
        <f t="shared" si="5"/>
        <v>273</v>
      </c>
      <c r="B331" s="59" t="s">
        <v>3430</v>
      </c>
      <c r="C331" s="60" t="s">
        <v>808</v>
      </c>
    </row>
    <row r="332" spans="1:3" x14ac:dyDescent="0.2">
      <c r="A332" s="58">
        <f t="shared" si="5"/>
        <v>274</v>
      </c>
      <c r="B332" s="59" t="s">
        <v>3431</v>
      </c>
      <c r="C332" s="60" t="s">
        <v>808</v>
      </c>
    </row>
    <row r="333" spans="1:3" x14ac:dyDescent="0.2">
      <c r="A333" s="58">
        <f t="shared" si="5"/>
        <v>275</v>
      </c>
      <c r="B333" s="59" t="s">
        <v>3432</v>
      </c>
      <c r="C333" s="60" t="s">
        <v>808</v>
      </c>
    </row>
    <row r="334" spans="1:3" x14ac:dyDescent="0.2">
      <c r="A334" s="58">
        <f t="shared" si="5"/>
        <v>276</v>
      </c>
      <c r="B334" s="59" t="s">
        <v>3433</v>
      </c>
      <c r="C334" s="60" t="s">
        <v>808</v>
      </c>
    </row>
    <row r="335" spans="1:3" x14ac:dyDescent="0.2">
      <c r="A335" s="58">
        <f t="shared" si="5"/>
        <v>277</v>
      </c>
      <c r="B335" s="59" t="s">
        <v>3434</v>
      </c>
      <c r="C335" s="60" t="s">
        <v>808</v>
      </c>
    </row>
    <row r="336" spans="1:3" x14ac:dyDescent="0.2">
      <c r="A336" s="58">
        <f t="shared" si="5"/>
        <v>278</v>
      </c>
      <c r="B336" s="59" t="s">
        <v>3435</v>
      </c>
      <c r="C336" s="60" t="s">
        <v>808</v>
      </c>
    </row>
    <row r="337" spans="1:3" x14ac:dyDescent="0.2">
      <c r="A337" s="58">
        <f t="shared" si="5"/>
        <v>279</v>
      </c>
      <c r="B337" s="59" t="s">
        <v>3436</v>
      </c>
      <c r="C337" s="60" t="s">
        <v>808</v>
      </c>
    </row>
    <row r="338" spans="1:3" x14ac:dyDescent="0.2">
      <c r="A338" s="58">
        <f t="shared" si="5"/>
        <v>280</v>
      </c>
      <c r="B338" s="61" t="s">
        <v>3437</v>
      </c>
      <c r="C338" s="62" t="s">
        <v>808</v>
      </c>
    </row>
    <row r="339" spans="1:3" x14ac:dyDescent="0.2">
      <c r="A339" s="58">
        <f t="shared" si="5"/>
        <v>281</v>
      </c>
      <c r="B339" s="59" t="s">
        <v>3438</v>
      </c>
      <c r="C339" s="60" t="s">
        <v>808</v>
      </c>
    </row>
    <row r="340" spans="1:3" x14ac:dyDescent="0.2">
      <c r="A340" s="58">
        <f t="shared" si="5"/>
        <v>282</v>
      </c>
      <c r="B340" s="59" t="s">
        <v>3439</v>
      </c>
      <c r="C340" s="60" t="s">
        <v>808</v>
      </c>
    </row>
    <row r="341" spans="1:3" x14ac:dyDescent="0.2">
      <c r="A341" s="58">
        <f t="shared" si="5"/>
        <v>283</v>
      </c>
      <c r="B341" s="59" t="s">
        <v>3440</v>
      </c>
      <c r="C341" s="60" t="s">
        <v>808</v>
      </c>
    </row>
    <row r="342" spans="1:3" x14ac:dyDescent="0.2">
      <c r="A342" s="58">
        <f t="shared" si="5"/>
        <v>284</v>
      </c>
      <c r="B342" s="59" t="s">
        <v>3441</v>
      </c>
      <c r="C342" s="60" t="s">
        <v>808</v>
      </c>
    </row>
    <row r="343" spans="1:3" x14ac:dyDescent="0.2">
      <c r="A343" s="58">
        <f t="shared" si="5"/>
        <v>285</v>
      </c>
      <c r="B343" s="59" t="s">
        <v>3442</v>
      </c>
      <c r="C343" s="60" t="s">
        <v>808</v>
      </c>
    </row>
    <row r="344" spans="1:3" x14ac:dyDescent="0.2">
      <c r="A344" s="58">
        <f t="shared" si="5"/>
        <v>286</v>
      </c>
      <c r="B344" s="59" t="s">
        <v>3443</v>
      </c>
      <c r="C344" s="60" t="s">
        <v>808</v>
      </c>
    </row>
    <row r="345" spans="1:3" x14ac:dyDescent="0.2">
      <c r="A345" s="58">
        <f t="shared" si="5"/>
        <v>287</v>
      </c>
      <c r="B345" s="59" t="s">
        <v>3444</v>
      </c>
      <c r="C345" s="60" t="s">
        <v>808</v>
      </c>
    </row>
    <row r="346" spans="1:3" x14ac:dyDescent="0.2">
      <c r="A346" s="58">
        <f t="shared" si="5"/>
        <v>288</v>
      </c>
      <c r="B346" s="61" t="s">
        <v>3445</v>
      </c>
      <c r="C346" s="62" t="s">
        <v>808</v>
      </c>
    </row>
    <row r="347" spans="1:3" x14ac:dyDescent="0.2">
      <c r="A347" s="58">
        <f t="shared" si="5"/>
        <v>289</v>
      </c>
      <c r="B347" s="59" t="s">
        <v>3446</v>
      </c>
      <c r="C347" s="60" t="s">
        <v>808</v>
      </c>
    </row>
    <row r="348" spans="1:3" x14ac:dyDescent="0.2">
      <c r="A348" s="58">
        <f t="shared" si="5"/>
        <v>290</v>
      </c>
      <c r="B348" s="59" t="s">
        <v>3447</v>
      </c>
      <c r="C348" s="60" t="s">
        <v>808</v>
      </c>
    </row>
    <row r="349" spans="1:3" x14ac:dyDescent="0.2">
      <c r="A349" s="58">
        <f t="shared" si="5"/>
        <v>291</v>
      </c>
      <c r="B349" s="59" t="s">
        <v>3448</v>
      </c>
      <c r="C349" s="60" t="s">
        <v>808</v>
      </c>
    </row>
    <row r="350" spans="1:3" x14ac:dyDescent="0.2">
      <c r="A350" s="58">
        <f t="shared" si="5"/>
        <v>292</v>
      </c>
      <c r="B350" s="59" t="s">
        <v>3449</v>
      </c>
      <c r="C350" s="60" t="s">
        <v>808</v>
      </c>
    </row>
    <row r="351" spans="1:3" x14ac:dyDescent="0.2">
      <c r="A351" s="58">
        <f t="shared" si="5"/>
        <v>293</v>
      </c>
      <c r="B351" s="59" t="s">
        <v>3450</v>
      </c>
      <c r="C351" s="60" t="s">
        <v>808</v>
      </c>
    </row>
    <row r="352" spans="1:3" x14ac:dyDescent="0.2">
      <c r="A352" s="58">
        <f t="shared" si="5"/>
        <v>294</v>
      </c>
      <c r="B352" s="59" t="s">
        <v>3451</v>
      </c>
      <c r="C352" s="60" t="s">
        <v>808</v>
      </c>
    </row>
    <row r="353" spans="1:3" x14ac:dyDescent="0.2">
      <c r="A353" s="58">
        <f t="shared" si="5"/>
        <v>295</v>
      </c>
      <c r="B353" s="59" t="s">
        <v>3452</v>
      </c>
      <c r="C353" s="60" t="s">
        <v>808</v>
      </c>
    </row>
    <row r="354" spans="1:3" x14ac:dyDescent="0.2">
      <c r="A354" s="58">
        <f t="shared" si="5"/>
        <v>296</v>
      </c>
      <c r="B354" s="59" t="s">
        <v>3453</v>
      </c>
      <c r="C354" s="60" t="s">
        <v>808</v>
      </c>
    </row>
    <row r="355" spans="1:3" x14ac:dyDescent="0.2">
      <c r="A355" s="58">
        <f t="shared" si="5"/>
        <v>297</v>
      </c>
      <c r="B355" s="59" t="s">
        <v>3454</v>
      </c>
      <c r="C355" s="60" t="s">
        <v>808</v>
      </c>
    </row>
    <row r="356" spans="1:3" x14ac:dyDescent="0.2">
      <c r="A356" s="58">
        <f t="shared" si="5"/>
        <v>298</v>
      </c>
      <c r="B356" s="59" t="s">
        <v>3455</v>
      </c>
      <c r="C356" s="60" t="s">
        <v>808</v>
      </c>
    </row>
    <row r="357" spans="1:3" x14ac:dyDescent="0.2">
      <c r="A357" s="58">
        <f t="shared" si="5"/>
        <v>299</v>
      </c>
      <c r="B357" s="59" t="s">
        <v>3456</v>
      </c>
      <c r="C357" s="60" t="s">
        <v>808</v>
      </c>
    </row>
    <row r="358" spans="1:3" x14ac:dyDescent="0.2">
      <c r="A358" s="58">
        <f t="shared" si="5"/>
        <v>300</v>
      </c>
      <c r="B358" s="59" t="s">
        <v>3457</v>
      </c>
      <c r="C358" s="60" t="s">
        <v>808</v>
      </c>
    </row>
    <row r="359" spans="1:3" x14ac:dyDescent="0.2">
      <c r="A359" s="58">
        <f t="shared" si="5"/>
        <v>301</v>
      </c>
      <c r="B359" s="59" t="s">
        <v>3458</v>
      </c>
      <c r="C359" s="60" t="s">
        <v>808</v>
      </c>
    </row>
    <row r="360" spans="1:3" x14ac:dyDescent="0.2">
      <c r="A360" s="58">
        <f t="shared" si="5"/>
        <v>302</v>
      </c>
      <c r="B360" s="59" t="s">
        <v>3459</v>
      </c>
      <c r="C360" s="60" t="s">
        <v>808</v>
      </c>
    </row>
    <row r="361" spans="1:3" x14ac:dyDescent="0.2">
      <c r="A361" s="58">
        <f t="shared" si="5"/>
        <v>303</v>
      </c>
      <c r="B361" s="59" t="s">
        <v>3460</v>
      </c>
      <c r="C361" s="60" t="s">
        <v>808</v>
      </c>
    </row>
    <row r="362" spans="1:3" x14ac:dyDescent="0.2">
      <c r="A362" s="58">
        <f t="shared" si="5"/>
        <v>304</v>
      </c>
      <c r="B362" s="59" t="s">
        <v>3461</v>
      </c>
      <c r="C362" s="60" t="s">
        <v>808</v>
      </c>
    </row>
    <row r="363" spans="1:3" x14ac:dyDescent="0.2">
      <c r="A363" s="58">
        <f t="shared" si="5"/>
        <v>305</v>
      </c>
      <c r="B363" s="59" t="s">
        <v>3462</v>
      </c>
      <c r="C363" s="60" t="s">
        <v>808</v>
      </c>
    </row>
    <row r="364" spans="1:3" x14ac:dyDescent="0.2">
      <c r="A364" s="58">
        <f t="shared" si="5"/>
        <v>306</v>
      </c>
      <c r="B364" s="59" t="s">
        <v>3463</v>
      </c>
      <c r="C364" s="60" t="s">
        <v>808</v>
      </c>
    </row>
    <row r="365" spans="1:3" x14ac:dyDescent="0.2">
      <c r="A365" s="58">
        <f t="shared" si="5"/>
        <v>307</v>
      </c>
      <c r="B365" s="59" t="s">
        <v>3464</v>
      </c>
      <c r="C365" s="60" t="s">
        <v>808</v>
      </c>
    </row>
    <row r="366" spans="1:3" x14ac:dyDescent="0.2">
      <c r="A366" s="58">
        <f t="shared" si="5"/>
        <v>308</v>
      </c>
      <c r="B366" s="59" t="s">
        <v>3465</v>
      </c>
      <c r="C366" s="60" t="s">
        <v>808</v>
      </c>
    </row>
    <row r="367" spans="1:3" x14ac:dyDescent="0.2">
      <c r="A367" s="58">
        <f t="shared" si="5"/>
        <v>309</v>
      </c>
      <c r="B367" s="59" t="s">
        <v>3466</v>
      </c>
      <c r="C367" s="60" t="s">
        <v>808</v>
      </c>
    </row>
    <row r="368" spans="1:3" x14ac:dyDescent="0.2">
      <c r="A368" s="58">
        <f t="shared" si="5"/>
        <v>310</v>
      </c>
      <c r="B368" s="59" t="s">
        <v>3467</v>
      </c>
      <c r="C368" s="60" t="s">
        <v>808</v>
      </c>
    </row>
    <row r="369" spans="1:3" x14ac:dyDescent="0.2">
      <c r="A369" s="58">
        <f t="shared" si="5"/>
        <v>311</v>
      </c>
      <c r="B369" s="59" t="s">
        <v>3468</v>
      </c>
      <c r="C369" s="60" t="s">
        <v>808</v>
      </c>
    </row>
    <row r="370" spans="1:3" x14ac:dyDescent="0.2">
      <c r="A370" s="58">
        <f t="shared" si="5"/>
        <v>312</v>
      </c>
      <c r="B370" s="59" t="s">
        <v>3469</v>
      </c>
      <c r="C370" s="60" t="s">
        <v>808</v>
      </c>
    </row>
    <row r="371" spans="1:3" x14ac:dyDescent="0.2">
      <c r="A371" s="58">
        <f t="shared" si="5"/>
        <v>313</v>
      </c>
      <c r="B371" s="59" t="s">
        <v>3470</v>
      </c>
      <c r="C371" s="60" t="s">
        <v>808</v>
      </c>
    </row>
    <row r="372" spans="1:3" x14ac:dyDescent="0.2">
      <c r="A372" s="58">
        <f t="shared" si="5"/>
        <v>314</v>
      </c>
      <c r="B372" s="59" t="s">
        <v>3471</v>
      </c>
      <c r="C372" s="60" t="s">
        <v>808</v>
      </c>
    </row>
    <row r="373" spans="1:3" x14ac:dyDescent="0.2">
      <c r="A373" s="58">
        <f t="shared" si="5"/>
        <v>315</v>
      </c>
      <c r="B373" s="59" t="s">
        <v>3472</v>
      </c>
      <c r="C373" s="60" t="s">
        <v>808</v>
      </c>
    </row>
    <row r="374" spans="1:3" x14ac:dyDescent="0.2">
      <c r="A374" s="58">
        <f t="shared" si="5"/>
        <v>316</v>
      </c>
      <c r="B374" s="59" t="s">
        <v>3473</v>
      </c>
      <c r="C374" s="60" t="s">
        <v>808</v>
      </c>
    </row>
    <row r="375" spans="1:3" x14ac:dyDescent="0.2">
      <c r="A375" s="58">
        <f t="shared" si="5"/>
        <v>317</v>
      </c>
      <c r="B375" s="59" t="s">
        <v>3474</v>
      </c>
      <c r="C375" s="60" t="s">
        <v>808</v>
      </c>
    </row>
    <row r="376" spans="1:3" x14ac:dyDescent="0.2">
      <c r="A376" s="58">
        <f t="shared" si="5"/>
        <v>318</v>
      </c>
      <c r="B376" s="59" t="s">
        <v>3475</v>
      </c>
      <c r="C376" s="60" t="s">
        <v>808</v>
      </c>
    </row>
    <row r="377" spans="1:3" x14ac:dyDescent="0.2">
      <c r="A377" s="58">
        <f t="shared" si="5"/>
        <v>319</v>
      </c>
      <c r="B377" s="59" t="s">
        <v>3476</v>
      </c>
      <c r="C377" s="60" t="s">
        <v>808</v>
      </c>
    </row>
    <row r="378" spans="1:3" x14ac:dyDescent="0.2">
      <c r="A378" s="58">
        <f t="shared" si="5"/>
        <v>320</v>
      </c>
      <c r="B378" s="59" t="s">
        <v>3477</v>
      </c>
      <c r="C378" s="60" t="s">
        <v>808</v>
      </c>
    </row>
    <row r="379" spans="1:3" x14ac:dyDescent="0.2">
      <c r="A379" s="58">
        <f t="shared" si="5"/>
        <v>321</v>
      </c>
      <c r="B379" s="59" t="s">
        <v>3478</v>
      </c>
      <c r="C379" s="60" t="s">
        <v>808</v>
      </c>
    </row>
    <row r="380" spans="1:3" x14ac:dyDescent="0.2">
      <c r="A380" s="58">
        <f t="shared" ref="A380:A425" si="6">1+A379</f>
        <v>322</v>
      </c>
      <c r="B380" s="59" t="s">
        <v>3479</v>
      </c>
      <c r="C380" s="60" t="s">
        <v>808</v>
      </c>
    </row>
    <row r="381" spans="1:3" x14ac:dyDescent="0.2">
      <c r="A381" s="58">
        <f t="shared" si="6"/>
        <v>323</v>
      </c>
      <c r="B381" s="59" t="s">
        <v>3480</v>
      </c>
      <c r="C381" s="60" t="s">
        <v>808</v>
      </c>
    </row>
    <row r="382" spans="1:3" x14ac:dyDescent="0.2">
      <c r="A382" s="58">
        <f t="shared" si="6"/>
        <v>324</v>
      </c>
      <c r="B382" s="59" t="s">
        <v>3481</v>
      </c>
      <c r="C382" s="60" t="s">
        <v>808</v>
      </c>
    </row>
    <row r="383" spans="1:3" x14ac:dyDescent="0.2">
      <c r="A383" s="58">
        <f t="shared" si="6"/>
        <v>325</v>
      </c>
      <c r="B383" s="59" t="s">
        <v>3482</v>
      </c>
      <c r="C383" s="60" t="s">
        <v>808</v>
      </c>
    </row>
    <row r="384" spans="1:3" x14ac:dyDescent="0.2">
      <c r="A384" s="58">
        <f t="shared" si="6"/>
        <v>326</v>
      </c>
      <c r="B384" s="59" t="s">
        <v>3483</v>
      </c>
      <c r="C384" s="60" t="s">
        <v>808</v>
      </c>
    </row>
    <row r="385" spans="1:3" x14ac:dyDescent="0.2">
      <c r="A385" s="58">
        <f t="shared" si="6"/>
        <v>327</v>
      </c>
      <c r="B385" s="59" t="s">
        <v>3484</v>
      </c>
      <c r="C385" s="60" t="s">
        <v>808</v>
      </c>
    </row>
    <row r="386" spans="1:3" x14ac:dyDescent="0.2">
      <c r="A386" s="58">
        <f t="shared" si="6"/>
        <v>328</v>
      </c>
      <c r="B386" s="59" t="s">
        <v>3485</v>
      </c>
      <c r="C386" s="60" t="s">
        <v>808</v>
      </c>
    </row>
    <row r="387" spans="1:3" x14ac:dyDescent="0.2">
      <c r="A387" s="58">
        <f t="shared" si="6"/>
        <v>329</v>
      </c>
      <c r="B387" s="59" t="s">
        <v>3486</v>
      </c>
      <c r="C387" s="60" t="s">
        <v>808</v>
      </c>
    </row>
    <row r="388" spans="1:3" x14ac:dyDescent="0.2">
      <c r="A388" s="58">
        <f t="shared" si="6"/>
        <v>330</v>
      </c>
      <c r="B388" s="59" t="s">
        <v>3487</v>
      </c>
      <c r="C388" s="60" t="s">
        <v>808</v>
      </c>
    </row>
    <row r="389" spans="1:3" x14ac:dyDescent="0.2">
      <c r="A389" s="58">
        <f t="shared" si="6"/>
        <v>331</v>
      </c>
      <c r="B389" s="59" t="s">
        <v>3488</v>
      </c>
      <c r="C389" s="60" t="s">
        <v>808</v>
      </c>
    </row>
    <row r="390" spans="1:3" x14ac:dyDescent="0.2">
      <c r="A390" s="58">
        <f t="shared" si="6"/>
        <v>332</v>
      </c>
      <c r="B390" s="59" t="s">
        <v>3489</v>
      </c>
      <c r="C390" s="60" t="s">
        <v>808</v>
      </c>
    </row>
    <row r="391" spans="1:3" x14ac:dyDescent="0.2">
      <c r="A391" s="58">
        <f t="shared" si="6"/>
        <v>333</v>
      </c>
      <c r="B391" s="59" t="s">
        <v>3490</v>
      </c>
      <c r="C391" s="60" t="s">
        <v>808</v>
      </c>
    </row>
    <row r="392" spans="1:3" x14ac:dyDescent="0.2">
      <c r="A392" s="58">
        <f t="shared" si="6"/>
        <v>334</v>
      </c>
      <c r="B392" s="59" t="s">
        <v>3491</v>
      </c>
      <c r="C392" s="60" t="s">
        <v>808</v>
      </c>
    </row>
    <row r="393" spans="1:3" x14ac:dyDescent="0.2">
      <c r="A393" s="58">
        <f t="shared" si="6"/>
        <v>335</v>
      </c>
      <c r="B393" s="59" t="s">
        <v>3492</v>
      </c>
      <c r="C393" s="60" t="s">
        <v>808</v>
      </c>
    </row>
    <row r="394" spans="1:3" x14ac:dyDescent="0.2">
      <c r="A394" s="58">
        <f t="shared" si="6"/>
        <v>336</v>
      </c>
      <c r="B394" s="59" t="s">
        <v>3493</v>
      </c>
      <c r="C394" s="60" t="s">
        <v>808</v>
      </c>
    </row>
    <row r="395" spans="1:3" x14ac:dyDescent="0.2">
      <c r="A395" s="58">
        <f t="shared" si="6"/>
        <v>337</v>
      </c>
      <c r="B395" s="59" t="s">
        <v>3494</v>
      </c>
      <c r="C395" s="60" t="s">
        <v>808</v>
      </c>
    </row>
    <row r="396" spans="1:3" x14ac:dyDescent="0.2">
      <c r="A396" s="58">
        <f t="shared" si="6"/>
        <v>338</v>
      </c>
      <c r="B396" s="59" t="s">
        <v>3495</v>
      </c>
      <c r="C396" s="60" t="s">
        <v>808</v>
      </c>
    </row>
    <row r="397" spans="1:3" x14ac:dyDescent="0.2">
      <c r="A397" s="58">
        <f t="shared" si="6"/>
        <v>339</v>
      </c>
      <c r="B397" s="59" t="s">
        <v>3496</v>
      </c>
      <c r="C397" s="60" t="s">
        <v>808</v>
      </c>
    </row>
    <row r="398" spans="1:3" x14ac:dyDescent="0.2">
      <c r="A398" s="58">
        <f t="shared" si="6"/>
        <v>340</v>
      </c>
      <c r="B398" s="59" t="s">
        <v>3497</v>
      </c>
      <c r="C398" s="60" t="s">
        <v>808</v>
      </c>
    </row>
    <row r="399" spans="1:3" x14ac:dyDescent="0.2">
      <c r="A399" s="58">
        <f t="shared" si="6"/>
        <v>341</v>
      </c>
      <c r="B399" s="59" t="s">
        <v>3498</v>
      </c>
      <c r="C399" s="60" t="s">
        <v>808</v>
      </c>
    </row>
    <row r="400" spans="1:3" x14ac:dyDescent="0.2">
      <c r="A400" s="58">
        <f t="shared" si="6"/>
        <v>342</v>
      </c>
      <c r="B400" s="59" t="s">
        <v>3499</v>
      </c>
      <c r="C400" s="60" t="s">
        <v>808</v>
      </c>
    </row>
    <row r="401" spans="1:3" x14ac:dyDescent="0.2">
      <c r="A401" s="58">
        <f t="shared" si="6"/>
        <v>343</v>
      </c>
      <c r="B401" s="59" t="s">
        <v>3500</v>
      </c>
      <c r="C401" s="60" t="s">
        <v>808</v>
      </c>
    </row>
    <row r="402" spans="1:3" x14ac:dyDescent="0.2">
      <c r="A402" s="58">
        <f t="shared" si="6"/>
        <v>344</v>
      </c>
      <c r="B402" s="59" t="s">
        <v>3501</v>
      </c>
      <c r="C402" s="60" t="s">
        <v>808</v>
      </c>
    </row>
    <row r="403" spans="1:3" x14ac:dyDescent="0.2">
      <c r="A403" s="58">
        <f t="shared" si="6"/>
        <v>345</v>
      </c>
      <c r="B403" s="59" t="s">
        <v>3502</v>
      </c>
      <c r="C403" s="60" t="s">
        <v>808</v>
      </c>
    </row>
    <row r="404" spans="1:3" x14ac:dyDescent="0.2">
      <c r="A404" s="58">
        <f t="shared" si="6"/>
        <v>346</v>
      </c>
      <c r="B404" s="59" t="s">
        <v>3503</v>
      </c>
      <c r="C404" s="60" t="s">
        <v>808</v>
      </c>
    </row>
    <row r="405" spans="1:3" x14ac:dyDescent="0.2">
      <c r="A405" s="58">
        <f t="shared" si="6"/>
        <v>347</v>
      </c>
      <c r="B405" s="59" t="s">
        <v>3504</v>
      </c>
      <c r="C405" s="60" t="s">
        <v>808</v>
      </c>
    </row>
    <row r="406" spans="1:3" x14ac:dyDescent="0.2">
      <c r="A406" s="58">
        <f t="shared" si="6"/>
        <v>348</v>
      </c>
      <c r="B406" s="59" t="s">
        <v>3505</v>
      </c>
      <c r="C406" s="60" t="s">
        <v>808</v>
      </c>
    </row>
    <row r="407" spans="1:3" x14ac:dyDescent="0.2">
      <c r="A407" s="58">
        <f t="shared" si="6"/>
        <v>349</v>
      </c>
      <c r="B407" s="59" t="s">
        <v>3506</v>
      </c>
      <c r="C407" s="60" t="s">
        <v>808</v>
      </c>
    </row>
    <row r="408" spans="1:3" x14ac:dyDescent="0.2">
      <c r="A408" s="58">
        <f t="shared" si="6"/>
        <v>350</v>
      </c>
      <c r="B408" s="59" t="s">
        <v>3507</v>
      </c>
      <c r="C408" s="60" t="s">
        <v>808</v>
      </c>
    </row>
    <row r="409" spans="1:3" x14ac:dyDescent="0.2">
      <c r="A409" s="58">
        <f t="shared" si="6"/>
        <v>351</v>
      </c>
      <c r="B409" s="59" t="s">
        <v>3508</v>
      </c>
      <c r="C409" s="60" t="s">
        <v>808</v>
      </c>
    </row>
    <row r="410" spans="1:3" x14ac:dyDescent="0.2">
      <c r="A410" s="58">
        <f t="shared" si="6"/>
        <v>352</v>
      </c>
      <c r="B410" s="59" t="s">
        <v>3509</v>
      </c>
      <c r="C410" s="60" t="s">
        <v>808</v>
      </c>
    </row>
    <row r="411" spans="1:3" x14ac:dyDescent="0.2">
      <c r="A411" s="58">
        <f t="shared" si="6"/>
        <v>353</v>
      </c>
      <c r="B411" s="59" t="s">
        <v>3510</v>
      </c>
      <c r="C411" s="60" t="s">
        <v>808</v>
      </c>
    </row>
    <row r="412" spans="1:3" x14ac:dyDescent="0.2">
      <c r="A412" s="58">
        <f t="shared" si="6"/>
        <v>354</v>
      </c>
      <c r="B412" s="59" t="s">
        <v>3511</v>
      </c>
      <c r="C412" s="60" t="s">
        <v>808</v>
      </c>
    </row>
    <row r="413" spans="1:3" x14ac:dyDescent="0.2">
      <c r="A413" s="58">
        <f t="shared" si="6"/>
        <v>355</v>
      </c>
      <c r="B413" s="59" t="s">
        <v>3512</v>
      </c>
      <c r="C413" s="60" t="s">
        <v>808</v>
      </c>
    </row>
    <row r="414" spans="1:3" x14ac:dyDescent="0.2">
      <c r="A414" s="58">
        <f t="shared" si="6"/>
        <v>356</v>
      </c>
      <c r="B414" s="59" t="s">
        <v>3513</v>
      </c>
      <c r="C414" s="60" t="s">
        <v>808</v>
      </c>
    </row>
    <row r="415" spans="1:3" x14ac:dyDescent="0.2">
      <c r="A415" s="58">
        <f t="shared" si="6"/>
        <v>357</v>
      </c>
      <c r="B415" s="59" t="s">
        <v>3514</v>
      </c>
      <c r="C415" s="60" t="s">
        <v>808</v>
      </c>
    </row>
    <row r="416" spans="1:3" x14ac:dyDescent="0.2">
      <c r="A416" s="58">
        <f t="shared" si="6"/>
        <v>358</v>
      </c>
      <c r="B416" s="59" t="s">
        <v>3515</v>
      </c>
      <c r="C416" s="60" t="s">
        <v>808</v>
      </c>
    </row>
    <row r="417" spans="1:3" x14ac:dyDescent="0.2">
      <c r="A417" s="58">
        <f t="shared" si="6"/>
        <v>359</v>
      </c>
      <c r="B417" s="59" t="s">
        <v>3516</v>
      </c>
      <c r="C417" s="60" t="s">
        <v>808</v>
      </c>
    </row>
    <row r="418" spans="1:3" x14ac:dyDescent="0.2">
      <c r="A418" s="58">
        <f t="shared" si="6"/>
        <v>360</v>
      </c>
      <c r="B418" s="59" t="s">
        <v>3517</v>
      </c>
      <c r="C418" s="60" t="s">
        <v>808</v>
      </c>
    </row>
    <row r="419" spans="1:3" x14ac:dyDescent="0.2">
      <c r="A419" s="58">
        <f t="shared" si="6"/>
        <v>361</v>
      </c>
      <c r="B419" s="59" t="s">
        <v>3518</v>
      </c>
      <c r="C419" s="60" t="s">
        <v>808</v>
      </c>
    </row>
    <row r="420" spans="1:3" x14ac:dyDescent="0.2">
      <c r="A420" s="58">
        <f t="shared" si="6"/>
        <v>362</v>
      </c>
      <c r="B420" s="59" t="s">
        <v>3519</v>
      </c>
      <c r="C420" s="60" t="s">
        <v>808</v>
      </c>
    </row>
    <row r="421" spans="1:3" x14ac:dyDescent="0.2">
      <c r="A421" s="58">
        <f t="shared" si="6"/>
        <v>363</v>
      </c>
      <c r="B421" s="59" t="s">
        <v>3520</v>
      </c>
      <c r="C421" s="60" t="s">
        <v>808</v>
      </c>
    </row>
    <row r="422" spans="1:3" x14ac:dyDescent="0.2">
      <c r="A422" s="58">
        <f t="shared" si="6"/>
        <v>364</v>
      </c>
      <c r="B422" s="59" t="s">
        <v>3521</v>
      </c>
      <c r="C422" s="60" t="s">
        <v>808</v>
      </c>
    </row>
    <row r="423" spans="1:3" x14ac:dyDescent="0.2">
      <c r="A423" s="58">
        <f t="shared" si="6"/>
        <v>365</v>
      </c>
      <c r="B423" s="59" t="s">
        <v>3522</v>
      </c>
      <c r="C423" s="60" t="s">
        <v>808</v>
      </c>
    </row>
    <row r="424" spans="1:3" x14ac:dyDescent="0.2">
      <c r="A424" s="58">
        <f t="shared" si="6"/>
        <v>366</v>
      </c>
      <c r="B424" s="59" t="s">
        <v>3523</v>
      </c>
      <c r="C424" s="60" t="s">
        <v>808</v>
      </c>
    </row>
    <row r="425" spans="1:3" x14ac:dyDescent="0.2">
      <c r="A425" s="58">
        <f t="shared" si="6"/>
        <v>367</v>
      </c>
      <c r="B425" s="57" t="s">
        <v>3551</v>
      </c>
    </row>
    <row r="426" spans="1:3" x14ac:dyDescent="0.2">
      <c r="B426" s="57" t="s">
        <v>3552</v>
      </c>
    </row>
    <row r="427" spans="1:3" x14ac:dyDescent="0.2">
      <c r="B427" s="57" t="s">
        <v>3553</v>
      </c>
    </row>
  </sheetData>
  <hyperlinks>
    <hyperlink ref="A1" location="Main!A1" display="Main" xr:uid="{09850D64-95EF-4F22-A00D-112C2828E95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72"/>
  <sheetViews>
    <sheetView zoomScale="200" zoomScaleNormal="200" workbookViewId="0">
      <selection activeCell="G44" sqref="G44"/>
    </sheetView>
  </sheetViews>
  <sheetFormatPr defaultRowHeight="13.5" x14ac:dyDescent="0.25"/>
  <cols>
    <col min="1" max="1" width="4" style="6" customWidth="1"/>
    <col min="2" max="2" width="24" style="6" customWidth="1"/>
    <col min="3" max="3" width="10.7109375" style="6" bestFit="1" customWidth="1"/>
    <col min="4" max="16384" width="9.140625" style="6"/>
  </cols>
  <sheetData>
    <row r="1" spans="1:18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spans="1:18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spans="1:18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3153</v>
      </c>
      <c r="G3" s="8" t="s">
        <v>3</v>
      </c>
      <c r="H3" s="8" t="s">
        <v>4</v>
      </c>
      <c r="I3" s="8" t="s">
        <v>5</v>
      </c>
      <c r="J3" s="8"/>
      <c r="K3" s="8"/>
      <c r="L3" s="8"/>
      <c r="M3" s="8"/>
      <c r="N3" s="8"/>
      <c r="O3" s="20"/>
      <c r="P3" s="4"/>
      <c r="Q3" s="4"/>
      <c r="R3" s="4"/>
    </row>
    <row r="4" spans="1:18" x14ac:dyDescent="0.25">
      <c r="A4" s="12">
        <v>1</v>
      </c>
      <c r="B4" s="13" t="s">
        <v>8</v>
      </c>
      <c r="C4" s="4" t="s">
        <v>428</v>
      </c>
      <c r="D4" s="51" t="s">
        <v>45</v>
      </c>
      <c r="E4" s="14"/>
      <c r="F4" s="14"/>
      <c r="G4" s="14"/>
      <c r="H4" s="14"/>
      <c r="I4" s="4"/>
      <c r="J4" s="4"/>
      <c r="K4" s="4"/>
      <c r="L4" s="4"/>
      <c r="M4" s="4"/>
      <c r="N4" s="4"/>
      <c r="O4" s="4"/>
      <c r="P4" s="4"/>
      <c r="Q4" s="4"/>
      <c r="R4" s="4"/>
    </row>
    <row r="5" spans="1:18" x14ac:dyDescent="0.25">
      <c r="A5" s="12">
        <f>+A4+1</f>
        <v>2</v>
      </c>
      <c r="B5" s="13" t="s">
        <v>10</v>
      </c>
      <c r="C5" s="4" t="s">
        <v>35</v>
      </c>
      <c r="D5" s="51" t="s">
        <v>45</v>
      </c>
      <c r="E5" s="14"/>
      <c r="F5" s="14"/>
      <c r="G5" s="14"/>
      <c r="H5" s="14"/>
      <c r="I5" s="4"/>
      <c r="J5" s="4"/>
      <c r="K5" s="4"/>
      <c r="L5" s="4"/>
      <c r="M5" s="4"/>
      <c r="N5" s="4"/>
      <c r="O5" s="4"/>
      <c r="P5" s="4"/>
      <c r="Q5" s="4"/>
      <c r="R5" s="4"/>
    </row>
    <row r="6" spans="1:18" x14ac:dyDescent="0.25">
      <c r="A6" s="12">
        <f t="shared" ref="A6:A41" si="0">+A5+1</f>
        <v>3</v>
      </c>
      <c r="B6" s="13" t="s">
        <v>13</v>
      </c>
      <c r="C6" s="4" t="s">
        <v>53</v>
      </c>
      <c r="D6" s="51" t="s">
        <v>1126</v>
      </c>
      <c r="E6" s="14"/>
      <c r="F6" s="14"/>
      <c r="G6" s="14"/>
      <c r="H6" s="14"/>
      <c r="I6" s="4"/>
      <c r="J6" s="4"/>
      <c r="K6" s="4"/>
      <c r="L6" s="4"/>
      <c r="M6" s="4"/>
      <c r="N6" s="4"/>
      <c r="O6" s="4"/>
      <c r="P6" s="4"/>
      <c r="Q6" s="4"/>
      <c r="R6" s="4"/>
    </row>
    <row r="7" spans="1:18" x14ac:dyDescent="0.25">
      <c r="A7" s="12">
        <f t="shared" si="0"/>
        <v>4</v>
      </c>
      <c r="B7" s="13" t="s">
        <v>16</v>
      </c>
      <c r="C7" s="51" t="s">
        <v>60</v>
      </c>
      <c r="D7" s="51" t="s">
        <v>59</v>
      </c>
      <c r="E7" s="14"/>
      <c r="F7" s="14"/>
      <c r="G7" s="14"/>
      <c r="H7" s="14"/>
      <c r="I7" s="4"/>
      <c r="J7" s="4"/>
      <c r="K7" s="4"/>
      <c r="L7" s="4"/>
      <c r="M7" s="4"/>
      <c r="N7" s="4"/>
      <c r="O7" s="4"/>
      <c r="P7" s="4"/>
      <c r="Q7" s="4"/>
      <c r="R7" s="4"/>
    </row>
    <row r="8" spans="1:18" x14ac:dyDescent="0.25">
      <c r="A8" s="12">
        <f t="shared" si="0"/>
        <v>5</v>
      </c>
      <c r="B8" s="13" t="s">
        <v>58</v>
      </c>
      <c r="C8" s="4" t="s">
        <v>58</v>
      </c>
      <c r="D8" s="51" t="s">
        <v>46</v>
      </c>
      <c r="E8" s="14"/>
      <c r="F8" s="14"/>
      <c r="G8" s="14"/>
      <c r="H8" s="14"/>
      <c r="I8" s="4"/>
      <c r="J8" s="4"/>
      <c r="K8" s="4"/>
      <c r="L8" s="4"/>
      <c r="M8" s="4"/>
      <c r="N8" s="4"/>
      <c r="O8" s="4"/>
      <c r="P8" s="4"/>
      <c r="Q8" s="4"/>
      <c r="R8" s="4"/>
    </row>
    <row r="9" spans="1:18" x14ac:dyDescent="0.25">
      <c r="A9" s="12">
        <f t="shared" si="0"/>
        <v>6</v>
      </c>
      <c r="B9" s="13" t="s">
        <v>64</v>
      </c>
      <c r="C9" s="4" t="s">
        <v>64</v>
      </c>
      <c r="D9" s="51" t="s">
        <v>45</v>
      </c>
      <c r="E9" s="14"/>
      <c r="F9" s="14"/>
      <c r="G9" s="14"/>
      <c r="H9" s="1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 x14ac:dyDescent="0.25">
      <c r="A10" s="12">
        <f t="shared" si="0"/>
        <v>7</v>
      </c>
      <c r="B10" s="13" t="s">
        <v>772</v>
      </c>
      <c r="C10" s="4" t="s">
        <v>69</v>
      </c>
      <c r="D10" s="51" t="s">
        <v>45</v>
      </c>
      <c r="E10" s="14"/>
      <c r="F10" s="14"/>
      <c r="G10" s="14"/>
      <c r="H10" s="1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 x14ac:dyDescent="0.25">
      <c r="A11" s="12">
        <f t="shared" si="0"/>
        <v>8</v>
      </c>
      <c r="B11" s="13" t="s">
        <v>23</v>
      </c>
      <c r="C11" s="4" t="s">
        <v>166</v>
      </c>
      <c r="D11" s="51" t="s">
        <v>45</v>
      </c>
      <c r="E11" s="14"/>
      <c r="F11" s="14"/>
      <c r="G11" s="14"/>
      <c r="H11" s="1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 x14ac:dyDescent="0.25">
      <c r="A12" s="12">
        <f t="shared" si="0"/>
        <v>9</v>
      </c>
      <c r="B12" s="13" t="s">
        <v>27</v>
      </c>
      <c r="C12" s="4" t="s">
        <v>110</v>
      </c>
      <c r="D12" s="51" t="s">
        <v>45</v>
      </c>
      <c r="E12" s="14"/>
      <c r="F12" s="14"/>
      <c r="G12" s="14"/>
      <c r="H12" s="1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 x14ac:dyDescent="0.25">
      <c r="A13" s="12">
        <f t="shared" si="0"/>
        <v>10</v>
      </c>
      <c r="B13" s="13" t="s">
        <v>72</v>
      </c>
      <c r="C13" s="4" t="s">
        <v>73</v>
      </c>
      <c r="D13" s="51" t="s">
        <v>45</v>
      </c>
      <c r="E13" s="14"/>
      <c r="F13" s="14"/>
      <c r="G13" s="14"/>
      <c r="H13" s="1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 x14ac:dyDescent="0.25">
      <c r="A14" s="12">
        <f t="shared" si="0"/>
        <v>11</v>
      </c>
      <c r="B14" s="4" t="s">
        <v>773</v>
      </c>
      <c r="C14" s="4" t="s">
        <v>81</v>
      </c>
      <c r="D14" s="51" t="s">
        <v>45</v>
      </c>
      <c r="E14" s="14"/>
      <c r="F14" s="14"/>
      <c r="G14" s="14"/>
      <c r="H14" s="1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spans="1:18" x14ac:dyDescent="0.25">
      <c r="A15" s="12">
        <f t="shared" si="0"/>
        <v>12</v>
      </c>
      <c r="B15" s="4" t="s">
        <v>95</v>
      </c>
      <c r="C15" s="4" t="s">
        <v>96</v>
      </c>
      <c r="D15" s="51" t="s">
        <v>45</v>
      </c>
      <c r="E15" s="14"/>
      <c r="F15" s="14"/>
      <c r="G15" s="14"/>
      <c r="H15" s="14"/>
      <c r="I15" s="4"/>
      <c r="J15" s="4"/>
      <c r="K15" s="4"/>
      <c r="L15" s="4"/>
      <c r="M15" s="4"/>
      <c r="N15" s="4"/>
      <c r="O15" s="4"/>
      <c r="P15" s="4"/>
      <c r="Q15" s="4"/>
      <c r="R15" s="4"/>
    </row>
    <row r="16" spans="1:18" x14ac:dyDescent="0.25">
      <c r="A16" s="12">
        <f t="shared" si="0"/>
        <v>13</v>
      </c>
      <c r="B16" s="4" t="s">
        <v>774</v>
      </c>
      <c r="C16" s="4" t="s">
        <v>775</v>
      </c>
      <c r="D16" s="51" t="s">
        <v>768</v>
      </c>
      <c r="E16" s="14"/>
      <c r="F16" s="14"/>
      <c r="G16" s="14"/>
      <c r="H16" s="14"/>
      <c r="I16" s="4"/>
      <c r="J16" s="4"/>
      <c r="K16" s="4"/>
      <c r="L16" s="4"/>
      <c r="M16" s="4"/>
      <c r="N16" s="4"/>
      <c r="O16" s="4"/>
      <c r="P16" s="4"/>
      <c r="Q16" s="4"/>
      <c r="R16" s="4"/>
    </row>
    <row r="17" spans="1:18" x14ac:dyDescent="0.25">
      <c r="A17" s="12">
        <f t="shared" si="0"/>
        <v>14</v>
      </c>
      <c r="B17" s="4" t="s">
        <v>776</v>
      </c>
      <c r="C17" s="4" t="s">
        <v>94</v>
      </c>
      <c r="D17" s="51" t="s">
        <v>45</v>
      </c>
      <c r="E17" s="14"/>
      <c r="F17" s="14"/>
      <c r="G17" s="14"/>
      <c r="H17" s="1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 x14ac:dyDescent="0.25">
      <c r="A18" s="12">
        <f t="shared" si="0"/>
        <v>15</v>
      </c>
      <c r="B18" s="4" t="s">
        <v>777</v>
      </c>
      <c r="C18" s="4" t="s">
        <v>280</v>
      </c>
      <c r="D18" s="51" t="s">
        <v>45</v>
      </c>
      <c r="E18" s="14"/>
      <c r="F18" s="14"/>
      <c r="G18" s="14"/>
      <c r="H18" s="1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spans="1:18" x14ac:dyDescent="0.25">
      <c r="A19" s="12">
        <f t="shared" si="0"/>
        <v>16</v>
      </c>
      <c r="B19" s="4" t="s">
        <v>104</v>
      </c>
      <c r="C19" s="4" t="s">
        <v>105</v>
      </c>
      <c r="D19" s="51" t="s">
        <v>45</v>
      </c>
      <c r="E19" s="14"/>
      <c r="F19" s="14"/>
      <c r="G19" s="14"/>
      <c r="H19" s="14"/>
      <c r="I19" s="4"/>
      <c r="J19" s="4"/>
      <c r="K19" s="4"/>
      <c r="L19" s="4"/>
      <c r="M19" s="4"/>
      <c r="N19" s="4"/>
      <c r="O19" s="4"/>
      <c r="P19" s="4"/>
      <c r="Q19" s="4"/>
      <c r="R19" s="4"/>
    </row>
    <row r="20" spans="1:18" x14ac:dyDescent="0.25">
      <c r="A20" s="12">
        <f t="shared" si="0"/>
        <v>17</v>
      </c>
      <c r="B20" s="4" t="s">
        <v>111</v>
      </c>
      <c r="C20" s="4" t="s">
        <v>778</v>
      </c>
      <c r="D20" s="51" t="s">
        <v>59</v>
      </c>
      <c r="E20" s="14"/>
      <c r="F20" s="14"/>
      <c r="G20" s="14"/>
      <c r="H20" s="1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spans="1:18" x14ac:dyDescent="0.25">
      <c r="A21" s="12">
        <f t="shared" si="0"/>
        <v>18</v>
      </c>
      <c r="B21" s="4" t="s">
        <v>117</v>
      </c>
      <c r="C21" s="4" t="s">
        <v>779</v>
      </c>
      <c r="D21" s="51" t="s">
        <v>87</v>
      </c>
      <c r="E21" s="14"/>
      <c r="F21" s="14"/>
      <c r="G21" s="14"/>
      <c r="H21" s="14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spans="1:18" x14ac:dyDescent="0.25">
      <c r="A22" s="12">
        <f t="shared" si="0"/>
        <v>19</v>
      </c>
      <c r="B22" s="4" t="s">
        <v>780</v>
      </c>
      <c r="C22" s="4" t="s">
        <v>108</v>
      </c>
      <c r="D22" s="51" t="s">
        <v>45</v>
      </c>
      <c r="E22" s="14"/>
      <c r="F22" s="14"/>
      <c r="G22" s="14"/>
      <c r="H22" s="14"/>
      <c r="I22" s="4"/>
      <c r="J22" s="4"/>
      <c r="K22" s="4"/>
      <c r="L22" s="4"/>
      <c r="M22" s="4"/>
      <c r="N22" s="4"/>
      <c r="O22" s="4"/>
      <c r="P22" s="4"/>
      <c r="Q22" s="4"/>
      <c r="R22" s="4"/>
    </row>
    <row r="23" spans="1:18" x14ac:dyDescent="0.25">
      <c r="A23" s="12">
        <f t="shared" si="0"/>
        <v>20</v>
      </c>
      <c r="B23" s="4" t="s">
        <v>781</v>
      </c>
      <c r="C23" s="4" t="s">
        <v>782</v>
      </c>
      <c r="D23" s="4"/>
      <c r="E23" s="14"/>
      <c r="F23" s="14"/>
      <c r="G23" s="14"/>
      <c r="H23" s="1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spans="1:18" x14ac:dyDescent="0.25">
      <c r="A24" s="12">
        <f t="shared" si="0"/>
        <v>21</v>
      </c>
      <c r="B24" s="4" t="s">
        <v>783</v>
      </c>
      <c r="C24" s="4" t="s">
        <v>150</v>
      </c>
      <c r="D24" s="4"/>
      <c r="E24" s="14"/>
      <c r="F24" s="14"/>
      <c r="G24" s="14"/>
      <c r="H24" s="14"/>
      <c r="I24" s="4"/>
      <c r="J24" s="4"/>
      <c r="K24" s="4"/>
      <c r="L24" s="4"/>
      <c r="M24" s="4"/>
      <c r="N24" s="4"/>
      <c r="O24" s="4"/>
      <c r="P24" s="4"/>
      <c r="Q24" s="4"/>
      <c r="R24" s="4"/>
    </row>
    <row r="25" spans="1:18" x14ac:dyDescent="0.25">
      <c r="A25" s="12">
        <f t="shared" si="0"/>
        <v>22</v>
      </c>
      <c r="B25" s="4" t="s">
        <v>784</v>
      </c>
      <c r="C25" s="4" t="s">
        <v>785</v>
      </c>
      <c r="D25" s="4"/>
      <c r="E25" s="14"/>
      <c r="F25" s="14"/>
      <c r="G25" s="14"/>
      <c r="H25" s="14"/>
      <c r="I25" s="4"/>
      <c r="J25" s="4"/>
      <c r="K25" s="4"/>
      <c r="L25" s="4"/>
      <c r="M25" s="4"/>
      <c r="N25" s="4"/>
      <c r="O25" s="4"/>
      <c r="P25" s="4"/>
      <c r="Q25" s="4"/>
      <c r="R25" s="4"/>
    </row>
    <row r="26" spans="1:18" x14ac:dyDescent="0.25">
      <c r="A26" s="12">
        <f t="shared" si="0"/>
        <v>23</v>
      </c>
      <c r="B26" s="4" t="s">
        <v>212</v>
      </c>
      <c r="C26" s="4" t="s">
        <v>786</v>
      </c>
      <c r="D26" s="4"/>
      <c r="E26" s="14"/>
      <c r="F26" s="14"/>
      <c r="G26" s="14"/>
      <c r="H26" s="14"/>
      <c r="I26" s="4"/>
      <c r="J26" s="4"/>
      <c r="K26" s="4"/>
      <c r="L26" s="4"/>
      <c r="M26" s="4"/>
      <c r="N26" s="4"/>
      <c r="O26" s="4"/>
      <c r="P26" s="4"/>
      <c r="Q26" s="4"/>
      <c r="R26" s="4"/>
    </row>
    <row r="27" spans="1:18" x14ac:dyDescent="0.25">
      <c r="A27" s="12">
        <f t="shared" si="0"/>
        <v>24</v>
      </c>
      <c r="B27" s="4" t="s">
        <v>787</v>
      </c>
      <c r="C27" s="4" t="s">
        <v>788</v>
      </c>
      <c r="D27" s="4"/>
      <c r="E27" s="14"/>
      <c r="F27" s="14"/>
      <c r="G27" s="14"/>
      <c r="H27" s="14"/>
      <c r="I27" s="4"/>
      <c r="J27" s="4"/>
      <c r="K27" s="4"/>
      <c r="L27" s="4"/>
      <c r="M27" s="4"/>
      <c r="N27" s="4"/>
      <c r="O27" s="4"/>
      <c r="P27" s="4"/>
      <c r="Q27" s="4"/>
      <c r="R27" s="4"/>
    </row>
    <row r="28" spans="1:18" x14ac:dyDescent="0.25">
      <c r="A28" s="12">
        <f t="shared" si="0"/>
        <v>25</v>
      </c>
      <c r="B28" s="4" t="s">
        <v>789</v>
      </c>
      <c r="C28" s="4" t="s">
        <v>790</v>
      </c>
      <c r="D28" s="4"/>
      <c r="E28" s="14"/>
      <c r="F28" s="14"/>
      <c r="G28" s="14"/>
      <c r="H28" s="14"/>
      <c r="I28" s="4"/>
      <c r="J28" s="4"/>
      <c r="K28" s="4"/>
      <c r="L28" s="4"/>
      <c r="M28" s="4"/>
      <c r="N28" s="4"/>
      <c r="O28" s="4"/>
      <c r="P28" s="4"/>
      <c r="Q28" s="4"/>
      <c r="R28" s="4"/>
    </row>
    <row r="29" spans="1:18" x14ac:dyDescent="0.25">
      <c r="A29" s="12">
        <f t="shared" si="0"/>
        <v>26</v>
      </c>
      <c r="B29" s="4" t="s">
        <v>791</v>
      </c>
      <c r="C29" s="4" t="s">
        <v>189</v>
      </c>
      <c r="D29" s="4"/>
      <c r="E29" s="14"/>
      <c r="F29" s="14"/>
      <c r="G29" s="14"/>
      <c r="H29" s="14"/>
      <c r="I29" s="4"/>
      <c r="J29" s="4"/>
      <c r="K29" s="4"/>
      <c r="L29" s="4"/>
      <c r="M29" s="4"/>
      <c r="N29" s="4"/>
      <c r="O29" s="4"/>
      <c r="P29" s="4"/>
      <c r="Q29" s="4"/>
      <c r="R29" s="4"/>
    </row>
    <row r="30" spans="1:18" x14ac:dyDescent="0.25">
      <c r="A30" s="12">
        <f t="shared" si="0"/>
        <v>27</v>
      </c>
      <c r="B30" s="4" t="s">
        <v>792</v>
      </c>
      <c r="C30" s="4" t="s">
        <v>793</v>
      </c>
      <c r="D30" s="4"/>
      <c r="E30" s="14"/>
      <c r="F30" s="14"/>
      <c r="G30" s="14"/>
      <c r="H30" s="14"/>
      <c r="I30" s="4"/>
      <c r="J30" s="4"/>
      <c r="K30" s="4"/>
      <c r="L30" s="4"/>
      <c r="M30" s="4"/>
      <c r="N30" s="4"/>
      <c r="O30" s="4"/>
      <c r="P30" s="4"/>
      <c r="Q30" s="4"/>
      <c r="R30" s="4"/>
    </row>
    <row r="31" spans="1:18" x14ac:dyDescent="0.25">
      <c r="A31" s="12">
        <f t="shared" si="0"/>
        <v>28</v>
      </c>
      <c r="B31" s="4" t="s">
        <v>177</v>
      </c>
      <c r="C31" s="4" t="s">
        <v>794</v>
      </c>
      <c r="D31" s="4"/>
      <c r="E31" s="14"/>
      <c r="F31" s="14"/>
      <c r="G31" s="14"/>
      <c r="H31" s="14"/>
      <c r="I31" s="4"/>
      <c r="J31" s="4"/>
      <c r="K31" s="4"/>
      <c r="L31" s="4"/>
      <c r="M31" s="4"/>
      <c r="N31" s="4"/>
      <c r="O31" s="4"/>
      <c r="P31" s="4"/>
      <c r="Q31" s="4"/>
      <c r="R31" s="4"/>
    </row>
    <row r="32" spans="1:18" x14ac:dyDescent="0.25">
      <c r="A32" s="12">
        <f t="shared" si="0"/>
        <v>29</v>
      </c>
      <c r="B32" s="4" t="s">
        <v>795</v>
      </c>
      <c r="C32" s="4" t="s">
        <v>796</v>
      </c>
      <c r="D32" s="4"/>
      <c r="E32" s="14"/>
      <c r="F32" s="14"/>
      <c r="G32" s="14"/>
      <c r="H32" s="1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spans="1:18" x14ac:dyDescent="0.25">
      <c r="A33" s="12">
        <f t="shared" si="0"/>
        <v>30</v>
      </c>
      <c r="B33" s="4" t="s">
        <v>797</v>
      </c>
      <c r="C33" s="4" t="s">
        <v>253</v>
      </c>
      <c r="D33" s="4"/>
      <c r="E33" s="14"/>
      <c r="F33" s="14"/>
      <c r="G33" s="14"/>
      <c r="H33" s="1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spans="1:18" x14ac:dyDescent="0.25">
      <c r="A34" s="12">
        <f t="shared" si="0"/>
        <v>31</v>
      </c>
      <c r="B34" s="4" t="s">
        <v>798</v>
      </c>
      <c r="C34" s="4" t="s">
        <v>799</v>
      </c>
      <c r="D34" s="4"/>
      <c r="E34" s="14"/>
      <c r="F34" s="14"/>
      <c r="G34" s="14"/>
      <c r="H34" s="14"/>
      <c r="I34" s="4"/>
      <c r="J34" s="4"/>
      <c r="K34" s="4"/>
      <c r="L34" s="4"/>
      <c r="M34" s="4"/>
      <c r="N34" s="4"/>
      <c r="O34" s="4"/>
      <c r="P34" s="4"/>
      <c r="Q34" s="4"/>
      <c r="R34" s="4"/>
    </row>
    <row r="35" spans="1:18" x14ac:dyDescent="0.25">
      <c r="A35" s="12">
        <f t="shared" si="0"/>
        <v>32</v>
      </c>
      <c r="B35" s="4" t="s">
        <v>800</v>
      </c>
      <c r="C35" s="4" t="s">
        <v>801</v>
      </c>
      <c r="D35" s="4"/>
      <c r="E35" s="14"/>
      <c r="F35" s="14"/>
      <c r="G35" s="14"/>
      <c r="H35" s="1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spans="1:18" x14ac:dyDescent="0.25">
      <c r="A36" s="12">
        <f t="shared" si="0"/>
        <v>33</v>
      </c>
      <c r="B36" s="4" t="s">
        <v>802</v>
      </c>
      <c r="C36" s="4" t="s">
        <v>291</v>
      </c>
      <c r="D36" s="4"/>
      <c r="E36" s="14"/>
      <c r="F36" s="14"/>
      <c r="G36" s="14"/>
      <c r="H36" s="14"/>
      <c r="I36" s="4"/>
      <c r="J36" s="4"/>
      <c r="K36" s="4"/>
      <c r="L36" s="4"/>
      <c r="M36" s="4"/>
      <c r="N36" s="4"/>
      <c r="O36" s="4"/>
      <c r="P36" s="4"/>
      <c r="Q36" s="4"/>
      <c r="R36" s="4"/>
    </row>
    <row r="37" spans="1:18" x14ac:dyDescent="0.25">
      <c r="A37" s="12">
        <f t="shared" si="0"/>
        <v>34</v>
      </c>
      <c r="B37" s="4" t="s">
        <v>803</v>
      </c>
      <c r="C37" s="4" t="s">
        <v>240</v>
      </c>
      <c r="D37" s="4"/>
      <c r="E37" s="14"/>
      <c r="F37" s="14"/>
      <c r="G37" s="14"/>
      <c r="H37" s="14"/>
      <c r="I37" s="4"/>
      <c r="J37" s="4"/>
      <c r="K37" s="4"/>
      <c r="L37" s="4"/>
      <c r="M37" s="4"/>
      <c r="N37" s="4"/>
      <c r="O37" s="4"/>
      <c r="P37" s="4"/>
      <c r="Q37" s="4"/>
      <c r="R37" s="4"/>
    </row>
    <row r="38" spans="1:18" x14ac:dyDescent="0.25">
      <c r="A38" s="12">
        <f t="shared" si="0"/>
        <v>35</v>
      </c>
      <c r="B38" s="4" t="s">
        <v>210</v>
      </c>
      <c r="C38" s="4" t="s">
        <v>804</v>
      </c>
      <c r="D38" s="4"/>
      <c r="E38" s="14"/>
      <c r="F38" s="14"/>
      <c r="G38" s="14"/>
      <c r="H38" s="14"/>
      <c r="I38" s="4"/>
      <c r="J38" s="4"/>
      <c r="K38" s="4"/>
      <c r="L38" s="4"/>
      <c r="M38" s="4"/>
      <c r="N38" s="4"/>
      <c r="O38" s="4"/>
      <c r="P38" s="4"/>
      <c r="Q38" s="4"/>
      <c r="R38" s="4"/>
    </row>
    <row r="39" spans="1:18" x14ac:dyDescent="0.25">
      <c r="A39" s="12">
        <f t="shared" si="0"/>
        <v>36</v>
      </c>
      <c r="B39" s="4" t="s">
        <v>348</v>
      </c>
      <c r="C39" s="4" t="s">
        <v>805</v>
      </c>
      <c r="D39" s="4"/>
      <c r="E39" s="14"/>
      <c r="F39" s="14"/>
      <c r="G39" s="14"/>
      <c r="H39" s="14"/>
      <c r="I39" s="4"/>
      <c r="J39" s="4"/>
      <c r="K39" s="4"/>
      <c r="L39" s="4"/>
      <c r="M39" s="4"/>
      <c r="N39" s="4"/>
      <c r="O39" s="4"/>
      <c r="P39" s="4"/>
      <c r="Q39" s="4"/>
      <c r="R39" s="4"/>
    </row>
    <row r="40" spans="1:18" x14ac:dyDescent="0.25">
      <c r="A40" s="12">
        <f t="shared" si="0"/>
        <v>37</v>
      </c>
      <c r="B40" s="4" t="s">
        <v>806</v>
      </c>
      <c r="C40" s="4" t="s">
        <v>807</v>
      </c>
      <c r="D40" s="4"/>
      <c r="E40" s="14"/>
      <c r="F40" s="14"/>
      <c r="G40" s="14"/>
      <c r="H40" s="14"/>
      <c r="I40" s="4"/>
      <c r="J40" s="4"/>
      <c r="K40" s="4"/>
      <c r="L40" s="4"/>
      <c r="M40" s="4"/>
      <c r="N40" s="4"/>
      <c r="O40" s="4"/>
      <c r="P40" s="4"/>
      <c r="Q40" s="4"/>
      <c r="R40" s="4"/>
    </row>
    <row r="41" spans="1:18" x14ac:dyDescent="0.25">
      <c r="A41" s="12">
        <f t="shared" si="0"/>
        <v>38</v>
      </c>
      <c r="B41" s="13" t="s">
        <v>810</v>
      </c>
      <c r="C41" s="49" t="s">
        <v>3152</v>
      </c>
      <c r="D41" s="49" t="s">
        <v>45</v>
      </c>
      <c r="E41" s="14">
        <f>+[84]Main!$L$2</f>
        <v>311.07</v>
      </c>
      <c r="F41" s="14">
        <f>+[84]Main!$L$4</f>
        <v>66951.596099999995</v>
      </c>
      <c r="G41" s="14">
        <f>+[84]Main!$L$6-[84]Main!$L$5</f>
        <v>-1108.2370000000001</v>
      </c>
      <c r="H41" s="14">
        <f>+F41+G41</f>
        <v>65843.359100000001</v>
      </c>
      <c r="I41" s="55" t="s">
        <v>3147</v>
      </c>
      <c r="J41" s="4"/>
      <c r="K41" s="4"/>
      <c r="L41" s="4"/>
      <c r="M41" s="4"/>
      <c r="N41" s="4"/>
      <c r="O41" s="4"/>
      <c r="P41" s="4"/>
      <c r="Q41" s="4"/>
      <c r="R41" s="4"/>
    </row>
    <row r="42" spans="1:18" x14ac:dyDescent="0.25">
      <c r="A42" s="12"/>
      <c r="B42" s="4"/>
      <c r="C42" s="4"/>
      <c r="D42" s="4"/>
      <c r="E42" s="14"/>
      <c r="F42" s="14"/>
      <c r="G42" s="14"/>
      <c r="H42" s="14"/>
      <c r="I42" s="4"/>
      <c r="J42" s="4"/>
      <c r="K42" s="4"/>
      <c r="L42" s="4"/>
      <c r="M42" s="4"/>
      <c r="N42" s="4"/>
      <c r="O42" s="4"/>
      <c r="P42" s="4"/>
      <c r="Q42" s="4"/>
      <c r="R42" s="4"/>
    </row>
    <row r="43" spans="1:18" x14ac:dyDescent="0.25">
      <c r="A43" s="12"/>
      <c r="B43" s="4"/>
      <c r="C43" s="4"/>
      <c r="D43" s="4"/>
      <c r="E43" s="14"/>
      <c r="F43" s="14"/>
      <c r="G43" s="14"/>
      <c r="H43" s="14"/>
      <c r="I43" s="4"/>
      <c r="J43" s="4"/>
      <c r="K43" s="4"/>
      <c r="L43" s="4"/>
      <c r="M43" s="4"/>
      <c r="N43" s="4"/>
      <c r="O43" s="4"/>
      <c r="P43" s="4"/>
      <c r="Q43" s="4"/>
      <c r="R43" s="4"/>
    </row>
    <row r="44" spans="1:18" x14ac:dyDescent="0.25">
      <c r="A44" s="4"/>
      <c r="B44" s="4"/>
      <c r="C44" s="4"/>
      <c r="D44" s="4"/>
      <c r="E44" s="14"/>
      <c r="F44" s="14"/>
      <c r="G44" s="14"/>
      <c r="H44" s="1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spans="1:18" x14ac:dyDescent="0.25">
      <c r="A45" s="4"/>
      <c r="B45" s="4"/>
      <c r="C45" s="4"/>
      <c r="D45" s="4"/>
      <c r="E45" s="14"/>
      <c r="F45" s="14"/>
      <c r="G45" s="14"/>
      <c r="H45" s="14"/>
      <c r="I45" s="4"/>
      <c r="J45" s="4"/>
      <c r="K45" s="4"/>
      <c r="L45" s="4"/>
      <c r="M45" s="4"/>
      <c r="N45" s="4"/>
      <c r="O45" s="4"/>
      <c r="P45" s="4"/>
      <c r="Q45" s="4"/>
      <c r="R45" s="4"/>
    </row>
    <row r="46" spans="1:18" x14ac:dyDescent="0.25">
      <c r="A46" s="4"/>
      <c r="B46" s="4" t="s">
        <v>808</v>
      </c>
      <c r="C46" s="4"/>
      <c r="D46" s="4"/>
      <c r="E46" s="14"/>
      <c r="F46" s="14"/>
      <c r="G46" s="14"/>
      <c r="H46" s="14"/>
      <c r="I46" s="4"/>
      <c r="J46" s="4"/>
      <c r="K46" s="4"/>
      <c r="L46" s="4"/>
      <c r="M46" s="4"/>
      <c r="N46" s="4"/>
      <c r="O46" s="4"/>
      <c r="P46" s="4"/>
      <c r="Q46" s="4"/>
      <c r="R46" s="4"/>
    </row>
    <row r="47" spans="1:18" x14ac:dyDescent="0.25">
      <c r="A47" s="4"/>
      <c r="B47" s="4" t="s">
        <v>809</v>
      </c>
      <c r="C47" s="4"/>
      <c r="D47" s="4"/>
      <c r="E47" s="14"/>
      <c r="F47" s="14"/>
      <c r="G47" s="14"/>
      <c r="H47" s="1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spans="1:18" x14ac:dyDescent="0.25">
      <c r="A48" s="4"/>
      <c r="B48" s="4"/>
      <c r="C48" s="4"/>
      <c r="D48" s="4"/>
      <c r="E48" s="14"/>
      <c r="F48" s="14"/>
      <c r="G48" s="14"/>
      <c r="H48" s="14"/>
      <c r="I48" s="4"/>
      <c r="J48" s="4"/>
      <c r="K48" s="4"/>
      <c r="L48" s="4"/>
      <c r="M48" s="4"/>
      <c r="N48" s="4"/>
      <c r="O48" s="4"/>
      <c r="P48" s="4"/>
      <c r="Q48" s="4"/>
      <c r="R48" s="4"/>
    </row>
    <row r="49" spans="1:18" x14ac:dyDescent="0.25">
      <c r="A49" s="4"/>
      <c r="B49" s="4"/>
      <c r="C49" s="4"/>
      <c r="D49" s="4"/>
      <c r="E49" s="14"/>
      <c r="F49" s="14"/>
      <c r="G49" s="14"/>
      <c r="H49" s="14"/>
      <c r="I49" s="4"/>
      <c r="J49" s="4"/>
      <c r="K49" s="4"/>
      <c r="L49" s="4"/>
      <c r="M49" s="4"/>
      <c r="N49" s="4"/>
      <c r="O49" s="4"/>
      <c r="P49" s="4"/>
      <c r="Q49" s="4"/>
      <c r="R49" s="4"/>
    </row>
    <row r="50" spans="1:18" x14ac:dyDescent="0.25">
      <c r="A50" s="4"/>
      <c r="B50" s="4"/>
      <c r="C50" s="4"/>
      <c r="D50" s="4"/>
      <c r="E50" s="14"/>
      <c r="F50" s="14"/>
      <c r="G50" s="14"/>
      <c r="H50" s="1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spans="1:18" x14ac:dyDescent="0.25">
      <c r="A51" s="4"/>
      <c r="B51" s="4"/>
      <c r="C51" s="4"/>
      <c r="D51" s="4"/>
      <c r="E51" s="14"/>
      <c r="F51" s="14"/>
      <c r="G51" s="14"/>
      <c r="H51" s="14"/>
      <c r="I51" s="4"/>
      <c r="J51" s="4"/>
      <c r="K51" s="4"/>
      <c r="L51" s="4"/>
      <c r="M51" s="4"/>
      <c r="N51" s="4"/>
      <c r="O51" s="4"/>
      <c r="P51" s="4"/>
      <c r="Q51" s="4"/>
      <c r="R51" s="4"/>
    </row>
    <row r="52" spans="1:18" x14ac:dyDescent="0.25">
      <c r="A52" s="4"/>
      <c r="B52" s="4"/>
      <c r="C52" s="4"/>
      <c r="D52" s="4"/>
      <c r="E52" s="14"/>
      <c r="F52" s="14"/>
      <c r="G52" s="14"/>
      <c r="H52" s="14"/>
      <c r="I52" s="4"/>
      <c r="J52" s="4"/>
      <c r="K52" s="4"/>
      <c r="L52" s="4"/>
      <c r="M52" s="4"/>
      <c r="N52" s="4"/>
      <c r="O52" s="4"/>
      <c r="P52" s="4"/>
      <c r="Q52" s="4"/>
      <c r="R52" s="4"/>
    </row>
    <row r="53" spans="1:18" x14ac:dyDescent="0.25">
      <c r="A53" s="4"/>
      <c r="B53" s="4"/>
      <c r="C53" s="4"/>
      <c r="D53" s="4"/>
      <c r="E53" s="14"/>
      <c r="F53" s="14"/>
      <c r="G53" s="14"/>
      <c r="H53" s="1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spans="1:18" x14ac:dyDescent="0.25">
      <c r="A54" s="4"/>
      <c r="B54" s="4"/>
      <c r="C54" s="4"/>
      <c r="D54" s="4"/>
      <c r="E54" s="14"/>
      <c r="F54" s="14"/>
      <c r="G54" s="14"/>
      <c r="H54" s="14"/>
      <c r="I54" s="4"/>
      <c r="J54" s="4"/>
      <c r="K54" s="4"/>
      <c r="L54" s="4"/>
      <c r="M54" s="4"/>
      <c r="N54" s="4"/>
      <c r="O54" s="4"/>
      <c r="P54" s="4"/>
      <c r="Q54" s="4"/>
      <c r="R54" s="4"/>
    </row>
    <row r="55" spans="1:18" x14ac:dyDescent="0.25">
      <c r="A55" s="4"/>
      <c r="B55" s="4"/>
      <c r="C55" s="4"/>
      <c r="D55" s="4"/>
      <c r="E55" s="14"/>
      <c r="F55" s="14"/>
      <c r="G55" s="14"/>
      <c r="H55" s="1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spans="1:18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</row>
    <row r="58" spans="1:18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</row>
    <row r="59" spans="1:18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spans="1:18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</row>
    <row r="61" spans="1:18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</row>
    <row r="62" spans="1:18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3" spans="1:18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</row>
    <row r="64" spans="1:18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</row>
    <row r="65" spans="1:18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</row>
    <row r="67" spans="1:18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</row>
    <row r="68" spans="1:18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spans="1:18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</row>
    <row r="70" spans="1:18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</row>
    <row r="71" spans="1:18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  <hyperlink ref="B41" r:id="rId13" xr:uid="{4CC0C72F-8714-4B97-938F-1BF0786B2FC3}"/>
    <hyperlink ref="B7" r:id="rId14" xr:uid="{C537EA4E-0A4F-4FD5-8E0F-4457D0380932}"/>
    <hyperlink ref="B13" r:id="rId15" xr:uid="{3D351524-9746-4BBF-B6E6-F22EFC1312A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topLeftCell="A4" zoomScale="200" zoomScaleNormal="200" workbookViewId="0"/>
  </sheetViews>
  <sheetFormatPr defaultRowHeight="13.5" x14ac:dyDescent="0.25"/>
  <cols>
    <col min="1" max="1" width="5.42578125" style="6" bestFit="1" customWidth="1"/>
    <col min="2" max="2" width="29.42578125" style="6" customWidth="1"/>
    <col min="3" max="3" width="17.85546875" style="6" customWidth="1"/>
    <col min="4" max="4" width="19.7109375" style="6" bestFit="1" customWidth="1"/>
    <col min="5" max="16384" width="9.140625" style="6"/>
  </cols>
  <sheetData>
    <row r="1" spans="1:108" x14ac:dyDescent="0.25">
      <c r="A1" s="13" t="s">
        <v>958</v>
      </c>
      <c r="B1" s="4"/>
      <c r="C1" s="4" t="s">
        <v>3143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</row>
    <row r="2" spans="1:108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</row>
    <row r="3" spans="1:108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10" t="s">
        <v>5</v>
      </c>
      <c r="I3" s="10" t="s">
        <v>2580</v>
      </c>
      <c r="J3" s="8" t="s">
        <v>2581</v>
      </c>
      <c r="K3" s="19"/>
      <c r="L3" s="19"/>
      <c r="M3" s="19"/>
      <c r="N3" s="19"/>
      <c r="O3" s="19"/>
      <c r="P3" s="10" t="s">
        <v>427</v>
      </c>
      <c r="Q3" s="10" t="s">
        <v>2597</v>
      </c>
      <c r="R3" s="11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</row>
    <row r="4" spans="1:108" x14ac:dyDescent="0.25">
      <c r="A4" s="12">
        <v>1</v>
      </c>
      <c r="B4" s="13" t="s">
        <v>2711</v>
      </c>
      <c r="C4" s="4" t="s">
        <v>2712</v>
      </c>
      <c r="D4" s="4" t="s">
        <v>3094</v>
      </c>
      <c r="E4" s="4">
        <f>+[85]Main!$I$2</f>
        <v>251.74</v>
      </c>
      <c r="F4" s="14">
        <f>+[85]Main!$I$4</f>
        <v>283312.98862612003</v>
      </c>
      <c r="G4" s="14">
        <f>+[85]Main!$I$6-[85]Main!$I$5</f>
        <v>71167</v>
      </c>
      <c r="H4" s="14">
        <f>+F4+G4</f>
        <v>354479.98862612003</v>
      </c>
      <c r="I4" s="5" t="s">
        <v>2583</v>
      </c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</row>
    <row r="5" spans="1:108" x14ac:dyDescent="0.25">
      <c r="A5" s="12">
        <f>+A4+1</f>
        <v>2</v>
      </c>
      <c r="B5" s="4" t="s">
        <v>2713</v>
      </c>
      <c r="C5" s="4" t="s">
        <v>2714</v>
      </c>
      <c r="D5" s="4" t="s">
        <v>3095</v>
      </c>
      <c r="E5" s="4"/>
      <c r="F5" s="14"/>
      <c r="G5" s="14"/>
      <c r="H5" s="1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</row>
    <row r="6" spans="1:108" x14ac:dyDescent="0.25">
      <c r="A6" s="12">
        <f t="shared" ref="A6:A69" si="0">+A5+1</f>
        <v>3</v>
      </c>
      <c r="B6" s="4" t="s">
        <v>2715</v>
      </c>
      <c r="C6" s="4" t="s">
        <v>2716</v>
      </c>
      <c r="D6" s="4" t="s">
        <v>3094</v>
      </c>
      <c r="E6" s="4"/>
      <c r="F6" s="14"/>
      <c r="G6" s="14"/>
      <c r="H6" s="1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</row>
    <row r="7" spans="1:108" x14ac:dyDescent="0.25">
      <c r="A7" s="12">
        <f t="shared" si="0"/>
        <v>4</v>
      </c>
      <c r="B7" s="4" t="s">
        <v>2717</v>
      </c>
      <c r="C7" s="4" t="s">
        <v>2718</v>
      </c>
      <c r="D7" s="4" t="s">
        <v>3094</v>
      </c>
      <c r="E7" s="4"/>
      <c r="F7" s="14"/>
      <c r="G7" s="14"/>
      <c r="H7" s="1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</row>
    <row r="8" spans="1:108" x14ac:dyDescent="0.25">
      <c r="A8" s="12">
        <f t="shared" si="0"/>
        <v>5</v>
      </c>
      <c r="B8" s="4" t="s">
        <v>2719</v>
      </c>
      <c r="C8" s="4" t="s">
        <v>2720</v>
      </c>
      <c r="D8" s="4" t="s">
        <v>3096</v>
      </c>
      <c r="E8" s="4"/>
      <c r="F8" s="14"/>
      <c r="G8" s="14"/>
      <c r="H8" s="1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</row>
    <row r="9" spans="1:108" x14ac:dyDescent="0.25">
      <c r="A9" s="12">
        <f t="shared" si="0"/>
        <v>6</v>
      </c>
      <c r="B9" s="4" t="s">
        <v>2721</v>
      </c>
      <c r="C9" s="4" t="s">
        <v>2722</v>
      </c>
      <c r="D9" s="4" t="s">
        <v>3097</v>
      </c>
      <c r="E9" s="4"/>
      <c r="F9" s="14"/>
      <c r="G9" s="14"/>
      <c r="H9" s="1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</row>
    <row r="10" spans="1:108" x14ac:dyDescent="0.25">
      <c r="A10" s="12">
        <f t="shared" si="0"/>
        <v>7</v>
      </c>
      <c r="B10" s="4" t="s">
        <v>2723</v>
      </c>
      <c r="C10" s="4" t="s">
        <v>2724</v>
      </c>
      <c r="D10" s="4" t="s">
        <v>3098</v>
      </c>
      <c r="E10" s="4"/>
      <c r="F10" s="14"/>
      <c r="G10" s="14"/>
      <c r="H10" s="1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</row>
    <row r="11" spans="1:108" x14ac:dyDescent="0.25">
      <c r="A11" s="12">
        <f t="shared" si="0"/>
        <v>8</v>
      </c>
      <c r="B11" s="4" t="s">
        <v>2725</v>
      </c>
      <c r="C11" s="4" t="s">
        <v>2726</v>
      </c>
      <c r="D11" s="4" t="s">
        <v>3094</v>
      </c>
      <c r="E11" s="4"/>
      <c r="F11" s="14"/>
      <c r="G11" s="14"/>
      <c r="H11" s="1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</row>
    <row r="12" spans="1:108" x14ac:dyDescent="0.25">
      <c r="A12" s="12">
        <f t="shared" si="0"/>
        <v>9</v>
      </c>
      <c r="B12" s="4" t="s">
        <v>2727</v>
      </c>
      <c r="C12" s="4" t="s">
        <v>2728</v>
      </c>
      <c r="D12" s="4" t="s">
        <v>3094</v>
      </c>
      <c r="E12" s="4"/>
      <c r="F12" s="14"/>
      <c r="G12" s="14"/>
      <c r="H12" s="1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</row>
    <row r="13" spans="1:108" x14ac:dyDescent="0.25">
      <c r="A13" s="12">
        <f t="shared" si="0"/>
        <v>10</v>
      </c>
      <c r="B13" s="4" t="s">
        <v>2729</v>
      </c>
      <c r="C13" s="4" t="s">
        <v>2730</v>
      </c>
      <c r="D13" s="4" t="s">
        <v>3095</v>
      </c>
      <c r="E13" s="4"/>
      <c r="F13" s="14"/>
      <c r="G13" s="14"/>
      <c r="H13" s="1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</row>
    <row r="14" spans="1:108" x14ac:dyDescent="0.25">
      <c r="A14" s="12">
        <f t="shared" si="0"/>
        <v>11</v>
      </c>
      <c r="B14" s="4" t="s">
        <v>3141</v>
      </c>
      <c r="C14" s="4" t="s">
        <v>3142</v>
      </c>
      <c r="D14" s="4" t="s">
        <v>3097</v>
      </c>
      <c r="E14" s="4"/>
      <c r="F14" s="14"/>
      <c r="G14" s="14"/>
      <c r="H14" s="1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</row>
    <row r="15" spans="1:108" x14ac:dyDescent="0.25">
      <c r="A15" s="12">
        <f t="shared" si="0"/>
        <v>12</v>
      </c>
      <c r="B15" s="4" t="s">
        <v>2731</v>
      </c>
      <c r="C15" s="4" t="s">
        <v>2732</v>
      </c>
      <c r="D15" s="4" t="s">
        <v>3097</v>
      </c>
      <c r="E15" s="4"/>
      <c r="F15" s="14"/>
      <c r="G15" s="14"/>
      <c r="H15" s="1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</row>
    <row r="16" spans="1:108" x14ac:dyDescent="0.25">
      <c r="A16" s="12">
        <f t="shared" si="0"/>
        <v>13</v>
      </c>
      <c r="B16" s="4" t="s">
        <v>2733</v>
      </c>
      <c r="C16" s="4" t="s">
        <v>2734</v>
      </c>
      <c r="D16" s="4" t="s">
        <v>3099</v>
      </c>
      <c r="E16" s="4"/>
      <c r="F16" s="14"/>
      <c r="G16" s="14"/>
      <c r="H16" s="1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</row>
    <row r="17" spans="1:108" x14ac:dyDescent="0.25">
      <c r="A17" s="12">
        <f t="shared" si="0"/>
        <v>14</v>
      </c>
      <c r="B17" s="4" t="s">
        <v>2735</v>
      </c>
      <c r="C17" s="4" t="s">
        <v>2736</v>
      </c>
      <c r="D17" s="4" t="s">
        <v>3100</v>
      </c>
      <c r="E17" s="4"/>
      <c r="F17" s="14"/>
      <c r="G17" s="14"/>
      <c r="H17" s="1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</row>
    <row r="18" spans="1:108" x14ac:dyDescent="0.25">
      <c r="A18" s="12">
        <f t="shared" si="0"/>
        <v>15</v>
      </c>
      <c r="B18" s="4" t="s">
        <v>2737</v>
      </c>
      <c r="C18" s="4" t="s">
        <v>2738</v>
      </c>
      <c r="D18" s="4" t="s">
        <v>3101</v>
      </c>
      <c r="E18" s="4"/>
      <c r="F18" s="14"/>
      <c r="G18" s="14"/>
      <c r="H18" s="1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</row>
    <row r="19" spans="1:108" x14ac:dyDescent="0.25">
      <c r="A19" s="12">
        <f t="shared" si="0"/>
        <v>16</v>
      </c>
      <c r="B19" s="4" t="s">
        <v>2739</v>
      </c>
      <c r="C19" s="4" t="s">
        <v>2740</v>
      </c>
      <c r="D19" s="4" t="s">
        <v>3094</v>
      </c>
      <c r="E19" s="4"/>
      <c r="F19" s="14"/>
      <c r="G19" s="14"/>
      <c r="H19" s="1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</row>
    <row r="20" spans="1:108" x14ac:dyDescent="0.25">
      <c r="A20" s="12">
        <f t="shared" si="0"/>
        <v>17</v>
      </c>
      <c r="B20" s="4" t="s">
        <v>2741</v>
      </c>
      <c r="C20" s="4" t="s">
        <v>2742</v>
      </c>
      <c r="D20" s="4" t="s">
        <v>3102</v>
      </c>
      <c r="E20" s="4"/>
      <c r="F20" s="14"/>
      <c r="G20" s="14"/>
      <c r="H20" s="1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</row>
    <row r="21" spans="1:108" x14ac:dyDescent="0.25">
      <c r="A21" s="12">
        <f t="shared" si="0"/>
        <v>18</v>
      </c>
      <c r="B21" s="4" t="s">
        <v>2743</v>
      </c>
      <c r="C21" s="4" t="s">
        <v>2744</v>
      </c>
      <c r="D21" s="4" t="s">
        <v>3103</v>
      </c>
      <c r="E21" s="4"/>
      <c r="F21" s="14"/>
      <c r="G21" s="14"/>
      <c r="H21" s="1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</row>
    <row r="22" spans="1:108" x14ac:dyDescent="0.25">
      <c r="A22" s="12">
        <f t="shared" si="0"/>
        <v>19</v>
      </c>
      <c r="B22" s="4" t="s">
        <v>2745</v>
      </c>
      <c r="C22" s="4" t="s">
        <v>2746</v>
      </c>
      <c r="D22" s="4" t="s">
        <v>3104</v>
      </c>
      <c r="E22" s="4"/>
      <c r="F22" s="14"/>
      <c r="G22" s="14"/>
      <c r="H22" s="1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</row>
    <row r="23" spans="1:108" x14ac:dyDescent="0.25">
      <c r="A23" s="12">
        <f t="shared" si="0"/>
        <v>20</v>
      </c>
      <c r="B23" s="4" t="s">
        <v>2747</v>
      </c>
      <c r="C23" s="4" t="s">
        <v>2748</v>
      </c>
      <c r="D23" s="4" t="s">
        <v>3094</v>
      </c>
      <c r="E23" s="4"/>
      <c r="F23" s="14"/>
      <c r="G23" s="14"/>
      <c r="H23" s="1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</row>
    <row r="24" spans="1:108" x14ac:dyDescent="0.25">
      <c r="A24" s="12">
        <f t="shared" si="0"/>
        <v>21</v>
      </c>
      <c r="B24" s="4" t="s">
        <v>2749</v>
      </c>
      <c r="C24" s="4" t="s">
        <v>2750</v>
      </c>
      <c r="D24" s="4" t="s">
        <v>3105</v>
      </c>
      <c r="E24" s="4"/>
      <c r="F24" s="14"/>
      <c r="G24" s="14"/>
      <c r="H24" s="1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</row>
    <row r="25" spans="1:108" x14ac:dyDescent="0.25">
      <c r="A25" s="12">
        <f t="shared" si="0"/>
        <v>22</v>
      </c>
      <c r="B25" s="4" t="s">
        <v>2751</v>
      </c>
      <c r="C25" s="4" t="s">
        <v>2752</v>
      </c>
      <c r="D25" s="4" t="s">
        <v>3106</v>
      </c>
      <c r="E25" s="4"/>
      <c r="F25" s="14"/>
      <c r="G25" s="14"/>
      <c r="H25" s="1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</row>
    <row r="26" spans="1:108" x14ac:dyDescent="0.25">
      <c r="A26" s="12">
        <f t="shared" si="0"/>
        <v>23</v>
      </c>
      <c r="B26" s="4" t="s">
        <v>2753</v>
      </c>
      <c r="C26" s="4" t="s">
        <v>2754</v>
      </c>
      <c r="D26" s="4" t="s">
        <v>3107</v>
      </c>
      <c r="E26" s="4"/>
      <c r="F26" s="14"/>
      <c r="G26" s="14"/>
      <c r="H26" s="1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</row>
    <row r="27" spans="1:108" x14ac:dyDescent="0.25">
      <c r="A27" s="12">
        <f t="shared" si="0"/>
        <v>24</v>
      </c>
      <c r="B27" s="4" t="s">
        <v>2755</v>
      </c>
      <c r="C27" s="4" t="s">
        <v>2756</v>
      </c>
      <c r="D27" s="4" t="s">
        <v>3108</v>
      </c>
      <c r="E27" s="4"/>
      <c r="F27" s="14"/>
      <c r="G27" s="14"/>
      <c r="H27" s="1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</row>
    <row r="28" spans="1:108" x14ac:dyDescent="0.25">
      <c r="A28" s="12">
        <f t="shared" si="0"/>
        <v>25</v>
      </c>
      <c r="B28" s="4" t="s">
        <v>2757</v>
      </c>
      <c r="C28" s="4" t="s">
        <v>2758</v>
      </c>
      <c r="D28" s="4" t="s">
        <v>3095</v>
      </c>
      <c r="E28" s="4"/>
      <c r="F28" s="14"/>
      <c r="G28" s="14"/>
      <c r="H28" s="1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</row>
    <row r="29" spans="1:108" x14ac:dyDescent="0.25">
      <c r="A29" s="12">
        <f t="shared" si="0"/>
        <v>26</v>
      </c>
      <c r="B29" s="4" t="s">
        <v>2759</v>
      </c>
      <c r="C29" s="4" t="s">
        <v>2760</v>
      </c>
      <c r="D29" s="4" t="s">
        <v>3109</v>
      </c>
      <c r="E29" s="4"/>
      <c r="F29" s="14"/>
      <c r="G29" s="14"/>
      <c r="H29" s="1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</row>
    <row r="30" spans="1:108" x14ac:dyDescent="0.25">
      <c r="A30" s="12">
        <f t="shared" si="0"/>
        <v>27</v>
      </c>
      <c r="B30" s="4" t="s">
        <v>2761</v>
      </c>
      <c r="C30" s="4" t="s">
        <v>2762</v>
      </c>
      <c r="D30" s="4" t="s">
        <v>3109</v>
      </c>
      <c r="E30" s="4"/>
      <c r="F30" s="14"/>
      <c r="G30" s="14"/>
      <c r="H30" s="1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</row>
    <row r="31" spans="1:108" x14ac:dyDescent="0.25">
      <c r="A31" s="12">
        <f t="shared" si="0"/>
        <v>28</v>
      </c>
      <c r="B31" s="4" t="s">
        <v>2763</v>
      </c>
      <c r="C31" s="4" t="s">
        <v>2764</v>
      </c>
      <c r="D31" s="4" t="s">
        <v>3110</v>
      </c>
      <c r="E31" s="4"/>
      <c r="F31" s="14"/>
      <c r="G31" s="14"/>
      <c r="H31" s="1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</row>
    <row r="32" spans="1:108" x14ac:dyDescent="0.25">
      <c r="A32" s="12">
        <f t="shared" si="0"/>
        <v>29</v>
      </c>
      <c r="B32" s="4" t="s">
        <v>2765</v>
      </c>
      <c r="C32" s="4" t="s">
        <v>2766</v>
      </c>
      <c r="D32" s="4" t="s">
        <v>3095</v>
      </c>
      <c r="E32" s="4"/>
      <c r="F32" s="14"/>
      <c r="G32" s="14"/>
      <c r="H32" s="1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</row>
    <row r="33" spans="1:108" x14ac:dyDescent="0.25">
      <c r="A33" s="12">
        <f t="shared" si="0"/>
        <v>30</v>
      </c>
      <c r="B33" s="4" t="s">
        <v>2767</v>
      </c>
      <c r="C33" s="4" t="s">
        <v>2768</v>
      </c>
      <c r="D33" s="4" t="s">
        <v>3104</v>
      </c>
      <c r="E33" s="4"/>
      <c r="F33" s="14"/>
      <c r="G33" s="14"/>
      <c r="H33" s="1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</row>
    <row r="34" spans="1:108" x14ac:dyDescent="0.25">
      <c r="A34" s="12">
        <f t="shared" si="0"/>
        <v>31</v>
      </c>
      <c r="B34" s="4" t="s">
        <v>2769</v>
      </c>
      <c r="C34" s="4" t="s">
        <v>2770</v>
      </c>
      <c r="D34" s="4" t="s">
        <v>3111</v>
      </c>
      <c r="E34" s="4"/>
      <c r="F34" s="14"/>
      <c r="G34" s="14"/>
      <c r="H34" s="1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</row>
    <row r="35" spans="1:108" x14ac:dyDescent="0.25">
      <c r="A35" s="12">
        <f t="shared" si="0"/>
        <v>32</v>
      </c>
      <c r="B35" s="4" t="s">
        <v>2771</v>
      </c>
      <c r="C35" s="4" t="s">
        <v>2772</v>
      </c>
      <c r="D35" s="4" t="s">
        <v>3108</v>
      </c>
      <c r="E35" s="4"/>
      <c r="F35" s="14"/>
      <c r="G35" s="14"/>
      <c r="H35" s="1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</row>
    <row r="36" spans="1:108" x14ac:dyDescent="0.25">
      <c r="A36" s="12">
        <f t="shared" si="0"/>
        <v>33</v>
      </c>
      <c r="B36" s="4" t="s">
        <v>2773</v>
      </c>
      <c r="C36" s="4" t="s">
        <v>2774</v>
      </c>
      <c r="D36" s="4" t="s">
        <v>3094</v>
      </c>
      <c r="E36" s="4"/>
      <c r="F36" s="14"/>
      <c r="G36" s="14"/>
      <c r="H36" s="1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</row>
    <row r="37" spans="1:108" x14ac:dyDescent="0.25">
      <c r="A37" s="12">
        <f t="shared" si="0"/>
        <v>34</v>
      </c>
      <c r="B37" s="4" t="s">
        <v>2775</v>
      </c>
      <c r="C37" s="4" t="s">
        <v>2775</v>
      </c>
      <c r="D37" s="4" t="s">
        <v>3111</v>
      </c>
      <c r="E37" s="4"/>
      <c r="F37" s="14"/>
      <c r="G37" s="14"/>
      <c r="H37" s="1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</row>
    <row r="38" spans="1:108" x14ac:dyDescent="0.25">
      <c r="A38" s="12">
        <f t="shared" si="0"/>
        <v>35</v>
      </c>
      <c r="B38" s="4" t="s">
        <v>2776</v>
      </c>
      <c r="C38" s="4" t="s">
        <v>2777</v>
      </c>
      <c r="D38" s="4" t="s">
        <v>3112</v>
      </c>
      <c r="E38" s="4"/>
      <c r="F38" s="14"/>
      <c r="G38" s="14"/>
      <c r="H38" s="1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</row>
    <row r="39" spans="1:108" x14ac:dyDescent="0.25">
      <c r="A39" s="12">
        <f t="shared" si="0"/>
        <v>36</v>
      </c>
      <c r="B39" s="4" t="s">
        <v>2778</v>
      </c>
      <c r="C39" s="4" t="s">
        <v>2779</v>
      </c>
      <c r="D39" s="4" t="s">
        <v>3113</v>
      </c>
      <c r="E39" s="4"/>
      <c r="F39" s="14"/>
      <c r="G39" s="14"/>
      <c r="H39" s="1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</row>
    <row r="40" spans="1:108" x14ac:dyDescent="0.25">
      <c r="A40" s="12">
        <f t="shared" si="0"/>
        <v>37</v>
      </c>
      <c r="B40" s="4" t="s">
        <v>2780</v>
      </c>
      <c r="C40" s="4" t="s">
        <v>2781</v>
      </c>
      <c r="D40" s="4" t="s">
        <v>3114</v>
      </c>
      <c r="E40" s="4"/>
      <c r="F40" s="14"/>
      <c r="G40" s="14"/>
      <c r="H40" s="1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  <c r="CW40" s="4"/>
      <c r="CX40" s="4"/>
      <c r="CY40" s="4"/>
      <c r="CZ40" s="4"/>
      <c r="DA40" s="4"/>
      <c r="DB40" s="4"/>
      <c r="DC40" s="4"/>
      <c r="DD40" s="4"/>
    </row>
    <row r="41" spans="1:108" x14ac:dyDescent="0.25">
      <c r="A41" s="12">
        <f t="shared" si="0"/>
        <v>38</v>
      </c>
      <c r="B41" s="4" t="s">
        <v>2782</v>
      </c>
      <c r="C41" s="4" t="s">
        <v>2783</v>
      </c>
      <c r="D41" s="4" t="s">
        <v>3111</v>
      </c>
      <c r="E41" s="4"/>
      <c r="F41" s="14"/>
      <c r="G41" s="14"/>
      <c r="H41" s="1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</row>
    <row r="42" spans="1:108" x14ac:dyDescent="0.25">
      <c r="A42" s="12">
        <f t="shared" si="0"/>
        <v>39</v>
      </c>
      <c r="B42" s="4" t="s">
        <v>2784</v>
      </c>
      <c r="C42" s="4" t="s">
        <v>2785</v>
      </c>
      <c r="D42" s="4" t="s">
        <v>3115</v>
      </c>
      <c r="E42" s="4"/>
      <c r="F42" s="14"/>
      <c r="G42" s="14"/>
      <c r="H42" s="1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</row>
    <row r="43" spans="1:108" x14ac:dyDescent="0.25">
      <c r="A43" s="12">
        <f t="shared" si="0"/>
        <v>40</v>
      </c>
      <c r="B43" s="4" t="s">
        <v>2786</v>
      </c>
      <c r="C43" s="4" t="s">
        <v>496</v>
      </c>
      <c r="D43" s="4" t="s">
        <v>3094</v>
      </c>
      <c r="E43" s="4"/>
      <c r="F43" s="14"/>
      <c r="G43" s="14"/>
      <c r="H43" s="1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</row>
    <row r="44" spans="1:108" x14ac:dyDescent="0.25">
      <c r="A44" s="12">
        <f t="shared" si="0"/>
        <v>41</v>
      </c>
      <c r="B44" s="4" t="s">
        <v>2787</v>
      </c>
      <c r="C44" s="4" t="s">
        <v>2788</v>
      </c>
      <c r="D44" s="4" t="s">
        <v>3116</v>
      </c>
      <c r="E44" s="4"/>
      <c r="F44" s="14"/>
      <c r="G44" s="14"/>
      <c r="H44" s="1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</row>
    <row r="45" spans="1:108" x14ac:dyDescent="0.25">
      <c r="A45" s="12">
        <f t="shared" si="0"/>
        <v>42</v>
      </c>
      <c r="B45" s="4" t="s">
        <v>2789</v>
      </c>
      <c r="C45" s="4" t="s">
        <v>2790</v>
      </c>
      <c r="D45" s="4" t="s">
        <v>3116</v>
      </c>
      <c r="E45" s="4"/>
      <c r="F45" s="14"/>
      <c r="G45" s="14"/>
      <c r="H45" s="1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</row>
    <row r="46" spans="1:108" x14ac:dyDescent="0.25">
      <c r="A46" s="12">
        <f t="shared" si="0"/>
        <v>43</v>
      </c>
      <c r="B46" s="4" t="s">
        <v>2791</v>
      </c>
      <c r="C46" s="4" t="s">
        <v>2792</v>
      </c>
      <c r="D46" s="4" t="s">
        <v>3117</v>
      </c>
      <c r="E46" s="4"/>
      <c r="F46" s="14"/>
      <c r="G46" s="14"/>
      <c r="H46" s="1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</row>
    <row r="47" spans="1:108" x14ac:dyDescent="0.25">
      <c r="A47" s="12">
        <f t="shared" si="0"/>
        <v>44</v>
      </c>
      <c r="B47" s="4" t="s">
        <v>2793</v>
      </c>
      <c r="C47" s="4" t="s">
        <v>2794</v>
      </c>
      <c r="D47" s="4" t="s">
        <v>3095</v>
      </c>
      <c r="E47" s="4"/>
      <c r="F47" s="14"/>
      <c r="G47" s="14"/>
      <c r="H47" s="1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</row>
    <row r="48" spans="1:108" x14ac:dyDescent="0.25">
      <c r="A48" s="12">
        <f t="shared" si="0"/>
        <v>45</v>
      </c>
      <c r="B48" s="4" t="s">
        <v>2795</v>
      </c>
      <c r="C48" s="4" t="s">
        <v>2796</v>
      </c>
      <c r="D48" s="4" t="s">
        <v>3100</v>
      </c>
      <c r="E48" s="4"/>
      <c r="F48" s="14"/>
      <c r="G48" s="14"/>
      <c r="H48" s="1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</row>
    <row r="49" spans="1:108" x14ac:dyDescent="0.25">
      <c r="A49" s="12">
        <f t="shared" si="0"/>
        <v>46</v>
      </c>
      <c r="B49" s="4" t="s">
        <v>2797</v>
      </c>
      <c r="C49" s="4" t="s">
        <v>2798</v>
      </c>
      <c r="D49" s="4" t="s">
        <v>3103</v>
      </c>
      <c r="E49" s="4"/>
      <c r="F49" s="14"/>
      <c r="G49" s="14"/>
      <c r="H49" s="1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</row>
    <row r="50" spans="1:108" x14ac:dyDescent="0.25">
      <c r="A50" s="12">
        <f t="shared" si="0"/>
        <v>47</v>
      </c>
      <c r="B50" s="4" t="s">
        <v>2799</v>
      </c>
      <c r="C50" s="4" t="s">
        <v>2800</v>
      </c>
      <c r="D50" s="4" t="s">
        <v>3094</v>
      </c>
      <c r="E50" s="4"/>
      <c r="F50" s="14"/>
      <c r="G50" s="14"/>
      <c r="H50" s="1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</row>
    <row r="51" spans="1:108" x14ac:dyDescent="0.25">
      <c r="A51" s="12">
        <f t="shared" si="0"/>
        <v>48</v>
      </c>
      <c r="B51" s="4" t="s">
        <v>2801</v>
      </c>
      <c r="C51" s="4" t="s">
        <v>2802</v>
      </c>
      <c r="D51" s="4" t="s">
        <v>3110</v>
      </c>
      <c r="E51" s="4"/>
      <c r="F51" s="14"/>
      <c r="G51" s="14"/>
      <c r="H51" s="1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</row>
    <row r="52" spans="1:108" x14ac:dyDescent="0.25">
      <c r="A52" s="12">
        <f t="shared" si="0"/>
        <v>49</v>
      </c>
      <c r="B52" s="4" t="s">
        <v>2803</v>
      </c>
      <c r="C52" s="4" t="s">
        <v>2804</v>
      </c>
      <c r="D52" s="4" t="s">
        <v>3117</v>
      </c>
      <c r="E52" s="4"/>
      <c r="F52" s="14"/>
      <c r="G52" s="14"/>
      <c r="H52" s="1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</row>
    <row r="53" spans="1:108" x14ac:dyDescent="0.25">
      <c r="A53" s="12">
        <f t="shared" si="0"/>
        <v>50</v>
      </c>
      <c r="B53" s="4" t="s">
        <v>2805</v>
      </c>
      <c r="C53" s="4" t="s">
        <v>2806</v>
      </c>
      <c r="D53" s="4" t="s">
        <v>3109</v>
      </c>
      <c r="E53" s="4"/>
      <c r="F53" s="14"/>
      <c r="G53" s="14"/>
      <c r="H53" s="1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</row>
    <row r="54" spans="1:108" x14ac:dyDescent="0.25">
      <c r="A54" s="12">
        <f t="shared" si="0"/>
        <v>51</v>
      </c>
      <c r="B54" s="4" t="s">
        <v>2807</v>
      </c>
      <c r="C54" s="4" t="s">
        <v>2808</v>
      </c>
      <c r="D54" s="4" t="s">
        <v>3118</v>
      </c>
      <c r="E54" s="4"/>
      <c r="F54" s="14"/>
      <c r="G54" s="14"/>
      <c r="H54" s="1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</row>
    <row r="55" spans="1:108" x14ac:dyDescent="0.25">
      <c r="A55" s="12">
        <f t="shared" si="0"/>
        <v>52</v>
      </c>
      <c r="B55" s="4" t="s">
        <v>2809</v>
      </c>
      <c r="C55" s="4" t="s">
        <v>2810</v>
      </c>
      <c r="D55" s="4" t="s">
        <v>3119</v>
      </c>
      <c r="E55" s="4"/>
      <c r="F55" s="14"/>
      <c r="G55" s="14"/>
      <c r="H55" s="1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</row>
    <row r="56" spans="1:108" x14ac:dyDescent="0.25">
      <c r="A56" s="12">
        <f t="shared" si="0"/>
        <v>53</v>
      </c>
      <c r="B56" s="4" t="s">
        <v>2811</v>
      </c>
      <c r="C56" s="4" t="s">
        <v>2812</v>
      </c>
      <c r="D56" s="4" t="s">
        <v>3104</v>
      </c>
      <c r="E56" s="4"/>
      <c r="F56" s="14"/>
      <c r="G56" s="14"/>
      <c r="H56" s="1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</row>
    <row r="57" spans="1:108" x14ac:dyDescent="0.25">
      <c r="A57" s="12">
        <f t="shared" si="0"/>
        <v>54</v>
      </c>
      <c r="B57" s="4" t="s">
        <v>2813</v>
      </c>
      <c r="C57" s="4" t="s">
        <v>2814</v>
      </c>
      <c r="D57" s="4" t="s">
        <v>3118</v>
      </c>
      <c r="E57" s="4"/>
      <c r="F57" s="14"/>
      <c r="G57" s="14"/>
      <c r="H57" s="1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</row>
    <row r="58" spans="1:108" x14ac:dyDescent="0.25">
      <c r="A58" s="12">
        <f t="shared" si="0"/>
        <v>55</v>
      </c>
      <c r="B58" s="4" t="s">
        <v>2815</v>
      </c>
      <c r="C58" s="4" t="s">
        <v>2816</v>
      </c>
      <c r="D58" s="4" t="s">
        <v>3109</v>
      </c>
      <c r="E58" s="4"/>
      <c r="F58" s="14"/>
      <c r="G58" s="14"/>
      <c r="H58" s="1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</row>
    <row r="59" spans="1:108" x14ac:dyDescent="0.25">
      <c r="A59" s="12">
        <f t="shared" si="0"/>
        <v>56</v>
      </c>
      <c r="B59" s="4" t="s">
        <v>2817</v>
      </c>
      <c r="C59" s="4" t="s">
        <v>2818</v>
      </c>
      <c r="D59" s="4" t="s">
        <v>3098</v>
      </c>
      <c r="E59" s="4"/>
      <c r="F59" s="14"/>
      <c r="G59" s="14"/>
      <c r="H59" s="1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</row>
    <row r="60" spans="1:108" x14ac:dyDescent="0.25">
      <c r="A60" s="12">
        <f t="shared" si="0"/>
        <v>57</v>
      </c>
      <c r="B60" s="4" t="s">
        <v>2819</v>
      </c>
      <c r="C60" s="4" t="s">
        <v>2820</v>
      </c>
      <c r="D60" s="4" t="s">
        <v>3098</v>
      </c>
      <c r="E60" s="4"/>
      <c r="F60" s="14"/>
      <c r="G60" s="14"/>
      <c r="H60" s="1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</row>
    <row r="61" spans="1:108" x14ac:dyDescent="0.25">
      <c r="A61" s="12">
        <f t="shared" si="0"/>
        <v>58</v>
      </c>
      <c r="B61" s="4" t="s">
        <v>2821</v>
      </c>
      <c r="C61" s="4" t="s">
        <v>2822</v>
      </c>
      <c r="D61" s="4" t="s">
        <v>3107</v>
      </c>
      <c r="E61" s="4"/>
      <c r="F61" s="14"/>
      <c r="G61" s="14"/>
      <c r="H61" s="1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</row>
    <row r="62" spans="1:108" x14ac:dyDescent="0.25">
      <c r="A62" s="12">
        <f t="shared" si="0"/>
        <v>59</v>
      </c>
      <c r="B62" s="4" t="s">
        <v>2823</v>
      </c>
      <c r="C62" s="4" t="s">
        <v>2824</v>
      </c>
      <c r="D62" s="4" t="s">
        <v>3120</v>
      </c>
      <c r="E62" s="4"/>
      <c r="F62" s="14"/>
      <c r="G62" s="14"/>
      <c r="H62" s="1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</row>
    <row r="63" spans="1:108" x14ac:dyDescent="0.25">
      <c r="A63" s="12">
        <f t="shared" si="0"/>
        <v>60</v>
      </c>
      <c r="B63" s="4" t="s">
        <v>2825</v>
      </c>
      <c r="C63" s="4" t="s">
        <v>2826</v>
      </c>
      <c r="D63" s="4" t="s">
        <v>3103</v>
      </c>
      <c r="E63" s="4"/>
      <c r="F63" s="14"/>
      <c r="G63" s="14"/>
      <c r="H63" s="1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</row>
    <row r="64" spans="1:108" x14ac:dyDescent="0.25">
      <c r="A64" s="12">
        <f t="shared" si="0"/>
        <v>61</v>
      </c>
      <c r="B64" s="4" t="s">
        <v>2827</v>
      </c>
      <c r="C64" s="4" t="s">
        <v>2828</v>
      </c>
      <c r="D64" s="4" t="s">
        <v>3113</v>
      </c>
      <c r="E64" s="4"/>
      <c r="F64" s="14"/>
      <c r="G64" s="14"/>
      <c r="H64" s="1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</row>
    <row r="65" spans="1:108" x14ac:dyDescent="0.25">
      <c r="A65" s="12">
        <f t="shared" si="0"/>
        <v>62</v>
      </c>
      <c r="B65" s="4" t="s">
        <v>2829</v>
      </c>
      <c r="C65" s="4" t="s">
        <v>2830</v>
      </c>
      <c r="D65" s="4" t="s">
        <v>3121</v>
      </c>
      <c r="E65" s="4"/>
      <c r="F65" s="14"/>
      <c r="G65" s="14"/>
      <c r="H65" s="1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</row>
    <row r="66" spans="1:108" x14ac:dyDescent="0.25">
      <c r="A66" s="12">
        <f t="shared" si="0"/>
        <v>63</v>
      </c>
      <c r="B66" s="4" t="s">
        <v>2831</v>
      </c>
      <c r="C66" s="4" t="s">
        <v>2832</v>
      </c>
      <c r="D66" s="4" t="s">
        <v>3107</v>
      </c>
      <c r="E66" s="4"/>
      <c r="F66" s="14"/>
      <c r="G66" s="14"/>
      <c r="H66" s="1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</row>
    <row r="67" spans="1:108" x14ac:dyDescent="0.25">
      <c r="A67" s="12">
        <f t="shared" si="0"/>
        <v>64</v>
      </c>
      <c r="B67" s="4" t="s">
        <v>2833</v>
      </c>
      <c r="C67" s="4" t="s">
        <v>2834</v>
      </c>
      <c r="D67" s="4" t="s">
        <v>3094</v>
      </c>
      <c r="E67" s="4"/>
      <c r="F67" s="14"/>
      <c r="G67" s="14"/>
      <c r="H67" s="1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</row>
    <row r="68" spans="1:108" x14ac:dyDescent="0.25">
      <c r="A68" s="12">
        <f t="shared" si="0"/>
        <v>65</v>
      </c>
      <c r="B68" s="4" t="s">
        <v>2835</v>
      </c>
      <c r="C68" s="4" t="s">
        <v>2836</v>
      </c>
      <c r="D68" s="4" t="s">
        <v>3098</v>
      </c>
      <c r="E68" s="4"/>
      <c r="F68" s="14"/>
      <c r="G68" s="14"/>
      <c r="H68" s="1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</row>
    <row r="69" spans="1:108" x14ac:dyDescent="0.25">
      <c r="A69" s="12">
        <f t="shared" si="0"/>
        <v>66</v>
      </c>
      <c r="B69" s="4" t="s">
        <v>2837</v>
      </c>
      <c r="C69" s="4" t="s">
        <v>2838</v>
      </c>
      <c r="D69" s="4" t="s">
        <v>3122</v>
      </c>
      <c r="E69" s="4"/>
      <c r="F69" s="14"/>
      <c r="G69" s="14"/>
      <c r="H69" s="1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</row>
    <row r="70" spans="1:108" x14ac:dyDescent="0.25">
      <c r="A70" s="12">
        <f t="shared" ref="A70:A133" si="1">+A69+1</f>
        <v>67</v>
      </c>
      <c r="B70" s="4" t="s">
        <v>2839</v>
      </c>
      <c r="C70" s="4" t="s">
        <v>2840</v>
      </c>
      <c r="D70" s="4" t="s">
        <v>3121</v>
      </c>
      <c r="E70" s="4"/>
      <c r="F70" s="14"/>
      <c r="G70" s="14"/>
      <c r="H70" s="1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</row>
    <row r="71" spans="1:108" x14ac:dyDescent="0.25">
      <c r="A71" s="12">
        <f t="shared" si="1"/>
        <v>68</v>
      </c>
      <c r="B71" s="4" t="s">
        <v>2841</v>
      </c>
      <c r="C71" s="4" t="s">
        <v>2842</v>
      </c>
      <c r="D71" s="4" t="s">
        <v>3114</v>
      </c>
      <c r="E71" s="4"/>
      <c r="F71" s="14"/>
      <c r="G71" s="14"/>
      <c r="H71" s="1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</row>
    <row r="72" spans="1:108" x14ac:dyDescent="0.25">
      <c r="A72" s="12">
        <f t="shared" si="1"/>
        <v>69</v>
      </c>
      <c r="B72" s="4" t="s">
        <v>2843</v>
      </c>
      <c r="C72" s="4" t="s">
        <v>2844</v>
      </c>
      <c r="D72" s="4" t="s">
        <v>3094</v>
      </c>
      <c r="E72" s="4"/>
      <c r="F72" s="14"/>
      <c r="G72" s="14"/>
      <c r="H72" s="1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</row>
    <row r="73" spans="1:108" x14ac:dyDescent="0.25">
      <c r="A73" s="12">
        <f t="shared" si="1"/>
        <v>70</v>
      </c>
      <c r="B73" s="4" t="s">
        <v>2845</v>
      </c>
      <c r="C73" s="4" t="s">
        <v>2846</v>
      </c>
      <c r="D73" s="4" t="s">
        <v>3094</v>
      </c>
      <c r="E73" s="4"/>
      <c r="F73" s="14"/>
      <c r="G73" s="14"/>
      <c r="H73" s="1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</row>
    <row r="74" spans="1:108" x14ac:dyDescent="0.25">
      <c r="A74" s="12">
        <f t="shared" si="1"/>
        <v>71</v>
      </c>
      <c r="B74" s="4" t="s">
        <v>2847</v>
      </c>
      <c r="C74" s="4" t="s">
        <v>2848</v>
      </c>
      <c r="D74" s="4" t="s">
        <v>3123</v>
      </c>
      <c r="E74" s="4"/>
      <c r="F74" s="14"/>
      <c r="G74" s="14"/>
      <c r="H74" s="1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</row>
    <row r="75" spans="1:108" x14ac:dyDescent="0.25">
      <c r="A75" s="12">
        <f t="shared" si="1"/>
        <v>72</v>
      </c>
      <c r="B75" s="4" t="s">
        <v>2849</v>
      </c>
      <c r="C75" s="4" t="s">
        <v>2850</v>
      </c>
      <c r="D75" s="4" t="s">
        <v>1638</v>
      </c>
      <c r="E75" s="4"/>
      <c r="F75" s="14"/>
      <c r="G75" s="14"/>
      <c r="H75" s="1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4"/>
      <c r="DD75" s="4"/>
    </row>
    <row r="76" spans="1:108" x14ac:dyDescent="0.25">
      <c r="A76" s="12">
        <f t="shared" si="1"/>
        <v>73</v>
      </c>
      <c r="B76" s="4" t="s">
        <v>2851</v>
      </c>
      <c r="C76" s="4" t="s">
        <v>2852</v>
      </c>
      <c r="D76" s="4" t="s">
        <v>3124</v>
      </c>
      <c r="E76" s="4"/>
      <c r="F76" s="14"/>
      <c r="G76" s="14"/>
      <c r="H76" s="1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</row>
    <row r="77" spans="1:108" x14ac:dyDescent="0.25">
      <c r="A77" s="12">
        <f t="shared" si="1"/>
        <v>74</v>
      </c>
      <c r="B77" s="4" t="s">
        <v>2853</v>
      </c>
      <c r="C77" s="4" t="s">
        <v>2854</v>
      </c>
      <c r="D77" s="4" t="s">
        <v>3125</v>
      </c>
      <c r="E77" s="4"/>
      <c r="F77" s="14"/>
      <c r="G77" s="14"/>
      <c r="H77" s="1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  <c r="CX77" s="4"/>
      <c r="CY77" s="4"/>
      <c r="CZ77" s="4"/>
      <c r="DA77" s="4"/>
      <c r="DB77" s="4"/>
      <c r="DC77" s="4"/>
      <c r="DD77" s="4"/>
    </row>
    <row r="78" spans="1:108" x14ac:dyDescent="0.25">
      <c r="A78" s="12">
        <f t="shared" si="1"/>
        <v>75</v>
      </c>
      <c r="B78" s="4" t="s">
        <v>2855</v>
      </c>
      <c r="C78" s="4" t="s">
        <v>2856</v>
      </c>
      <c r="D78" s="4" t="s">
        <v>3121</v>
      </c>
      <c r="E78" s="4"/>
      <c r="F78" s="14"/>
      <c r="G78" s="14"/>
      <c r="H78" s="1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  <c r="CX78" s="4"/>
      <c r="CY78" s="4"/>
      <c r="CZ78" s="4"/>
      <c r="DA78" s="4"/>
      <c r="DB78" s="4"/>
      <c r="DC78" s="4"/>
      <c r="DD78" s="4"/>
    </row>
    <row r="79" spans="1:108" x14ac:dyDescent="0.25">
      <c r="A79" s="12">
        <f t="shared" si="1"/>
        <v>76</v>
      </c>
      <c r="B79" s="4" t="s">
        <v>2857</v>
      </c>
      <c r="C79" s="4" t="s">
        <v>618</v>
      </c>
      <c r="D79" s="4" t="s">
        <v>3094</v>
      </c>
      <c r="E79" s="4"/>
      <c r="F79" s="14"/>
      <c r="G79" s="14"/>
      <c r="H79" s="1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</row>
    <row r="80" spans="1:108" x14ac:dyDescent="0.25">
      <c r="A80" s="12">
        <f t="shared" si="1"/>
        <v>77</v>
      </c>
      <c r="B80" s="4" t="s">
        <v>2858</v>
      </c>
      <c r="C80" s="4" t="s">
        <v>2859</v>
      </c>
      <c r="D80" s="4" t="s">
        <v>3120</v>
      </c>
      <c r="E80" s="4"/>
      <c r="F80" s="14"/>
      <c r="G80" s="14"/>
      <c r="H80" s="1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  <c r="CW80" s="4"/>
      <c r="CX80" s="4"/>
      <c r="CY80" s="4"/>
      <c r="CZ80" s="4"/>
      <c r="DA80" s="4"/>
      <c r="DB80" s="4"/>
      <c r="DC80" s="4"/>
      <c r="DD80" s="4"/>
    </row>
    <row r="81" spans="1:108" x14ac:dyDescent="0.25">
      <c r="A81" s="12">
        <f t="shared" si="1"/>
        <v>78</v>
      </c>
      <c r="B81" s="4" t="s">
        <v>2860</v>
      </c>
      <c r="C81" s="4" t="s">
        <v>2861</v>
      </c>
      <c r="D81" s="4" t="s">
        <v>3111</v>
      </c>
      <c r="E81" s="4"/>
      <c r="F81" s="14"/>
      <c r="G81" s="14"/>
      <c r="H81" s="1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</row>
    <row r="82" spans="1:108" x14ac:dyDescent="0.25">
      <c r="A82" s="12">
        <f t="shared" si="1"/>
        <v>79</v>
      </c>
      <c r="B82" s="4" t="s">
        <v>2862</v>
      </c>
      <c r="C82" s="4" t="s">
        <v>2863</v>
      </c>
      <c r="D82" s="4" t="s">
        <v>3094</v>
      </c>
      <c r="E82" s="4"/>
      <c r="F82" s="14"/>
      <c r="G82" s="14"/>
      <c r="H82" s="1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  <c r="CX82" s="4"/>
      <c r="CY82" s="4"/>
      <c r="CZ82" s="4"/>
      <c r="DA82" s="4"/>
      <c r="DB82" s="4"/>
      <c r="DC82" s="4"/>
      <c r="DD82" s="4"/>
    </row>
    <row r="83" spans="1:108" x14ac:dyDescent="0.25">
      <c r="A83" s="12">
        <f t="shared" si="1"/>
        <v>80</v>
      </c>
      <c r="B83" s="4" t="s">
        <v>2864</v>
      </c>
      <c r="C83" s="4" t="s">
        <v>2865</v>
      </c>
      <c r="D83" s="4" t="s">
        <v>3120</v>
      </c>
      <c r="E83" s="4"/>
      <c r="F83" s="14"/>
      <c r="G83" s="14"/>
      <c r="H83" s="1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4"/>
      <c r="DD83" s="4"/>
    </row>
    <row r="84" spans="1:108" x14ac:dyDescent="0.25">
      <c r="A84" s="12">
        <f t="shared" si="1"/>
        <v>81</v>
      </c>
      <c r="B84" s="4" t="s">
        <v>2866</v>
      </c>
      <c r="C84" s="4" t="s">
        <v>2867</v>
      </c>
      <c r="D84" s="4" t="s">
        <v>3106</v>
      </c>
      <c r="E84" s="4"/>
      <c r="F84" s="14"/>
      <c r="G84" s="14"/>
      <c r="H84" s="1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</row>
    <row r="85" spans="1:108" x14ac:dyDescent="0.25">
      <c r="A85" s="12">
        <f t="shared" si="1"/>
        <v>82</v>
      </c>
      <c r="B85" s="4" t="s">
        <v>2868</v>
      </c>
      <c r="C85" s="4" t="s">
        <v>2869</v>
      </c>
      <c r="D85" s="4" t="s">
        <v>3126</v>
      </c>
      <c r="E85" s="4"/>
      <c r="F85" s="14"/>
      <c r="G85" s="14"/>
      <c r="H85" s="1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</row>
    <row r="86" spans="1:108" x14ac:dyDescent="0.25">
      <c r="A86" s="12">
        <f t="shared" si="1"/>
        <v>83</v>
      </c>
      <c r="B86" s="4" t="s">
        <v>2870</v>
      </c>
      <c r="C86" s="4" t="s">
        <v>2871</v>
      </c>
      <c r="D86" s="4" t="s">
        <v>3120</v>
      </c>
      <c r="E86" s="4"/>
      <c r="F86" s="14"/>
      <c r="G86" s="14"/>
      <c r="H86" s="1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  <c r="CX86" s="4"/>
      <c r="CY86" s="4"/>
      <c r="CZ86" s="4"/>
      <c r="DA86" s="4"/>
      <c r="DB86" s="4"/>
      <c r="DC86" s="4"/>
      <c r="DD86" s="4"/>
    </row>
    <row r="87" spans="1:108" x14ac:dyDescent="0.25">
      <c r="A87" s="12">
        <f t="shared" si="1"/>
        <v>84</v>
      </c>
      <c r="B87" s="4" t="s">
        <v>2872</v>
      </c>
      <c r="C87" s="4" t="s">
        <v>2873</v>
      </c>
      <c r="D87" s="4" t="s">
        <v>3127</v>
      </c>
      <c r="E87" s="4"/>
      <c r="F87" s="14"/>
      <c r="G87" s="14"/>
      <c r="H87" s="1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</row>
    <row r="88" spans="1:108" x14ac:dyDescent="0.25">
      <c r="A88" s="12">
        <f t="shared" si="1"/>
        <v>85</v>
      </c>
      <c r="B88" s="4" t="s">
        <v>693</v>
      </c>
      <c r="C88" s="4" t="s">
        <v>694</v>
      </c>
      <c r="D88" s="4" t="s">
        <v>3096</v>
      </c>
      <c r="E88" s="4"/>
      <c r="F88" s="14"/>
      <c r="G88" s="14"/>
      <c r="H88" s="1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</row>
    <row r="89" spans="1:108" x14ac:dyDescent="0.25">
      <c r="A89" s="12">
        <f t="shared" si="1"/>
        <v>86</v>
      </c>
      <c r="B89" s="4" t="s">
        <v>2874</v>
      </c>
      <c r="C89" s="4" t="s">
        <v>2875</v>
      </c>
      <c r="D89" s="4" t="s">
        <v>3104</v>
      </c>
      <c r="E89" s="4"/>
      <c r="F89" s="14"/>
      <c r="G89" s="14"/>
      <c r="H89" s="1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</row>
    <row r="90" spans="1:108" x14ac:dyDescent="0.25">
      <c r="A90" s="12">
        <f t="shared" si="1"/>
        <v>87</v>
      </c>
      <c r="B90" s="4" t="s">
        <v>2876</v>
      </c>
      <c r="C90" s="4" t="s">
        <v>2877</v>
      </c>
      <c r="D90" s="4" t="s">
        <v>3128</v>
      </c>
      <c r="E90" s="4"/>
      <c r="F90" s="14"/>
      <c r="G90" s="14"/>
      <c r="H90" s="1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</row>
    <row r="91" spans="1:108" x14ac:dyDescent="0.25">
      <c r="A91" s="12">
        <f t="shared" si="1"/>
        <v>88</v>
      </c>
      <c r="B91" s="4" t="s">
        <v>2878</v>
      </c>
      <c r="C91" s="4" t="s">
        <v>2879</v>
      </c>
      <c r="D91" s="4" t="s">
        <v>3098</v>
      </c>
      <c r="E91" s="4"/>
      <c r="F91" s="14"/>
      <c r="G91" s="14"/>
      <c r="H91" s="1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</row>
    <row r="92" spans="1:108" x14ac:dyDescent="0.25">
      <c r="A92" s="12">
        <f t="shared" si="1"/>
        <v>89</v>
      </c>
      <c r="B92" s="4" t="s">
        <v>2880</v>
      </c>
      <c r="C92" s="4" t="s">
        <v>2881</v>
      </c>
      <c r="D92" s="4" t="s">
        <v>3098</v>
      </c>
      <c r="E92" s="4"/>
      <c r="F92" s="14"/>
      <c r="G92" s="14"/>
      <c r="H92" s="1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</row>
    <row r="93" spans="1:108" x14ac:dyDescent="0.25">
      <c r="A93" s="12">
        <f t="shared" si="1"/>
        <v>90</v>
      </c>
      <c r="B93" s="4" t="s">
        <v>2882</v>
      </c>
      <c r="C93" s="4" t="s">
        <v>2883</v>
      </c>
      <c r="D93" s="4" t="s">
        <v>3114</v>
      </c>
      <c r="E93" s="4"/>
      <c r="F93" s="14"/>
      <c r="G93" s="14"/>
      <c r="H93" s="1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</row>
    <row r="94" spans="1:108" x14ac:dyDescent="0.25">
      <c r="A94" s="12">
        <f t="shared" si="1"/>
        <v>91</v>
      </c>
      <c r="B94" s="4" t="s">
        <v>2884</v>
      </c>
      <c r="C94" s="4" t="s">
        <v>2885</v>
      </c>
      <c r="D94" s="4" t="s">
        <v>3128</v>
      </c>
      <c r="E94" s="4"/>
      <c r="F94" s="14"/>
      <c r="G94" s="14"/>
      <c r="H94" s="1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</row>
    <row r="95" spans="1:108" x14ac:dyDescent="0.25">
      <c r="A95" s="12">
        <f t="shared" si="1"/>
        <v>92</v>
      </c>
      <c r="B95" s="4" t="s">
        <v>2886</v>
      </c>
      <c r="C95" s="4" t="s">
        <v>2887</v>
      </c>
      <c r="D95" s="4" t="s">
        <v>3129</v>
      </c>
      <c r="E95" s="4"/>
      <c r="F95" s="14"/>
      <c r="G95" s="14"/>
      <c r="H95" s="1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</row>
    <row r="96" spans="1:108" x14ac:dyDescent="0.25">
      <c r="A96" s="12">
        <f t="shared" si="1"/>
        <v>93</v>
      </c>
      <c r="B96" s="4" t="s">
        <v>2888</v>
      </c>
      <c r="C96" s="4" t="s">
        <v>2889</v>
      </c>
      <c r="D96" s="4" t="s">
        <v>3126</v>
      </c>
      <c r="E96" s="4"/>
      <c r="F96" s="14"/>
      <c r="G96" s="14"/>
      <c r="H96" s="1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</row>
    <row r="97" spans="1:108" x14ac:dyDescent="0.25">
      <c r="A97" s="12">
        <f t="shared" si="1"/>
        <v>94</v>
      </c>
      <c r="B97" s="4" t="s">
        <v>642</v>
      </c>
      <c r="C97" s="4" t="s">
        <v>643</v>
      </c>
      <c r="D97" s="4" t="s">
        <v>3094</v>
      </c>
      <c r="E97" s="4"/>
      <c r="F97" s="14"/>
      <c r="G97" s="14"/>
      <c r="H97" s="1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"/>
      <c r="CS97" s="4"/>
      <c r="CT97" s="4"/>
      <c r="CU97" s="4"/>
      <c r="CV97" s="4"/>
      <c r="CW97" s="4"/>
      <c r="CX97" s="4"/>
      <c r="CY97" s="4"/>
      <c r="CZ97" s="4"/>
      <c r="DA97" s="4"/>
      <c r="DB97" s="4"/>
      <c r="DC97" s="4"/>
      <c r="DD97" s="4"/>
    </row>
    <row r="98" spans="1:108" x14ac:dyDescent="0.25">
      <c r="A98" s="12">
        <f t="shared" si="1"/>
        <v>95</v>
      </c>
      <c r="B98" s="4" t="s">
        <v>2890</v>
      </c>
      <c r="C98" s="4" t="s">
        <v>2891</v>
      </c>
      <c r="D98" s="4" t="s">
        <v>3094</v>
      </c>
      <c r="E98" s="4"/>
      <c r="F98" s="14"/>
      <c r="G98" s="14"/>
      <c r="H98" s="1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"/>
      <c r="CS98" s="4"/>
      <c r="CT98" s="4"/>
      <c r="CU98" s="4"/>
      <c r="CV98" s="4"/>
      <c r="CW98" s="4"/>
      <c r="CX98" s="4"/>
      <c r="CY98" s="4"/>
      <c r="CZ98" s="4"/>
      <c r="DA98" s="4"/>
      <c r="DB98" s="4"/>
      <c r="DC98" s="4"/>
      <c r="DD98" s="4"/>
    </row>
    <row r="99" spans="1:108" x14ac:dyDescent="0.25">
      <c r="A99" s="12">
        <f t="shared" si="1"/>
        <v>96</v>
      </c>
      <c r="B99" s="4" t="s">
        <v>2892</v>
      </c>
      <c r="C99" s="4" t="s">
        <v>2892</v>
      </c>
      <c r="D99" s="4" t="s">
        <v>3115</v>
      </c>
      <c r="E99" s="4"/>
      <c r="F99" s="14"/>
      <c r="G99" s="14"/>
      <c r="H99" s="1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"/>
      <c r="CS99" s="4"/>
      <c r="CT99" s="4"/>
      <c r="CU99" s="4"/>
      <c r="CV99" s="4"/>
      <c r="CW99" s="4"/>
      <c r="CX99" s="4"/>
      <c r="CY99" s="4"/>
      <c r="CZ99" s="4"/>
      <c r="DA99" s="4"/>
      <c r="DB99" s="4"/>
      <c r="DC99" s="4"/>
      <c r="DD99" s="4"/>
    </row>
    <row r="100" spans="1:108" x14ac:dyDescent="0.25">
      <c r="A100" s="12">
        <f t="shared" si="1"/>
        <v>97</v>
      </c>
      <c r="B100" s="4" t="s">
        <v>2893</v>
      </c>
      <c r="C100" s="4" t="s">
        <v>2894</v>
      </c>
      <c r="D100" s="4" t="s">
        <v>3130</v>
      </c>
      <c r="E100" s="4"/>
      <c r="F100" s="14"/>
      <c r="G100" s="14"/>
      <c r="H100" s="1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"/>
      <c r="CS100" s="4"/>
      <c r="CT100" s="4"/>
      <c r="CU100" s="4"/>
      <c r="CV100" s="4"/>
      <c r="CW100" s="4"/>
      <c r="CX100" s="4"/>
      <c r="CY100" s="4"/>
      <c r="CZ100" s="4"/>
      <c r="DA100" s="4"/>
      <c r="DB100" s="4"/>
      <c r="DC100" s="4"/>
      <c r="DD100" s="4"/>
    </row>
    <row r="101" spans="1:108" x14ac:dyDescent="0.25">
      <c r="A101" s="12">
        <f t="shared" si="1"/>
        <v>98</v>
      </c>
      <c r="B101" s="4" t="s">
        <v>2895</v>
      </c>
      <c r="C101" s="4" t="s">
        <v>2896</v>
      </c>
      <c r="D101" s="4" t="s">
        <v>3114</v>
      </c>
      <c r="E101" s="4"/>
      <c r="F101" s="14"/>
      <c r="G101" s="14"/>
      <c r="H101" s="1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"/>
      <c r="CS101" s="4"/>
      <c r="CT101" s="4"/>
      <c r="CU101" s="4"/>
      <c r="CV101" s="4"/>
      <c r="CW101" s="4"/>
      <c r="CX101" s="4"/>
      <c r="CY101" s="4"/>
      <c r="CZ101" s="4"/>
      <c r="DA101" s="4"/>
      <c r="DB101" s="4"/>
      <c r="DC101" s="4"/>
      <c r="DD101" s="4"/>
    </row>
    <row r="102" spans="1:108" x14ac:dyDescent="0.25">
      <c r="A102" s="12">
        <f t="shared" si="1"/>
        <v>99</v>
      </c>
      <c r="B102" s="4" t="s">
        <v>2897</v>
      </c>
      <c r="C102" s="4" t="s">
        <v>2898</v>
      </c>
      <c r="D102" s="4" t="s">
        <v>3105</v>
      </c>
      <c r="E102" s="4"/>
      <c r="F102" s="14"/>
      <c r="G102" s="14"/>
      <c r="H102" s="1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"/>
      <c r="CS102" s="4"/>
      <c r="CT102" s="4"/>
      <c r="CU102" s="4"/>
      <c r="CV102" s="4"/>
      <c r="CW102" s="4"/>
      <c r="CX102" s="4"/>
      <c r="CY102" s="4"/>
      <c r="CZ102" s="4"/>
      <c r="DA102" s="4"/>
      <c r="DB102" s="4"/>
      <c r="DC102" s="4"/>
      <c r="DD102" s="4"/>
    </row>
    <row r="103" spans="1:108" x14ac:dyDescent="0.25">
      <c r="A103" s="12">
        <f t="shared" si="1"/>
        <v>100</v>
      </c>
      <c r="B103" s="4" t="s">
        <v>2899</v>
      </c>
      <c r="C103" s="4" t="s">
        <v>2900</v>
      </c>
      <c r="D103" s="4" t="s">
        <v>3096</v>
      </c>
      <c r="E103" s="4"/>
      <c r="F103" s="14"/>
      <c r="G103" s="14"/>
      <c r="H103" s="1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"/>
      <c r="CS103" s="4"/>
      <c r="CT103" s="4"/>
      <c r="CU103" s="4"/>
      <c r="CV103" s="4"/>
      <c r="CW103" s="4"/>
      <c r="CX103" s="4"/>
      <c r="CY103" s="4"/>
      <c r="CZ103" s="4"/>
      <c r="DA103" s="4"/>
      <c r="DB103" s="4"/>
      <c r="DC103" s="4"/>
      <c r="DD103" s="4"/>
    </row>
    <row r="104" spans="1:108" x14ac:dyDescent="0.25">
      <c r="A104" s="12">
        <f t="shared" si="1"/>
        <v>101</v>
      </c>
      <c r="B104" s="4" t="s">
        <v>2901</v>
      </c>
      <c r="C104" s="4" t="s">
        <v>2902</v>
      </c>
      <c r="D104" s="4" t="s">
        <v>3109</v>
      </c>
      <c r="E104" s="4"/>
      <c r="F104" s="14"/>
      <c r="G104" s="14"/>
      <c r="H104" s="1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"/>
      <c r="CS104" s="4"/>
      <c r="CT104" s="4"/>
      <c r="CU104" s="4"/>
      <c r="CV104" s="4"/>
      <c r="CW104" s="4"/>
      <c r="CX104" s="4"/>
      <c r="CY104" s="4"/>
      <c r="CZ104" s="4"/>
      <c r="DA104" s="4"/>
      <c r="DB104" s="4"/>
      <c r="DC104" s="4"/>
      <c r="DD104" s="4"/>
    </row>
    <row r="105" spans="1:108" x14ac:dyDescent="0.25">
      <c r="A105" s="12">
        <f t="shared" si="1"/>
        <v>102</v>
      </c>
      <c r="B105" s="4" t="s">
        <v>2903</v>
      </c>
      <c r="C105" s="4" t="s">
        <v>2904</v>
      </c>
      <c r="D105" s="4" t="s">
        <v>3096</v>
      </c>
      <c r="E105" s="4"/>
      <c r="F105" s="14"/>
      <c r="G105" s="14"/>
      <c r="H105" s="1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"/>
      <c r="CS105" s="4"/>
      <c r="CT105" s="4"/>
      <c r="CU105" s="4"/>
      <c r="CV105" s="4"/>
      <c r="CW105" s="4"/>
      <c r="CX105" s="4"/>
      <c r="CY105" s="4"/>
      <c r="CZ105" s="4"/>
      <c r="DA105" s="4"/>
      <c r="DB105" s="4"/>
      <c r="DC105" s="4"/>
      <c r="DD105" s="4"/>
    </row>
    <row r="106" spans="1:108" x14ac:dyDescent="0.25">
      <c r="A106" s="12">
        <f t="shared" si="1"/>
        <v>103</v>
      </c>
      <c r="B106" s="4" t="s">
        <v>1249</v>
      </c>
      <c r="C106" s="4" t="s">
        <v>1250</v>
      </c>
      <c r="D106" s="4" t="s">
        <v>3094</v>
      </c>
      <c r="E106" s="4"/>
      <c r="F106" s="14"/>
      <c r="G106" s="14"/>
      <c r="H106" s="1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"/>
      <c r="CS106" s="4"/>
      <c r="CT106" s="4"/>
      <c r="CU106" s="4"/>
      <c r="CV106" s="4"/>
      <c r="CW106" s="4"/>
      <c r="CX106" s="4"/>
      <c r="CY106" s="4"/>
      <c r="CZ106" s="4"/>
      <c r="DA106" s="4"/>
      <c r="DB106" s="4"/>
      <c r="DC106" s="4"/>
      <c r="DD106" s="4"/>
    </row>
    <row r="107" spans="1:108" x14ac:dyDescent="0.25">
      <c r="A107" s="12">
        <f t="shared" si="1"/>
        <v>104</v>
      </c>
      <c r="B107" s="4" t="s">
        <v>2905</v>
      </c>
      <c r="C107" s="4" t="s">
        <v>2906</v>
      </c>
      <c r="D107" s="4" t="s">
        <v>3094</v>
      </c>
      <c r="E107" s="4"/>
      <c r="F107" s="14"/>
      <c r="G107" s="14"/>
      <c r="H107" s="1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"/>
      <c r="CS107" s="4"/>
      <c r="CT107" s="4"/>
      <c r="CU107" s="4"/>
      <c r="CV107" s="4"/>
      <c r="CW107" s="4"/>
      <c r="CX107" s="4"/>
      <c r="CY107" s="4"/>
      <c r="CZ107" s="4"/>
      <c r="DA107" s="4"/>
      <c r="DB107" s="4"/>
      <c r="DC107" s="4"/>
      <c r="DD107" s="4"/>
    </row>
    <row r="108" spans="1:108" x14ac:dyDescent="0.25">
      <c r="A108" s="12">
        <f t="shared" si="1"/>
        <v>105</v>
      </c>
      <c r="B108" s="4" t="s">
        <v>2907</v>
      </c>
      <c r="C108" s="4" t="s">
        <v>2908</v>
      </c>
      <c r="D108" s="4" t="s">
        <v>3094</v>
      </c>
      <c r="E108" s="4"/>
      <c r="F108" s="14"/>
      <c r="G108" s="14"/>
      <c r="H108" s="1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"/>
      <c r="CS108" s="4"/>
      <c r="CT108" s="4"/>
      <c r="CU108" s="4"/>
      <c r="CV108" s="4"/>
      <c r="CW108" s="4"/>
      <c r="CX108" s="4"/>
      <c r="CY108" s="4"/>
      <c r="CZ108" s="4"/>
      <c r="DA108" s="4"/>
      <c r="DB108" s="4"/>
      <c r="DC108" s="4"/>
      <c r="DD108" s="4"/>
    </row>
    <row r="109" spans="1:108" x14ac:dyDescent="0.25">
      <c r="A109" s="12">
        <f t="shared" si="1"/>
        <v>106</v>
      </c>
      <c r="B109" s="4" t="s">
        <v>2909</v>
      </c>
      <c r="C109" s="4" t="s">
        <v>2910</v>
      </c>
      <c r="D109" s="4" t="s">
        <v>3094</v>
      </c>
      <c r="E109" s="4"/>
      <c r="F109" s="14"/>
      <c r="G109" s="14"/>
      <c r="H109" s="1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"/>
      <c r="CS109" s="4"/>
      <c r="CT109" s="4"/>
      <c r="CU109" s="4"/>
      <c r="CV109" s="4"/>
      <c r="CW109" s="4"/>
      <c r="CX109" s="4"/>
      <c r="CY109" s="4"/>
      <c r="CZ109" s="4"/>
      <c r="DA109" s="4"/>
      <c r="DB109" s="4"/>
      <c r="DC109" s="4"/>
      <c r="DD109" s="4"/>
    </row>
    <row r="110" spans="1:108" x14ac:dyDescent="0.25">
      <c r="A110" s="12">
        <f t="shared" si="1"/>
        <v>107</v>
      </c>
      <c r="B110" s="4" t="s">
        <v>2911</v>
      </c>
      <c r="C110" s="4" t="s">
        <v>2912</v>
      </c>
      <c r="D110" s="4" t="s">
        <v>3131</v>
      </c>
      <c r="E110" s="4"/>
      <c r="F110" s="14"/>
      <c r="G110" s="14"/>
      <c r="H110" s="1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4"/>
      <c r="CS110" s="4"/>
      <c r="CT110" s="4"/>
      <c r="CU110" s="4"/>
      <c r="CV110" s="4"/>
      <c r="CW110" s="4"/>
      <c r="CX110" s="4"/>
      <c r="CY110" s="4"/>
      <c r="CZ110" s="4"/>
      <c r="DA110" s="4"/>
      <c r="DB110" s="4"/>
      <c r="DC110" s="4"/>
      <c r="DD110" s="4"/>
    </row>
    <row r="111" spans="1:108" x14ac:dyDescent="0.25">
      <c r="A111" s="12">
        <f t="shared" si="1"/>
        <v>108</v>
      </c>
      <c r="B111" s="4" t="s">
        <v>2913</v>
      </c>
      <c r="C111" s="4" t="s">
        <v>2914</v>
      </c>
      <c r="D111" s="4" t="s">
        <v>3114</v>
      </c>
      <c r="E111" s="4"/>
      <c r="F111" s="14"/>
      <c r="G111" s="14"/>
      <c r="H111" s="1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</row>
    <row r="112" spans="1:108" x14ac:dyDescent="0.25">
      <c r="A112" s="12">
        <f t="shared" si="1"/>
        <v>109</v>
      </c>
      <c r="B112" s="4" t="s">
        <v>2915</v>
      </c>
      <c r="C112" s="4" t="s">
        <v>2916</v>
      </c>
      <c r="D112" s="4" t="s">
        <v>3119</v>
      </c>
      <c r="E112" s="4"/>
      <c r="F112" s="14"/>
      <c r="G112" s="14"/>
      <c r="H112" s="1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</row>
    <row r="113" spans="1:108" x14ac:dyDescent="0.25">
      <c r="A113" s="12">
        <f t="shared" si="1"/>
        <v>110</v>
      </c>
      <c r="B113" s="4" t="s">
        <v>2917</v>
      </c>
      <c r="C113" s="4" t="s">
        <v>2918</v>
      </c>
      <c r="D113" s="4" t="s">
        <v>3123</v>
      </c>
      <c r="E113" s="4"/>
      <c r="F113" s="14"/>
      <c r="G113" s="14"/>
      <c r="H113" s="1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</row>
    <row r="114" spans="1:108" x14ac:dyDescent="0.25">
      <c r="A114" s="12">
        <f t="shared" si="1"/>
        <v>111</v>
      </c>
      <c r="B114" s="4" t="s">
        <v>2919</v>
      </c>
      <c r="C114" s="4" t="s">
        <v>2920</v>
      </c>
      <c r="D114" s="4" t="s">
        <v>3132</v>
      </c>
      <c r="E114" s="4"/>
      <c r="F114" s="14"/>
      <c r="G114" s="14"/>
      <c r="H114" s="1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</row>
    <row r="115" spans="1:108" x14ac:dyDescent="0.25">
      <c r="A115" s="12">
        <f t="shared" si="1"/>
        <v>112</v>
      </c>
      <c r="B115" s="4" t="s">
        <v>2921</v>
      </c>
      <c r="C115" s="4" t="s">
        <v>2922</v>
      </c>
      <c r="D115" s="4" t="s">
        <v>3101</v>
      </c>
      <c r="E115" s="4"/>
      <c r="F115" s="14"/>
      <c r="G115" s="14"/>
      <c r="H115" s="1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</row>
    <row r="116" spans="1:108" x14ac:dyDescent="0.25">
      <c r="A116" s="12">
        <f t="shared" si="1"/>
        <v>113</v>
      </c>
      <c r="B116" s="4" t="s">
        <v>2923</v>
      </c>
      <c r="C116" s="4" t="s">
        <v>2924</v>
      </c>
      <c r="D116" s="4" t="s">
        <v>3133</v>
      </c>
      <c r="E116" s="4"/>
      <c r="F116" s="14"/>
      <c r="G116" s="14"/>
      <c r="H116" s="1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</row>
    <row r="117" spans="1:108" x14ac:dyDescent="0.25">
      <c r="A117" s="12">
        <f t="shared" si="1"/>
        <v>114</v>
      </c>
      <c r="B117" s="4" t="s">
        <v>2925</v>
      </c>
      <c r="C117" s="4" t="s">
        <v>2926</v>
      </c>
      <c r="D117" s="4" t="s">
        <v>3106</v>
      </c>
      <c r="E117" s="4"/>
      <c r="F117" s="14"/>
      <c r="G117" s="14"/>
      <c r="H117" s="1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</row>
    <row r="118" spans="1:108" x14ac:dyDescent="0.25">
      <c r="A118" s="12">
        <f t="shared" si="1"/>
        <v>115</v>
      </c>
      <c r="B118" s="4" t="s">
        <v>2927</v>
      </c>
      <c r="C118" s="4" t="s">
        <v>2928</v>
      </c>
      <c r="D118" s="4" t="s">
        <v>3117</v>
      </c>
      <c r="E118" s="4"/>
      <c r="F118" s="14"/>
      <c r="G118" s="14"/>
      <c r="H118" s="1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</row>
    <row r="119" spans="1:108" x14ac:dyDescent="0.25">
      <c r="A119" s="12">
        <f t="shared" si="1"/>
        <v>116</v>
      </c>
      <c r="B119" s="4" t="s">
        <v>2929</v>
      </c>
      <c r="C119" s="4" t="s">
        <v>2930</v>
      </c>
      <c r="D119" s="4" t="s">
        <v>3114</v>
      </c>
      <c r="E119" s="4"/>
      <c r="F119" s="14"/>
      <c r="G119" s="14"/>
      <c r="H119" s="1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</row>
    <row r="120" spans="1:108" x14ac:dyDescent="0.25">
      <c r="A120" s="12">
        <f t="shared" si="1"/>
        <v>117</v>
      </c>
      <c r="B120" s="4" t="s">
        <v>2931</v>
      </c>
      <c r="C120" s="4" t="s">
        <v>2932</v>
      </c>
      <c r="D120" s="4" t="s">
        <v>3094</v>
      </c>
      <c r="E120" s="4"/>
      <c r="F120" s="14"/>
      <c r="G120" s="14"/>
      <c r="H120" s="1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</row>
    <row r="121" spans="1:108" x14ac:dyDescent="0.25">
      <c r="A121" s="12">
        <f t="shared" si="1"/>
        <v>118</v>
      </c>
      <c r="B121" s="4" t="s">
        <v>2933</v>
      </c>
      <c r="C121" s="4" t="s">
        <v>2934</v>
      </c>
      <c r="D121" s="4" t="s">
        <v>3100</v>
      </c>
      <c r="E121" s="4"/>
      <c r="F121" s="14"/>
      <c r="G121" s="14"/>
      <c r="H121" s="1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</row>
    <row r="122" spans="1:108" x14ac:dyDescent="0.25">
      <c r="A122" s="12">
        <f t="shared" si="1"/>
        <v>119</v>
      </c>
      <c r="B122" s="4" t="s">
        <v>2935</v>
      </c>
      <c r="C122" s="4" t="s">
        <v>2936</v>
      </c>
      <c r="D122" s="4" t="s">
        <v>3114</v>
      </c>
      <c r="E122" s="4"/>
      <c r="F122" s="14"/>
      <c r="G122" s="14"/>
      <c r="H122" s="1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</row>
    <row r="123" spans="1:108" x14ac:dyDescent="0.25">
      <c r="A123" s="12">
        <f t="shared" si="1"/>
        <v>120</v>
      </c>
      <c r="B123" s="4" t="s">
        <v>2937</v>
      </c>
      <c r="C123" s="4" t="s">
        <v>2938</v>
      </c>
      <c r="D123" s="4" t="s">
        <v>3133</v>
      </c>
      <c r="E123" s="4"/>
      <c r="F123" s="14"/>
      <c r="G123" s="14"/>
      <c r="H123" s="1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</row>
    <row r="124" spans="1:108" x14ac:dyDescent="0.25">
      <c r="A124" s="12">
        <f t="shared" si="1"/>
        <v>121</v>
      </c>
      <c r="B124" s="4" t="s">
        <v>2939</v>
      </c>
      <c r="C124" s="4" t="s">
        <v>2940</v>
      </c>
      <c r="D124" s="4" t="s">
        <v>3099</v>
      </c>
      <c r="E124" s="4"/>
      <c r="F124" s="14"/>
      <c r="G124" s="14"/>
      <c r="H124" s="1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</row>
    <row r="125" spans="1:108" x14ac:dyDescent="0.25">
      <c r="A125" s="12">
        <f t="shared" si="1"/>
        <v>122</v>
      </c>
      <c r="B125" s="4" t="s">
        <v>2941</v>
      </c>
      <c r="C125" s="4" t="s">
        <v>2942</v>
      </c>
      <c r="D125" s="4" t="s">
        <v>3134</v>
      </c>
      <c r="E125" s="4"/>
      <c r="F125" s="14"/>
      <c r="G125" s="14"/>
      <c r="H125" s="1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</row>
    <row r="126" spans="1:108" x14ac:dyDescent="0.25">
      <c r="A126" s="12">
        <f t="shared" si="1"/>
        <v>123</v>
      </c>
      <c r="B126" s="4" t="s">
        <v>2943</v>
      </c>
      <c r="C126" s="4" t="s">
        <v>2944</v>
      </c>
      <c r="D126" s="4" t="s">
        <v>3109</v>
      </c>
      <c r="E126" s="4"/>
      <c r="F126" s="14"/>
      <c r="G126" s="14"/>
      <c r="H126" s="1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</row>
    <row r="127" spans="1:108" x14ac:dyDescent="0.25">
      <c r="A127" s="12">
        <f t="shared" si="1"/>
        <v>124</v>
      </c>
      <c r="B127" s="4" t="s">
        <v>2945</v>
      </c>
      <c r="C127" s="4" t="s">
        <v>2946</v>
      </c>
      <c r="D127" s="4" t="s">
        <v>3131</v>
      </c>
      <c r="E127" s="4"/>
      <c r="F127" s="14"/>
      <c r="G127" s="14"/>
      <c r="H127" s="1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</row>
    <row r="128" spans="1:108" x14ac:dyDescent="0.25">
      <c r="A128" s="12">
        <f t="shared" si="1"/>
        <v>125</v>
      </c>
      <c r="B128" s="4" t="s">
        <v>2947</v>
      </c>
      <c r="C128" s="4" t="s">
        <v>2948</v>
      </c>
      <c r="D128" s="4" t="s">
        <v>3135</v>
      </c>
      <c r="E128" s="4"/>
      <c r="F128" s="14"/>
      <c r="G128" s="14"/>
      <c r="H128" s="1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</row>
    <row r="129" spans="1:108" x14ac:dyDescent="0.25">
      <c r="A129" s="12">
        <f t="shared" si="1"/>
        <v>126</v>
      </c>
      <c r="B129" s="4" t="s">
        <v>2949</v>
      </c>
      <c r="C129" s="4" t="s">
        <v>2950</v>
      </c>
      <c r="D129" s="4" t="s">
        <v>3109</v>
      </c>
      <c r="E129" s="4"/>
      <c r="F129" s="14"/>
      <c r="G129" s="14"/>
      <c r="H129" s="1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</row>
    <row r="130" spans="1:108" x14ac:dyDescent="0.25">
      <c r="A130" s="12">
        <f t="shared" si="1"/>
        <v>127</v>
      </c>
      <c r="B130" s="4" t="s">
        <v>2951</v>
      </c>
      <c r="C130" s="4" t="s">
        <v>2952</v>
      </c>
      <c r="D130" s="4" t="s">
        <v>3124</v>
      </c>
      <c r="E130" s="4"/>
      <c r="F130" s="14"/>
      <c r="G130" s="14"/>
      <c r="H130" s="1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</row>
    <row r="131" spans="1:108" x14ac:dyDescent="0.25">
      <c r="A131" s="12">
        <f t="shared" si="1"/>
        <v>128</v>
      </c>
      <c r="B131" s="4" t="s">
        <v>2953</v>
      </c>
      <c r="C131" s="4" t="s">
        <v>2954</v>
      </c>
      <c r="D131" s="4" t="s">
        <v>3136</v>
      </c>
      <c r="E131" s="4"/>
      <c r="F131" s="14"/>
      <c r="G131" s="14"/>
      <c r="H131" s="1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</row>
    <row r="132" spans="1:108" x14ac:dyDescent="0.25">
      <c r="A132" s="12">
        <f t="shared" si="1"/>
        <v>129</v>
      </c>
      <c r="B132" s="4" t="s">
        <v>2955</v>
      </c>
      <c r="C132" s="4" t="s">
        <v>2956</v>
      </c>
      <c r="D132" s="4" t="s">
        <v>3111</v>
      </c>
      <c r="E132" s="4"/>
      <c r="F132" s="14"/>
      <c r="G132" s="14"/>
      <c r="H132" s="1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</row>
    <row r="133" spans="1:108" x14ac:dyDescent="0.25">
      <c r="A133" s="12">
        <f t="shared" si="1"/>
        <v>130</v>
      </c>
      <c r="B133" s="4" t="s">
        <v>2957</v>
      </c>
      <c r="C133" s="4" t="s">
        <v>2958</v>
      </c>
      <c r="D133" s="4" t="s">
        <v>3124</v>
      </c>
      <c r="E133" s="4"/>
      <c r="F133" s="14"/>
      <c r="G133" s="14"/>
      <c r="H133" s="1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</row>
    <row r="134" spans="1:108" x14ac:dyDescent="0.25">
      <c r="A134" s="12">
        <f t="shared" ref="A134:A197" si="2">+A133+1</f>
        <v>131</v>
      </c>
      <c r="B134" s="4" t="s">
        <v>2959</v>
      </c>
      <c r="C134" s="4" t="s">
        <v>2960</v>
      </c>
      <c r="D134" s="4" t="s">
        <v>3094</v>
      </c>
      <c r="E134" s="4"/>
      <c r="F134" s="14"/>
      <c r="G134" s="14"/>
      <c r="H134" s="1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</row>
    <row r="135" spans="1:108" x14ac:dyDescent="0.25">
      <c r="A135" s="12">
        <f t="shared" si="2"/>
        <v>132</v>
      </c>
      <c r="B135" s="4" t="s">
        <v>1302</v>
      </c>
      <c r="C135" s="4" t="s">
        <v>1303</v>
      </c>
      <c r="D135" s="4" t="s">
        <v>3102</v>
      </c>
      <c r="E135" s="4"/>
      <c r="F135" s="14"/>
      <c r="G135" s="14"/>
      <c r="H135" s="1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</row>
    <row r="136" spans="1:108" x14ac:dyDescent="0.25">
      <c r="A136" s="12">
        <f t="shared" si="2"/>
        <v>133</v>
      </c>
      <c r="B136" s="4" t="s">
        <v>2961</v>
      </c>
      <c r="C136" s="4" t="s">
        <v>2962</v>
      </c>
      <c r="D136" s="4" t="s">
        <v>3129</v>
      </c>
      <c r="E136" s="4"/>
      <c r="F136" s="14"/>
      <c r="G136" s="14"/>
      <c r="H136" s="1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</row>
    <row r="137" spans="1:108" x14ac:dyDescent="0.25">
      <c r="A137" s="12">
        <f t="shared" si="2"/>
        <v>134</v>
      </c>
      <c r="B137" s="4" t="s">
        <v>2963</v>
      </c>
      <c r="C137" s="4" t="s">
        <v>2964</v>
      </c>
      <c r="D137" s="4" t="s">
        <v>3102</v>
      </c>
      <c r="E137" s="4"/>
      <c r="F137" s="14"/>
      <c r="G137" s="14"/>
      <c r="H137" s="1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</row>
    <row r="138" spans="1:108" x14ac:dyDescent="0.25">
      <c r="A138" s="12">
        <f t="shared" si="2"/>
        <v>135</v>
      </c>
      <c r="B138" s="4" t="s">
        <v>2965</v>
      </c>
      <c r="C138" s="4" t="s">
        <v>2966</v>
      </c>
      <c r="D138" s="4" t="s">
        <v>3094</v>
      </c>
      <c r="E138" s="4"/>
      <c r="F138" s="14"/>
      <c r="G138" s="14"/>
      <c r="H138" s="1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</row>
    <row r="139" spans="1:108" x14ac:dyDescent="0.25">
      <c r="A139" s="12">
        <f t="shared" si="2"/>
        <v>136</v>
      </c>
      <c r="B139" s="4" t="s">
        <v>2967</v>
      </c>
      <c r="C139" s="4" t="s">
        <v>2968</v>
      </c>
      <c r="D139" s="4" t="s">
        <v>3094</v>
      </c>
      <c r="E139" s="4"/>
      <c r="F139" s="14"/>
      <c r="G139" s="14"/>
      <c r="H139" s="1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</row>
    <row r="140" spans="1:108" x14ac:dyDescent="0.25">
      <c r="A140" s="12">
        <f t="shared" si="2"/>
        <v>137</v>
      </c>
      <c r="B140" s="4" t="s">
        <v>2969</v>
      </c>
      <c r="C140" s="4" t="s">
        <v>2970</v>
      </c>
      <c r="D140" s="4" t="s">
        <v>3094</v>
      </c>
      <c r="E140" s="4"/>
      <c r="F140" s="14"/>
      <c r="G140" s="14"/>
      <c r="H140" s="1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</row>
    <row r="141" spans="1:108" x14ac:dyDescent="0.25">
      <c r="A141" s="12">
        <f t="shared" si="2"/>
        <v>138</v>
      </c>
      <c r="B141" s="4" t="s">
        <v>2971</v>
      </c>
      <c r="C141" s="4" t="s">
        <v>2972</v>
      </c>
      <c r="D141" s="4" t="s">
        <v>3129</v>
      </c>
      <c r="E141" s="4"/>
      <c r="F141" s="14"/>
      <c r="G141" s="14"/>
      <c r="H141" s="1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</row>
    <row r="142" spans="1:108" x14ac:dyDescent="0.25">
      <c r="A142" s="12">
        <f t="shared" si="2"/>
        <v>139</v>
      </c>
      <c r="B142" s="4" t="s">
        <v>2973</v>
      </c>
      <c r="C142" s="4" t="s">
        <v>2974</v>
      </c>
      <c r="D142" s="4" t="s">
        <v>3094</v>
      </c>
      <c r="E142" s="4"/>
      <c r="F142" s="14"/>
      <c r="G142" s="14"/>
      <c r="H142" s="1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</row>
    <row r="143" spans="1:108" x14ac:dyDescent="0.25">
      <c r="A143" s="12">
        <f t="shared" si="2"/>
        <v>140</v>
      </c>
      <c r="B143" s="4" t="s">
        <v>2975</v>
      </c>
      <c r="C143" s="4" t="s">
        <v>2976</v>
      </c>
      <c r="D143" s="4" t="s">
        <v>3116</v>
      </c>
      <c r="E143" s="4"/>
      <c r="F143" s="14"/>
      <c r="G143" s="14"/>
      <c r="H143" s="1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</row>
    <row r="144" spans="1:108" x14ac:dyDescent="0.25">
      <c r="A144" s="12">
        <f t="shared" si="2"/>
        <v>141</v>
      </c>
      <c r="B144" s="4" t="s">
        <v>2977</v>
      </c>
      <c r="C144" s="4" t="s">
        <v>2978</v>
      </c>
      <c r="D144" s="4" t="s">
        <v>3103</v>
      </c>
      <c r="E144" s="4"/>
      <c r="F144" s="14"/>
      <c r="G144" s="14"/>
      <c r="H144" s="1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</row>
    <row r="145" spans="1:108" x14ac:dyDescent="0.25">
      <c r="A145" s="12">
        <f t="shared" si="2"/>
        <v>142</v>
      </c>
      <c r="B145" s="4" t="s">
        <v>2979</v>
      </c>
      <c r="C145" s="4" t="s">
        <v>2980</v>
      </c>
      <c r="D145" s="4" t="s">
        <v>3109</v>
      </c>
      <c r="E145" s="4"/>
      <c r="F145" s="14"/>
      <c r="G145" s="14"/>
      <c r="H145" s="1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</row>
    <row r="146" spans="1:108" x14ac:dyDescent="0.25">
      <c r="A146" s="12">
        <f t="shared" si="2"/>
        <v>143</v>
      </c>
      <c r="B146" s="4" t="s">
        <v>2981</v>
      </c>
      <c r="C146" s="4" t="s">
        <v>2982</v>
      </c>
      <c r="D146" s="4" t="s">
        <v>3098</v>
      </c>
      <c r="E146" s="4"/>
      <c r="F146" s="14"/>
      <c r="G146" s="14"/>
      <c r="H146" s="1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</row>
    <row r="147" spans="1:108" x14ac:dyDescent="0.25">
      <c r="A147" s="12">
        <f t="shared" si="2"/>
        <v>144</v>
      </c>
      <c r="B147" s="4" t="s">
        <v>2983</v>
      </c>
      <c r="C147" s="4" t="s">
        <v>2984</v>
      </c>
      <c r="D147" s="4" t="s">
        <v>3096</v>
      </c>
      <c r="E147" s="4"/>
      <c r="F147" s="14"/>
      <c r="G147" s="14"/>
      <c r="H147" s="1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</row>
    <row r="148" spans="1:108" x14ac:dyDescent="0.25">
      <c r="A148" s="12">
        <f t="shared" si="2"/>
        <v>145</v>
      </c>
      <c r="B148" s="4" t="s">
        <v>1362</v>
      </c>
      <c r="C148" s="4" t="s">
        <v>1363</v>
      </c>
      <c r="D148" s="4" t="s">
        <v>3102</v>
      </c>
      <c r="E148" s="4"/>
      <c r="F148" s="14"/>
      <c r="G148" s="14"/>
      <c r="H148" s="1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</row>
    <row r="149" spans="1:108" x14ac:dyDescent="0.25">
      <c r="A149" s="12">
        <f t="shared" si="2"/>
        <v>146</v>
      </c>
      <c r="B149" s="4" t="s">
        <v>2985</v>
      </c>
      <c r="C149" s="4" t="s">
        <v>2986</v>
      </c>
      <c r="D149" s="4" t="s">
        <v>3137</v>
      </c>
      <c r="E149" s="4"/>
      <c r="F149" s="14"/>
      <c r="G149" s="14"/>
      <c r="H149" s="1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</row>
    <row r="150" spans="1:108" x14ac:dyDescent="0.25">
      <c r="A150" s="12">
        <f t="shared" si="2"/>
        <v>147</v>
      </c>
      <c r="B150" s="4" t="s">
        <v>2987</v>
      </c>
      <c r="C150" s="4" t="s">
        <v>2988</v>
      </c>
      <c r="D150" s="4" t="s">
        <v>3138</v>
      </c>
      <c r="E150" s="4"/>
      <c r="F150" s="14"/>
      <c r="G150" s="14"/>
      <c r="H150" s="1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</row>
    <row r="151" spans="1:108" x14ac:dyDescent="0.25">
      <c r="A151" s="12">
        <f t="shared" si="2"/>
        <v>148</v>
      </c>
      <c r="B151" s="4" t="s">
        <v>2989</v>
      </c>
      <c r="C151" s="4" t="s">
        <v>2990</v>
      </c>
      <c r="D151" s="4" t="s">
        <v>3094</v>
      </c>
      <c r="E151" s="4"/>
      <c r="F151" s="14"/>
      <c r="G151" s="14"/>
      <c r="H151" s="1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</row>
    <row r="152" spans="1:108" x14ac:dyDescent="0.25">
      <c r="A152" s="12">
        <f t="shared" si="2"/>
        <v>149</v>
      </c>
      <c r="B152" s="4" t="s">
        <v>2991</v>
      </c>
      <c r="C152" s="4" t="s">
        <v>2992</v>
      </c>
      <c r="D152" s="4" t="s">
        <v>3094</v>
      </c>
      <c r="E152" s="4"/>
      <c r="F152" s="14"/>
      <c r="G152" s="14"/>
      <c r="H152" s="1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</row>
    <row r="153" spans="1:108" x14ac:dyDescent="0.25">
      <c r="A153" s="12">
        <f t="shared" si="2"/>
        <v>150</v>
      </c>
      <c r="B153" s="4" t="s">
        <v>2993</v>
      </c>
      <c r="C153" s="4" t="s">
        <v>2994</v>
      </c>
      <c r="D153" s="4" t="s">
        <v>3106</v>
      </c>
      <c r="E153" s="4"/>
      <c r="F153" s="14"/>
      <c r="G153" s="14"/>
      <c r="H153" s="1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</row>
    <row r="154" spans="1:108" x14ac:dyDescent="0.25">
      <c r="A154" s="12">
        <f t="shared" si="2"/>
        <v>151</v>
      </c>
      <c r="B154" s="4" t="s">
        <v>2995</v>
      </c>
      <c r="C154" s="4" t="s">
        <v>2996</v>
      </c>
      <c r="D154" s="4" t="s">
        <v>3106</v>
      </c>
      <c r="E154" s="4"/>
      <c r="F154" s="14"/>
      <c r="G154" s="14"/>
      <c r="H154" s="1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</row>
    <row r="155" spans="1:108" x14ac:dyDescent="0.25">
      <c r="A155" s="12">
        <f t="shared" si="2"/>
        <v>152</v>
      </c>
      <c r="B155" s="4" t="s">
        <v>2997</v>
      </c>
      <c r="C155" s="4" t="s">
        <v>2998</v>
      </c>
      <c r="D155" s="4" t="s">
        <v>3125</v>
      </c>
      <c r="E155" s="4"/>
      <c r="F155" s="14"/>
      <c r="G155" s="14"/>
      <c r="H155" s="1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</row>
    <row r="156" spans="1:108" x14ac:dyDescent="0.25">
      <c r="A156" s="12">
        <f t="shared" si="2"/>
        <v>153</v>
      </c>
      <c r="B156" s="4" t="s">
        <v>1612</v>
      </c>
      <c r="C156" s="4" t="s">
        <v>1613</v>
      </c>
      <c r="D156" s="4" t="s">
        <v>3098</v>
      </c>
      <c r="E156" s="4"/>
      <c r="F156" s="14"/>
      <c r="G156" s="14"/>
      <c r="H156" s="1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</row>
    <row r="157" spans="1:108" x14ac:dyDescent="0.25">
      <c r="A157" s="12">
        <f t="shared" si="2"/>
        <v>154</v>
      </c>
      <c r="B157" s="4" t="s">
        <v>2999</v>
      </c>
      <c r="C157" s="4" t="s">
        <v>3000</v>
      </c>
      <c r="D157" s="4" t="s">
        <v>3100</v>
      </c>
      <c r="E157" s="4"/>
      <c r="F157" s="14"/>
      <c r="G157" s="14"/>
      <c r="H157" s="1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</row>
    <row r="158" spans="1:108" x14ac:dyDescent="0.25">
      <c r="A158" s="12">
        <f t="shared" si="2"/>
        <v>155</v>
      </c>
      <c r="B158" s="4" t="s">
        <v>3001</v>
      </c>
      <c r="C158" s="4" t="s">
        <v>3002</v>
      </c>
      <c r="D158" s="4" t="s">
        <v>3094</v>
      </c>
      <c r="E158" s="4"/>
      <c r="F158" s="14"/>
      <c r="G158" s="14"/>
      <c r="H158" s="1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</row>
    <row r="159" spans="1:108" x14ac:dyDescent="0.25">
      <c r="A159" s="12">
        <f t="shared" si="2"/>
        <v>156</v>
      </c>
      <c r="B159" s="4" t="s">
        <v>3003</v>
      </c>
      <c r="C159" s="4" t="s">
        <v>3004</v>
      </c>
      <c r="D159" s="4" t="s">
        <v>3112</v>
      </c>
      <c r="E159" s="4"/>
      <c r="F159" s="14"/>
      <c r="G159" s="14"/>
      <c r="H159" s="1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</row>
    <row r="160" spans="1:108" x14ac:dyDescent="0.25">
      <c r="A160" s="12">
        <f t="shared" si="2"/>
        <v>157</v>
      </c>
      <c r="B160" s="4" t="s">
        <v>3005</v>
      </c>
      <c r="C160" s="4" t="s">
        <v>3006</v>
      </c>
      <c r="D160" s="4" t="s">
        <v>3117</v>
      </c>
      <c r="E160" s="4"/>
      <c r="F160" s="14"/>
      <c r="G160" s="14"/>
      <c r="H160" s="1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</row>
    <row r="161" spans="1:108" x14ac:dyDescent="0.25">
      <c r="A161" s="12">
        <f t="shared" si="2"/>
        <v>158</v>
      </c>
      <c r="B161" s="4" t="s">
        <v>3007</v>
      </c>
      <c r="C161" s="4" t="s">
        <v>3008</v>
      </c>
      <c r="D161" s="4" t="s">
        <v>3094</v>
      </c>
      <c r="E161" s="4"/>
      <c r="F161" s="14"/>
      <c r="G161" s="14"/>
      <c r="H161" s="1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</row>
    <row r="162" spans="1:108" x14ac:dyDescent="0.25">
      <c r="A162" s="12">
        <f t="shared" si="2"/>
        <v>159</v>
      </c>
      <c r="B162" s="4" t="s">
        <v>3009</v>
      </c>
      <c r="C162" s="4" t="s">
        <v>3010</v>
      </c>
      <c r="D162" s="4" t="s">
        <v>3094</v>
      </c>
      <c r="E162" s="4"/>
      <c r="F162" s="14"/>
      <c r="G162" s="14"/>
      <c r="H162" s="1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</row>
    <row r="163" spans="1:108" x14ac:dyDescent="0.25">
      <c r="A163" s="12">
        <f t="shared" si="2"/>
        <v>160</v>
      </c>
      <c r="B163" s="4" t="s">
        <v>3011</v>
      </c>
      <c r="C163" s="4" t="s">
        <v>3012</v>
      </c>
      <c r="D163" s="4" t="s">
        <v>3104</v>
      </c>
      <c r="E163" s="4"/>
      <c r="F163" s="14"/>
      <c r="G163" s="14"/>
      <c r="H163" s="1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</row>
    <row r="164" spans="1:108" x14ac:dyDescent="0.25">
      <c r="A164" s="12">
        <f t="shared" si="2"/>
        <v>161</v>
      </c>
      <c r="B164" s="4" t="s">
        <v>3013</v>
      </c>
      <c r="C164" s="4" t="s">
        <v>3014</v>
      </c>
      <c r="D164" s="4" t="s">
        <v>3129</v>
      </c>
      <c r="E164" s="4"/>
      <c r="F164" s="14"/>
      <c r="G164" s="14"/>
      <c r="H164" s="1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</row>
    <row r="165" spans="1:108" x14ac:dyDescent="0.25">
      <c r="A165" s="12">
        <f t="shared" si="2"/>
        <v>162</v>
      </c>
      <c r="B165" s="4" t="s">
        <v>3015</v>
      </c>
      <c r="C165" s="4" t="s">
        <v>3016</v>
      </c>
      <c r="D165" s="4" t="s">
        <v>3104</v>
      </c>
      <c r="E165" s="4"/>
      <c r="F165" s="14"/>
      <c r="G165" s="14"/>
      <c r="H165" s="1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</row>
    <row r="166" spans="1:108" x14ac:dyDescent="0.25">
      <c r="A166" s="12">
        <f t="shared" si="2"/>
        <v>163</v>
      </c>
      <c r="B166" s="4" t="s">
        <v>3017</v>
      </c>
      <c r="C166" s="4" t="s">
        <v>3018</v>
      </c>
      <c r="D166" s="4" t="s">
        <v>3097</v>
      </c>
      <c r="E166" s="4"/>
      <c r="F166" s="14"/>
      <c r="G166" s="14"/>
      <c r="H166" s="1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</row>
    <row r="167" spans="1:108" x14ac:dyDescent="0.25">
      <c r="A167" s="12">
        <f t="shared" si="2"/>
        <v>164</v>
      </c>
      <c r="B167" s="4" t="s">
        <v>3019</v>
      </c>
      <c r="C167" s="4" t="s">
        <v>3020</v>
      </c>
      <c r="D167" s="4" t="s">
        <v>3098</v>
      </c>
      <c r="E167" s="4"/>
      <c r="F167" s="14"/>
      <c r="G167" s="14"/>
      <c r="H167" s="1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</row>
    <row r="168" spans="1:108" x14ac:dyDescent="0.25">
      <c r="A168" s="12">
        <f t="shared" si="2"/>
        <v>165</v>
      </c>
      <c r="B168" s="4" t="s">
        <v>3021</v>
      </c>
      <c r="C168" s="4" t="s">
        <v>3022</v>
      </c>
      <c r="D168" s="4" t="s">
        <v>3105</v>
      </c>
      <c r="E168" s="4"/>
      <c r="F168" s="14"/>
      <c r="G168" s="14"/>
      <c r="H168" s="1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</row>
    <row r="169" spans="1:108" x14ac:dyDescent="0.25">
      <c r="A169" s="12">
        <f t="shared" si="2"/>
        <v>166</v>
      </c>
      <c r="B169" s="4" t="s">
        <v>3023</v>
      </c>
      <c r="C169" s="4" t="s">
        <v>3024</v>
      </c>
      <c r="D169" s="4" t="s">
        <v>3129</v>
      </c>
      <c r="E169" s="4"/>
      <c r="F169" s="14"/>
      <c r="G169" s="14"/>
      <c r="H169" s="1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</row>
    <row r="170" spans="1:108" x14ac:dyDescent="0.25">
      <c r="A170" s="12">
        <f t="shared" si="2"/>
        <v>167</v>
      </c>
      <c r="B170" s="4" t="s">
        <v>3025</v>
      </c>
      <c r="C170" s="4" t="s">
        <v>3026</v>
      </c>
      <c r="D170" s="4" t="s">
        <v>3094</v>
      </c>
      <c r="E170" s="4"/>
      <c r="F170" s="14"/>
      <c r="G170" s="14"/>
      <c r="H170" s="1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</row>
    <row r="171" spans="1:108" x14ac:dyDescent="0.25">
      <c r="A171" s="12">
        <f t="shared" si="2"/>
        <v>168</v>
      </c>
      <c r="B171" s="4" t="s">
        <v>3027</v>
      </c>
      <c r="C171" s="4" t="s">
        <v>3028</v>
      </c>
      <c r="D171" s="4" t="s">
        <v>3094</v>
      </c>
      <c r="E171" s="4"/>
      <c r="F171" s="14"/>
      <c r="G171" s="14"/>
      <c r="H171" s="1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</row>
    <row r="172" spans="1:108" x14ac:dyDescent="0.25">
      <c r="A172" s="12">
        <f t="shared" si="2"/>
        <v>169</v>
      </c>
      <c r="B172" s="4" t="s">
        <v>3029</v>
      </c>
      <c r="C172" s="4" t="s">
        <v>3030</v>
      </c>
      <c r="D172" s="4" t="s">
        <v>3136</v>
      </c>
      <c r="E172" s="4"/>
      <c r="F172" s="14"/>
      <c r="G172" s="14"/>
      <c r="H172" s="1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</row>
    <row r="173" spans="1:108" x14ac:dyDescent="0.25">
      <c r="A173" s="12">
        <f t="shared" si="2"/>
        <v>170</v>
      </c>
      <c r="B173" s="4" t="s">
        <v>3031</v>
      </c>
      <c r="C173" s="4" t="s">
        <v>3032</v>
      </c>
      <c r="D173" s="4" t="s">
        <v>3094</v>
      </c>
      <c r="E173" s="4"/>
      <c r="F173" s="14"/>
      <c r="G173" s="14"/>
      <c r="H173" s="1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</row>
    <row r="174" spans="1:108" x14ac:dyDescent="0.25">
      <c r="A174" s="12">
        <f t="shared" si="2"/>
        <v>171</v>
      </c>
      <c r="B174" s="4" t="s">
        <v>1879</v>
      </c>
      <c r="C174" s="4" t="s">
        <v>1880</v>
      </c>
      <c r="D174" s="4" t="s">
        <v>3094</v>
      </c>
      <c r="E174" s="4"/>
      <c r="F174" s="14"/>
      <c r="G174" s="14"/>
      <c r="H174" s="1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</row>
    <row r="175" spans="1:108" x14ac:dyDescent="0.25">
      <c r="A175" s="12">
        <f t="shared" si="2"/>
        <v>172</v>
      </c>
      <c r="B175" s="4" t="s">
        <v>3033</v>
      </c>
      <c r="C175" s="4" t="s">
        <v>3034</v>
      </c>
      <c r="D175" s="4" t="s">
        <v>1638</v>
      </c>
      <c r="E175" s="4"/>
      <c r="F175" s="14"/>
      <c r="G175" s="14"/>
      <c r="H175" s="1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</row>
    <row r="176" spans="1:108" x14ac:dyDescent="0.25">
      <c r="A176" s="12">
        <f t="shared" si="2"/>
        <v>173</v>
      </c>
      <c r="B176" s="4" t="s">
        <v>3035</v>
      </c>
      <c r="C176" s="4" t="s">
        <v>3036</v>
      </c>
      <c r="D176" s="4" t="s">
        <v>3094</v>
      </c>
      <c r="E176" s="4"/>
      <c r="F176" s="14"/>
      <c r="G176" s="14"/>
      <c r="H176" s="1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</row>
    <row r="177" spans="1:108" x14ac:dyDescent="0.25">
      <c r="A177" s="12">
        <f t="shared" si="2"/>
        <v>174</v>
      </c>
      <c r="B177" s="4" t="s">
        <v>3037</v>
      </c>
      <c r="C177" s="4" t="s">
        <v>3038</v>
      </c>
      <c r="D177" s="4" t="s">
        <v>3098</v>
      </c>
      <c r="E177" s="4"/>
      <c r="F177" s="14"/>
      <c r="G177" s="14"/>
      <c r="H177" s="1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</row>
    <row r="178" spans="1:108" x14ac:dyDescent="0.25">
      <c r="A178" s="12">
        <f t="shared" si="2"/>
        <v>175</v>
      </c>
      <c r="B178" s="4" t="s">
        <v>3039</v>
      </c>
      <c r="C178" s="4" t="s">
        <v>3040</v>
      </c>
      <c r="D178" s="4" t="s">
        <v>3117</v>
      </c>
      <c r="E178" s="4"/>
      <c r="F178" s="14"/>
      <c r="G178" s="14"/>
      <c r="H178" s="1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</row>
    <row r="179" spans="1:108" x14ac:dyDescent="0.25">
      <c r="A179" s="12">
        <f t="shared" si="2"/>
        <v>176</v>
      </c>
      <c r="B179" s="4" t="s">
        <v>3041</v>
      </c>
      <c r="C179" s="4" t="s">
        <v>3042</v>
      </c>
      <c r="D179" s="4" t="s">
        <v>3129</v>
      </c>
      <c r="E179" s="4"/>
      <c r="F179" s="14"/>
      <c r="G179" s="14"/>
      <c r="H179" s="1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</row>
    <row r="180" spans="1:108" x14ac:dyDescent="0.25">
      <c r="A180" s="12">
        <f t="shared" si="2"/>
        <v>177</v>
      </c>
      <c r="B180" s="4" t="s">
        <v>3043</v>
      </c>
      <c r="C180" s="4" t="s">
        <v>3044</v>
      </c>
      <c r="D180" s="4" t="s">
        <v>3098</v>
      </c>
      <c r="E180" s="4"/>
      <c r="F180" s="14"/>
      <c r="G180" s="14"/>
      <c r="H180" s="1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</row>
    <row r="181" spans="1:108" x14ac:dyDescent="0.25">
      <c r="A181" s="12">
        <f t="shared" si="2"/>
        <v>178</v>
      </c>
      <c r="B181" s="4" t="s">
        <v>3045</v>
      </c>
      <c r="C181" s="4" t="s">
        <v>3046</v>
      </c>
      <c r="D181" s="4" t="s">
        <v>3106</v>
      </c>
      <c r="E181" s="4"/>
      <c r="F181" s="14"/>
      <c r="G181" s="14"/>
      <c r="H181" s="1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</row>
    <row r="182" spans="1:108" x14ac:dyDescent="0.25">
      <c r="A182" s="12">
        <f t="shared" si="2"/>
        <v>179</v>
      </c>
      <c r="B182" s="4" t="s">
        <v>3047</v>
      </c>
      <c r="C182" s="4" t="s">
        <v>3048</v>
      </c>
      <c r="D182" s="4" t="s">
        <v>3094</v>
      </c>
      <c r="E182" s="4"/>
      <c r="F182" s="14"/>
      <c r="G182" s="14"/>
      <c r="H182" s="1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</row>
    <row r="183" spans="1:108" x14ac:dyDescent="0.25">
      <c r="A183" s="12">
        <f t="shared" si="2"/>
        <v>180</v>
      </c>
      <c r="B183" s="4" t="s">
        <v>3049</v>
      </c>
      <c r="C183" s="4" t="s">
        <v>3050</v>
      </c>
      <c r="D183" s="4" t="s">
        <v>3139</v>
      </c>
      <c r="E183" s="4"/>
      <c r="F183" s="14"/>
      <c r="G183" s="14"/>
      <c r="H183" s="1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</row>
    <row r="184" spans="1:108" x14ac:dyDescent="0.25">
      <c r="A184" s="12">
        <f t="shared" si="2"/>
        <v>181</v>
      </c>
      <c r="B184" s="4" t="s">
        <v>3051</v>
      </c>
      <c r="C184" s="4" t="s">
        <v>3052</v>
      </c>
      <c r="D184" s="4" t="s">
        <v>3098</v>
      </c>
      <c r="E184" s="4"/>
      <c r="F184" s="14"/>
      <c r="G184" s="14"/>
      <c r="H184" s="1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</row>
    <row r="185" spans="1:108" x14ac:dyDescent="0.25">
      <c r="A185" s="12">
        <f t="shared" si="2"/>
        <v>182</v>
      </c>
      <c r="B185" s="4" t="s">
        <v>3053</v>
      </c>
      <c r="C185" s="4" t="s">
        <v>3054</v>
      </c>
      <c r="D185" s="4" t="s">
        <v>3094</v>
      </c>
      <c r="E185" s="4"/>
      <c r="F185" s="14"/>
      <c r="G185" s="14"/>
      <c r="H185" s="1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</row>
    <row r="186" spans="1:108" x14ac:dyDescent="0.25">
      <c r="A186" s="12">
        <f t="shared" si="2"/>
        <v>183</v>
      </c>
      <c r="B186" s="4" t="s">
        <v>3055</v>
      </c>
      <c r="C186" s="4" t="s">
        <v>3056</v>
      </c>
      <c r="D186" s="4" t="s">
        <v>3098</v>
      </c>
      <c r="E186" s="4"/>
      <c r="F186" s="14"/>
      <c r="G186" s="14"/>
      <c r="H186" s="1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</row>
    <row r="187" spans="1:108" x14ac:dyDescent="0.25">
      <c r="A187" s="12">
        <f t="shared" si="2"/>
        <v>184</v>
      </c>
      <c r="B187" s="4" t="s">
        <v>3057</v>
      </c>
      <c r="C187" s="4" t="s">
        <v>3058</v>
      </c>
      <c r="D187" s="4" t="s">
        <v>3129</v>
      </c>
      <c r="E187" s="4"/>
      <c r="F187" s="14"/>
      <c r="G187" s="14"/>
      <c r="H187" s="1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</row>
    <row r="188" spans="1:108" x14ac:dyDescent="0.25">
      <c r="A188" s="12">
        <f t="shared" si="2"/>
        <v>185</v>
      </c>
      <c r="B188" s="4" t="s">
        <v>3059</v>
      </c>
      <c r="C188" s="4" t="s">
        <v>3060</v>
      </c>
      <c r="D188" s="4" t="s">
        <v>3098</v>
      </c>
      <c r="E188" s="4"/>
      <c r="F188" s="14"/>
      <c r="G188" s="14"/>
      <c r="H188" s="1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</row>
    <row r="189" spans="1:108" x14ac:dyDescent="0.25">
      <c r="A189" s="12">
        <f t="shared" si="2"/>
        <v>186</v>
      </c>
      <c r="B189" s="4" t="s">
        <v>3061</v>
      </c>
      <c r="C189" s="4" t="s">
        <v>3062</v>
      </c>
      <c r="D189" s="4" t="s">
        <v>3105</v>
      </c>
      <c r="E189" s="4"/>
      <c r="F189" s="14"/>
      <c r="G189" s="14"/>
      <c r="H189" s="1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</row>
    <row r="190" spans="1:108" x14ac:dyDescent="0.25">
      <c r="A190" s="12">
        <f t="shared" si="2"/>
        <v>187</v>
      </c>
      <c r="B190" s="4" t="s">
        <v>3063</v>
      </c>
      <c r="C190" s="4" t="s">
        <v>3064</v>
      </c>
      <c r="D190" s="4" t="s">
        <v>3111</v>
      </c>
      <c r="E190" s="4"/>
      <c r="F190" s="14"/>
      <c r="G190" s="14"/>
      <c r="H190" s="1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</row>
    <row r="191" spans="1:108" x14ac:dyDescent="0.25">
      <c r="A191" s="12">
        <f t="shared" si="2"/>
        <v>188</v>
      </c>
      <c r="B191" s="4" t="s">
        <v>2056</v>
      </c>
      <c r="C191" s="4" t="s">
        <v>2057</v>
      </c>
      <c r="D191" s="4" t="s">
        <v>3111</v>
      </c>
      <c r="E191" s="4"/>
      <c r="F191" s="14"/>
      <c r="G191" s="14"/>
      <c r="H191" s="1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</row>
    <row r="192" spans="1:108" x14ac:dyDescent="0.25">
      <c r="A192" s="12">
        <f t="shared" si="2"/>
        <v>189</v>
      </c>
      <c r="B192" s="4" t="s">
        <v>3065</v>
      </c>
      <c r="C192" s="4" t="s">
        <v>3066</v>
      </c>
      <c r="D192" s="4" t="s">
        <v>3115</v>
      </c>
      <c r="E192" s="4"/>
      <c r="F192" s="14"/>
      <c r="G192" s="14"/>
      <c r="H192" s="1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</row>
    <row r="193" spans="1:108" x14ac:dyDescent="0.25">
      <c r="A193" s="12">
        <f t="shared" si="2"/>
        <v>190</v>
      </c>
      <c r="B193" s="4" t="s">
        <v>3067</v>
      </c>
      <c r="C193" s="4" t="s">
        <v>3068</v>
      </c>
      <c r="D193" s="4" t="s">
        <v>3118</v>
      </c>
      <c r="E193" s="4"/>
      <c r="F193" s="14"/>
      <c r="G193" s="14"/>
      <c r="H193" s="1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</row>
    <row r="194" spans="1:108" x14ac:dyDescent="0.25">
      <c r="A194" s="12">
        <f t="shared" si="2"/>
        <v>191</v>
      </c>
      <c r="B194" s="4" t="s">
        <v>3069</v>
      </c>
      <c r="C194" s="4" t="s">
        <v>3070</v>
      </c>
      <c r="D194" s="4" t="s">
        <v>3140</v>
      </c>
      <c r="E194" s="4"/>
      <c r="F194" s="14"/>
      <c r="G194" s="14"/>
      <c r="H194" s="1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</row>
    <row r="195" spans="1:108" x14ac:dyDescent="0.25">
      <c r="A195" s="12">
        <f t="shared" si="2"/>
        <v>192</v>
      </c>
      <c r="B195" s="4" t="s">
        <v>3071</v>
      </c>
      <c r="C195" s="4" t="s">
        <v>3072</v>
      </c>
      <c r="D195" s="4" t="s">
        <v>3112</v>
      </c>
      <c r="E195" s="4"/>
      <c r="F195" s="14"/>
      <c r="G195" s="14"/>
      <c r="H195" s="1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</row>
    <row r="196" spans="1:108" x14ac:dyDescent="0.25">
      <c r="A196" s="12">
        <f t="shared" si="2"/>
        <v>193</v>
      </c>
      <c r="B196" s="4" t="s">
        <v>3073</v>
      </c>
      <c r="C196" s="4" t="s">
        <v>3074</v>
      </c>
      <c r="D196" s="4" t="s">
        <v>3098</v>
      </c>
      <c r="E196" s="4"/>
      <c r="F196" s="14"/>
      <c r="G196" s="14"/>
      <c r="H196" s="1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</row>
    <row r="197" spans="1:108" x14ac:dyDescent="0.25">
      <c r="A197" s="12">
        <f t="shared" si="2"/>
        <v>194</v>
      </c>
      <c r="B197" s="4" t="s">
        <v>3075</v>
      </c>
      <c r="C197" s="4" t="s">
        <v>3076</v>
      </c>
      <c r="D197" s="4" t="s">
        <v>3139</v>
      </c>
      <c r="E197" s="4"/>
      <c r="F197" s="14"/>
      <c r="G197" s="14"/>
      <c r="H197" s="1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</row>
    <row r="198" spans="1:108" x14ac:dyDescent="0.25">
      <c r="A198" s="12">
        <f t="shared" ref="A198:A223" si="3">+A197+1</f>
        <v>195</v>
      </c>
      <c r="B198" s="4" t="s">
        <v>3077</v>
      </c>
      <c r="C198" s="4" t="s">
        <v>3078</v>
      </c>
      <c r="D198" s="4" t="s">
        <v>3096</v>
      </c>
      <c r="E198" s="4"/>
      <c r="F198" s="14"/>
      <c r="G198" s="14"/>
      <c r="H198" s="1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</row>
    <row r="199" spans="1:108" x14ac:dyDescent="0.25">
      <c r="A199" s="12">
        <f t="shared" si="3"/>
        <v>196</v>
      </c>
      <c r="B199" s="4" t="s">
        <v>3079</v>
      </c>
      <c r="C199" s="4" t="s">
        <v>3080</v>
      </c>
      <c r="D199" s="4" t="s">
        <v>3104</v>
      </c>
      <c r="E199" s="4"/>
      <c r="F199" s="14"/>
      <c r="G199" s="14"/>
      <c r="H199" s="1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</row>
    <row r="200" spans="1:108" x14ac:dyDescent="0.25">
      <c r="A200" s="12">
        <f t="shared" si="3"/>
        <v>197</v>
      </c>
      <c r="B200" s="4" t="s">
        <v>2104</v>
      </c>
      <c r="C200" s="4" t="s">
        <v>2105</v>
      </c>
      <c r="D200" s="4" t="s">
        <v>3096</v>
      </c>
      <c r="E200" s="4"/>
      <c r="F200" s="14"/>
      <c r="G200" s="14"/>
      <c r="H200" s="1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</row>
    <row r="201" spans="1:108" x14ac:dyDescent="0.25">
      <c r="A201" s="12">
        <f t="shared" si="3"/>
        <v>198</v>
      </c>
      <c r="B201" s="4" t="s">
        <v>2153</v>
      </c>
      <c r="C201" s="4" t="s">
        <v>2154</v>
      </c>
      <c r="D201" s="4" t="s">
        <v>3118</v>
      </c>
      <c r="E201" s="4"/>
      <c r="F201" s="14"/>
      <c r="G201" s="14"/>
      <c r="H201" s="1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</row>
    <row r="202" spans="1:108" x14ac:dyDescent="0.25">
      <c r="A202" s="12">
        <f t="shared" si="3"/>
        <v>199</v>
      </c>
      <c r="B202" s="4" t="s">
        <v>3081</v>
      </c>
      <c r="C202" s="4" t="s">
        <v>3082</v>
      </c>
      <c r="D202" s="4" t="s">
        <v>3135</v>
      </c>
      <c r="E202" s="4"/>
      <c r="F202" s="14"/>
      <c r="G202" s="14"/>
      <c r="H202" s="1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</row>
    <row r="203" spans="1:108" x14ac:dyDescent="0.25">
      <c r="A203" s="12">
        <f t="shared" si="3"/>
        <v>200</v>
      </c>
      <c r="B203" s="4" t="s">
        <v>2235</v>
      </c>
      <c r="C203" s="4" t="s">
        <v>2236</v>
      </c>
      <c r="D203" s="4" t="s">
        <v>3108</v>
      </c>
      <c r="E203" s="4"/>
      <c r="F203" s="14"/>
      <c r="G203" s="14"/>
      <c r="H203" s="1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</row>
    <row r="204" spans="1:108" x14ac:dyDescent="0.25">
      <c r="A204" s="12">
        <f t="shared" si="3"/>
        <v>201</v>
      </c>
      <c r="B204" s="4" t="s">
        <v>3083</v>
      </c>
      <c r="C204" s="4" t="s">
        <v>3084</v>
      </c>
      <c r="D204" s="4" t="s">
        <v>3118</v>
      </c>
      <c r="E204" s="4"/>
      <c r="F204" s="14"/>
      <c r="G204" s="14"/>
      <c r="H204" s="1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</row>
    <row r="205" spans="1:108" x14ac:dyDescent="0.25">
      <c r="A205" s="12">
        <f t="shared" si="3"/>
        <v>202</v>
      </c>
      <c r="B205" s="4" t="s">
        <v>3085</v>
      </c>
      <c r="C205" s="4" t="s">
        <v>3086</v>
      </c>
      <c r="D205" s="4" t="s">
        <v>3096</v>
      </c>
      <c r="E205" s="4"/>
      <c r="F205" s="14"/>
      <c r="G205" s="14"/>
      <c r="H205" s="1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</row>
    <row r="206" spans="1:108" x14ac:dyDescent="0.25">
      <c r="A206" s="12">
        <f t="shared" si="3"/>
        <v>203</v>
      </c>
      <c r="B206" s="4" t="s">
        <v>3087</v>
      </c>
      <c r="C206" s="4" t="s">
        <v>3088</v>
      </c>
      <c r="D206" s="4" t="s">
        <v>3139</v>
      </c>
      <c r="E206" s="4"/>
      <c r="F206" s="14"/>
      <c r="G206" s="14"/>
      <c r="H206" s="1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</row>
    <row r="207" spans="1:108" x14ac:dyDescent="0.25">
      <c r="A207" s="12">
        <f t="shared" si="3"/>
        <v>204</v>
      </c>
      <c r="B207" s="4" t="s">
        <v>3089</v>
      </c>
      <c r="C207" s="4" t="s">
        <v>3090</v>
      </c>
      <c r="D207" s="4" t="s">
        <v>3098</v>
      </c>
      <c r="E207" s="4"/>
      <c r="F207" s="14"/>
      <c r="G207" s="14"/>
      <c r="H207" s="1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</row>
    <row r="208" spans="1:108" x14ac:dyDescent="0.25">
      <c r="A208" s="12">
        <f t="shared" si="3"/>
        <v>205</v>
      </c>
      <c r="B208" s="4" t="s">
        <v>2352</v>
      </c>
      <c r="C208" s="4" t="s">
        <v>2353</v>
      </c>
      <c r="D208" s="4" t="s">
        <v>3129</v>
      </c>
      <c r="E208" s="4"/>
      <c r="F208" s="14"/>
      <c r="G208" s="14"/>
      <c r="H208" s="1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</row>
    <row r="209" spans="1:108" x14ac:dyDescent="0.25">
      <c r="A209" s="12">
        <f t="shared" si="3"/>
        <v>206</v>
      </c>
      <c r="B209" s="4" t="s">
        <v>2452</v>
      </c>
      <c r="C209" s="4" t="s">
        <v>2453</v>
      </c>
      <c r="D209" s="4" t="s">
        <v>3098</v>
      </c>
      <c r="E209" s="4"/>
      <c r="F209" s="14"/>
      <c r="G209" s="14"/>
      <c r="H209" s="1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</row>
    <row r="210" spans="1:108" x14ac:dyDescent="0.25">
      <c r="A210" s="12">
        <f t="shared" si="3"/>
        <v>207</v>
      </c>
      <c r="B210" s="4" t="s">
        <v>3091</v>
      </c>
      <c r="C210" s="4" t="s">
        <v>3092</v>
      </c>
      <c r="D210" s="4" t="s">
        <v>3094</v>
      </c>
      <c r="E210" s="4"/>
      <c r="F210" s="14"/>
      <c r="G210" s="14"/>
      <c r="H210" s="1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</row>
    <row r="211" spans="1:108" x14ac:dyDescent="0.25">
      <c r="A211" s="12">
        <f t="shared" si="3"/>
        <v>208</v>
      </c>
      <c r="B211" s="4" t="s">
        <v>2482</v>
      </c>
      <c r="C211" s="4" t="s">
        <v>3093</v>
      </c>
      <c r="D211" s="4" t="s">
        <v>3096</v>
      </c>
      <c r="E211" s="4"/>
      <c r="F211" s="14"/>
      <c r="G211" s="14"/>
      <c r="H211" s="1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</row>
    <row r="212" spans="1:108" x14ac:dyDescent="0.25">
      <c r="A212" s="12">
        <f t="shared" si="3"/>
        <v>209</v>
      </c>
      <c r="B212" s="4"/>
      <c r="C212" s="4"/>
      <c r="D212" s="4"/>
      <c r="E212" s="4"/>
      <c r="F212" s="14"/>
      <c r="G212" s="14"/>
      <c r="H212" s="1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</row>
    <row r="213" spans="1:108" x14ac:dyDescent="0.25">
      <c r="A213" s="12">
        <f t="shared" si="3"/>
        <v>210</v>
      </c>
      <c r="B213" s="4"/>
      <c r="C213" s="4"/>
      <c r="D213" s="4"/>
      <c r="E213" s="4"/>
      <c r="F213" s="14"/>
      <c r="G213" s="14"/>
      <c r="H213" s="1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</row>
    <row r="214" spans="1:108" x14ac:dyDescent="0.25">
      <c r="A214" s="12">
        <f t="shared" si="3"/>
        <v>211</v>
      </c>
      <c r="B214" s="4"/>
      <c r="C214" s="4"/>
      <c r="D214" s="4"/>
      <c r="E214" s="4"/>
      <c r="F214" s="14"/>
      <c r="G214" s="14"/>
      <c r="H214" s="1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</row>
    <row r="215" spans="1:108" x14ac:dyDescent="0.25">
      <c r="A215" s="12">
        <f t="shared" si="3"/>
        <v>212</v>
      </c>
      <c r="B215" s="4"/>
      <c r="C215" s="4"/>
      <c r="D215" s="4"/>
      <c r="E215" s="4"/>
      <c r="F215" s="14"/>
      <c r="G215" s="14"/>
      <c r="H215" s="1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</row>
    <row r="216" spans="1:108" x14ac:dyDescent="0.25">
      <c r="A216" s="12">
        <f t="shared" si="3"/>
        <v>213</v>
      </c>
      <c r="B216" s="4"/>
      <c r="C216" s="4"/>
      <c r="D216" s="4"/>
      <c r="E216" s="4"/>
      <c r="F216" s="14"/>
      <c r="G216" s="14"/>
      <c r="H216" s="1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</row>
    <row r="217" spans="1:108" x14ac:dyDescent="0.25">
      <c r="A217" s="12">
        <f t="shared" si="3"/>
        <v>214</v>
      </c>
      <c r="B217" s="4"/>
      <c r="C217" s="4"/>
      <c r="D217" s="4"/>
      <c r="E217" s="4"/>
      <c r="F217" s="14"/>
      <c r="G217" s="14"/>
      <c r="H217" s="1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</row>
    <row r="218" spans="1:108" x14ac:dyDescent="0.25">
      <c r="A218" s="12">
        <f t="shared" si="3"/>
        <v>215</v>
      </c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</row>
    <row r="219" spans="1:108" x14ac:dyDescent="0.25">
      <c r="A219" s="12">
        <f t="shared" si="3"/>
        <v>216</v>
      </c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</row>
    <row r="220" spans="1:108" x14ac:dyDescent="0.25">
      <c r="A220" s="12">
        <f t="shared" si="3"/>
        <v>217</v>
      </c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</row>
    <row r="221" spans="1:108" x14ac:dyDescent="0.25">
      <c r="A221" s="12">
        <f t="shared" si="3"/>
        <v>218</v>
      </c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</row>
    <row r="222" spans="1:108" x14ac:dyDescent="0.25">
      <c r="A222" s="12">
        <f t="shared" si="3"/>
        <v>219</v>
      </c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</row>
    <row r="223" spans="1:108" x14ac:dyDescent="0.25">
      <c r="A223" s="12">
        <f t="shared" si="3"/>
        <v>220</v>
      </c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</row>
    <row r="224" spans="1:108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</row>
    <row r="225" spans="1:108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</row>
    <row r="226" spans="1:108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</row>
    <row r="227" spans="1:108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</row>
    <row r="228" spans="1:108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</row>
    <row r="229" spans="1:108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</row>
    <row r="230" spans="1:108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</row>
    <row r="231" spans="1:108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</row>
    <row r="232" spans="1:108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</row>
    <row r="233" spans="1:108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</row>
    <row r="234" spans="1:108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</row>
    <row r="235" spans="1:108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</row>
    <row r="236" spans="1:108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</row>
    <row r="237" spans="1:108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</row>
    <row r="238" spans="1:108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</row>
    <row r="239" spans="1:108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</row>
    <row r="240" spans="1:108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</row>
    <row r="241" spans="1:108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</row>
    <row r="242" spans="1:108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</row>
    <row r="243" spans="1:108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</row>
    <row r="244" spans="1:108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</row>
    <row r="245" spans="1:108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</row>
    <row r="246" spans="1:108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</row>
    <row r="247" spans="1:108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</row>
    <row r="248" spans="1:108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</row>
    <row r="249" spans="1:108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</row>
    <row r="250" spans="1:108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</row>
    <row r="251" spans="1:108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</row>
    <row r="252" spans="1:108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</row>
    <row r="253" spans="1:108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</row>
    <row r="254" spans="1:108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</row>
    <row r="255" spans="1:108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</row>
    <row r="256" spans="1:108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</row>
    <row r="257" spans="1:108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</row>
    <row r="258" spans="1:108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</row>
    <row r="259" spans="1:108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</row>
    <row r="260" spans="1:108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</row>
    <row r="261" spans="1:108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</row>
    <row r="262" spans="1:108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</row>
    <row r="263" spans="1:108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</row>
    <row r="264" spans="1:108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</row>
    <row r="265" spans="1:108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</row>
    <row r="266" spans="1:108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</row>
    <row r="267" spans="1:108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</row>
    <row r="268" spans="1:108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</row>
    <row r="269" spans="1:108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</row>
    <row r="270" spans="1:108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</row>
    <row r="271" spans="1:108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</row>
    <row r="272" spans="1:108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</row>
    <row r="273" spans="1:108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</row>
    <row r="274" spans="1:108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</row>
    <row r="275" spans="1:108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</row>
    <row r="276" spans="1:108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</row>
    <row r="277" spans="1:108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</row>
    <row r="278" spans="1:108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</row>
    <row r="279" spans="1:108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</row>
    <row r="280" spans="1:108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</row>
    <row r="281" spans="1:108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</row>
    <row r="282" spans="1:108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</row>
    <row r="283" spans="1:108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</row>
    <row r="284" spans="1:108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</row>
    <row r="285" spans="1:108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</row>
    <row r="286" spans="1:108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</row>
    <row r="287" spans="1:108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</row>
    <row r="288" spans="1:108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</row>
    <row r="289" spans="1:108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</row>
    <row r="290" spans="1:108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</row>
    <row r="291" spans="1:108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</row>
    <row r="292" spans="1:108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</row>
    <row r="293" spans="1:108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</row>
    <row r="294" spans="1:108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</row>
    <row r="295" spans="1:108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J13" sqref="J13"/>
    </sheetView>
  </sheetViews>
  <sheetFormatPr defaultRowHeight="13.5" x14ac:dyDescent="0.25"/>
  <cols>
    <col min="1" max="1" width="3.5703125" style="6" customWidth="1"/>
    <col min="2" max="2" width="27" style="6" bestFit="1" customWidth="1"/>
    <col min="3" max="3" width="11.7109375" style="6" bestFit="1" customWidth="1"/>
    <col min="4" max="8" width="9.140625" style="6"/>
    <col min="9" max="9" width="9.140625" style="18"/>
    <col min="10" max="16384" width="9.140625" style="6"/>
  </cols>
  <sheetData>
    <row r="1" spans="1:43" x14ac:dyDescent="0.25">
      <c r="A1" s="13" t="s">
        <v>956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</row>
    <row r="2" spans="1:43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</row>
    <row r="3" spans="1:43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10" t="s">
        <v>5</v>
      </c>
      <c r="I3" s="8" t="s">
        <v>2580</v>
      </c>
      <c r="J3" s="8" t="s">
        <v>2581</v>
      </c>
      <c r="K3" s="19"/>
      <c r="L3" s="19"/>
      <c r="M3" s="19"/>
      <c r="N3" s="19"/>
      <c r="O3" s="19"/>
      <c r="P3" s="10" t="s">
        <v>427</v>
      </c>
      <c r="Q3" s="10" t="s">
        <v>2597</v>
      </c>
      <c r="R3" s="11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</row>
    <row r="4" spans="1:43" x14ac:dyDescent="0.25">
      <c r="A4" s="12">
        <v>1</v>
      </c>
      <c r="B4" s="13" t="s">
        <v>709</v>
      </c>
      <c r="C4" s="4" t="s">
        <v>710</v>
      </c>
      <c r="D4" s="4" t="s">
        <v>45</v>
      </c>
      <c r="E4" s="4">
        <f>+[86]Main!$J$2</f>
        <v>334.9</v>
      </c>
      <c r="F4" s="14">
        <f>+[86]Main!$J$4</f>
        <v>622169.62413309992</v>
      </c>
      <c r="G4" s="14">
        <f>+[86]Main!$J$6-[86]Main!$J$5</f>
        <v>3163</v>
      </c>
      <c r="H4" s="14">
        <f t="shared" ref="H4:H17" si="0">+F4+G4</f>
        <v>625332.62413309992</v>
      </c>
      <c r="I4" s="5" t="s">
        <v>708</v>
      </c>
      <c r="J4" s="4"/>
      <c r="K4" s="4"/>
      <c r="L4" s="4"/>
      <c r="M4" s="4"/>
      <c r="N4" s="4"/>
      <c r="O4" s="4"/>
      <c r="P4" s="4">
        <v>1958</v>
      </c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</row>
    <row r="5" spans="1:43" x14ac:dyDescent="0.25">
      <c r="A5" s="12">
        <f>+A4+1</f>
        <v>2</v>
      </c>
      <c r="B5" s="13" t="s">
        <v>711</v>
      </c>
      <c r="C5" s="4" t="s">
        <v>712</v>
      </c>
      <c r="D5" s="4" t="s">
        <v>45</v>
      </c>
      <c r="E5" s="4">
        <f>+[87]Main!$I$2</f>
        <v>519.49</v>
      </c>
      <c r="F5" s="14">
        <f>+[87]Main!$I$4</f>
        <v>473623.45178194001</v>
      </c>
      <c r="G5" s="14">
        <f>+[87]Main!$I$6-[87]Main!$I$5</f>
        <v>8962</v>
      </c>
      <c r="H5" s="14">
        <f t="shared" si="0"/>
        <v>482585.45178194001</v>
      </c>
      <c r="I5" s="5" t="s">
        <v>430</v>
      </c>
      <c r="J5" s="4"/>
      <c r="K5" s="4"/>
      <c r="L5" s="4"/>
      <c r="M5" s="4"/>
      <c r="N5" s="4"/>
      <c r="O5" s="4"/>
      <c r="P5" s="4">
        <v>1966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</row>
    <row r="6" spans="1:43" x14ac:dyDescent="0.25">
      <c r="A6" s="12">
        <f t="shared" ref="A6:A55" si="1">+A5+1</f>
        <v>3</v>
      </c>
      <c r="B6" s="13" t="s">
        <v>24</v>
      </c>
      <c r="C6" s="4" t="s">
        <v>71</v>
      </c>
      <c r="D6" s="4" t="s">
        <v>45</v>
      </c>
      <c r="E6" s="4">
        <f>+[28]Main!$I$2</f>
        <v>670.1</v>
      </c>
      <c r="F6" s="14">
        <f>+[28]Main!$I$4</f>
        <v>186827.23050000001</v>
      </c>
      <c r="G6" s="14">
        <f>+[28]Main!$I$6-[28]Main!$I$5</f>
        <v>6178</v>
      </c>
      <c r="H6" s="14">
        <f t="shared" si="0"/>
        <v>193005.23050000001</v>
      </c>
      <c r="I6" s="5" t="s">
        <v>49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</row>
    <row r="7" spans="1:43" x14ac:dyDescent="0.25">
      <c r="A7" s="12">
        <f t="shared" si="1"/>
        <v>4</v>
      </c>
      <c r="B7" s="13" t="s">
        <v>713</v>
      </c>
      <c r="C7" s="4" t="s">
        <v>714</v>
      </c>
      <c r="D7" s="4" t="s">
        <v>45</v>
      </c>
      <c r="E7" s="4">
        <f>+[88]Main!$J$2</f>
        <v>494.32</v>
      </c>
      <c r="F7" s="14">
        <f>+[88]Main!$J$4</f>
        <v>151607.94399999999</v>
      </c>
      <c r="G7" s="14">
        <f>+[88]Main!$J$6-[88]Main!$J$5</f>
        <v>9922</v>
      </c>
      <c r="H7" s="14">
        <f t="shared" si="0"/>
        <v>161529.94399999999</v>
      </c>
      <c r="I7" s="5" t="s">
        <v>708</v>
      </c>
      <c r="J7" s="4"/>
      <c r="K7" s="4"/>
      <c r="L7" s="4"/>
      <c r="M7" s="4"/>
      <c r="N7" s="4"/>
      <c r="O7" s="4"/>
      <c r="P7" s="4">
        <v>1860</v>
      </c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</row>
    <row r="8" spans="1:43" x14ac:dyDescent="0.25">
      <c r="A8" s="12">
        <f t="shared" si="1"/>
        <v>5</v>
      </c>
      <c r="B8" s="13" t="s">
        <v>102</v>
      </c>
      <c r="C8" s="4" t="s">
        <v>103</v>
      </c>
      <c r="D8" s="4" t="s">
        <v>45</v>
      </c>
      <c r="E8" s="4">
        <f>+[42]Main!$I$2</f>
        <v>55.6</v>
      </c>
      <c r="F8" s="14">
        <f>+[42]Main!$I$4</f>
        <v>29904.564917200001</v>
      </c>
      <c r="G8" s="14">
        <f>+[42]Main!$I$6-[42]Main!$I$5</f>
        <v>29131</v>
      </c>
      <c r="H8" s="14">
        <f t="shared" si="0"/>
        <v>59035.564917199998</v>
      </c>
      <c r="I8" s="5" t="s">
        <v>430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</row>
    <row r="9" spans="1:43" x14ac:dyDescent="0.25">
      <c r="A9" s="12">
        <f t="shared" si="1"/>
        <v>6</v>
      </c>
      <c r="B9" s="13" t="s">
        <v>91</v>
      </c>
      <c r="C9" s="4" t="s">
        <v>92</v>
      </c>
      <c r="D9" s="4" t="s">
        <v>45</v>
      </c>
      <c r="E9" s="4">
        <f>+[37]Main!$I$2</f>
        <v>284.85000000000002</v>
      </c>
      <c r="F9" s="14">
        <f>+[37]Main!$I$4</f>
        <v>115897.17387105002</v>
      </c>
      <c r="G9" s="14">
        <f>+[37]Main!$I$6-[37]Main!$I$5</f>
        <v>1766.1</v>
      </c>
      <c r="H9" s="14">
        <f t="shared" si="0"/>
        <v>117663.27387105003</v>
      </c>
      <c r="I9" s="5" t="s">
        <v>431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</row>
    <row r="10" spans="1:43" x14ac:dyDescent="0.25">
      <c r="A10" s="12">
        <f t="shared" si="1"/>
        <v>7</v>
      </c>
      <c r="B10" s="13" t="s">
        <v>715</v>
      </c>
      <c r="C10" s="4" t="s">
        <v>716</v>
      </c>
      <c r="D10" s="4" t="s">
        <v>45</v>
      </c>
      <c r="E10" s="4">
        <f>+[89]Main!$I$2</f>
        <v>185.7</v>
      </c>
      <c r="F10" s="14">
        <f>+[89]Main!$I$4</f>
        <v>106522.39852469999</v>
      </c>
      <c r="G10" s="14">
        <f>+[89]Main!$I$6-[89]Main!$I$5</f>
        <v>18881</v>
      </c>
      <c r="H10" s="14">
        <f t="shared" si="0"/>
        <v>125403.39852469999</v>
      </c>
      <c r="I10" s="5" t="s">
        <v>708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</row>
    <row r="11" spans="1:43" x14ac:dyDescent="0.25">
      <c r="A11" s="12">
        <f t="shared" si="1"/>
        <v>8</v>
      </c>
      <c r="B11" s="13" t="s">
        <v>192</v>
      </c>
      <c r="C11" s="4" t="s">
        <v>193</v>
      </c>
      <c r="D11" s="4" t="s">
        <v>45</v>
      </c>
      <c r="E11" s="4">
        <f>+[63]Main!$H$2</f>
        <v>276.01</v>
      </c>
      <c r="F11" s="14">
        <f>+[63]Main!$H$4</f>
        <v>69099.22577243</v>
      </c>
      <c r="G11" s="14">
        <f>+[63]Main!$H$6-[63]Main!$H$5</f>
        <v>-3259.3870999999999</v>
      </c>
      <c r="H11" s="14">
        <f t="shared" si="0"/>
        <v>65839.838672429993</v>
      </c>
      <c r="I11" s="5" t="s">
        <v>49</v>
      </c>
      <c r="J11" s="4"/>
      <c r="K11" s="4"/>
      <c r="L11" s="4"/>
      <c r="M11" s="4"/>
      <c r="N11" s="4"/>
      <c r="O11" s="4"/>
      <c r="P11" s="4">
        <v>2012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</row>
    <row r="12" spans="1:43" x14ac:dyDescent="0.25">
      <c r="A12" s="12">
        <f t="shared" si="1"/>
        <v>9</v>
      </c>
      <c r="B12" s="13" t="s">
        <v>307</v>
      </c>
      <c r="C12" s="4" t="s">
        <v>308</v>
      </c>
      <c r="D12" s="4" t="s">
        <v>45</v>
      </c>
      <c r="E12" s="4">
        <f>+[61]Main!$J$2</f>
        <v>117.07</v>
      </c>
      <c r="F12" s="14">
        <f>+[61]Main!$J$4</f>
        <v>104037.19313750998</v>
      </c>
      <c r="G12" s="14">
        <f>+[61]Main!$J$6-[61]Main!$J$5</f>
        <v>-4332</v>
      </c>
      <c r="H12" s="14">
        <f t="shared" si="0"/>
        <v>99705.193137509981</v>
      </c>
      <c r="I12" s="5" t="s">
        <v>708</v>
      </c>
      <c r="J12" s="4"/>
      <c r="K12" s="4"/>
      <c r="L12" s="4"/>
      <c r="M12" s="4"/>
      <c r="N12" s="4"/>
      <c r="O12" s="4"/>
      <c r="P12" s="4">
        <v>2013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</row>
    <row r="13" spans="1:43" x14ac:dyDescent="0.25">
      <c r="A13" s="12">
        <f t="shared" si="1"/>
        <v>10</v>
      </c>
      <c r="B13" s="13" t="s">
        <v>123</v>
      </c>
      <c r="C13" s="4" t="s">
        <v>124</v>
      </c>
      <c r="D13" s="4" t="s">
        <v>45</v>
      </c>
      <c r="E13" s="4">
        <f>+[49]Main!$I$2</f>
        <v>45.76</v>
      </c>
      <c r="F13" s="14">
        <f>+[49]Main!$I$4</f>
        <v>40365.147359679999</v>
      </c>
      <c r="G13" s="14">
        <f>+[49]Main!$I$6-[49]Main!$I$5</f>
        <v>67</v>
      </c>
      <c r="H13" s="14">
        <f t="shared" si="0"/>
        <v>40432.147359679999</v>
      </c>
      <c r="I13" s="42" t="s">
        <v>3147</v>
      </c>
      <c r="J13" s="15">
        <v>46140</v>
      </c>
      <c r="K13" s="4"/>
      <c r="L13" s="4"/>
      <c r="M13" s="4"/>
      <c r="N13" s="4"/>
      <c r="O13" s="4"/>
      <c r="P13" s="4">
        <v>1998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</row>
    <row r="14" spans="1:43" x14ac:dyDescent="0.25">
      <c r="A14" s="12">
        <f t="shared" si="1"/>
        <v>11</v>
      </c>
      <c r="B14" s="13" t="s">
        <v>733</v>
      </c>
      <c r="C14" s="4" t="s">
        <v>734</v>
      </c>
      <c r="D14" s="4" t="s">
        <v>45</v>
      </c>
      <c r="E14" s="4">
        <f>+[90]Main!$I$2</f>
        <v>86.25</v>
      </c>
      <c r="F14" s="14">
        <f>+[90]Main!$I$4</f>
        <v>49517.989724999999</v>
      </c>
      <c r="G14" s="14">
        <f>+[90]Main!$I$6-[90]Main!$I$5</f>
        <v>8435</v>
      </c>
      <c r="H14" s="14">
        <f t="shared" si="0"/>
        <v>57952.989724999999</v>
      </c>
      <c r="I14" s="5" t="s">
        <v>708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</row>
    <row r="15" spans="1:43" x14ac:dyDescent="0.25">
      <c r="A15" s="12">
        <f t="shared" si="1"/>
        <v>12</v>
      </c>
      <c r="B15" s="13" t="s">
        <v>2586</v>
      </c>
      <c r="C15" s="4" t="s">
        <v>2587</v>
      </c>
      <c r="D15" s="4" t="s">
        <v>45</v>
      </c>
      <c r="E15" s="4">
        <f>+[91]Main!$I$2</f>
        <v>220.4</v>
      </c>
      <c r="F15" s="14">
        <f>+[91]Main!$I$4</f>
        <v>45785.921346000003</v>
      </c>
      <c r="G15" s="14">
        <f>+[91]Main!$I$6-[91]Main!$I$5</f>
        <v>-1083.731</v>
      </c>
      <c r="H15" s="14">
        <f t="shared" si="0"/>
        <v>44702.190346000003</v>
      </c>
      <c r="I15" s="5" t="s">
        <v>708</v>
      </c>
      <c r="J15" s="4"/>
      <c r="K15" s="4"/>
      <c r="L15" s="4"/>
      <c r="M15" s="4"/>
      <c r="N15" s="4"/>
      <c r="O15" s="4"/>
      <c r="P15" s="4">
        <v>2013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</row>
    <row r="16" spans="1:43" x14ac:dyDescent="0.25">
      <c r="A16" s="12">
        <f t="shared" si="1"/>
        <v>13</v>
      </c>
      <c r="B16" s="13" t="s">
        <v>720</v>
      </c>
      <c r="C16" s="4" t="s">
        <v>720</v>
      </c>
      <c r="D16" s="4" t="s">
        <v>45</v>
      </c>
      <c r="E16" s="4">
        <f>+[92]Main!$J$2</f>
        <v>544.77</v>
      </c>
      <c r="F16" s="14">
        <f>+[92]Main!$J$4</f>
        <v>42149.669331149998</v>
      </c>
      <c r="G16" s="14">
        <f>+[92]Main!$J$6-[92]Main!$J$5</f>
        <v>4186.1880000000001</v>
      </c>
      <c r="H16" s="14">
        <f t="shared" si="0"/>
        <v>46335.85733115</v>
      </c>
      <c r="I16" s="5" t="s">
        <v>708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</row>
    <row r="17" spans="1:43" x14ac:dyDescent="0.25">
      <c r="A17" s="12">
        <f t="shared" si="1"/>
        <v>14</v>
      </c>
      <c r="B17" s="13" t="s">
        <v>194</v>
      </c>
      <c r="C17" s="4" t="s">
        <v>707</v>
      </c>
      <c r="D17" s="4" t="s">
        <v>45</v>
      </c>
      <c r="E17" s="4">
        <f>+[64]Main!$J$2</f>
        <v>53.86</v>
      </c>
      <c r="F17" s="14">
        <f>+[64]Main!$J$4</f>
        <v>33365.192799999997</v>
      </c>
      <c r="G17" s="14">
        <f>+[64]Main!$J$6-[64]Main!$J$5</f>
        <v>-2373.2370000000001</v>
      </c>
      <c r="H17" s="14">
        <f t="shared" si="0"/>
        <v>30991.955799999996</v>
      </c>
      <c r="I17" s="5" t="s">
        <v>430</v>
      </c>
      <c r="J17" s="4"/>
      <c r="K17" s="4"/>
      <c r="L17" s="4"/>
      <c r="M17" s="4"/>
      <c r="N17" s="4"/>
      <c r="O17" s="4"/>
      <c r="P17" s="4">
        <v>2009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</row>
    <row r="18" spans="1:43" x14ac:dyDescent="0.25">
      <c r="A18" s="12">
        <f t="shared" si="1"/>
        <v>15</v>
      </c>
      <c r="B18" s="4" t="s">
        <v>717</v>
      </c>
      <c r="C18" s="4" t="s">
        <v>718</v>
      </c>
      <c r="D18" s="4" t="s">
        <v>45</v>
      </c>
      <c r="E18" s="4"/>
      <c r="F18" s="14"/>
      <c r="G18" s="14"/>
      <c r="H18" s="14"/>
      <c r="I18" s="5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</row>
    <row r="19" spans="1:43" x14ac:dyDescent="0.25">
      <c r="A19" s="12">
        <f t="shared" si="1"/>
        <v>16</v>
      </c>
      <c r="B19" s="4" t="s">
        <v>168</v>
      </c>
      <c r="C19" s="4" t="s">
        <v>719</v>
      </c>
      <c r="D19" s="4" t="s">
        <v>45</v>
      </c>
      <c r="E19" s="4"/>
      <c r="F19" s="14"/>
      <c r="G19" s="14"/>
      <c r="H19" s="14"/>
      <c r="I19" s="5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</row>
    <row r="20" spans="1:43" x14ac:dyDescent="0.25">
      <c r="A20" s="12">
        <f t="shared" si="1"/>
        <v>17</v>
      </c>
      <c r="B20" s="13" t="s">
        <v>2602</v>
      </c>
      <c r="C20" s="4" t="s">
        <v>2603</v>
      </c>
      <c r="D20" s="4" t="s">
        <v>45</v>
      </c>
      <c r="E20" s="4">
        <f>+[93]Main!$J$2</f>
        <v>208.42</v>
      </c>
      <c r="F20" s="14">
        <f>+[93]Main!$J$4</f>
        <v>22709.220190600001</v>
      </c>
      <c r="G20" s="14">
        <f>+[93]Main!$J$6-[93]Main!$J$5</f>
        <v>-3488</v>
      </c>
      <c r="H20" s="14">
        <f>+F20+G20</f>
        <v>19221.220190600001</v>
      </c>
      <c r="I20" s="5" t="s">
        <v>708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</row>
    <row r="21" spans="1:43" x14ac:dyDescent="0.25">
      <c r="A21" s="12">
        <f t="shared" si="1"/>
        <v>18</v>
      </c>
      <c r="B21" s="4" t="s">
        <v>721</v>
      </c>
      <c r="C21" s="4" t="s">
        <v>722</v>
      </c>
      <c r="D21" s="4" t="s">
        <v>768</v>
      </c>
      <c r="E21" s="4"/>
      <c r="F21" s="14"/>
      <c r="G21" s="14"/>
      <c r="H21" s="14"/>
      <c r="I21" s="5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</row>
    <row r="22" spans="1:43" x14ac:dyDescent="0.25">
      <c r="A22" s="12">
        <f t="shared" si="1"/>
        <v>19</v>
      </c>
      <c r="B22" s="4" t="s">
        <v>723</v>
      </c>
      <c r="C22" s="4" t="s">
        <v>724</v>
      </c>
      <c r="D22" s="4" t="s">
        <v>768</v>
      </c>
      <c r="E22" s="4"/>
      <c r="F22" s="14"/>
      <c r="G22" s="14"/>
      <c r="H22" s="14"/>
      <c r="I22" s="5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</row>
    <row r="23" spans="1:43" x14ac:dyDescent="0.25">
      <c r="A23" s="12">
        <f t="shared" si="1"/>
        <v>20</v>
      </c>
      <c r="B23" s="13" t="s">
        <v>725</v>
      </c>
      <c r="C23" s="4" t="s">
        <v>167</v>
      </c>
      <c r="D23" s="4" t="s">
        <v>45</v>
      </c>
      <c r="E23" s="4">
        <f>+[58]Main!$I$2</f>
        <v>1790.2</v>
      </c>
      <c r="F23" s="14">
        <f>+[58]Main!$I$4</f>
        <v>43576.493437999998</v>
      </c>
      <c r="G23" s="14">
        <f>+[58]Main!$I$6-[58]Main!$I$5</f>
        <v>2381.538</v>
      </c>
      <c r="H23" s="14">
        <f>+F23+G23</f>
        <v>45958.031437999998</v>
      </c>
      <c r="I23" s="5" t="s">
        <v>431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</row>
    <row r="24" spans="1:43" x14ac:dyDescent="0.25">
      <c r="A24" s="12">
        <f t="shared" si="1"/>
        <v>21</v>
      </c>
      <c r="B24" s="4" t="s">
        <v>266</v>
      </c>
      <c r="C24" s="4" t="s">
        <v>267</v>
      </c>
      <c r="D24" s="4" t="s">
        <v>45</v>
      </c>
      <c r="E24" s="4"/>
      <c r="F24" s="14"/>
      <c r="G24" s="14"/>
      <c r="H24" s="14"/>
      <c r="I24" s="5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</row>
    <row r="25" spans="1:43" x14ac:dyDescent="0.25">
      <c r="A25" s="12">
        <f t="shared" si="1"/>
        <v>22</v>
      </c>
      <c r="B25" s="4" t="s">
        <v>726</v>
      </c>
      <c r="C25" s="4" t="s">
        <v>727</v>
      </c>
      <c r="D25" s="4" t="s">
        <v>84</v>
      </c>
      <c r="E25" s="4"/>
      <c r="F25" s="14"/>
      <c r="G25" s="14"/>
      <c r="H25" s="14"/>
      <c r="I25" s="5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</row>
    <row r="26" spans="1:43" x14ac:dyDescent="0.25">
      <c r="A26" s="12">
        <f t="shared" si="1"/>
        <v>23</v>
      </c>
      <c r="B26" s="4" t="s">
        <v>728</v>
      </c>
      <c r="C26" s="4" t="s">
        <v>729</v>
      </c>
      <c r="D26" s="4" t="s">
        <v>84</v>
      </c>
      <c r="E26" s="4"/>
      <c r="F26" s="14"/>
      <c r="G26" s="14"/>
      <c r="H26" s="14"/>
      <c r="I26" s="5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</row>
    <row r="27" spans="1:43" x14ac:dyDescent="0.25">
      <c r="A27" s="12">
        <f t="shared" si="1"/>
        <v>24</v>
      </c>
      <c r="B27" s="4" t="s">
        <v>336</v>
      </c>
      <c r="C27" s="4" t="s">
        <v>730</v>
      </c>
      <c r="D27" s="4" t="s">
        <v>45</v>
      </c>
      <c r="E27" s="4"/>
      <c r="F27" s="14"/>
      <c r="G27" s="14"/>
      <c r="H27" s="14"/>
      <c r="I27" s="5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</row>
    <row r="28" spans="1:43" x14ac:dyDescent="0.25">
      <c r="A28" s="12">
        <f t="shared" si="1"/>
        <v>25</v>
      </c>
      <c r="B28" s="4" t="s">
        <v>731</v>
      </c>
      <c r="C28" s="4" t="s">
        <v>732</v>
      </c>
      <c r="D28" s="4" t="s">
        <v>45</v>
      </c>
      <c r="E28" s="4"/>
      <c r="F28" s="14"/>
      <c r="G28" s="14"/>
      <c r="H28" s="14"/>
      <c r="I28" s="5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</row>
    <row r="29" spans="1:43" x14ac:dyDescent="0.25">
      <c r="A29" s="12">
        <f t="shared" si="1"/>
        <v>26</v>
      </c>
      <c r="B29" s="4" t="s">
        <v>735</v>
      </c>
      <c r="C29" s="4" t="s">
        <v>171</v>
      </c>
      <c r="D29" s="4" t="s">
        <v>45</v>
      </c>
      <c r="E29" s="4"/>
      <c r="F29" s="14"/>
      <c r="G29" s="14"/>
      <c r="H29" s="14"/>
      <c r="I29" s="5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</row>
    <row r="30" spans="1:43" x14ac:dyDescent="0.25">
      <c r="A30" s="12">
        <f t="shared" si="1"/>
        <v>27</v>
      </c>
      <c r="B30" s="4" t="s">
        <v>736</v>
      </c>
      <c r="C30" s="4" t="s">
        <v>319</v>
      </c>
      <c r="D30" s="4" t="s">
        <v>45</v>
      </c>
      <c r="E30" s="4"/>
      <c r="F30" s="14"/>
      <c r="G30" s="14"/>
      <c r="H30" s="14"/>
      <c r="I30" s="5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</row>
    <row r="31" spans="1:43" x14ac:dyDescent="0.25">
      <c r="A31" s="12">
        <f t="shared" si="1"/>
        <v>28</v>
      </c>
      <c r="B31" s="4" t="s">
        <v>467</v>
      </c>
      <c r="C31" s="4" t="s">
        <v>468</v>
      </c>
      <c r="D31" s="4" t="s">
        <v>45</v>
      </c>
      <c r="E31" s="4"/>
      <c r="F31" s="14"/>
      <c r="G31" s="14"/>
      <c r="H31" s="14"/>
      <c r="I31" s="5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</row>
    <row r="32" spans="1:43" x14ac:dyDescent="0.25">
      <c r="A32" s="12">
        <f t="shared" si="1"/>
        <v>29</v>
      </c>
      <c r="B32" s="4" t="s">
        <v>737</v>
      </c>
      <c r="C32" s="4" t="s">
        <v>738</v>
      </c>
      <c r="D32" s="4" t="s">
        <v>45</v>
      </c>
      <c r="E32" s="4"/>
      <c r="F32" s="14"/>
      <c r="G32" s="14"/>
      <c r="H32" s="14"/>
      <c r="I32" s="5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</row>
    <row r="33" spans="1:43" x14ac:dyDescent="0.25">
      <c r="A33" s="12">
        <f t="shared" si="1"/>
        <v>30</v>
      </c>
      <c r="B33" s="4" t="s">
        <v>739</v>
      </c>
      <c r="C33" s="4" t="s">
        <v>740</v>
      </c>
      <c r="D33" s="4" t="s">
        <v>45</v>
      </c>
      <c r="E33" s="4"/>
      <c r="F33" s="14"/>
      <c r="G33" s="14"/>
      <c r="H33" s="14"/>
      <c r="I33" s="5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</row>
    <row r="34" spans="1:43" x14ac:dyDescent="0.25">
      <c r="A34" s="12">
        <f t="shared" si="1"/>
        <v>31</v>
      </c>
      <c r="B34" s="4" t="s">
        <v>741</v>
      </c>
      <c r="C34" s="4" t="s">
        <v>742</v>
      </c>
      <c r="D34" s="4" t="s">
        <v>45</v>
      </c>
      <c r="E34" s="4"/>
      <c r="F34" s="14"/>
      <c r="G34" s="14"/>
      <c r="H34" s="14"/>
      <c r="I34" s="5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</row>
    <row r="35" spans="1:43" x14ac:dyDescent="0.25">
      <c r="A35" s="12">
        <f t="shared" si="1"/>
        <v>32</v>
      </c>
      <c r="B35" s="4" t="s">
        <v>743</v>
      </c>
      <c r="C35" s="4" t="s">
        <v>744</v>
      </c>
      <c r="D35" s="4" t="s">
        <v>769</v>
      </c>
      <c r="E35" s="4"/>
      <c r="F35" s="14"/>
      <c r="G35" s="14"/>
      <c r="H35" s="14"/>
      <c r="I35" s="5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</row>
    <row r="36" spans="1:43" x14ac:dyDescent="0.25">
      <c r="A36" s="12">
        <f t="shared" si="1"/>
        <v>33</v>
      </c>
      <c r="B36" s="4" t="s">
        <v>745</v>
      </c>
      <c r="C36" s="4" t="s">
        <v>746</v>
      </c>
      <c r="D36" s="4" t="s">
        <v>768</v>
      </c>
      <c r="E36" s="4"/>
      <c r="F36" s="14"/>
      <c r="G36" s="14"/>
      <c r="H36" s="14"/>
      <c r="I36" s="5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</row>
    <row r="37" spans="1:43" x14ac:dyDescent="0.25">
      <c r="A37" s="12">
        <f t="shared" si="1"/>
        <v>34</v>
      </c>
      <c r="B37" s="4" t="s">
        <v>747</v>
      </c>
      <c r="C37" s="4" t="s">
        <v>222</v>
      </c>
      <c r="D37" s="4" t="s">
        <v>45</v>
      </c>
      <c r="E37" s="4"/>
      <c r="F37" s="14"/>
      <c r="G37" s="14"/>
      <c r="H37" s="14"/>
      <c r="I37" s="5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</row>
    <row r="38" spans="1:43" x14ac:dyDescent="0.25">
      <c r="A38" s="12">
        <f t="shared" si="1"/>
        <v>35</v>
      </c>
      <c r="B38" s="4" t="s">
        <v>748</v>
      </c>
      <c r="C38" s="4" t="s">
        <v>749</v>
      </c>
      <c r="D38" s="4" t="s">
        <v>45</v>
      </c>
      <c r="E38" s="4"/>
      <c r="F38" s="14"/>
      <c r="G38" s="14"/>
      <c r="H38" s="14"/>
      <c r="I38" s="5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</row>
    <row r="39" spans="1:43" x14ac:dyDescent="0.25">
      <c r="A39" s="12">
        <f t="shared" si="1"/>
        <v>36</v>
      </c>
      <c r="B39" s="4" t="s">
        <v>555</v>
      </c>
      <c r="C39" s="4" t="s">
        <v>750</v>
      </c>
      <c r="D39" s="4" t="s">
        <v>770</v>
      </c>
      <c r="E39" s="4"/>
      <c r="F39" s="14"/>
      <c r="G39" s="14"/>
      <c r="H39" s="14"/>
      <c r="I39" s="5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</row>
    <row r="40" spans="1:43" x14ac:dyDescent="0.25">
      <c r="A40" s="12">
        <f t="shared" si="1"/>
        <v>37</v>
      </c>
      <c r="B40" s="4" t="s">
        <v>636</v>
      </c>
      <c r="C40" s="4" t="s">
        <v>637</v>
      </c>
      <c r="D40" s="4" t="s">
        <v>45</v>
      </c>
      <c r="E40" s="4"/>
      <c r="F40" s="14"/>
      <c r="G40" s="14"/>
      <c r="H40" s="14"/>
      <c r="I40" s="5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</row>
    <row r="41" spans="1:43" x14ac:dyDescent="0.25">
      <c r="A41" s="12">
        <f t="shared" si="1"/>
        <v>38</v>
      </c>
      <c r="B41" s="4" t="s">
        <v>751</v>
      </c>
      <c r="C41" s="4" t="s">
        <v>752</v>
      </c>
      <c r="D41" s="4" t="s">
        <v>45</v>
      </c>
      <c r="E41" s="4"/>
      <c r="F41" s="14"/>
      <c r="G41" s="14"/>
      <c r="H41" s="14"/>
      <c r="I41" s="5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</row>
    <row r="42" spans="1:43" x14ac:dyDescent="0.25">
      <c r="A42" s="12">
        <f t="shared" si="1"/>
        <v>39</v>
      </c>
      <c r="B42" s="4" t="s">
        <v>753</v>
      </c>
      <c r="C42" s="4" t="s">
        <v>754</v>
      </c>
      <c r="D42" s="4" t="s">
        <v>45</v>
      </c>
      <c r="E42" s="4"/>
      <c r="F42" s="14"/>
      <c r="G42" s="14"/>
      <c r="H42" s="14"/>
      <c r="I42" s="5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</row>
    <row r="43" spans="1:43" x14ac:dyDescent="0.25">
      <c r="A43" s="12">
        <f t="shared" si="1"/>
        <v>40</v>
      </c>
      <c r="B43" s="4" t="s">
        <v>755</v>
      </c>
      <c r="C43" s="4" t="s">
        <v>568</v>
      </c>
      <c r="D43" s="4" t="s">
        <v>45</v>
      </c>
      <c r="E43" s="4"/>
      <c r="F43" s="14"/>
      <c r="G43" s="14"/>
      <c r="H43" s="14"/>
      <c r="I43" s="5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</row>
    <row r="44" spans="1:43" x14ac:dyDescent="0.25">
      <c r="A44" s="12">
        <f t="shared" si="1"/>
        <v>41</v>
      </c>
      <c r="B44" s="4" t="s">
        <v>756</v>
      </c>
      <c r="C44" s="4" t="s">
        <v>757</v>
      </c>
      <c r="D44" s="4" t="s">
        <v>45</v>
      </c>
      <c r="E44" s="4"/>
      <c r="F44" s="14"/>
      <c r="G44" s="14"/>
      <c r="H44" s="14"/>
      <c r="I44" s="5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</row>
    <row r="45" spans="1:43" x14ac:dyDescent="0.25">
      <c r="A45" s="12">
        <f t="shared" si="1"/>
        <v>42</v>
      </c>
      <c r="B45" s="4" t="s">
        <v>758</v>
      </c>
      <c r="C45" s="4" t="s">
        <v>759</v>
      </c>
      <c r="D45" s="4" t="s">
        <v>768</v>
      </c>
      <c r="E45" s="4"/>
      <c r="F45" s="14"/>
      <c r="G45" s="14"/>
      <c r="H45" s="14"/>
      <c r="I45" s="5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</row>
    <row r="46" spans="1:43" x14ac:dyDescent="0.25">
      <c r="A46" s="12">
        <f t="shared" si="1"/>
        <v>43</v>
      </c>
      <c r="B46" s="4" t="s">
        <v>760</v>
      </c>
      <c r="C46" s="4" t="s">
        <v>761</v>
      </c>
      <c r="D46" s="4" t="s">
        <v>45</v>
      </c>
      <c r="E46" s="4"/>
      <c r="F46" s="14"/>
      <c r="G46" s="14"/>
      <c r="H46" s="14"/>
      <c r="I46" s="5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</row>
    <row r="47" spans="1:43" x14ac:dyDescent="0.25">
      <c r="A47" s="12">
        <f t="shared" si="1"/>
        <v>44</v>
      </c>
      <c r="B47" s="4" t="s">
        <v>762</v>
      </c>
      <c r="C47" s="4" t="s">
        <v>763</v>
      </c>
      <c r="D47" s="4" t="s">
        <v>45</v>
      </c>
      <c r="E47" s="4"/>
      <c r="F47" s="14"/>
      <c r="G47" s="14"/>
      <c r="H47" s="14"/>
      <c r="I47" s="5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</row>
    <row r="48" spans="1:43" x14ac:dyDescent="0.25">
      <c r="A48" s="12">
        <f t="shared" si="1"/>
        <v>45</v>
      </c>
      <c r="B48" s="4" t="s">
        <v>764</v>
      </c>
      <c r="C48" s="4" t="s">
        <v>765</v>
      </c>
      <c r="D48" s="4" t="s">
        <v>45</v>
      </c>
      <c r="E48" s="4"/>
      <c r="F48" s="14"/>
      <c r="G48" s="14"/>
      <c r="H48" s="14"/>
      <c r="I48" s="5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</row>
    <row r="49" spans="1:43" x14ac:dyDescent="0.25">
      <c r="A49" s="12">
        <f t="shared" si="1"/>
        <v>46</v>
      </c>
      <c r="B49" s="4" t="s">
        <v>766</v>
      </c>
      <c r="C49" s="4" t="s">
        <v>1133</v>
      </c>
      <c r="D49" s="4" t="s">
        <v>128</v>
      </c>
      <c r="E49" s="4"/>
      <c r="F49" s="14"/>
      <c r="G49" s="14"/>
      <c r="H49" s="14"/>
      <c r="I49" s="5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</row>
    <row r="50" spans="1:43" x14ac:dyDescent="0.25">
      <c r="A50" s="12">
        <f t="shared" si="1"/>
        <v>47</v>
      </c>
      <c r="B50" s="13" t="s">
        <v>2590</v>
      </c>
      <c r="C50" s="4" t="s">
        <v>2591</v>
      </c>
      <c r="D50" s="4" t="s">
        <v>45</v>
      </c>
      <c r="E50" s="4">
        <f>+[94]Main!$K$2</f>
        <v>39.04</v>
      </c>
      <c r="F50" s="14">
        <f>+[94]Main!$K$4</f>
        <v>14227.016843519999</v>
      </c>
      <c r="G50" s="14">
        <f>+[94]Main!$K$6-[94]Main!$K$5</f>
        <v>-706.58600000000001</v>
      </c>
      <c r="H50" s="14">
        <f>+F50+G50</f>
        <v>13520.43084352</v>
      </c>
      <c r="I50" s="5" t="s">
        <v>708</v>
      </c>
      <c r="J50" s="4"/>
      <c r="K50" s="4"/>
      <c r="L50" s="4"/>
      <c r="M50" s="4"/>
      <c r="N50" s="4"/>
      <c r="O50" s="4"/>
      <c r="P50" s="4">
        <v>2012</v>
      </c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</row>
    <row r="51" spans="1:43" x14ac:dyDescent="0.25">
      <c r="A51" s="12">
        <f t="shared" si="1"/>
        <v>48</v>
      </c>
      <c r="B51" s="4" t="s">
        <v>2589</v>
      </c>
      <c r="C51" s="4" t="s">
        <v>2592</v>
      </c>
      <c r="D51" s="4" t="s">
        <v>45</v>
      </c>
      <c r="E51" s="4"/>
      <c r="F51" s="14"/>
      <c r="G51" s="14"/>
      <c r="H51" s="14"/>
      <c r="I51" s="5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</row>
    <row r="52" spans="1:43" x14ac:dyDescent="0.25">
      <c r="A52" s="12">
        <f t="shared" si="1"/>
        <v>49</v>
      </c>
      <c r="B52" s="13" t="s">
        <v>2596</v>
      </c>
      <c r="C52" s="4" t="s">
        <v>2595</v>
      </c>
      <c r="D52" s="4" t="s">
        <v>45</v>
      </c>
      <c r="E52" s="4">
        <f>+[95]Main!$H$2</f>
        <v>51.9</v>
      </c>
      <c r="F52" s="14">
        <f>+[95]Main!$H$4</f>
        <v>7933.6541597999994</v>
      </c>
      <c r="G52" s="14">
        <f>+[95]Main!$H$6-[95]Main!$H$5</f>
        <v>1242.8240000000001</v>
      </c>
      <c r="H52" s="14">
        <f>+F52+G52</f>
        <v>9176.478159799999</v>
      </c>
      <c r="I52" s="21" t="s">
        <v>2583</v>
      </c>
      <c r="J52" s="4"/>
      <c r="K52" s="4"/>
      <c r="L52" s="4"/>
      <c r="M52" s="4"/>
      <c r="N52" s="4"/>
      <c r="O52" s="4"/>
      <c r="P52" s="4">
        <v>2008</v>
      </c>
      <c r="Q52" s="4" t="s">
        <v>2598</v>
      </c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</row>
    <row r="53" spans="1:43" x14ac:dyDescent="0.25">
      <c r="A53" s="12">
        <f t="shared" si="1"/>
        <v>50</v>
      </c>
      <c r="B53" s="4" t="s">
        <v>2599</v>
      </c>
      <c r="C53" s="4" t="s">
        <v>2604</v>
      </c>
      <c r="D53" s="4" t="s">
        <v>45</v>
      </c>
      <c r="E53" s="4"/>
      <c r="F53" s="4"/>
      <c r="G53" s="4"/>
      <c r="H53" s="4"/>
      <c r="I53" s="5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</row>
    <row r="54" spans="1:43" x14ac:dyDescent="0.25">
      <c r="A54" s="12">
        <f t="shared" si="1"/>
        <v>51</v>
      </c>
      <c r="B54" s="13" t="s">
        <v>2584</v>
      </c>
      <c r="C54" s="4" t="s">
        <v>2585</v>
      </c>
      <c r="D54" s="4" t="s">
        <v>301</v>
      </c>
      <c r="E54" s="4">
        <f>+[77]Main!$I$2</f>
        <v>65.7</v>
      </c>
      <c r="F54" s="14">
        <f>+[77]Main!$I$4</f>
        <v>7075.3846356000004</v>
      </c>
      <c r="G54" s="14">
        <f>+[77]Main!$I$6-[77]Main!$I$5</f>
        <v>-640.70899999999995</v>
      </c>
      <c r="H54" s="14">
        <f>+F54+G54</f>
        <v>6434.6756356000005</v>
      </c>
      <c r="I54" s="5" t="s">
        <v>430</v>
      </c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</row>
    <row r="55" spans="1:43" x14ac:dyDescent="0.25">
      <c r="A55" s="12">
        <f t="shared" si="1"/>
        <v>52</v>
      </c>
      <c r="B55" s="4" t="s">
        <v>2710</v>
      </c>
      <c r="C55" s="4" t="s">
        <v>2709</v>
      </c>
      <c r="D55" s="4" t="s">
        <v>45</v>
      </c>
      <c r="E55" s="4"/>
      <c r="F55" s="4"/>
      <c r="G55" s="4"/>
      <c r="H55" s="4"/>
      <c r="I55" s="5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</row>
    <row r="56" spans="1:43" x14ac:dyDescent="0.25">
      <c r="A56" s="4"/>
      <c r="B56" s="4"/>
      <c r="C56" s="4"/>
      <c r="D56" s="4"/>
      <c r="E56" s="4"/>
      <c r="F56" s="4"/>
      <c r="G56" s="4"/>
      <c r="H56" s="4"/>
      <c r="I56" s="5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</row>
    <row r="57" spans="1:43" x14ac:dyDescent="0.25">
      <c r="A57" s="4"/>
      <c r="B57" s="4" t="s">
        <v>808</v>
      </c>
      <c r="C57" s="4"/>
      <c r="D57" s="4"/>
      <c r="E57" s="4"/>
      <c r="F57" s="4"/>
      <c r="G57" s="4"/>
      <c r="H57" s="4"/>
      <c r="I57" s="5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</row>
    <row r="58" spans="1:43" x14ac:dyDescent="0.25">
      <c r="A58" s="4"/>
      <c r="B58" s="4" t="s">
        <v>2703</v>
      </c>
      <c r="C58" s="4"/>
      <c r="D58" s="4"/>
      <c r="E58" s="4"/>
      <c r="F58" s="4"/>
      <c r="G58" s="4"/>
      <c r="H58" s="4"/>
      <c r="I58" s="5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</row>
    <row r="59" spans="1:43" x14ac:dyDescent="0.25">
      <c r="A59" s="4"/>
      <c r="B59" s="4" t="s">
        <v>2704</v>
      </c>
      <c r="C59" s="4"/>
      <c r="D59" s="4"/>
      <c r="E59" s="4"/>
      <c r="F59" s="4"/>
      <c r="G59" s="4"/>
      <c r="H59" s="4"/>
      <c r="I59" s="5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</row>
    <row r="60" spans="1:43" x14ac:dyDescent="0.25">
      <c r="A60" s="4"/>
      <c r="B60" s="4" t="s">
        <v>2600</v>
      </c>
      <c r="C60" s="4"/>
      <c r="D60" s="4"/>
      <c r="E60" s="4"/>
      <c r="F60" s="4"/>
      <c r="G60" s="4"/>
      <c r="H60" s="4"/>
      <c r="I60" s="5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</row>
    <row r="61" spans="1:43" x14ac:dyDescent="0.25">
      <c r="A61" s="4"/>
      <c r="B61" s="4" t="s">
        <v>2601</v>
      </c>
      <c r="C61" s="4"/>
      <c r="D61" s="4"/>
      <c r="E61" s="4"/>
      <c r="F61" s="4"/>
      <c r="G61" s="4"/>
      <c r="H61" s="4"/>
      <c r="I61" s="5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</row>
    <row r="62" spans="1:43" x14ac:dyDescent="0.25">
      <c r="A62" s="4"/>
      <c r="B62" s="4"/>
      <c r="C62" s="4"/>
      <c r="D62" s="4"/>
      <c r="E62" s="4"/>
      <c r="F62" s="4"/>
      <c r="G62" s="4"/>
      <c r="H62" s="4"/>
      <c r="I62" s="5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6" customWidth="1"/>
    <col min="2" max="2" width="28.42578125" style="6" customWidth="1"/>
    <col min="3" max="16384" width="9.140625" style="6"/>
  </cols>
  <sheetData>
    <row r="1" spans="1:24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8" t="s">
        <v>5</v>
      </c>
      <c r="I3" s="19"/>
      <c r="J3" s="19"/>
      <c r="K3" s="19"/>
      <c r="L3" s="19"/>
      <c r="M3" s="19"/>
      <c r="N3" s="19"/>
      <c r="O3" s="19"/>
      <c r="P3" s="19"/>
      <c r="Q3" s="19"/>
      <c r="R3" s="11"/>
      <c r="S3" s="4"/>
      <c r="T3" s="4"/>
      <c r="U3" s="4"/>
      <c r="V3" s="4"/>
      <c r="W3" s="4"/>
      <c r="X3" s="4"/>
    </row>
    <row r="4" spans="1:24" x14ac:dyDescent="0.25">
      <c r="A4" s="12">
        <v>1</v>
      </c>
      <c r="B4" s="4" t="s">
        <v>9</v>
      </c>
      <c r="C4" s="4" t="s">
        <v>811</v>
      </c>
      <c r="D4" s="4" t="s">
        <v>45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</row>
    <row r="5" spans="1:24" x14ac:dyDescent="0.25">
      <c r="A5" s="12">
        <f>+A4+1</f>
        <v>2</v>
      </c>
      <c r="B5" s="4" t="s">
        <v>61</v>
      </c>
      <c r="C5" s="4" t="s">
        <v>62</v>
      </c>
      <c r="D5" s="4" t="s">
        <v>768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</row>
    <row r="6" spans="1:24" x14ac:dyDescent="0.25">
      <c r="A6" s="12">
        <f t="shared" ref="A6:A69" si="0">+A5+1</f>
        <v>3</v>
      </c>
      <c r="B6" s="4" t="s">
        <v>960</v>
      </c>
      <c r="C6" s="4" t="s">
        <v>68</v>
      </c>
      <c r="D6" s="4" t="s">
        <v>768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spans="1:24" x14ac:dyDescent="0.25">
      <c r="A7" s="12">
        <f t="shared" si="0"/>
        <v>4</v>
      </c>
      <c r="B7" s="4" t="s">
        <v>75</v>
      </c>
      <c r="C7" s="4" t="s">
        <v>76</v>
      </c>
      <c r="D7" s="4" t="s">
        <v>768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</row>
    <row r="8" spans="1:24" x14ac:dyDescent="0.25">
      <c r="A8" s="12">
        <f t="shared" si="0"/>
        <v>5</v>
      </c>
      <c r="B8" s="4" t="s">
        <v>29</v>
      </c>
      <c r="C8" s="4" t="s">
        <v>106</v>
      </c>
      <c r="D8" s="4" t="s">
        <v>1123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</row>
    <row r="9" spans="1:24" x14ac:dyDescent="0.25">
      <c r="A9" s="12">
        <f t="shared" si="0"/>
        <v>6</v>
      </c>
      <c r="B9" s="4" t="s">
        <v>961</v>
      </c>
      <c r="C9" s="4" t="s">
        <v>100</v>
      </c>
      <c r="D9" s="4" t="s">
        <v>101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</row>
    <row r="10" spans="1:24" x14ac:dyDescent="0.25">
      <c r="A10" s="12">
        <f t="shared" si="0"/>
        <v>7</v>
      </c>
      <c r="B10" s="4" t="s">
        <v>962</v>
      </c>
      <c r="C10" s="4" t="s">
        <v>159</v>
      </c>
      <c r="D10" s="4" t="s">
        <v>161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</row>
    <row r="11" spans="1:24" x14ac:dyDescent="0.25">
      <c r="A11" s="12">
        <f t="shared" si="0"/>
        <v>8</v>
      </c>
      <c r="B11" s="4" t="s">
        <v>963</v>
      </c>
      <c r="C11" s="4" t="s">
        <v>964</v>
      </c>
      <c r="D11" s="4" t="s">
        <v>45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</row>
    <row r="12" spans="1:24" x14ac:dyDescent="0.25">
      <c r="A12" s="12">
        <f t="shared" si="0"/>
        <v>9</v>
      </c>
      <c r="B12" s="4" t="s">
        <v>137</v>
      </c>
      <c r="C12" s="4" t="s">
        <v>138</v>
      </c>
      <c r="D12" s="4" t="s">
        <v>768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</row>
    <row r="13" spans="1:24" x14ac:dyDescent="0.25">
      <c r="A13" s="12">
        <f t="shared" si="0"/>
        <v>10</v>
      </c>
      <c r="B13" s="4" t="s">
        <v>175</v>
      </c>
      <c r="C13" s="4" t="s">
        <v>176</v>
      </c>
      <c r="D13" s="4" t="s">
        <v>45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</row>
    <row r="14" spans="1:24" x14ac:dyDescent="0.25">
      <c r="A14" s="12">
        <f t="shared" si="0"/>
        <v>11</v>
      </c>
      <c r="B14" s="4" t="s">
        <v>225</v>
      </c>
      <c r="C14" s="4" t="s">
        <v>226</v>
      </c>
      <c r="D14" s="4" t="s">
        <v>45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</row>
    <row r="15" spans="1:24" x14ac:dyDescent="0.25">
      <c r="A15" s="12">
        <f t="shared" si="0"/>
        <v>12</v>
      </c>
      <c r="B15" s="4" t="s">
        <v>965</v>
      </c>
      <c r="C15" s="4" t="s">
        <v>966</v>
      </c>
      <c r="D15" s="4" t="s">
        <v>45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</row>
    <row r="16" spans="1:24" x14ac:dyDescent="0.25">
      <c r="A16" s="12">
        <f t="shared" si="0"/>
        <v>13</v>
      </c>
      <c r="B16" s="4" t="s">
        <v>366</v>
      </c>
      <c r="C16" s="4" t="s">
        <v>367</v>
      </c>
      <c r="D16" s="4" t="s">
        <v>768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</row>
    <row r="17" spans="1:24" x14ac:dyDescent="0.25">
      <c r="A17" s="12">
        <f t="shared" si="0"/>
        <v>14</v>
      </c>
      <c r="B17" s="4" t="s">
        <v>412</v>
      </c>
      <c r="C17" s="4" t="s">
        <v>413</v>
      </c>
      <c r="D17" s="4" t="s">
        <v>45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25">
      <c r="A18" s="12">
        <f t="shared" si="0"/>
        <v>15</v>
      </c>
      <c r="B18" s="4" t="s">
        <v>378</v>
      </c>
      <c r="C18" s="4" t="s">
        <v>379</v>
      </c>
      <c r="D18" s="4" t="s">
        <v>87</v>
      </c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25">
      <c r="A19" s="12">
        <f t="shared" si="0"/>
        <v>16</v>
      </c>
      <c r="B19" s="4" t="s">
        <v>967</v>
      </c>
      <c r="C19" s="4" t="s">
        <v>476</v>
      </c>
      <c r="D19" s="4" t="s">
        <v>45</v>
      </c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5">
      <c r="A20" s="12">
        <f t="shared" si="0"/>
        <v>17</v>
      </c>
      <c r="B20" s="4" t="s">
        <v>500</v>
      </c>
      <c r="C20" s="4" t="s">
        <v>501</v>
      </c>
      <c r="D20" s="4" t="s">
        <v>87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5">
      <c r="A21" s="12">
        <f t="shared" si="0"/>
        <v>18</v>
      </c>
      <c r="B21" s="4" t="s">
        <v>968</v>
      </c>
      <c r="C21" s="4" t="s">
        <v>403</v>
      </c>
      <c r="D21" s="4" t="s">
        <v>1124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</row>
    <row r="22" spans="1:24" x14ac:dyDescent="0.25">
      <c r="A22" s="12">
        <f t="shared" si="0"/>
        <v>19</v>
      </c>
      <c r="B22" s="4" t="s">
        <v>506</v>
      </c>
      <c r="C22" s="4" t="s">
        <v>507</v>
      </c>
      <c r="D22" s="4" t="s">
        <v>508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</row>
    <row r="23" spans="1:24" x14ac:dyDescent="0.25">
      <c r="A23" s="12">
        <f t="shared" si="0"/>
        <v>20</v>
      </c>
      <c r="B23" s="4" t="s">
        <v>534</v>
      </c>
      <c r="C23" s="4" t="s">
        <v>535</v>
      </c>
      <c r="D23" s="4" t="s">
        <v>536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</row>
    <row r="24" spans="1:24" x14ac:dyDescent="0.25">
      <c r="A24" s="12">
        <f t="shared" si="0"/>
        <v>21</v>
      </c>
      <c r="B24" s="4" t="s">
        <v>969</v>
      </c>
      <c r="C24" s="4" t="s">
        <v>503</v>
      </c>
      <c r="D24" s="4" t="s">
        <v>87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</row>
    <row r="25" spans="1:24" x14ac:dyDescent="0.25">
      <c r="A25" s="12">
        <f t="shared" si="0"/>
        <v>22</v>
      </c>
      <c r="B25" s="4" t="s">
        <v>522</v>
      </c>
      <c r="C25" s="4" t="s">
        <v>523</v>
      </c>
      <c r="D25" s="4" t="s">
        <v>768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</row>
    <row r="26" spans="1:24" x14ac:dyDescent="0.25">
      <c r="A26" s="12">
        <f t="shared" si="0"/>
        <v>23</v>
      </c>
      <c r="B26" s="4" t="s">
        <v>595</v>
      </c>
      <c r="C26" s="4" t="s">
        <v>970</v>
      </c>
      <c r="D26" s="4" t="s">
        <v>398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</row>
    <row r="27" spans="1:24" x14ac:dyDescent="0.25">
      <c r="A27" s="12">
        <f t="shared" si="0"/>
        <v>24</v>
      </c>
      <c r="B27" s="4" t="s">
        <v>628</v>
      </c>
      <c r="C27" s="4" t="s">
        <v>971</v>
      </c>
      <c r="D27" s="4" t="s">
        <v>770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</row>
    <row r="28" spans="1:24" x14ac:dyDescent="0.25">
      <c r="A28" s="12">
        <f t="shared" si="0"/>
        <v>25</v>
      </c>
      <c r="B28" s="4" t="s">
        <v>972</v>
      </c>
      <c r="C28" s="4" t="s">
        <v>586</v>
      </c>
      <c r="D28" s="4" t="s">
        <v>1125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</row>
    <row r="29" spans="1:24" x14ac:dyDescent="0.25">
      <c r="A29" s="12">
        <f t="shared" si="0"/>
        <v>26</v>
      </c>
      <c r="B29" s="4" t="s">
        <v>973</v>
      </c>
      <c r="C29" s="4" t="s">
        <v>622</v>
      </c>
      <c r="D29" s="4" t="s">
        <v>245</v>
      </c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</row>
    <row r="30" spans="1:24" x14ac:dyDescent="0.25">
      <c r="A30" s="12">
        <f t="shared" si="0"/>
        <v>27</v>
      </c>
      <c r="B30" s="4" t="s">
        <v>638</v>
      </c>
      <c r="C30" s="4" t="s">
        <v>639</v>
      </c>
      <c r="D30" s="4" t="s">
        <v>45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</row>
    <row r="31" spans="1:24" x14ac:dyDescent="0.25">
      <c r="A31" s="12">
        <f t="shared" si="0"/>
        <v>28</v>
      </c>
      <c r="B31" s="4" t="s">
        <v>685</v>
      </c>
      <c r="C31" s="4" t="s">
        <v>686</v>
      </c>
      <c r="D31" s="4" t="s">
        <v>45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</row>
    <row r="32" spans="1:24" x14ac:dyDescent="0.25">
      <c r="A32" s="12">
        <f t="shared" si="0"/>
        <v>29</v>
      </c>
      <c r="B32" s="4" t="s">
        <v>974</v>
      </c>
      <c r="C32" s="4" t="s">
        <v>975</v>
      </c>
      <c r="D32" s="4" t="s">
        <v>84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</row>
    <row r="33" spans="1:24" x14ac:dyDescent="0.25">
      <c r="A33" s="12">
        <f t="shared" si="0"/>
        <v>30</v>
      </c>
      <c r="B33" s="4" t="s">
        <v>976</v>
      </c>
      <c r="C33" s="4" t="s">
        <v>977</v>
      </c>
      <c r="D33" s="4" t="s">
        <v>46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</row>
    <row r="34" spans="1:24" x14ac:dyDescent="0.25">
      <c r="A34" s="12">
        <f t="shared" si="0"/>
        <v>31</v>
      </c>
      <c r="B34" s="4" t="s">
        <v>978</v>
      </c>
      <c r="C34" s="4" t="s">
        <v>979</v>
      </c>
      <c r="D34" s="4" t="s">
        <v>87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</row>
    <row r="35" spans="1:24" x14ac:dyDescent="0.25">
      <c r="A35" s="12">
        <f t="shared" si="0"/>
        <v>32</v>
      </c>
      <c r="B35" s="4" t="s">
        <v>980</v>
      </c>
      <c r="C35" s="4" t="s">
        <v>981</v>
      </c>
      <c r="D35" s="4" t="s">
        <v>1126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</row>
    <row r="36" spans="1:24" x14ac:dyDescent="0.25">
      <c r="A36" s="12">
        <f t="shared" si="0"/>
        <v>33</v>
      </c>
      <c r="B36" s="4" t="s">
        <v>982</v>
      </c>
      <c r="C36" s="4" t="s">
        <v>983</v>
      </c>
      <c r="D36" s="4" t="s">
        <v>770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x14ac:dyDescent="0.25">
      <c r="A37" s="12">
        <f t="shared" si="0"/>
        <v>34</v>
      </c>
      <c r="B37" s="4" t="s">
        <v>984</v>
      </c>
      <c r="C37" s="4" t="s">
        <v>985</v>
      </c>
      <c r="D37" s="4" t="s">
        <v>45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x14ac:dyDescent="0.25">
      <c r="A38" s="12">
        <f t="shared" si="0"/>
        <v>35</v>
      </c>
      <c r="B38" s="4" t="s">
        <v>986</v>
      </c>
      <c r="C38" s="4" t="s">
        <v>987</v>
      </c>
      <c r="D38" s="4" t="s">
        <v>508</v>
      </c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</row>
    <row r="39" spans="1:24" x14ac:dyDescent="0.25">
      <c r="A39" s="12">
        <f t="shared" si="0"/>
        <v>36</v>
      </c>
      <c r="B39" s="4" t="s">
        <v>988</v>
      </c>
      <c r="C39" s="4" t="s">
        <v>989</v>
      </c>
      <c r="D39" s="4" t="s">
        <v>1123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5">
      <c r="A40" s="12">
        <f t="shared" si="0"/>
        <v>37</v>
      </c>
      <c r="B40" s="4" t="s">
        <v>990</v>
      </c>
      <c r="C40" s="4" t="s">
        <v>991</v>
      </c>
      <c r="D40" s="4" t="s">
        <v>282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 x14ac:dyDescent="0.25">
      <c r="A41" s="12">
        <f t="shared" si="0"/>
        <v>38</v>
      </c>
      <c r="B41" s="4" t="s">
        <v>992</v>
      </c>
      <c r="C41" s="4" t="s">
        <v>993</v>
      </c>
      <c r="D41" s="4" t="s">
        <v>84</v>
      </c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</row>
    <row r="42" spans="1:24" x14ac:dyDescent="0.25">
      <c r="A42" s="12">
        <f t="shared" si="0"/>
        <v>39</v>
      </c>
      <c r="B42" s="4" t="s">
        <v>994</v>
      </c>
      <c r="C42" s="4" t="s">
        <v>995</v>
      </c>
      <c r="D42" s="4" t="s">
        <v>45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</row>
    <row r="43" spans="1:24" x14ac:dyDescent="0.25">
      <c r="A43" s="12">
        <f t="shared" si="0"/>
        <v>40</v>
      </c>
      <c r="B43" s="4" t="s">
        <v>996</v>
      </c>
      <c r="C43" s="4" t="s">
        <v>996</v>
      </c>
      <c r="D43" s="4" t="s">
        <v>84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</row>
    <row r="44" spans="1:24" x14ac:dyDescent="0.25">
      <c r="A44" s="12">
        <f t="shared" si="0"/>
        <v>41</v>
      </c>
      <c r="B44" s="4" t="s">
        <v>997</v>
      </c>
      <c r="C44" s="4" t="s">
        <v>998</v>
      </c>
      <c r="D44" s="4" t="s">
        <v>245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</row>
    <row r="45" spans="1:24" x14ac:dyDescent="0.25">
      <c r="A45" s="12">
        <f t="shared" si="0"/>
        <v>42</v>
      </c>
      <c r="B45" s="4" t="s">
        <v>999</v>
      </c>
      <c r="C45" s="4" t="s">
        <v>1000</v>
      </c>
      <c r="D45" s="4" t="s">
        <v>508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</row>
    <row r="46" spans="1:24" x14ac:dyDescent="0.25">
      <c r="A46" s="12">
        <f t="shared" si="0"/>
        <v>43</v>
      </c>
      <c r="B46" s="4" t="s">
        <v>1001</v>
      </c>
      <c r="C46" s="4" t="s">
        <v>1002</v>
      </c>
      <c r="D46" s="4" t="s">
        <v>45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</row>
    <row r="47" spans="1:24" x14ac:dyDescent="0.25">
      <c r="A47" s="12">
        <f t="shared" si="0"/>
        <v>44</v>
      </c>
      <c r="B47" s="4" t="s">
        <v>1003</v>
      </c>
      <c r="C47" s="4" t="s">
        <v>1004</v>
      </c>
      <c r="D47" s="4" t="s">
        <v>536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</row>
    <row r="48" spans="1:24" x14ac:dyDescent="0.25">
      <c r="A48" s="12">
        <f t="shared" si="0"/>
        <v>45</v>
      </c>
      <c r="B48" s="4" t="s">
        <v>1005</v>
      </c>
      <c r="C48" s="4" t="s">
        <v>1006</v>
      </c>
      <c r="D48" s="4" t="s">
        <v>508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</row>
    <row r="49" spans="1:24" x14ac:dyDescent="0.25">
      <c r="A49" s="12">
        <f t="shared" si="0"/>
        <v>46</v>
      </c>
      <c r="B49" s="4" t="s">
        <v>1007</v>
      </c>
      <c r="C49" s="4" t="s">
        <v>1008</v>
      </c>
      <c r="D49" s="4" t="s">
        <v>768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</row>
    <row r="50" spans="1:24" x14ac:dyDescent="0.25">
      <c r="A50" s="12">
        <f t="shared" si="0"/>
        <v>47</v>
      </c>
      <c r="B50" s="4" t="s">
        <v>1009</v>
      </c>
      <c r="C50" s="4" t="s">
        <v>1010</v>
      </c>
      <c r="D50" s="4" t="s">
        <v>45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</row>
    <row r="51" spans="1:24" x14ac:dyDescent="0.25">
      <c r="A51" s="12">
        <f t="shared" si="0"/>
        <v>48</v>
      </c>
      <c r="B51" s="4" t="s">
        <v>1011</v>
      </c>
      <c r="C51" s="4" t="s">
        <v>1012</v>
      </c>
      <c r="D51" s="4" t="s">
        <v>45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</row>
    <row r="52" spans="1:24" x14ac:dyDescent="0.25">
      <c r="A52" s="12">
        <f t="shared" si="0"/>
        <v>49</v>
      </c>
      <c r="B52" s="4" t="s">
        <v>1013</v>
      </c>
      <c r="C52" s="4" t="s">
        <v>1014</v>
      </c>
      <c r="D52" s="4" t="s">
        <v>770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</row>
    <row r="53" spans="1:24" x14ac:dyDescent="0.25">
      <c r="A53" s="12">
        <f t="shared" si="0"/>
        <v>50</v>
      </c>
      <c r="B53" s="4" t="s">
        <v>1015</v>
      </c>
      <c r="C53" s="4" t="s">
        <v>1016</v>
      </c>
      <c r="D53" s="4" t="s">
        <v>1127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</row>
    <row r="54" spans="1:24" x14ac:dyDescent="0.25">
      <c r="A54" s="12">
        <f t="shared" si="0"/>
        <v>51</v>
      </c>
      <c r="B54" s="4" t="s">
        <v>1017</v>
      </c>
      <c r="C54" s="4" t="s">
        <v>1018</v>
      </c>
      <c r="D54" s="4" t="s">
        <v>768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</row>
    <row r="55" spans="1:24" x14ac:dyDescent="0.25">
      <c r="A55" s="12">
        <f t="shared" si="0"/>
        <v>52</v>
      </c>
      <c r="B55" s="4" t="s">
        <v>1019</v>
      </c>
      <c r="C55" s="4" t="s">
        <v>1020</v>
      </c>
      <c r="D55" s="4" t="s">
        <v>84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</row>
    <row r="56" spans="1:24" x14ac:dyDescent="0.25">
      <c r="A56" s="12">
        <f t="shared" si="0"/>
        <v>53</v>
      </c>
      <c r="B56" s="4" t="s">
        <v>1021</v>
      </c>
      <c r="C56" s="4" t="s">
        <v>1022</v>
      </c>
      <c r="D56" s="4" t="s">
        <v>84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</row>
    <row r="57" spans="1:24" x14ac:dyDescent="0.25">
      <c r="A57" s="12">
        <f t="shared" si="0"/>
        <v>54</v>
      </c>
      <c r="B57" s="4" t="s">
        <v>1023</v>
      </c>
      <c r="C57" s="4" t="s">
        <v>1024</v>
      </c>
      <c r="D57" s="4" t="s">
        <v>768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spans="1:24" x14ac:dyDescent="0.25">
      <c r="A58" s="12">
        <f t="shared" si="0"/>
        <v>55</v>
      </c>
      <c r="B58" s="4" t="s">
        <v>1025</v>
      </c>
      <c r="C58" s="4" t="s">
        <v>1026</v>
      </c>
      <c r="D58" s="4" t="s">
        <v>84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</row>
    <row r="59" spans="1:24" x14ac:dyDescent="0.25">
      <c r="A59" s="12">
        <f t="shared" si="0"/>
        <v>56</v>
      </c>
      <c r="B59" s="4" t="s">
        <v>1027</v>
      </c>
      <c r="C59" s="4" t="s">
        <v>1028</v>
      </c>
      <c r="D59" s="4" t="s">
        <v>45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5">
      <c r="A60" s="12">
        <f t="shared" si="0"/>
        <v>57</v>
      </c>
      <c r="B60" s="4" t="s">
        <v>1029</v>
      </c>
      <c r="C60" s="4" t="s">
        <v>1030</v>
      </c>
      <c r="D60" s="4" t="s">
        <v>770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</row>
    <row r="61" spans="1:24" x14ac:dyDescent="0.25">
      <c r="A61" s="12">
        <f t="shared" si="0"/>
        <v>58</v>
      </c>
      <c r="B61" s="4" t="s">
        <v>1031</v>
      </c>
      <c r="C61" s="4" t="s">
        <v>1032</v>
      </c>
      <c r="D61" s="4" t="s">
        <v>45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</row>
    <row r="62" spans="1:24" x14ac:dyDescent="0.25">
      <c r="A62" s="12">
        <f t="shared" si="0"/>
        <v>59</v>
      </c>
      <c r="B62" s="4" t="s">
        <v>1033</v>
      </c>
      <c r="C62" s="4" t="s">
        <v>1034</v>
      </c>
      <c r="D62" s="4" t="s">
        <v>128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</row>
    <row r="63" spans="1:24" x14ac:dyDescent="0.25">
      <c r="A63" s="12">
        <f t="shared" si="0"/>
        <v>60</v>
      </c>
      <c r="B63" s="4" t="s">
        <v>1035</v>
      </c>
      <c r="C63" s="4" t="s">
        <v>1036</v>
      </c>
      <c r="D63" s="4" t="s">
        <v>536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</row>
    <row r="64" spans="1:24" x14ac:dyDescent="0.25">
      <c r="A64" s="12">
        <f t="shared" si="0"/>
        <v>61</v>
      </c>
      <c r="B64" s="4" t="s">
        <v>1037</v>
      </c>
      <c r="C64" s="4" t="s">
        <v>1038</v>
      </c>
      <c r="D64" s="4" t="s">
        <v>508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</row>
    <row r="65" spans="1:24" x14ac:dyDescent="0.25">
      <c r="A65" s="12">
        <f t="shared" si="0"/>
        <v>62</v>
      </c>
      <c r="B65" s="4" t="s">
        <v>1039</v>
      </c>
      <c r="C65" s="4" t="s">
        <v>1040</v>
      </c>
      <c r="D65" s="4" t="s">
        <v>1123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</row>
    <row r="66" spans="1:24" x14ac:dyDescent="0.25">
      <c r="A66" s="12">
        <f t="shared" si="0"/>
        <v>63</v>
      </c>
      <c r="B66" s="4" t="s">
        <v>1041</v>
      </c>
      <c r="C66" s="4" t="s">
        <v>1042</v>
      </c>
      <c r="D66" s="4" t="s">
        <v>45</v>
      </c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</row>
    <row r="67" spans="1:24" x14ac:dyDescent="0.25">
      <c r="A67" s="12">
        <f t="shared" si="0"/>
        <v>64</v>
      </c>
      <c r="B67" s="4" t="s">
        <v>1043</v>
      </c>
      <c r="C67" s="4" t="s">
        <v>1044</v>
      </c>
      <c r="D67" s="4" t="s">
        <v>508</v>
      </c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</row>
    <row r="68" spans="1:24" x14ac:dyDescent="0.25">
      <c r="A68" s="12">
        <f t="shared" si="0"/>
        <v>65</v>
      </c>
      <c r="B68" s="4" t="s">
        <v>1045</v>
      </c>
      <c r="C68" s="4" t="s">
        <v>1046</v>
      </c>
      <c r="D68" s="4" t="s">
        <v>45</v>
      </c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</row>
    <row r="69" spans="1:24" x14ac:dyDescent="0.25">
      <c r="A69" s="12">
        <f t="shared" si="0"/>
        <v>66</v>
      </c>
      <c r="B69" s="4" t="s">
        <v>1047</v>
      </c>
      <c r="C69" s="4" t="s">
        <v>1048</v>
      </c>
      <c r="D69" s="4" t="s">
        <v>1128</v>
      </c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</row>
    <row r="70" spans="1:24" x14ac:dyDescent="0.25">
      <c r="A70" s="12">
        <f t="shared" ref="A70:A115" si="1">+A69+1</f>
        <v>67</v>
      </c>
      <c r="B70" s="4" t="s">
        <v>1049</v>
      </c>
      <c r="C70" s="4" t="s">
        <v>1050</v>
      </c>
      <c r="D70" s="4" t="s">
        <v>1129</v>
      </c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</row>
    <row r="71" spans="1:24" x14ac:dyDescent="0.25">
      <c r="A71" s="12">
        <f t="shared" si="1"/>
        <v>68</v>
      </c>
      <c r="B71" s="4" t="s">
        <v>1051</v>
      </c>
      <c r="C71" s="4" t="s">
        <v>1052</v>
      </c>
      <c r="D71" s="4" t="s">
        <v>1124</v>
      </c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</row>
    <row r="72" spans="1:24" x14ac:dyDescent="0.25">
      <c r="A72" s="12">
        <f t="shared" si="1"/>
        <v>69</v>
      </c>
      <c r="B72" s="4" t="s">
        <v>1053</v>
      </c>
      <c r="C72" s="4" t="s">
        <v>1054</v>
      </c>
      <c r="D72" s="4" t="s">
        <v>508</v>
      </c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</row>
    <row r="73" spans="1:24" x14ac:dyDescent="0.25">
      <c r="A73" s="12">
        <f t="shared" si="1"/>
        <v>70</v>
      </c>
      <c r="B73" s="4" t="s">
        <v>1055</v>
      </c>
      <c r="C73" s="4" t="s">
        <v>1056</v>
      </c>
      <c r="D73" s="4" t="s">
        <v>768</v>
      </c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</row>
    <row r="74" spans="1:24" x14ac:dyDescent="0.25">
      <c r="A74" s="12">
        <f t="shared" si="1"/>
        <v>71</v>
      </c>
      <c r="B74" s="4" t="s">
        <v>1057</v>
      </c>
      <c r="C74" s="4" t="s">
        <v>1058</v>
      </c>
      <c r="D74" s="4" t="s">
        <v>1130</v>
      </c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</row>
    <row r="75" spans="1:24" x14ac:dyDescent="0.25">
      <c r="A75" s="12">
        <f t="shared" si="1"/>
        <v>72</v>
      </c>
      <c r="B75" s="4" t="s">
        <v>1059</v>
      </c>
      <c r="C75" s="4" t="s">
        <v>1060</v>
      </c>
      <c r="D75" s="4" t="s">
        <v>45</v>
      </c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</row>
    <row r="76" spans="1:24" x14ac:dyDescent="0.25">
      <c r="A76" s="12">
        <f t="shared" si="1"/>
        <v>73</v>
      </c>
      <c r="B76" s="4" t="s">
        <v>1061</v>
      </c>
      <c r="C76" s="4" t="s">
        <v>1062</v>
      </c>
      <c r="D76" s="4" t="s">
        <v>1128</v>
      </c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</row>
    <row r="77" spans="1:24" x14ac:dyDescent="0.25">
      <c r="A77" s="12">
        <f t="shared" si="1"/>
        <v>74</v>
      </c>
      <c r="B77" s="4" t="s">
        <v>1063</v>
      </c>
      <c r="C77" s="4" t="s">
        <v>1064</v>
      </c>
      <c r="D77" s="4" t="s">
        <v>278</v>
      </c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</row>
    <row r="78" spans="1:24" x14ac:dyDescent="0.25">
      <c r="A78" s="12">
        <f t="shared" si="1"/>
        <v>75</v>
      </c>
      <c r="B78" s="4" t="s">
        <v>1065</v>
      </c>
      <c r="C78" s="4" t="s">
        <v>1066</v>
      </c>
      <c r="D78" s="4" t="s">
        <v>1130</v>
      </c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</row>
    <row r="79" spans="1:24" x14ac:dyDescent="0.25">
      <c r="A79" s="12">
        <f t="shared" si="1"/>
        <v>76</v>
      </c>
      <c r="B79" s="4" t="s">
        <v>1067</v>
      </c>
      <c r="C79" s="4" t="s">
        <v>1068</v>
      </c>
      <c r="D79" s="4" t="s">
        <v>45</v>
      </c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</row>
    <row r="80" spans="1:24" x14ac:dyDescent="0.25">
      <c r="A80" s="12">
        <f t="shared" si="1"/>
        <v>77</v>
      </c>
      <c r="B80" s="4" t="s">
        <v>1069</v>
      </c>
      <c r="C80" s="4" t="s">
        <v>1070</v>
      </c>
      <c r="D80" s="4" t="s">
        <v>508</v>
      </c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</row>
    <row r="81" spans="1:24" x14ac:dyDescent="0.25">
      <c r="A81" s="12">
        <f t="shared" si="1"/>
        <v>78</v>
      </c>
      <c r="B81" s="4" t="s">
        <v>1071</v>
      </c>
      <c r="C81" s="4" t="s">
        <v>1072</v>
      </c>
      <c r="D81" s="4" t="s">
        <v>601</v>
      </c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</row>
    <row r="82" spans="1:24" x14ac:dyDescent="0.25">
      <c r="A82" s="12">
        <f t="shared" si="1"/>
        <v>79</v>
      </c>
      <c r="B82" s="4" t="s">
        <v>1073</v>
      </c>
      <c r="C82" s="4" t="s">
        <v>1074</v>
      </c>
      <c r="D82" s="4" t="s">
        <v>45</v>
      </c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</row>
    <row r="83" spans="1:24" x14ac:dyDescent="0.25">
      <c r="A83" s="12">
        <f t="shared" si="1"/>
        <v>80</v>
      </c>
      <c r="B83" s="4" t="s">
        <v>1075</v>
      </c>
      <c r="C83" s="4" t="s">
        <v>1076</v>
      </c>
      <c r="D83" s="4" t="s">
        <v>508</v>
      </c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</row>
    <row r="84" spans="1:24" x14ac:dyDescent="0.25">
      <c r="A84" s="12">
        <f t="shared" si="1"/>
        <v>81</v>
      </c>
      <c r="B84" s="4" t="s">
        <v>1077</v>
      </c>
      <c r="C84" s="4" t="s">
        <v>1078</v>
      </c>
      <c r="D84" s="4" t="s">
        <v>45</v>
      </c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</row>
    <row r="85" spans="1:24" x14ac:dyDescent="0.25">
      <c r="A85" s="12">
        <f t="shared" si="1"/>
        <v>82</v>
      </c>
      <c r="B85" s="4" t="s">
        <v>1079</v>
      </c>
      <c r="C85" s="4" t="s">
        <v>1080</v>
      </c>
      <c r="D85" s="4" t="s">
        <v>128</v>
      </c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</row>
    <row r="86" spans="1:24" x14ac:dyDescent="0.25">
      <c r="A86" s="12">
        <f t="shared" si="1"/>
        <v>83</v>
      </c>
      <c r="B86" s="4" t="s">
        <v>1081</v>
      </c>
      <c r="C86" s="4" t="s">
        <v>1082</v>
      </c>
      <c r="D86" s="4" t="s">
        <v>508</v>
      </c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</row>
    <row r="87" spans="1:24" x14ac:dyDescent="0.25">
      <c r="A87" s="12">
        <f t="shared" si="1"/>
        <v>84</v>
      </c>
      <c r="B87" s="4" t="s">
        <v>1083</v>
      </c>
      <c r="C87" s="4" t="s">
        <v>1084</v>
      </c>
      <c r="D87" s="4" t="s">
        <v>45</v>
      </c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</row>
    <row r="88" spans="1:24" x14ac:dyDescent="0.25">
      <c r="A88" s="12">
        <f t="shared" si="1"/>
        <v>85</v>
      </c>
      <c r="B88" s="4" t="s">
        <v>1085</v>
      </c>
      <c r="C88" s="4" t="s">
        <v>1086</v>
      </c>
      <c r="D88" s="4" t="s">
        <v>45</v>
      </c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</row>
    <row r="89" spans="1:24" x14ac:dyDescent="0.25">
      <c r="A89" s="12">
        <f t="shared" si="1"/>
        <v>86</v>
      </c>
      <c r="B89" s="4" t="s">
        <v>1087</v>
      </c>
      <c r="C89" s="4" t="s">
        <v>1088</v>
      </c>
      <c r="D89" s="4" t="s">
        <v>1130</v>
      </c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</row>
    <row r="90" spans="1:24" x14ac:dyDescent="0.25">
      <c r="A90" s="12">
        <f t="shared" si="1"/>
        <v>87</v>
      </c>
      <c r="B90" s="4" t="s">
        <v>1089</v>
      </c>
      <c r="C90" s="4" t="s">
        <v>1090</v>
      </c>
      <c r="D90" s="4" t="s">
        <v>45</v>
      </c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</row>
    <row r="91" spans="1:24" x14ac:dyDescent="0.25">
      <c r="A91" s="12">
        <f t="shared" si="1"/>
        <v>88</v>
      </c>
      <c r="B91" s="4" t="s">
        <v>1091</v>
      </c>
      <c r="C91" s="4" t="s">
        <v>1092</v>
      </c>
      <c r="D91" s="4" t="s">
        <v>45</v>
      </c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</row>
    <row r="92" spans="1:24" x14ac:dyDescent="0.25">
      <c r="A92" s="12">
        <f t="shared" si="1"/>
        <v>89</v>
      </c>
      <c r="B92" s="4" t="s">
        <v>1093</v>
      </c>
      <c r="C92" s="4" t="s">
        <v>1094</v>
      </c>
      <c r="D92" s="4" t="s">
        <v>508</v>
      </c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</row>
    <row r="93" spans="1:24" x14ac:dyDescent="0.25">
      <c r="A93" s="12">
        <f t="shared" si="1"/>
        <v>90</v>
      </c>
      <c r="B93" s="4" t="s">
        <v>1095</v>
      </c>
      <c r="C93" s="4" t="s">
        <v>1096</v>
      </c>
      <c r="D93" s="4" t="s">
        <v>161</v>
      </c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</row>
    <row r="94" spans="1:24" x14ac:dyDescent="0.25">
      <c r="A94" s="12">
        <f t="shared" si="1"/>
        <v>91</v>
      </c>
      <c r="B94" s="4" t="s">
        <v>1097</v>
      </c>
      <c r="C94" s="4" t="s">
        <v>1098</v>
      </c>
      <c r="D94" s="4" t="s">
        <v>508</v>
      </c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</row>
    <row r="95" spans="1:24" x14ac:dyDescent="0.25">
      <c r="A95" s="12">
        <f t="shared" si="1"/>
        <v>92</v>
      </c>
      <c r="B95" s="4" t="s">
        <v>1099</v>
      </c>
      <c r="C95" s="4" t="s">
        <v>1100</v>
      </c>
      <c r="D95" s="4" t="s">
        <v>45</v>
      </c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</row>
    <row r="96" spans="1:24" x14ac:dyDescent="0.25">
      <c r="A96" s="12">
        <f t="shared" si="1"/>
        <v>93</v>
      </c>
      <c r="B96" s="4" t="s">
        <v>1101</v>
      </c>
      <c r="C96" s="4" t="s">
        <v>1102</v>
      </c>
      <c r="D96" s="4" t="s">
        <v>45</v>
      </c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</row>
    <row r="97" spans="1:24" x14ac:dyDescent="0.25">
      <c r="A97" s="12">
        <f t="shared" si="1"/>
        <v>94</v>
      </c>
      <c r="B97" s="4" t="s">
        <v>1103</v>
      </c>
      <c r="C97" s="4" t="s">
        <v>1104</v>
      </c>
      <c r="D97" s="4" t="s">
        <v>161</v>
      </c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</row>
    <row r="98" spans="1:24" x14ac:dyDescent="0.25">
      <c r="A98" s="12">
        <f t="shared" si="1"/>
        <v>95</v>
      </c>
      <c r="B98" s="4" t="s">
        <v>1105</v>
      </c>
      <c r="C98" s="4" t="s">
        <v>1106</v>
      </c>
      <c r="D98" s="4" t="s">
        <v>768</v>
      </c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</row>
    <row r="99" spans="1:24" x14ac:dyDescent="0.25">
      <c r="A99" s="12">
        <f t="shared" si="1"/>
        <v>96</v>
      </c>
      <c r="B99" s="4" t="s">
        <v>1107</v>
      </c>
      <c r="C99" s="4" t="s">
        <v>1108</v>
      </c>
      <c r="D99" s="4" t="s">
        <v>768</v>
      </c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</row>
    <row r="100" spans="1:24" x14ac:dyDescent="0.25">
      <c r="A100" s="12">
        <f t="shared" si="1"/>
        <v>97</v>
      </c>
      <c r="B100" s="4" t="s">
        <v>1109</v>
      </c>
      <c r="C100" s="4" t="s">
        <v>1110</v>
      </c>
      <c r="D100" s="4" t="s">
        <v>45</v>
      </c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</row>
    <row r="101" spans="1:24" x14ac:dyDescent="0.25">
      <c r="A101" s="12">
        <f t="shared" si="1"/>
        <v>98</v>
      </c>
      <c r="B101" s="4" t="s">
        <v>1111</v>
      </c>
      <c r="C101" s="4" t="s">
        <v>1112</v>
      </c>
      <c r="D101" s="4" t="s">
        <v>45</v>
      </c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</row>
    <row r="102" spans="1:24" x14ac:dyDescent="0.25">
      <c r="A102" s="12">
        <f t="shared" si="1"/>
        <v>99</v>
      </c>
      <c r="B102" s="4" t="s">
        <v>1113</v>
      </c>
      <c r="C102" s="4" t="s">
        <v>1114</v>
      </c>
      <c r="D102" s="4" t="s">
        <v>1131</v>
      </c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</row>
    <row r="103" spans="1:24" x14ac:dyDescent="0.25">
      <c r="A103" s="12">
        <f t="shared" si="1"/>
        <v>100</v>
      </c>
      <c r="B103" s="4" t="s">
        <v>1115</v>
      </c>
      <c r="C103" s="4" t="s">
        <v>1116</v>
      </c>
      <c r="D103" s="4" t="s">
        <v>45</v>
      </c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</row>
    <row r="104" spans="1:24" x14ac:dyDescent="0.25">
      <c r="A104" s="12">
        <f t="shared" si="1"/>
        <v>101</v>
      </c>
      <c r="B104" s="4" t="s">
        <v>1117</v>
      </c>
      <c r="C104" s="4" t="s">
        <v>1118</v>
      </c>
      <c r="D104" s="4" t="s">
        <v>1125</v>
      </c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</row>
    <row r="105" spans="1:24" x14ac:dyDescent="0.25">
      <c r="A105" s="12">
        <f t="shared" si="1"/>
        <v>102</v>
      </c>
      <c r="B105" s="4" t="s">
        <v>1119</v>
      </c>
      <c r="C105" s="4" t="s">
        <v>1120</v>
      </c>
      <c r="D105" s="4" t="s">
        <v>45</v>
      </c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</row>
    <row r="106" spans="1:24" x14ac:dyDescent="0.25">
      <c r="A106" s="12">
        <f t="shared" si="1"/>
        <v>103</v>
      </c>
      <c r="B106" s="4" t="s">
        <v>1121</v>
      </c>
      <c r="C106" s="4" t="s">
        <v>1122</v>
      </c>
      <c r="D106" s="4" t="s">
        <v>45</v>
      </c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</row>
    <row r="107" spans="1:24" x14ac:dyDescent="0.25">
      <c r="A107" s="12">
        <f t="shared" si="1"/>
        <v>104</v>
      </c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</row>
    <row r="108" spans="1:24" x14ac:dyDescent="0.25">
      <c r="A108" s="12">
        <f t="shared" si="1"/>
        <v>105</v>
      </c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</row>
    <row r="109" spans="1:24" x14ac:dyDescent="0.25">
      <c r="A109" s="12">
        <f t="shared" si="1"/>
        <v>106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</row>
    <row r="110" spans="1:24" x14ac:dyDescent="0.25">
      <c r="A110" s="12">
        <f t="shared" si="1"/>
        <v>107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</row>
    <row r="111" spans="1:24" x14ac:dyDescent="0.25">
      <c r="A111" s="12">
        <f t="shared" si="1"/>
        <v>108</v>
      </c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</row>
    <row r="112" spans="1:24" x14ac:dyDescent="0.25">
      <c r="A112" s="12">
        <f t="shared" si="1"/>
        <v>109</v>
      </c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</row>
    <row r="113" spans="1:24" x14ac:dyDescent="0.25">
      <c r="A113" s="12">
        <f t="shared" si="1"/>
        <v>110</v>
      </c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</row>
    <row r="114" spans="1:24" x14ac:dyDescent="0.25">
      <c r="A114" s="12">
        <f t="shared" si="1"/>
        <v>111</v>
      </c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</row>
    <row r="115" spans="1:24" x14ac:dyDescent="0.25">
      <c r="A115" s="12">
        <f t="shared" si="1"/>
        <v>112</v>
      </c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</row>
    <row r="116" spans="1:24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</row>
    <row r="117" spans="1:24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</row>
    <row r="118" spans="1:24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</row>
    <row r="119" spans="1:24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</row>
    <row r="120" spans="1:24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</row>
    <row r="121" spans="1:24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</row>
    <row r="122" spans="1:24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</row>
    <row r="123" spans="1:24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</row>
    <row r="124" spans="1:24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</row>
    <row r="125" spans="1:24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</row>
    <row r="126" spans="1:24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</row>
    <row r="127" spans="1:24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</row>
    <row r="128" spans="1:24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</row>
    <row r="129" spans="1:24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</row>
    <row r="130" spans="1:24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</row>
    <row r="131" spans="1:24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</row>
    <row r="132" spans="1:24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</row>
    <row r="133" spans="1:24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</row>
    <row r="134" spans="1:24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</row>
    <row r="135" spans="1:24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</row>
    <row r="136" spans="1:24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</row>
    <row r="137" spans="1:24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</row>
    <row r="138" spans="1:24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</row>
    <row r="139" spans="1:24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</row>
    <row r="140" spans="1:24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</row>
    <row r="141" spans="1:24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</row>
    <row r="142" spans="1:24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</row>
    <row r="143" spans="1:24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</row>
    <row r="144" spans="1:24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</row>
    <row r="145" spans="1:24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</row>
    <row r="146" spans="1:24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</row>
    <row r="147" spans="1:24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</row>
    <row r="148" spans="1:24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</row>
    <row r="149" spans="1:24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</row>
    <row r="150" spans="1:24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</row>
    <row r="151" spans="1:24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</row>
    <row r="152" spans="1:24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</row>
    <row r="153" spans="1:24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</row>
    <row r="154" spans="1:24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</row>
    <row r="155" spans="1:24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</row>
    <row r="156" spans="1:24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</row>
    <row r="157" spans="1:24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</row>
    <row r="158" spans="1:24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</row>
    <row r="159" spans="1:24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</row>
    <row r="160" spans="1:24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</row>
    <row r="161" spans="1:24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</row>
    <row r="162" spans="1:24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</row>
    <row r="163" spans="1:24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</row>
    <row r="164" spans="1:24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</row>
    <row r="165" spans="1:24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</row>
    <row r="166" spans="1:24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</row>
    <row r="167" spans="1:24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</row>
    <row r="168" spans="1:24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</row>
    <row r="169" spans="1:24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</row>
    <row r="170" spans="1:24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</row>
    <row r="171" spans="1:24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</row>
    <row r="172" spans="1:24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</row>
    <row r="173" spans="1:24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</row>
    <row r="174" spans="1:24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</row>
    <row r="175" spans="1:24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</row>
    <row r="176" spans="1:24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</row>
    <row r="177" spans="1:24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</row>
    <row r="178" spans="1:24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</row>
    <row r="179" spans="1:24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</row>
    <row r="180" spans="1:24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</row>
    <row r="181" spans="1:24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</row>
    <row r="182" spans="1:24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</row>
    <row r="183" spans="1:24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</row>
    <row r="184" spans="1:24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</row>
    <row r="185" spans="1:24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</row>
    <row r="186" spans="1:24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</row>
    <row r="187" spans="1:24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</row>
    <row r="188" spans="1:24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</row>
    <row r="189" spans="1:24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</row>
    <row r="190" spans="1:24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</row>
    <row r="191" spans="1:24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</row>
    <row r="192" spans="1:24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</row>
    <row r="193" spans="1:24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</row>
    <row r="194" spans="1:24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</row>
    <row r="195" spans="1:24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</row>
    <row r="196" spans="1:24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</row>
    <row r="197" spans="1:24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</row>
    <row r="198" spans="1:24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</row>
    <row r="199" spans="1:24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</row>
    <row r="200" spans="1:24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</row>
    <row r="201" spans="1:24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</row>
    <row r="202" spans="1:24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</row>
    <row r="203" spans="1:24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</row>
    <row r="204" spans="1:24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</row>
    <row r="205" spans="1:24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</row>
    <row r="206" spans="1:24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</row>
    <row r="207" spans="1:24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</row>
    <row r="208" spans="1:24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</row>
    <row r="209" spans="1:24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</row>
    <row r="210" spans="1:24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</row>
    <row r="211" spans="1:24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</row>
    <row r="212" spans="1:24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</row>
    <row r="213" spans="1:24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</row>
    <row r="214" spans="1:24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</row>
    <row r="215" spans="1:24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</row>
    <row r="216" spans="1:24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</row>
    <row r="217" spans="1:24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</row>
    <row r="218" spans="1:24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</row>
    <row r="219" spans="1:24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</row>
    <row r="220" spans="1:24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</row>
    <row r="221" spans="1:24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</row>
    <row r="222" spans="1:24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</row>
    <row r="223" spans="1:24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</row>
    <row r="224" spans="1:24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</row>
    <row r="225" spans="1:24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</row>
    <row r="226" spans="1:24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</row>
    <row r="227" spans="1:24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</row>
    <row r="228" spans="1:24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</row>
    <row r="229" spans="1:24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</row>
    <row r="230" spans="1:24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</row>
    <row r="231" spans="1:24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</row>
    <row r="232" spans="1:24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</row>
    <row r="233" spans="1:24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</row>
    <row r="234" spans="1:24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</row>
    <row r="235" spans="1:24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</row>
    <row r="236" spans="1:24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</row>
    <row r="237" spans="1:24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</row>
    <row r="238" spans="1:24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</row>
    <row r="239" spans="1:24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</row>
    <row r="240" spans="1:24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</row>
    <row r="241" spans="1:24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</row>
    <row r="242" spans="1:24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</row>
    <row r="243" spans="1:24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</row>
    <row r="244" spans="1:24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</row>
    <row r="245" spans="1:24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</row>
    <row r="246" spans="1:24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4"/>
  <sheetViews>
    <sheetView zoomScale="200" zoomScaleNormal="200" workbookViewId="0">
      <selection activeCell="C9" sqref="C9"/>
    </sheetView>
  </sheetViews>
  <sheetFormatPr defaultRowHeight="13.5" x14ac:dyDescent="0.25"/>
  <cols>
    <col min="1" max="1" width="4.5703125" style="6" customWidth="1"/>
    <col min="2" max="2" width="21.28515625" style="6" customWidth="1"/>
    <col min="3" max="16384" width="9.140625" style="6"/>
  </cols>
  <sheetData>
    <row r="1" spans="1:17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spans="1:17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3" spans="1:17" x14ac:dyDescent="0.25">
      <c r="A3" s="7" t="s">
        <v>54</v>
      </c>
      <c r="B3" s="8" t="s">
        <v>0</v>
      </c>
      <c r="C3" s="8" t="s">
        <v>767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20"/>
      <c r="P3" s="4"/>
      <c r="Q3" s="4"/>
    </row>
    <row r="4" spans="1:17" x14ac:dyDescent="0.25">
      <c r="A4" s="12">
        <v>1</v>
      </c>
      <c r="B4" s="4" t="s">
        <v>680</v>
      </c>
      <c r="C4" s="4" t="s">
        <v>680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pans="1:17" x14ac:dyDescent="0.25">
      <c r="A5" s="12">
        <f>+A4+1</f>
        <v>2</v>
      </c>
      <c r="B5" s="4" t="s">
        <v>2606</v>
      </c>
      <c r="C5" s="4" t="s">
        <v>702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1:17" x14ac:dyDescent="0.25">
      <c r="A6" s="12">
        <f t="shared" ref="A6:A8" si="0">+A5+1</f>
        <v>3</v>
      </c>
      <c r="B6" s="4" t="s">
        <v>2605</v>
      </c>
      <c r="C6" s="4" t="s">
        <v>1262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</row>
    <row r="7" spans="1:17" x14ac:dyDescent="0.25">
      <c r="A7" s="12">
        <f t="shared" si="0"/>
        <v>4</v>
      </c>
      <c r="B7" s="4" t="s">
        <v>2607</v>
      </c>
      <c r="C7" s="4" t="s">
        <v>1542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spans="1:17" x14ac:dyDescent="0.25">
      <c r="A8" s="12">
        <f t="shared" si="0"/>
        <v>5</v>
      </c>
      <c r="B8" s="70" t="s">
        <v>3556</v>
      </c>
      <c r="C8" s="70" t="s">
        <v>3557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spans="1:17" x14ac:dyDescent="0.2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spans="1:17" x14ac:dyDescent="0.25">
      <c r="A10" s="4"/>
      <c r="B10" s="4" t="s">
        <v>25</v>
      </c>
      <c r="C10" s="4" t="s">
        <v>25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</row>
    <row r="11" spans="1:17" x14ac:dyDescent="0.25">
      <c r="A11" s="4"/>
      <c r="B11" s="4" t="s">
        <v>2608</v>
      </c>
      <c r="C11" s="4" t="s">
        <v>34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 spans="1:17" x14ac:dyDescent="0.25">
      <c r="A12" s="4"/>
      <c r="B12" s="4" t="s">
        <v>216</v>
      </c>
      <c r="C12" s="4" t="s">
        <v>265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 spans="1:17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 spans="1:17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spans="1:17" x14ac:dyDescent="0.25">
      <c r="A15" s="4"/>
      <c r="B15" s="4" t="s">
        <v>9</v>
      </c>
      <c r="C15" s="4" t="s">
        <v>811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spans="1:17" x14ac:dyDescent="0.25">
      <c r="A16" s="4"/>
      <c r="B16" s="4" t="s">
        <v>6</v>
      </c>
      <c r="C16" s="4" t="s">
        <v>31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spans="1:17" x14ac:dyDescent="0.25">
      <c r="A17" s="4"/>
      <c r="B17" s="4" t="s">
        <v>2609</v>
      </c>
      <c r="C17" s="4" t="s">
        <v>2610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</row>
    <row r="18" spans="1:17" x14ac:dyDescent="0.2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spans="1:17" x14ac:dyDescent="0.25">
      <c r="A19" s="4"/>
      <c r="B19" s="4" t="s">
        <v>808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spans="1:17" x14ac:dyDescent="0.25">
      <c r="A20" s="4"/>
      <c r="B20" s="4" t="s">
        <v>2611</v>
      </c>
      <c r="C20" s="4" t="s">
        <v>808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spans="1:17" x14ac:dyDescent="0.25">
      <c r="A21" s="4"/>
      <c r="B21" s="4" t="s">
        <v>2612</v>
      </c>
      <c r="C21" s="4" t="s">
        <v>808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spans="1:17" x14ac:dyDescent="0.25">
      <c r="A22" s="4"/>
      <c r="B22" s="4" t="s">
        <v>2613</v>
      </c>
      <c r="C22" s="4" t="s">
        <v>808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1:17" x14ac:dyDescent="0.25">
      <c r="A23" s="4"/>
      <c r="B23" s="4" t="s">
        <v>2614</v>
      </c>
      <c r="C23" s="4" t="s">
        <v>808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spans="1:17" x14ac:dyDescent="0.25">
      <c r="A24" s="4"/>
      <c r="B24" s="4" t="s">
        <v>2615</v>
      </c>
      <c r="C24" s="4" t="s">
        <v>808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spans="1:17" x14ac:dyDescent="0.25">
      <c r="A25" s="4"/>
      <c r="B25" s="1" t="s">
        <v>2616</v>
      </c>
      <c r="C25" s="4" t="s">
        <v>808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</row>
    <row r="26" spans="1:17" x14ac:dyDescent="0.2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</row>
    <row r="27" spans="1:17" x14ac:dyDescent="0.25">
      <c r="A27" s="4"/>
      <c r="B27" s="4" t="s">
        <v>2617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</row>
    <row r="28" spans="1:17" x14ac:dyDescent="0.25">
      <c r="A28" s="4"/>
      <c r="B28" s="4" t="s">
        <v>2618</v>
      </c>
      <c r="C28" s="4" t="s">
        <v>2619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</row>
    <row r="29" spans="1:17" x14ac:dyDescent="0.25">
      <c r="A29" s="4"/>
      <c r="B29" s="4" t="s">
        <v>2620</v>
      </c>
      <c r="C29" s="4" t="s">
        <v>2621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</row>
    <row r="30" spans="1:17" x14ac:dyDescent="0.25">
      <c r="A30" s="4"/>
      <c r="B30" s="4" t="s">
        <v>2622</v>
      </c>
      <c r="C30" s="4" t="s">
        <v>2623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spans="1:17" x14ac:dyDescent="0.25">
      <c r="A31" s="4"/>
      <c r="B31" s="4" t="s">
        <v>2624</v>
      </c>
      <c r="C31" s="4" t="s">
        <v>2625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spans="1:17" x14ac:dyDescent="0.25">
      <c r="A32" s="4"/>
      <c r="B32" s="4" t="s">
        <v>2626</v>
      </c>
      <c r="C32" s="4" t="s">
        <v>2627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spans="1:17" x14ac:dyDescent="0.25">
      <c r="A33" s="4"/>
      <c r="B33" s="4" t="s">
        <v>2628</v>
      </c>
      <c r="C33" s="4" t="s">
        <v>2629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</row>
    <row r="34" spans="1:17" x14ac:dyDescent="0.25">
      <c r="A34" s="4"/>
      <c r="B34" s="4" t="s">
        <v>2630</v>
      </c>
      <c r="C34" s="4" t="s">
        <v>2631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</row>
    <row r="35" spans="1:17" x14ac:dyDescent="0.25">
      <c r="A35" s="4"/>
      <c r="B35" s="4" t="s">
        <v>2632</v>
      </c>
      <c r="C35" s="4" t="s">
        <v>2633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</row>
    <row r="36" spans="1:17" x14ac:dyDescent="0.25">
      <c r="A36" s="4"/>
      <c r="B36" s="4" t="s">
        <v>2634</v>
      </c>
      <c r="C36" s="4" t="s">
        <v>2635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</row>
    <row r="37" spans="1:17" x14ac:dyDescent="0.25">
      <c r="A37" s="4"/>
      <c r="B37" s="4" t="s">
        <v>2636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</row>
    <row r="38" spans="1:17" x14ac:dyDescent="0.25">
      <c r="A38" s="4"/>
      <c r="B38" s="4" t="s">
        <v>2637</v>
      </c>
      <c r="C38" s="4" t="s">
        <v>2638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</row>
    <row r="39" spans="1:17" x14ac:dyDescent="0.25">
      <c r="A39" s="4"/>
      <c r="B39" s="4" t="s">
        <v>2639</v>
      </c>
      <c r="C39" s="4" t="s">
        <v>2640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</row>
    <row r="40" spans="1:17" x14ac:dyDescent="0.25">
      <c r="A40" s="4"/>
      <c r="B40" s="4" t="s">
        <v>2641</v>
      </c>
      <c r="C40" s="4" t="s">
        <v>2638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</row>
    <row r="41" spans="1:17" x14ac:dyDescent="0.25">
      <c r="A41" s="4"/>
      <c r="B41" s="4" t="s">
        <v>2642</v>
      </c>
      <c r="C41" s="4" t="s">
        <v>2643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</row>
    <row r="42" spans="1:17" x14ac:dyDescent="0.25">
      <c r="A42" s="4"/>
      <c r="B42" s="4" t="s">
        <v>2644</v>
      </c>
      <c r="C42" s="4" t="s">
        <v>2645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spans="1:17" x14ac:dyDescent="0.25">
      <c r="A43" s="4"/>
      <c r="B43" s="4" t="s">
        <v>2646</v>
      </c>
      <c r="C43" s="4" t="s">
        <v>2647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</row>
    <row r="44" spans="1:17" x14ac:dyDescent="0.25">
      <c r="A44" s="4"/>
      <c r="B44" s="4" t="s">
        <v>2648</v>
      </c>
      <c r="C44" s="4" t="s">
        <v>2640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</row>
    <row r="45" spans="1:17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</row>
    <row r="46" spans="1:17" x14ac:dyDescent="0.25">
      <c r="A46" s="4"/>
      <c r="B46" s="4" t="s">
        <v>2649</v>
      </c>
      <c r="C46" s="4" t="s">
        <v>2650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</row>
    <row r="47" spans="1:17" x14ac:dyDescent="0.25">
      <c r="A47" s="4"/>
      <c r="B47" s="4" t="s">
        <v>2651</v>
      </c>
      <c r="C47" s="4" t="s">
        <v>2652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</row>
    <row r="48" spans="1:17" x14ac:dyDescent="0.25">
      <c r="A48" s="4"/>
      <c r="B48" s="4" t="s">
        <v>2653</v>
      </c>
      <c r="C48" s="4" t="s">
        <v>2654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</row>
    <row r="49" spans="1:17" x14ac:dyDescent="0.25">
      <c r="A49" s="4"/>
      <c r="B49" s="4" t="s">
        <v>2655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</row>
    <row r="50" spans="1:17" x14ac:dyDescent="0.25">
      <c r="A50" s="4"/>
      <c r="B50" s="4" t="s">
        <v>2656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</row>
    <row r="51" spans="1:17" x14ac:dyDescent="0.25">
      <c r="A51" s="4"/>
      <c r="B51" s="4" t="s">
        <v>2657</v>
      </c>
      <c r="C51" s="4" t="s">
        <v>2658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 spans="1:17" x14ac:dyDescent="0.25">
      <c r="A52" s="4"/>
      <c r="B52" s="4" t="s">
        <v>2659</v>
      </c>
      <c r="C52" s="4" t="s">
        <v>2660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spans="1:17" x14ac:dyDescent="0.25">
      <c r="A53" s="4"/>
      <c r="B53" s="4" t="s">
        <v>2661</v>
      </c>
      <c r="C53" s="4" t="s">
        <v>2662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</row>
    <row r="54" spans="1:17" x14ac:dyDescent="0.25">
      <c r="A54" s="4"/>
      <c r="B54" s="4" t="s">
        <v>2663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</row>
    <row r="55" spans="1:17" x14ac:dyDescent="0.25">
      <c r="A55" s="4"/>
      <c r="B55" s="4" t="s">
        <v>2664</v>
      </c>
      <c r="C55" s="4" t="s">
        <v>2665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 spans="1:17" x14ac:dyDescent="0.25">
      <c r="A56" s="4"/>
      <c r="B56" s="4" t="s">
        <v>2666</v>
      </c>
      <c r="C56" s="4" t="s">
        <v>2667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</row>
    <row r="57" spans="1:17" x14ac:dyDescent="0.25">
      <c r="A57" s="4"/>
      <c r="B57" s="4" t="s">
        <v>2668</v>
      </c>
      <c r="C57" s="4" t="s">
        <v>2669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</row>
    <row r="58" spans="1:17" x14ac:dyDescent="0.25">
      <c r="A58" s="4"/>
      <c r="B58" s="4" t="s">
        <v>2670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</row>
    <row r="59" spans="1:17" x14ac:dyDescent="0.25">
      <c r="A59" s="4"/>
      <c r="B59" s="4" t="s">
        <v>2671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</row>
    <row r="60" spans="1:17" x14ac:dyDescent="0.25">
      <c r="A60" s="4"/>
      <c r="B60" s="2" t="s">
        <v>2672</v>
      </c>
      <c r="C60" s="2" t="s">
        <v>2673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</row>
    <row r="61" spans="1:17" x14ac:dyDescent="0.25">
      <c r="A61" s="4"/>
      <c r="B61" s="4" t="s">
        <v>2674</v>
      </c>
      <c r="C61" s="4" t="s">
        <v>2675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 spans="1:17" x14ac:dyDescent="0.25">
      <c r="A62" s="4"/>
      <c r="B62" s="4" t="s">
        <v>2676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 spans="1:17" x14ac:dyDescent="0.25">
      <c r="A63" s="4"/>
      <c r="B63" s="4" t="s">
        <v>2677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 spans="1:17" x14ac:dyDescent="0.25">
      <c r="A64" s="4"/>
      <c r="B64" s="4" t="s">
        <v>2678</v>
      </c>
      <c r="C64" s="4" t="s">
        <v>2679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 spans="1:17" x14ac:dyDescent="0.25">
      <c r="A65" s="4"/>
      <c r="B65" s="4" t="s">
        <v>2680</v>
      </c>
      <c r="C65" s="4" t="s">
        <v>2681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 spans="1:17" x14ac:dyDescent="0.25">
      <c r="A66" s="4"/>
      <c r="B66" s="4" t="s">
        <v>2682</v>
      </c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 spans="1:17" x14ac:dyDescent="0.25">
      <c r="A67" s="4"/>
      <c r="B67" s="4" t="s">
        <v>2683</v>
      </c>
      <c r="C67" s="4" t="s">
        <v>2684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 spans="1:17" x14ac:dyDescent="0.25">
      <c r="A68" s="4"/>
      <c r="B68" s="4" t="s">
        <v>2685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 spans="1:17" x14ac:dyDescent="0.25">
      <c r="A69" s="4"/>
      <c r="B69" s="2" t="s">
        <v>2686</v>
      </c>
      <c r="C69" s="2" t="s">
        <v>2687</v>
      </c>
      <c r="D69" s="2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 spans="1:17" x14ac:dyDescent="0.25">
      <c r="A70" s="4"/>
      <c r="B70" s="4" t="s">
        <v>2688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 spans="1:17" x14ac:dyDescent="0.25">
      <c r="A71" s="4"/>
      <c r="B71" s="4" t="s">
        <v>2689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</row>
    <row r="72" spans="1:17" x14ac:dyDescent="0.25">
      <c r="A72" s="4"/>
      <c r="B72" s="4" t="s">
        <v>2690</v>
      </c>
      <c r="C72" s="4" t="s">
        <v>2691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</row>
    <row r="73" spans="1:17" x14ac:dyDescent="0.25">
      <c r="A73" s="4"/>
      <c r="B73" s="4" t="s">
        <v>2692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</row>
    <row r="74" spans="1:17" x14ac:dyDescent="0.25">
      <c r="A74" s="4"/>
      <c r="B74" s="4" t="s">
        <v>2693</v>
      </c>
      <c r="C74" s="4" t="s">
        <v>2694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</row>
    <row r="75" spans="1:17" x14ac:dyDescent="0.25">
      <c r="A75" s="4"/>
      <c r="B75" s="4" t="s">
        <v>2695</v>
      </c>
      <c r="C75" s="4" t="s">
        <v>2696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</row>
    <row r="76" spans="1:17" x14ac:dyDescent="0.25">
      <c r="A76" s="4"/>
      <c r="B76" s="4" t="s">
        <v>2697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</row>
    <row r="77" spans="1:17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</row>
    <row r="78" spans="1:17" x14ac:dyDescent="0.25">
      <c r="A78" s="4"/>
      <c r="B78" s="4"/>
      <c r="C78" s="3" t="s">
        <v>2698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</row>
    <row r="79" spans="1:17" x14ac:dyDescent="0.25">
      <c r="A79" s="4"/>
      <c r="B79" s="4"/>
      <c r="C79" s="4" t="s">
        <v>2699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</row>
    <row r="80" spans="1:17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</row>
    <row r="81" spans="1:17" x14ac:dyDescent="0.25">
      <c r="A81" s="4"/>
      <c r="B81" s="4"/>
      <c r="C81" s="3" t="s">
        <v>2700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</row>
    <row r="82" spans="1:17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</row>
    <row r="83" spans="1:17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</row>
    <row r="84" spans="1:17" x14ac:dyDescent="0.25">
      <c r="A84" s="4"/>
      <c r="B84" s="4"/>
      <c r="C84" s="3" t="s">
        <v>2701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</row>
    <row r="85" spans="1:17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</row>
    <row r="86" spans="1:17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</row>
    <row r="87" spans="1:17" x14ac:dyDescent="0.25">
      <c r="A87" s="4"/>
      <c r="B87" s="4"/>
      <c r="C87" s="3" t="s">
        <v>2702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</row>
    <row r="88" spans="1:17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</row>
    <row r="89" spans="1:17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</row>
    <row r="90" spans="1:17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</row>
    <row r="91" spans="1:17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</row>
    <row r="92" spans="1:17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 spans="1:17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 spans="1:17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 spans="1:17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 spans="1:17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 spans="1:17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98" spans="1:17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99" spans="1:17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</row>
    <row r="100" spans="1:17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</row>
    <row r="101" spans="1:17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</row>
    <row r="102" spans="1:17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</row>
    <row r="103" spans="1:17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</row>
    <row r="104" spans="1:17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 spans="1:17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</row>
    <row r="106" spans="1:17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</row>
    <row r="107" spans="1:17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</row>
    <row r="108" spans="1:17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</row>
    <row r="109" spans="1:17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</row>
    <row r="110" spans="1:17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</row>
    <row r="111" spans="1:17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</row>
    <row r="112" spans="1:17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</row>
    <row r="113" spans="1:17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</row>
    <row r="114" spans="1:17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</row>
    <row r="115" spans="1:17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</row>
    <row r="116" spans="1:17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</row>
    <row r="117" spans="1:17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</row>
    <row r="118" spans="1:17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</row>
    <row r="119" spans="1:17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</row>
    <row r="120" spans="1:17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</row>
    <row r="121" spans="1:17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</row>
    <row r="122" spans="1:17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</row>
    <row r="123" spans="1:17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</row>
    <row r="124" spans="1:17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</row>
    <row r="125" spans="1:17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</row>
    <row r="126" spans="1:17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</row>
    <row r="127" spans="1:17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</row>
    <row r="128" spans="1:17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</row>
    <row r="129" spans="1:17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</row>
    <row r="130" spans="1:17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</row>
    <row r="131" spans="1:17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</row>
    <row r="132" spans="1:17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</row>
    <row r="133" spans="1:17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</row>
    <row r="134" spans="1:17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6" customWidth="1"/>
    <col min="2" max="2" width="17.85546875" style="6" bestFit="1" customWidth="1"/>
    <col min="3" max="16384" width="9.140625" style="6"/>
  </cols>
  <sheetData>
    <row r="1" spans="1:32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 spans="1:32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2" x14ac:dyDescent="0.25">
      <c r="A3" s="7" t="s">
        <v>54</v>
      </c>
      <c r="B3" s="8" t="s">
        <v>0</v>
      </c>
      <c r="C3" s="8" t="s">
        <v>767</v>
      </c>
      <c r="D3" s="8" t="s">
        <v>44</v>
      </c>
      <c r="E3" s="8"/>
      <c r="F3" s="8"/>
      <c r="G3" s="8"/>
      <c r="H3" s="8"/>
      <c r="I3" s="8"/>
      <c r="J3" s="8"/>
      <c r="K3" s="8"/>
      <c r="L3" s="8"/>
      <c r="M3" s="8"/>
      <c r="N3" s="8"/>
      <c r="O3" s="20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 spans="1:32" x14ac:dyDescent="0.25">
      <c r="A4" s="12">
        <v>1</v>
      </c>
      <c r="B4" s="4" t="s">
        <v>9</v>
      </c>
      <c r="C4" s="4" t="s">
        <v>811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 spans="1:32" x14ac:dyDescent="0.25">
      <c r="A5" s="12">
        <f>+A4+1</f>
        <v>2</v>
      </c>
      <c r="B5" s="4" t="s">
        <v>15</v>
      </c>
      <c r="C5" s="4" t="s">
        <v>57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spans="1:32" x14ac:dyDescent="0.25">
      <c r="A6" s="12">
        <f t="shared" ref="A6:A69" si="0">+A5+1</f>
        <v>3</v>
      </c>
      <c r="B6" s="4" t="s">
        <v>20</v>
      </c>
      <c r="C6" s="4" t="s">
        <v>20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spans="1:32" x14ac:dyDescent="0.25">
      <c r="A7" s="12">
        <f t="shared" si="0"/>
        <v>4</v>
      </c>
      <c r="B7" s="4" t="s">
        <v>19</v>
      </c>
      <c r="C7" s="4" t="s">
        <v>63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spans="1:32" x14ac:dyDescent="0.25">
      <c r="A8" s="12">
        <f t="shared" si="0"/>
        <v>5</v>
      </c>
      <c r="B8" s="4" t="s">
        <v>25</v>
      </c>
      <c r="C8" s="4" t="s">
        <v>25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spans="1:32" x14ac:dyDescent="0.25">
      <c r="A9" s="12">
        <f t="shared" si="0"/>
        <v>6</v>
      </c>
      <c r="B9" s="4" t="s">
        <v>115</v>
      </c>
      <c r="C9" s="4" t="s">
        <v>116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spans="1:32" x14ac:dyDescent="0.25">
      <c r="A10" s="12">
        <f t="shared" si="0"/>
        <v>7</v>
      </c>
      <c r="B10" s="4" t="s">
        <v>812</v>
      </c>
      <c r="C10" s="4" t="s">
        <v>70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 spans="1:32" x14ac:dyDescent="0.25">
      <c r="A11" s="12">
        <f t="shared" si="0"/>
        <v>8</v>
      </c>
      <c r="B11" s="4" t="s">
        <v>140</v>
      </c>
      <c r="C11" s="4" t="s">
        <v>139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 spans="1:32" x14ac:dyDescent="0.25">
      <c r="A12" s="12">
        <f t="shared" si="0"/>
        <v>9</v>
      </c>
      <c r="B12" s="4" t="s">
        <v>813</v>
      </c>
      <c r="C12" s="4" t="s">
        <v>187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 spans="1:32" x14ac:dyDescent="0.25">
      <c r="A13" s="12">
        <f t="shared" si="0"/>
        <v>10</v>
      </c>
      <c r="B13" s="4" t="s">
        <v>814</v>
      </c>
      <c r="C13" s="4" t="s">
        <v>201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 spans="1:32" x14ac:dyDescent="0.25">
      <c r="A14" s="12">
        <f t="shared" si="0"/>
        <v>11</v>
      </c>
      <c r="B14" s="4" t="s">
        <v>206</v>
      </c>
      <c r="C14" s="4" t="s">
        <v>207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 spans="1:32" x14ac:dyDescent="0.25">
      <c r="A15" s="12">
        <f t="shared" si="0"/>
        <v>12</v>
      </c>
      <c r="B15" s="4" t="s">
        <v>815</v>
      </c>
      <c r="C15" s="4" t="s">
        <v>215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 spans="1:32" x14ac:dyDescent="0.25">
      <c r="A16" s="12">
        <f t="shared" si="0"/>
        <v>13</v>
      </c>
      <c r="B16" s="4" t="s">
        <v>816</v>
      </c>
      <c r="C16" s="4" t="s">
        <v>249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 spans="1:32" x14ac:dyDescent="0.25">
      <c r="A17" s="12">
        <f t="shared" si="0"/>
        <v>14</v>
      </c>
      <c r="B17" s="4" t="s">
        <v>817</v>
      </c>
      <c r="C17" s="4" t="s">
        <v>312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 spans="1:32" x14ac:dyDescent="0.25">
      <c r="A18" s="12">
        <f t="shared" si="0"/>
        <v>15</v>
      </c>
      <c r="B18" s="4" t="s">
        <v>346</v>
      </c>
      <c r="C18" s="4" t="s">
        <v>347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 spans="1:32" x14ac:dyDescent="0.25">
      <c r="A19" s="12">
        <f t="shared" si="0"/>
        <v>16</v>
      </c>
      <c r="B19" s="4" t="s">
        <v>818</v>
      </c>
      <c r="C19" s="4" t="s">
        <v>409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 x14ac:dyDescent="0.25">
      <c r="A20" s="12">
        <f t="shared" si="0"/>
        <v>17</v>
      </c>
      <c r="B20" s="4" t="s">
        <v>297</v>
      </c>
      <c r="C20" s="4" t="s">
        <v>298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 spans="1:32" x14ac:dyDescent="0.25">
      <c r="A21" s="12">
        <f t="shared" si="0"/>
        <v>18</v>
      </c>
      <c r="B21" s="4" t="s">
        <v>819</v>
      </c>
      <c r="C21" s="4" t="s">
        <v>407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 spans="1:32" x14ac:dyDescent="0.25">
      <c r="A22" s="12">
        <f t="shared" si="0"/>
        <v>19</v>
      </c>
      <c r="B22" s="4" t="s">
        <v>518</v>
      </c>
      <c r="C22" s="4" t="s">
        <v>519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 spans="1:32" x14ac:dyDescent="0.25">
      <c r="A23" s="12">
        <f t="shared" si="0"/>
        <v>20</v>
      </c>
      <c r="B23" s="4" t="s">
        <v>820</v>
      </c>
      <c r="C23" s="4" t="s">
        <v>564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 spans="1:32" x14ac:dyDescent="0.25">
      <c r="A24" s="12">
        <f t="shared" si="0"/>
        <v>21</v>
      </c>
      <c r="B24" s="4" t="s">
        <v>821</v>
      </c>
      <c r="C24" s="4" t="s">
        <v>822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 spans="1:32" x14ac:dyDescent="0.25">
      <c r="A25" s="12">
        <f t="shared" si="0"/>
        <v>22</v>
      </c>
      <c r="B25" s="4" t="s">
        <v>823</v>
      </c>
      <c r="C25" s="4" t="s">
        <v>824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 spans="1:32" x14ac:dyDescent="0.25">
      <c r="A26" s="12">
        <f t="shared" si="0"/>
        <v>23</v>
      </c>
      <c r="B26" s="4" t="s">
        <v>340</v>
      </c>
      <c r="C26" s="4" t="s">
        <v>341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1:32" x14ac:dyDescent="0.25">
      <c r="A27" s="12">
        <f t="shared" si="0"/>
        <v>24</v>
      </c>
      <c r="B27" s="4" t="s">
        <v>499</v>
      </c>
      <c r="C27" s="4" t="s">
        <v>499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1:32" x14ac:dyDescent="0.25">
      <c r="A28" s="12">
        <f t="shared" si="0"/>
        <v>25</v>
      </c>
      <c r="B28" s="4" t="s">
        <v>825</v>
      </c>
      <c r="C28" s="4" t="s">
        <v>570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1:32" x14ac:dyDescent="0.25">
      <c r="A29" s="12">
        <f t="shared" si="0"/>
        <v>26</v>
      </c>
      <c r="B29" s="4" t="s">
        <v>235</v>
      </c>
      <c r="C29" s="4" t="s">
        <v>826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1:32" x14ac:dyDescent="0.25">
      <c r="A30" s="12">
        <f t="shared" si="0"/>
        <v>27</v>
      </c>
      <c r="B30" s="4" t="s">
        <v>827</v>
      </c>
      <c r="C30" s="4" t="s">
        <v>828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1:32" x14ac:dyDescent="0.25">
      <c r="A31" s="12">
        <f t="shared" si="0"/>
        <v>28</v>
      </c>
      <c r="B31" s="4" t="s">
        <v>433</v>
      </c>
      <c r="C31" s="4" t="s">
        <v>382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1:32" x14ac:dyDescent="0.25">
      <c r="A32" s="12">
        <f t="shared" si="0"/>
        <v>29</v>
      </c>
      <c r="B32" s="4" t="s">
        <v>613</v>
      </c>
      <c r="C32" s="4" t="s">
        <v>614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 spans="1:32" x14ac:dyDescent="0.25">
      <c r="A33" s="12">
        <f t="shared" si="0"/>
        <v>30</v>
      </c>
      <c r="B33" s="4" t="s">
        <v>516</v>
      </c>
      <c r="C33" s="4" t="s">
        <v>517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 spans="1:32" x14ac:dyDescent="0.25">
      <c r="A34" s="12">
        <f t="shared" si="0"/>
        <v>31</v>
      </c>
      <c r="B34" s="4" t="s">
        <v>829</v>
      </c>
      <c r="C34" s="4" t="s">
        <v>830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1:32" x14ac:dyDescent="0.25">
      <c r="A35" s="12">
        <f t="shared" si="0"/>
        <v>32</v>
      </c>
      <c r="B35" s="4" t="s">
        <v>831</v>
      </c>
      <c r="C35" s="4" t="s">
        <v>832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1:32" x14ac:dyDescent="0.25">
      <c r="A36" s="12">
        <f t="shared" si="0"/>
        <v>33</v>
      </c>
      <c r="B36" s="4" t="s">
        <v>833</v>
      </c>
      <c r="C36" s="4" t="s">
        <v>834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 x14ac:dyDescent="0.25">
      <c r="A37" s="12">
        <f t="shared" si="0"/>
        <v>34</v>
      </c>
      <c r="B37" s="4" t="s">
        <v>835</v>
      </c>
      <c r="C37" s="4" t="s">
        <v>836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1:32" x14ac:dyDescent="0.25">
      <c r="A38" s="12">
        <f t="shared" si="0"/>
        <v>35</v>
      </c>
      <c r="B38" s="4" t="s">
        <v>837</v>
      </c>
      <c r="C38" s="4" t="s">
        <v>838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1:32" x14ac:dyDescent="0.25">
      <c r="A39" s="12">
        <f t="shared" si="0"/>
        <v>36</v>
      </c>
      <c r="B39" s="4" t="s">
        <v>839</v>
      </c>
      <c r="C39" s="4" t="s">
        <v>474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1:32" x14ac:dyDescent="0.25">
      <c r="A40" s="12">
        <f t="shared" si="0"/>
        <v>37</v>
      </c>
      <c r="B40" s="4" t="s">
        <v>356</v>
      </c>
      <c r="C40" s="4" t="s">
        <v>357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1:32" x14ac:dyDescent="0.25">
      <c r="A41" s="12">
        <f t="shared" si="0"/>
        <v>38</v>
      </c>
      <c r="B41" s="4" t="s">
        <v>840</v>
      </c>
      <c r="C41" s="4" t="s">
        <v>365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2" x14ac:dyDescent="0.25">
      <c r="A42" s="12">
        <f t="shared" si="0"/>
        <v>39</v>
      </c>
      <c r="B42" s="4" t="s">
        <v>841</v>
      </c>
      <c r="C42" s="4" t="s">
        <v>842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2" x14ac:dyDescent="0.25">
      <c r="A43" s="12">
        <f t="shared" si="0"/>
        <v>40</v>
      </c>
      <c r="B43" s="4" t="s">
        <v>843</v>
      </c>
      <c r="C43" s="4" t="s">
        <v>676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1:32" x14ac:dyDescent="0.25">
      <c r="A44" s="12">
        <f t="shared" si="0"/>
        <v>41</v>
      </c>
      <c r="B44" s="4" t="s">
        <v>844</v>
      </c>
      <c r="C44" s="4" t="s">
        <v>845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2" x14ac:dyDescent="0.25">
      <c r="A45" s="12">
        <f t="shared" si="0"/>
        <v>42</v>
      </c>
      <c r="B45" s="4" t="s">
        <v>846</v>
      </c>
      <c r="C45" s="4" t="s">
        <v>847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2" x14ac:dyDescent="0.25">
      <c r="A46" s="12">
        <f t="shared" si="0"/>
        <v>43</v>
      </c>
      <c r="B46" s="4" t="s">
        <v>625</v>
      </c>
      <c r="C46" s="4" t="s">
        <v>625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2" x14ac:dyDescent="0.25">
      <c r="A47" s="12">
        <f t="shared" si="0"/>
        <v>44</v>
      </c>
      <c r="B47" s="4" t="s">
        <v>342</v>
      </c>
      <c r="C47" s="4" t="s">
        <v>848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2" x14ac:dyDescent="0.25">
      <c r="A48" s="12">
        <f t="shared" si="0"/>
        <v>45</v>
      </c>
      <c r="B48" s="4" t="s">
        <v>849</v>
      </c>
      <c r="C48" s="4" t="s">
        <v>576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 x14ac:dyDescent="0.25">
      <c r="A49" s="12">
        <f t="shared" si="0"/>
        <v>46</v>
      </c>
      <c r="B49" s="4" t="s">
        <v>850</v>
      </c>
      <c r="C49" s="4" t="s">
        <v>851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 x14ac:dyDescent="0.25">
      <c r="A50" s="12">
        <f t="shared" si="0"/>
        <v>47</v>
      </c>
      <c r="B50" s="4" t="s">
        <v>852</v>
      </c>
      <c r="C50" s="4" t="s">
        <v>853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 x14ac:dyDescent="0.25">
      <c r="A51" s="12">
        <f t="shared" si="0"/>
        <v>48</v>
      </c>
      <c r="B51" s="4" t="s">
        <v>854</v>
      </c>
      <c r="C51" s="4" t="s">
        <v>855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 x14ac:dyDescent="0.25">
      <c r="A52" s="12">
        <f t="shared" si="0"/>
        <v>49</v>
      </c>
      <c r="B52" s="4" t="s">
        <v>553</v>
      </c>
      <c r="C52" s="4" t="s">
        <v>554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 x14ac:dyDescent="0.25">
      <c r="A53" s="12">
        <f t="shared" si="0"/>
        <v>50</v>
      </c>
      <c r="B53" s="4" t="s">
        <v>524</v>
      </c>
      <c r="C53" s="4" t="s">
        <v>856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 x14ac:dyDescent="0.25">
      <c r="A54" s="12">
        <f t="shared" si="0"/>
        <v>51</v>
      </c>
      <c r="B54" s="4" t="s">
        <v>857</v>
      </c>
      <c r="C54" s="4" t="s">
        <v>858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spans="1:32" x14ac:dyDescent="0.25">
      <c r="A55" s="12">
        <f t="shared" si="0"/>
        <v>52</v>
      </c>
      <c r="B55" s="4" t="s">
        <v>493</v>
      </c>
      <c r="C55" s="4" t="s">
        <v>494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spans="1:32" x14ac:dyDescent="0.25">
      <c r="A56" s="12">
        <f t="shared" si="0"/>
        <v>53</v>
      </c>
      <c r="B56" s="4" t="s">
        <v>859</v>
      </c>
      <c r="C56" s="4" t="s">
        <v>860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 x14ac:dyDescent="0.25">
      <c r="A57" s="12">
        <f t="shared" si="0"/>
        <v>54</v>
      </c>
      <c r="B57" s="4" t="s">
        <v>861</v>
      </c>
      <c r="C57" s="4" t="s">
        <v>538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 x14ac:dyDescent="0.25">
      <c r="A58" s="12">
        <f t="shared" si="0"/>
        <v>55</v>
      </c>
      <c r="B58" s="4" t="s">
        <v>862</v>
      </c>
      <c r="C58" s="4" t="s">
        <v>863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 x14ac:dyDescent="0.25">
      <c r="A59" s="12">
        <f t="shared" si="0"/>
        <v>56</v>
      </c>
      <c r="B59" s="4" t="s">
        <v>864</v>
      </c>
      <c r="C59" s="4" t="s">
        <v>588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 x14ac:dyDescent="0.25">
      <c r="A60" s="12">
        <f t="shared" si="0"/>
        <v>57</v>
      </c>
      <c r="B60" s="4" t="s">
        <v>865</v>
      </c>
      <c r="C60" s="4" t="s">
        <v>866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 x14ac:dyDescent="0.25">
      <c r="A61" s="12">
        <f t="shared" si="0"/>
        <v>58</v>
      </c>
      <c r="B61" s="4" t="s">
        <v>653</v>
      </c>
      <c r="C61" s="4" t="s">
        <v>652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 x14ac:dyDescent="0.25">
      <c r="A62" s="12">
        <f t="shared" si="0"/>
        <v>59</v>
      </c>
      <c r="B62" s="4" t="s">
        <v>571</v>
      </c>
      <c r="C62" s="4" t="s">
        <v>572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 x14ac:dyDescent="0.25">
      <c r="A63" s="12">
        <f t="shared" si="0"/>
        <v>60</v>
      </c>
      <c r="B63" s="4" t="s">
        <v>867</v>
      </c>
      <c r="C63" s="4" t="s">
        <v>868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 x14ac:dyDescent="0.25">
      <c r="A64" s="12">
        <f t="shared" si="0"/>
        <v>61</v>
      </c>
      <c r="B64" s="4" t="s">
        <v>869</v>
      </c>
      <c r="C64" s="4" t="s">
        <v>870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1:32" x14ac:dyDescent="0.25">
      <c r="A65" s="12">
        <f t="shared" si="0"/>
        <v>62</v>
      </c>
      <c r="B65" s="4" t="s">
        <v>871</v>
      </c>
      <c r="C65" s="4" t="s">
        <v>872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1:32" x14ac:dyDescent="0.25">
      <c r="A66" s="12">
        <f t="shared" si="0"/>
        <v>63</v>
      </c>
      <c r="B66" s="4" t="s">
        <v>873</v>
      </c>
      <c r="C66" s="4" t="s">
        <v>592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1:32" x14ac:dyDescent="0.25">
      <c r="A67" s="12">
        <f t="shared" si="0"/>
        <v>64</v>
      </c>
      <c r="B67" s="4" t="s">
        <v>874</v>
      </c>
      <c r="C67" s="4" t="s">
        <v>670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1:32" x14ac:dyDescent="0.25">
      <c r="A68" s="12">
        <f t="shared" si="0"/>
        <v>65</v>
      </c>
      <c r="B68" s="4" t="s">
        <v>875</v>
      </c>
      <c r="C68" s="4" t="s">
        <v>876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1:32" x14ac:dyDescent="0.25">
      <c r="A69" s="12">
        <f t="shared" si="0"/>
        <v>66</v>
      </c>
      <c r="B69" s="4" t="s">
        <v>877</v>
      </c>
      <c r="C69" s="4" t="s">
        <v>878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1:32" x14ac:dyDescent="0.25">
      <c r="A70" s="12">
        <f t="shared" ref="A70:A74" si="1">+A69+1</f>
        <v>67</v>
      </c>
      <c r="B70" s="4" t="s">
        <v>879</v>
      </c>
      <c r="C70" s="4" t="s">
        <v>880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2" x14ac:dyDescent="0.25">
      <c r="A71" s="12">
        <f t="shared" si="1"/>
        <v>68</v>
      </c>
      <c r="B71" s="4" t="s">
        <v>881</v>
      </c>
      <c r="C71" s="4" t="s">
        <v>882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 spans="1:32" x14ac:dyDescent="0.25">
      <c r="A72" s="12">
        <f t="shared" si="1"/>
        <v>69</v>
      </c>
      <c r="B72" s="4" t="s">
        <v>883</v>
      </c>
      <c r="C72" s="4" t="s">
        <v>884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 spans="1:32" x14ac:dyDescent="0.25">
      <c r="A73" s="12">
        <f t="shared" si="1"/>
        <v>70</v>
      </c>
      <c r="B73" s="4" t="s">
        <v>885</v>
      </c>
      <c r="C73" s="4" t="s">
        <v>886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 spans="1:32" x14ac:dyDescent="0.25">
      <c r="A74" s="12">
        <f t="shared" si="1"/>
        <v>71</v>
      </c>
      <c r="B74" s="4" t="s">
        <v>887</v>
      </c>
      <c r="C74" s="4" t="s">
        <v>887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 spans="1:3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 spans="1:32" x14ac:dyDescent="0.25">
      <c r="A76" s="4"/>
      <c r="B76" s="3" t="s">
        <v>808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 spans="1:32" x14ac:dyDescent="0.25">
      <c r="A77" s="4"/>
      <c r="B77" s="4" t="s">
        <v>888</v>
      </c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 spans="1:32" x14ac:dyDescent="0.25">
      <c r="A78" s="4"/>
      <c r="B78" s="4" t="s">
        <v>889</v>
      </c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 spans="1:32" x14ac:dyDescent="0.25">
      <c r="A79" s="4"/>
      <c r="B79" s="4" t="s">
        <v>890</v>
      </c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 spans="1:32" x14ac:dyDescent="0.25">
      <c r="A80" s="4"/>
      <c r="B80" s="4" t="s">
        <v>891</v>
      </c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 spans="1:32" x14ac:dyDescent="0.25">
      <c r="A81" s="4"/>
      <c r="B81" s="4" t="s">
        <v>892</v>
      </c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 spans="1:3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 spans="1:3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 spans="1:3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 spans="1:3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4"/>
  <sheetViews>
    <sheetView zoomScale="200" zoomScaleNormal="200" workbookViewId="0">
      <selection activeCell="B7" sqref="B7"/>
    </sheetView>
  </sheetViews>
  <sheetFormatPr defaultRowHeight="13.5" x14ac:dyDescent="0.25"/>
  <cols>
    <col min="1" max="1" width="4.140625" style="6" customWidth="1"/>
    <col min="2" max="2" width="15" style="6" bestFit="1" customWidth="1"/>
    <col min="3" max="3" width="10.42578125" style="6" bestFit="1" customWidth="1"/>
    <col min="4" max="16384" width="9.140625" style="6"/>
  </cols>
  <sheetData>
    <row r="1" spans="1:15" x14ac:dyDescent="0.25">
      <c r="A1" s="13" t="s">
        <v>956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spans="1:15" x14ac:dyDescent="0.25">
      <c r="A2" s="4" t="s">
        <v>957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 spans="1:15" x14ac:dyDescent="0.25">
      <c r="A3" s="7" t="s">
        <v>54</v>
      </c>
      <c r="B3" s="8" t="s">
        <v>0</v>
      </c>
      <c r="C3" s="8" t="s">
        <v>767</v>
      </c>
      <c r="D3" s="8" t="s">
        <v>44</v>
      </c>
      <c r="E3" s="10" t="s">
        <v>2</v>
      </c>
      <c r="F3" s="10" t="s">
        <v>3</v>
      </c>
      <c r="G3" s="10" t="s">
        <v>4</v>
      </c>
      <c r="H3" s="10" t="s">
        <v>5</v>
      </c>
      <c r="I3" s="8"/>
      <c r="J3" s="8"/>
      <c r="K3" s="8"/>
      <c r="L3" s="8"/>
      <c r="M3" s="8"/>
      <c r="N3" s="8"/>
      <c r="O3" s="20"/>
    </row>
    <row r="4" spans="1:15" x14ac:dyDescent="0.25">
      <c r="A4" s="12">
        <v>1</v>
      </c>
      <c r="B4" s="4" t="s">
        <v>12</v>
      </c>
      <c r="C4" s="4" t="s">
        <v>34</v>
      </c>
      <c r="D4" s="4" t="s">
        <v>45</v>
      </c>
      <c r="E4" s="4"/>
      <c r="F4" s="14"/>
      <c r="G4" s="14"/>
      <c r="H4" s="31"/>
      <c r="I4" s="4"/>
      <c r="J4" s="4"/>
      <c r="K4" s="4"/>
      <c r="L4" s="4"/>
      <c r="M4" s="4"/>
      <c r="N4" s="4"/>
      <c r="O4" s="4"/>
    </row>
    <row r="5" spans="1:15" x14ac:dyDescent="0.25">
      <c r="A5" s="12">
        <f>+A4+1</f>
        <v>2</v>
      </c>
      <c r="B5" s="4" t="s">
        <v>11</v>
      </c>
      <c r="C5" s="4" t="s">
        <v>37</v>
      </c>
      <c r="D5" s="4" t="s">
        <v>45</v>
      </c>
      <c r="E5" s="4"/>
      <c r="F5" s="14"/>
      <c r="G5" s="14"/>
      <c r="H5" s="31"/>
      <c r="I5" s="4"/>
      <c r="J5" s="4"/>
      <c r="K5" s="4"/>
      <c r="L5" s="4"/>
      <c r="M5" s="4"/>
      <c r="N5" s="4"/>
      <c r="O5" s="4"/>
    </row>
    <row r="6" spans="1:15" x14ac:dyDescent="0.25">
      <c r="A6" s="12">
        <f t="shared" ref="A6:A23" si="0">+A5+1</f>
        <v>3</v>
      </c>
      <c r="B6" s="4" t="s">
        <v>893</v>
      </c>
      <c r="C6" s="4" t="s">
        <v>894</v>
      </c>
      <c r="D6" s="4" t="s">
        <v>768</v>
      </c>
      <c r="E6" s="4"/>
      <c r="F6" s="14"/>
      <c r="G6" s="14"/>
      <c r="H6" s="31"/>
      <c r="I6" s="4"/>
      <c r="J6" s="4"/>
      <c r="K6" s="4"/>
      <c r="L6" s="4"/>
      <c r="M6" s="4"/>
      <c r="N6" s="4"/>
      <c r="O6" s="4"/>
    </row>
    <row r="7" spans="1:15" x14ac:dyDescent="0.25">
      <c r="A7" s="12">
        <f t="shared" si="0"/>
        <v>4</v>
      </c>
      <c r="B7" s="4" t="s">
        <v>895</v>
      </c>
      <c r="C7" s="4" t="s">
        <v>896</v>
      </c>
      <c r="D7" s="4" t="s">
        <v>768</v>
      </c>
      <c r="E7" s="4"/>
      <c r="F7" s="14"/>
      <c r="G7" s="14"/>
      <c r="H7" s="31"/>
      <c r="I7" s="4"/>
      <c r="J7" s="4"/>
      <c r="K7" s="4"/>
      <c r="L7" s="4"/>
      <c r="M7" s="4"/>
      <c r="N7" s="4"/>
      <c r="O7" s="4"/>
    </row>
    <row r="8" spans="1:15" x14ac:dyDescent="0.25">
      <c r="A8" s="12">
        <f t="shared" si="0"/>
        <v>5</v>
      </c>
      <c r="B8" s="4" t="s">
        <v>417</v>
      </c>
      <c r="C8" s="4" t="s">
        <v>897</v>
      </c>
      <c r="D8" s="4" t="s">
        <v>955</v>
      </c>
      <c r="E8" s="4"/>
      <c r="F8" s="14"/>
      <c r="G8" s="14"/>
      <c r="H8" s="31"/>
      <c r="I8" s="4"/>
      <c r="J8" s="4"/>
      <c r="K8" s="4"/>
      <c r="L8" s="4"/>
      <c r="M8" s="4"/>
      <c r="N8" s="4"/>
      <c r="O8" s="4"/>
    </row>
    <row r="9" spans="1:15" x14ac:dyDescent="0.25">
      <c r="A9" s="12">
        <f t="shared" si="0"/>
        <v>6</v>
      </c>
      <c r="B9" s="4" t="s">
        <v>313</v>
      </c>
      <c r="C9" s="4" t="s">
        <v>898</v>
      </c>
      <c r="D9" s="4" t="s">
        <v>955</v>
      </c>
      <c r="E9" s="4"/>
      <c r="F9" s="14"/>
      <c r="G9" s="14"/>
      <c r="H9" s="31"/>
      <c r="I9" s="4"/>
      <c r="J9" s="4"/>
      <c r="K9" s="4"/>
      <c r="L9" s="4"/>
      <c r="M9" s="4"/>
      <c r="N9" s="4"/>
      <c r="O9" s="4"/>
    </row>
    <row r="10" spans="1:15" x14ac:dyDescent="0.25">
      <c r="A10" s="12">
        <f t="shared" si="0"/>
        <v>7</v>
      </c>
      <c r="B10" s="4" t="s">
        <v>327</v>
      </c>
      <c r="C10" s="4" t="s">
        <v>326</v>
      </c>
      <c r="D10" s="4" t="s">
        <v>45</v>
      </c>
      <c r="E10" s="4"/>
      <c r="F10" s="14"/>
      <c r="G10" s="14"/>
      <c r="H10" s="31"/>
      <c r="I10" s="4"/>
      <c r="J10" s="4"/>
      <c r="K10" s="4"/>
      <c r="L10" s="4"/>
      <c r="M10" s="4"/>
      <c r="N10" s="4"/>
      <c r="O10" s="4"/>
    </row>
    <row r="11" spans="1:15" x14ac:dyDescent="0.25">
      <c r="A11" s="12">
        <f t="shared" si="0"/>
        <v>8</v>
      </c>
      <c r="B11" s="4" t="s">
        <v>899</v>
      </c>
      <c r="C11" s="4" t="s">
        <v>900</v>
      </c>
      <c r="D11" s="4" t="s">
        <v>45</v>
      </c>
      <c r="E11" s="4"/>
      <c r="F11" s="14"/>
      <c r="G11" s="14"/>
      <c r="H11" s="31"/>
      <c r="I11" s="4"/>
      <c r="J11" s="4"/>
      <c r="K11" s="4"/>
      <c r="L11" s="4"/>
      <c r="M11" s="4"/>
      <c r="N11" s="4"/>
      <c r="O11" s="4"/>
    </row>
    <row r="12" spans="1:15" x14ac:dyDescent="0.25">
      <c r="A12" s="12">
        <f t="shared" si="0"/>
        <v>9</v>
      </c>
      <c r="B12" s="4" t="s">
        <v>901</v>
      </c>
      <c r="C12" s="4" t="s">
        <v>902</v>
      </c>
      <c r="D12" s="4" t="s">
        <v>45</v>
      </c>
      <c r="E12" s="4"/>
      <c r="F12" s="14"/>
      <c r="G12" s="14"/>
      <c r="H12" s="31"/>
      <c r="I12" s="4"/>
      <c r="J12" s="4"/>
      <c r="K12" s="4"/>
      <c r="L12" s="4"/>
      <c r="M12" s="4"/>
      <c r="N12" s="4"/>
      <c r="O12" s="4"/>
    </row>
    <row r="13" spans="1:15" x14ac:dyDescent="0.25">
      <c r="A13" s="12">
        <f t="shared" si="0"/>
        <v>10</v>
      </c>
      <c r="B13" s="4" t="s">
        <v>903</v>
      </c>
      <c r="C13" s="4" t="s">
        <v>904</v>
      </c>
      <c r="D13" s="4" t="s">
        <v>45</v>
      </c>
      <c r="E13" s="4"/>
      <c r="F13" s="14"/>
      <c r="G13" s="14"/>
      <c r="H13" s="31"/>
      <c r="I13" s="4"/>
      <c r="J13" s="4"/>
      <c r="K13" s="4"/>
      <c r="L13" s="4"/>
      <c r="M13" s="4"/>
      <c r="N13" s="4"/>
      <c r="O13" s="4"/>
    </row>
    <row r="14" spans="1:15" x14ac:dyDescent="0.25">
      <c r="A14" s="12">
        <f t="shared" si="0"/>
        <v>11</v>
      </c>
      <c r="B14" s="13" t="s">
        <v>905</v>
      </c>
      <c r="C14" s="4" t="s">
        <v>542</v>
      </c>
      <c r="D14" s="4" t="s">
        <v>45</v>
      </c>
      <c r="E14" s="4">
        <f>+[96]Main!$I$2</f>
        <v>38.35</v>
      </c>
      <c r="F14" s="14">
        <f>+[96]Main!$I$4</f>
        <v>9227.8593374500015</v>
      </c>
      <c r="G14" s="14">
        <f>+[96]Main!$I$6-[96]Main!$I$5</f>
        <v>3088.2860000000001</v>
      </c>
      <c r="H14" s="31">
        <f>+F14+G14</f>
        <v>12316.145337450002</v>
      </c>
      <c r="I14" s="30" t="s">
        <v>2583</v>
      </c>
      <c r="J14" s="4"/>
      <c r="K14" s="4"/>
      <c r="L14" s="4"/>
      <c r="M14" s="4"/>
      <c r="N14" s="4"/>
      <c r="O14" s="4"/>
    </row>
    <row r="15" spans="1:15" x14ac:dyDescent="0.25">
      <c r="A15" s="12">
        <f t="shared" si="0"/>
        <v>12</v>
      </c>
      <c r="B15" s="4" t="s">
        <v>424</v>
      </c>
      <c r="C15" s="4" t="s">
        <v>425</v>
      </c>
      <c r="D15" s="4" t="s">
        <v>45</v>
      </c>
      <c r="E15" s="4"/>
      <c r="F15" s="14"/>
      <c r="G15" s="14"/>
      <c r="H15" s="31"/>
      <c r="I15" s="4"/>
      <c r="J15" s="4"/>
      <c r="K15" s="4"/>
      <c r="L15" s="4"/>
      <c r="M15" s="4"/>
      <c r="N15" s="4"/>
      <c r="O15" s="4"/>
    </row>
    <row r="16" spans="1:15" x14ac:dyDescent="0.25">
      <c r="A16" s="12">
        <f t="shared" si="0"/>
        <v>13</v>
      </c>
      <c r="B16" s="4" t="s">
        <v>906</v>
      </c>
      <c r="C16" s="4" t="s">
        <v>907</v>
      </c>
      <c r="D16" s="4" t="s">
        <v>45</v>
      </c>
      <c r="E16" s="4"/>
      <c r="F16" s="14"/>
      <c r="G16" s="14"/>
      <c r="H16" s="31"/>
      <c r="I16" s="4"/>
      <c r="J16" s="4"/>
      <c r="K16" s="4"/>
      <c r="L16" s="4"/>
      <c r="M16" s="4"/>
      <c r="N16" s="4"/>
      <c r="O16" s="4"/>
    </row>
    <row r="17" spans="1:15" x14ac:dyDescent="0.25">
      <c r="A17" s="12">
        <f t="shared" si="0"/>
        <v>14</v>
      </c>
      <c r="B17" s="4" t="s">
        <v>908</v>
      </c>
      <c r="C17" s="4" t="s">
        <v>909</v>
      </c>
      <c r="D17" s="4" t="s">
        <v>45</v>
      </c>
      <c r="E17" s="4"/>
      <c r="F17" s="14"/>
      <c r="G17" s="14"/>
      <c r="H17" s="31"/>
      <c r="I17" s="4"/>
      <c r="J17" s="4"/>
      <c r="K17" s="4"/>
      <c r="L17" s="4"/>
      <c r="M17" s="4"/>
      <c r="N17" s="4"/>
      <c r="O17" s="4"/>
    </row>
    <row r="18" spans="1:15" x14ac:dyDescent="0.25">
      <c r="A18" s="12">
        <f t="shared" si="0"/>
        <v>15</v>
      </c>
      <c r="B18" s="13" t="s">
        <v>697</v>
      </c>
      <c r="C18" s="4" t="s">
        <v>698</v>
      </c>
      <c r="D18" s="4" t="s">
        <v>45</v>
      </c>
      <c r="E18" s="4">
        <f>+[79]Main!$J$3</f>
        <v>15.92</v>
      </c>
      <c r="F18" s="14">
        <f>+[79]Main!$J$5</f>
        <v>3056.2842516800001</v>
      </c>
      <c r="G18" s="14">
        <f>+([79]Main!$J$7-[79]Main!$J$6)</f>
        <v>162.63800000000003</v>
      </c>
      <c r="H18" s="31">
        <f>+F18+G18</f>
        <v>3218.92225168</v>
      </c>
      <c r="I18" s="30" t="s">
        <v>2583</v>
      </c>
      <c r="J18" s="4"/>
      <c r="K18" s="4"/>
      <c r="L18" s="4"/>
      <c r="M18" s="4"/>
      <c r="N18" s="4"/>
      <c r="O18" s="4"/>
    </row>
    <row r="19" spans="1:15" x14ac:dyDescent="0.25">
      <c r="A19" s="12">
        <f t="shared" si="0"/>
        <v>16</v>
      </c>
      <c r="B19" s="4" t="s">
        <v>910</v>
      </c>
      <c r="C19" s="4" t="s">
        <v>911</v>
      </c>
      <c r="D19" s="4" t="s">
        <v>45</v>
      </c>
      <c r="E19" s="4"/>
      <c r="F19" s="14"/>
      <c r="G19" s="14"/>
      <c r="H19" s="31"/>
      <c r="I19" s="4"/>
      <c r="J19" s="4"/>
      <c r="K19" s="4"/>
      <c r="L19" s="4"/>
      <c r="M19" s="4"/>
      <c r="N19" s="4"/>
      <c r="O19" s="4"/>
    </row>
    <row r="20" spans="1:15" x14ac:dyDescent="0.25">
      <c r="A20" s="12">
        <f t="shared" si="0"/>
        <v>17</v>
      </c>
      <c r="B20" s="4" t="s">
        <v>912</v>
      </c>
      <c r="C20" s="4" t="s">
        <v>913</v>
      </c>
      <c r="D20" s="4" t="s">
        <v>45</v>
      </c>
      <c r="E20" s="4"/>
      <c r="F20" s="14"/>
      <c r="G20" s="14"/>
      <c r="H20" s="31"/>
      <c r="I20" s="4"/>
      <c r="J20" s="4"/>
      <c r="K20" s="4"/>
      <c r="L20" s="4"/>
      <c r="M20" s="4"/>
      <c r="N20" s="4"/>
      <c r="O20" s="4"/>
    </row>
    <row r="21" spans="1:15" x14ac:dyDescent="0.25">
      <c r="A21" s="12">
        <f t="shared" si="0"/>
        <v>18</v>
      </c>
      <c r="B21" s="4" t="s">
        <v>914</v>
      </c>
      <c r="C21" s="4"/>
      <c r="D21" s="4" t="s">
        <v>45</v>
      </c>
      <c r="E21" s="4"/>
      <c r="F21" s="14"/>
      <c r="G21" s="14"/>
      <c r="H21" s="31"/>
      <c r="I21" s="4"/>
      <c r="J21" s="4"/>
      <c r="K21" s="4"/>
      <c r="L21" s="4"/>
      <c r="M21" s="4"/>
      <c r="N21" s="4"/>
      <c r="O21" s="4"/>
    </row>
    <row r="22" spans="1:15" x14ac:dyDescent="0.25">
      <c r="A22" s="12">
        <f t="shared" si="0"/>
        <v>19</v>
      </c>
      <c r="B22" s="4" t="s">
        <v>915</v>
      </c>
      <c r="C22" s="4"/>
      <c r="D22" s="4" t="s">
        <v>45</v>
      </c>
      <c r="E22" s="4"/>
      <c r="F22" s="14"/>
      <c r="G22" s="14"/>
      <c r="H22" s="31"/>
      <c r="I22" s="4"/>
      <c r="J22" s="4"/>
      <c r="K22" s="4"/>
      <c r="L22" s="4"/>
      <c r="M22" s="4"/>
      <c r="N22" s="4"/>
      <c r="O22" s="4"/>
    </row>
    <row r="23" spans="1:15" x14ac:dyDescent="0.25">
      <c r="A23" s="12">
        <f t="shared" si="0"/>
        <v>20</v>
      </c>
      <c r="B23" s="39" t="s">
        <v>3149</v>
      </c>
      <c r="C23" s="39" t="s">
        <v>3148</v>
      </c>
      <c r="D23" s="39" t="s">
        <v>3150</v>
      </c>
      <c r="E23" s="4"/>
      <c r="F23" s="14"/>
      <c r="G23" s="14"/>
      <c r="H23" s="31"/>
      <c r="I23" s="4"/>
      <c r="J23" s="4"/>
      <c r="K23" s="4"/>
      <c r="L23" s="4"/>
      <c r="M23" s="4"/>
      <c r="N23" s="4"/>
      <c r="O23" s="4"/>
    </row>
    <row r="24" spans="1:15" x14ac:dyDescent="0.25">
      <c r="A24" s="4"/>
      <c r="B24" s="4"/>
      <c r="C24" s="4"/>
      <c r="D24" s="4"/>
      <c r="E24" s="4"/>
      <c r="F24" s="14"/>
      <c r="G24" s="14"/>
      <c r="H24" s="31"/>
      <c r="I24" s="4"/>
      <c r="J24" s="4"/>
      <c r="K24" s="4"/>
      <c r="L24" s="4"/>
      <c r="M24" s="4"/>
      <c r="N24" s="4"/>
      <c r="O24" s="4"/>
    </row>
    <row r="25" spans="1:15" x14ac:dyDescent="0.25">
      <c r="A25" s="4"/>
      <c r="B25" s="16" t="s">
        <v>808</v>
      </c>
      <c r="C25" s="4"/>
      <c r="D25" s="4"/>
      <c r="E25" s="4"/>
      <c r="F25" s="14"/>
      <c r="G25" s="14"/>
      <c r="H25" s="31"/>
      <c r="I25" s="4"/>
      <c r="J25" s="4"/>
      <c r="K25" s="4"/>
      <c r="L25" s="4"/>
      <c r="M25" s="4"/>
      <c r="N25" s="4"/>
      <c r="O25" s="4"/>
    </row>
    <row r="26" spans="1:15" x14ac:dyDescent="0.25">
      <c r="A26" s="4"/>
      <c r="B26" s="4" t="s">
        <v>916</v>
      </c>
      <c r="C26" s="4"/>
      <c r="D26" s="4"/>
      <c r="E26" s="4"/>
      <c r="F26" s="14"/>
      <c r="G26" s="14"/>
      <c r="H26" s="31"/>
      <c r="I26" s="4"/>
      <c r="J26" s="4"/>
      <c r="K26" s="4"/>
      <c r="L26" s="4"/>
      <c r="M26" s="4"/>
      <c r="N26" s="4"/>
      <c r="O26" s="4"/>
    </row>
    <row r="27" spans="1:15" x14ac:dyDescent="0.25">
      <c r="A27" s="4"/>
      <c r="B27" s="4" t="s">
        <v>917</v>
      </c>
      <c r="C27" s="4"/>
      <c r="D27" s="4"/>
      <c r="E27" s="4"/>
      <c r="F27" s="14"/>
      <c r="G27" s="14"/>
      <c r="H27" s="31"/>
      <c r="I27" s="4"/>
      <c r="J27" s="4"/>
      <c r="K27" s="4"/>
      <c r="L27" s="4"/>
      <c r="M27" s="4"/>
      <c r="N27" s="4"/>
      <c r="O27" s="4"/>
    </row>
    <row r="28" spans="1:15" x14ac:dyDescent="0.25">
      <c r="A28" s="4"/>
      <c r="B28" s="4" t="s">
        <v>918</v>
      </c>
      <c r="C28" s="4" t="s">
        <v>919</v>
      </c>
      <c r="D28" s="4"/>
      <c r="E28" s="4"/>
      <c r="F28" s="14"/>
      <c r="G28" s="14"/>
      <c r="H28" s="31"/>
      <c r="I28" s="4"/>
      <c r="J28" s="4"/>
      <c r="K28" s="4"/>
      <c r="L28" s="4"/>
      <c r="M28" s="4"/>
      <c r="N28" s="4"/>
      <c r="O28" s="4"/>
    </row>
    <row r="29" spans="1:15" x14ac:dyDescent="0.25">
      <c r="A29" s="4"/>
      <c r="B29" s="4" t="s">
        <v>920</v>
      </c>
      <c r="C29" s="4"/>
      <c r="D29" s="4"/>
      <c r="E29" s="4"/>
      <c r="F29" s="14"/>
      <c r="G29" s="14"/>
      <c r="H29" s="31"/>
      <c r="I29" s="4"/>
      <c r="J29" s="4"/>
      <c r="K29" s="4"/>
      <c r="L29" s="4"/>
      <c r="M29" s="4"/>
      <c r="N29" s="4"/>
      <c r="O29" s="4"/>
    </row>
    <row r="30" spans="1:15" x14ac:dyDescent="0.25">
      <c r="A30" s="4"/>
      <c r="B30" s="4" t="s">
        <v>921</v>
      </c>
      <c r="C30" s="4"/>
      <c r="D30" s="4"/>
      <c r="E30" s="4"/>
      <c r="F30" s="14"/>
      <c r="G30" s="14"/>
      <c r="H30" s="31"/>
      <c r="I30" s="4"/>
      <c r="J30" s="4"/>
      <c r="K30" s="4"/>
      <c r="L30" s="4"/>
      <c r="M30" s="4"/>
      <c r="N30" s="4"/>
      <c r="O30" s="4"/>
    </row>
    <row r="31" spans="1:15" x14ac:dyDescent="0.25">
      <c r="A31" s="4"/>
      <c r="B31" s="4" t="s">
        <v>922</v>
      </c>
      <c r="C31" s="4"/>
      <c r="D31" s="4"/>
      <c r="E31" s="4"/>
      <c r="F31" s="14"/>
      <c r="G31" s="14"/>
      <c r="H31" s="31"/>
      <c r="I31" s="4"/>
      <c r="J31" s="4"/>
      <c r="K31" s="4"/>
      <c r="L31" s="4"/>
      <c r="M31" s="4"/>
      <c r="N31" s="4"/>
      <c r="O31" s="4"/>
    </row>
    <row r="32" spans="1:15" x14ac:dyDescent="0.25">
      <c r="A32" s="4"/>
      <c r="B32" s="4" t="s">
        <v>923</v>
      </c>
      <c r="C32" s="4"/>
      <c r="D32" s="4"/>
      <c r="E32" s="4"/>
      <c r="F32" s="14"/>
      <c r="G32" s="14"/>
      <c r="H32" s="31"/>
      <c r="I32" s="4"/>
      <c r="J32" s="4"/>
      <c r="K32" s="4"/>
      <c r="L32" s="4"/>
      <c r="M32" s="4"/>
      <c r="N32" s="4"/>
      <c r="O32" s="4"/>
    </row>
    <row r="33" spans="1:15" x14ac:dyDescent="0.25">
      <c r="A33" s="4"/>
      <c r="B33" s="4" t="s">
        <v>924</v>
      </c>
      <c r="C33" s="4"/>
      <c r="D33" s="4"/>
      <c r="E33" s="4"/>
      <c r="F33" s="14"/>
      <c r="G33" s="14"/>
      <c r="H33" s="31"/>
      <c r="I33" s="4"/>
      <c r="J33" s="4"/>
      <c r="K33" s="4"/>
      <c r="L33" s="4"/>
      <c r="M33" s="4"/>
      <c r="N33" s="4"/>
      <c r="O33" s="4"/>
    </row>
    <row r="34" spans="1:15" x14ac:dyDescent="0.25">
      <c r="A34" s="4"/>
      <c r="B34" s="4" t="s">
        <v>925</v>
      </c>
      <c r="C34" s="4"/>
      <c r="D34" s="4"/>
      <c r="E34" s="4"/>
      <c r="F34" s="14"/>
      <c r="G34" s="14"/>
      <c r="H34" s="31"/>
      <c r="I34" s="4"/>
      <c r="J34" s="4"/>
      <c r="K34" s="4"/>
      <c r="L34" s="4"/>
      <c r="M34" s="4"/>
      <c r="N34" s="4"/>
      <c r="O34" s="4"/>
    </row>
    <row r="35" spans="1:15" x14ac:dyDescent="0.25">
      <c r="A35" s="4"/>
      <c r="B35" s="4" t="s">
        <v>926</v>
      </c>
      <c r="C35" s="4"/>
      <c r="D35" s="4"/>
      <c r="E35" s="4"/>
      <c r="F35" s="14"/>
      <c r="G35" s="14"/>
      <c r="H35" s="31"/>
      <c r="I35" s="4"/>
      <c r="J35" s="4"/>
      <c r="K35" s="4"/>
      <c r="L35" s="4"/>
      <c r="M35" s="4"/>
      <c r="N35" s="4"/>
      <c r="O35" s="4"/>
    </row>
    <row r="36" spans="1:15" x14ac:dyDescent="0.25">
      <c r="A36" s="4"/>
      <c r="B36" s="4" t="s">
        <v>927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</row>
    <row r="37" spans="1:15" x14ac:dyDescent="0.25">
      <c r="A37" s="4"/>
      <c r="B37" s="4" t="s">
        <v>928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</row>
    <row r="38" spans="1:15" x14ac:dyDescent="0.25">
      <c r="A38" s="4"/>
      <c r="B38" s="4" t="s">
        <v>929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</row>
    <row r="39" spans="1:15" x14ac:dyDescent="0.25">
      <c r="A39" s="4"/>
      <c r="B39" s="4" t="s">
        <v>930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</row>
    <row r="40" spans="1:15" x14ac:dyDescent="0.25">
      <c r="A40" s="4"/>
      <c r="B40" s="4" t="s">
        <v>931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</row>
    <row r="41" spans="1:15" x14ac:dyDescent="0.25">
      <c r="A41" s="4"/>
      <c r="B41" s="4" t="s">
        <v>932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</row>
    <row r="42" spans="1:15" x14ac:dyDescent="0.25">
      <c r="A42" s="4"/>
      <c r="B42" s="4" t="s">
        <v>933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</row>
    <row r="43" spans="1:15" x14ac:dyDescent="0.25">
      <c r="A43" s="4"/>
      <c r="B43" s="4" t="s">
        <v>934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</row>
    <row r="44" spans="1:15" x14ac:dyDescent="0.25">
      <c r="A44" s="4"/>
      <c r="B44" s="4" t="s">
        <v>297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</row>
    <row r="45" spans="1:15" x14ac:dyDescent="0.25">
      <c r="A45" s="4"/>
      <c r="B45" s="4" t="s">
        <v>935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</row>
    <row r="46" spans="1:15" x14ac:dyDescent="0.25">
      <c r="A46" s="4"/>
      <c r="B46" s="4" t="s">
        <v>936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</row>
    <row r="47" spans="1:15" x14ac:dyDescent="0.25">
      <c r="A47" s="4"/>
      <c r="B47" s="4" t="s">
        <v>937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</row>
    <row r="48" spans="1:15" x14ac:dyDescent="0.25">
      <c r="A48" s="4"/>
      <c r="B48" s="4" t="s">
        <v>938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</row>
    <row r="49" spans="1:15" x14ac:dyDescent="0.25">
      <c r="A49" s="4"/>
      <c r="B49" s="4" t="s">
        <v>939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</row>
    <row r="50" spans="1:15" x14ac:dyDescent="0.25">
      <c r="A50" s="4"/>
      <c r="B50" s="4" t="s">
        <v>940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</row>
    <row r="51" spans="1:15" x14ac:dyDescent="0.25">
      <c r="A51" s="4"/>
      <c r="B51" s="4" t="s">
        <v>941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</row>
    <row r="52" spans="1:15" x14ac:dyDescent="0.25">
      <c r="A52" s="4"/>
      <c r="B52" s="4" t="s">
        <v>942</v>
      </c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</row>
    <row r="53" spans="1:15" x14ac:dyDescent="0.25">
      <c r="A53" s="4"/>
      <c r="B53" s="4" t="s">
        <v>943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</row>
    <row r="54" spans="1:15" x14ac:dyDescent="0.25">
      <c r="A54" s="4"/>
      <c r="B54" s="4" t="s">
        <v>944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</row>
    <row r="55" spans="1:15" x14ac:dyDescent="0.25">
      <c r="A55" s="4"/>
      <c r="B55" s="4" t="s">
        <v>945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</row>
    <row r="56" spans="1:15" x14ac:dyDescent="0.25">
      <c r="A56" s="4"/>
      <c r="B56" s="4" t="s">
        <v>946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</row>
    <row r="57" spans="1:15" x14ac:dyDescent="0.25">
      <c r="A57" s="4"/>
      <c r="B57" s="4" t="s">
        <v>947</v>
      </c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</row>
    <row r="58" spans="1:15" x14ac:dyDescent="0.25">
      <c r="A58" s="4"/>
      <c r="B58" s="4" t="s">
        <v>948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</row>
    <row r="59" spans="1:15" x14ac:dyDescent="0.25">
      <c r="A59" s="4"/>
      <c r="B59" s="4" t="s">
        <v>949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</row>
    <row r="60" spans="1:15" x14ac:dyDescent="0.25">
      <c r="A60" s="4"/>
      <c r="B60" s="4" t="s">
        <v>950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</row>
    <row r="61" spans="1:15" x14ac:dyDescent="0.25">
      <c r="A61" s="4"/>
      <c r="B61" s="4" t="s">
        <v>951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</row>
    <row r="62" spans="1:15" x14ac:dyDescent="0.25">
      <c r="A62" s="4"/>
      <c r="B62" s="4" t="s">
        <v>952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</row>
    <row r="63" spans="1:15" x14ac:dyDescent="0.25">
      <c r="A63" s="4"/>
      <c r="B63" s="4" t="s">
        <v>953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</row>
    <row r="64" spans="1:15" x14ac:dyDescent="0.25">
      <c r="A64" s="4"/>
      <c r="B64" s="4" t="s">
        <v>954</v>
      </c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</row>
    <row r="65" spans="1:15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</row>
    <row r="66" spans="1:15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</row>
    <row r="67" spans="1:15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</row>
    <row r="68" spans="1:15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</row>
    <row r="69" spans="1:15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</row>
    <row r="70" spans="1:15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</row>
    <row r="71" spans="1:15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</row>
    <row r="72" spans="1:15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</row>
    <row r="73" spans="1:15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</row>
    <row r="74" spans="1:15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</row>
    <row r="75" spans="1:15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</row>
    <row r="76" spans="1:15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</row>
    <row r="77" spans="1:15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</row>
    <row r="78" spans="1:15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</row>
    <row r="79" spans="1:15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</row>
    <row r="80" spans="1:15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</row>
    <row r="81" spans="1:15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</row>
    <row r="82" spans="1:15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</row>
    <row r="83" spans="1:15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</row>
    <row r="84" spans="1:15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</row>
    <row r="85" spans="1:15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</row>
    <row r="86" spans="1:15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</row>
    <row r="87" spans="1:15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</row>
    <row r="88" spans="1:15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</row>
    <row r="89" spans="1:15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</row>
    <row r="90" spans="1:15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</row>
    <row r="91" spans="1:15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</row>
    <row r="92" spans="1:15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</row>
    <row r="93" spans="1:15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</row>
    <row r="94" spans="1:15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</row>
    <row r="95" spans="1:15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</row>
    <row r="96" spans="1:15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</row>
    <row r="97" spans="1:15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</row>
    <row r="98" spans="1:15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</row>
    <row r="99" spans="1:15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</row>
    <row r="100" spans="1:15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  <row r="101" spans="1:15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</row>
    <row r="102" spans="1:15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</row>
    <row r="103" spans="1:15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</row>
    <row r="104" spans="1:15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</row>
    <row r="105" spans="1:15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</row>
    <row r="106" spans="1:15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</row>
    <row r="107" spans="1:15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</row>
    <row r="108" spans="1:15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</row>
    <row r="109" spans="1:15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</row>
    <row r="110" spans="1:15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</row>
    <row r="111" spans="1:15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</row>
    <row r="112" spans="1:15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</row>
    <row r="113" spans="1:15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</row>
    <row r="114" spans="1:15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</row>
    <row r="115" spans="1:15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</row>
    <row r="116" spans="1:15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</row>
    <row r="117" spans="1:15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</row>
    <row r="118" spans="1:15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</row>
    <row r="119" spans="1:15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</row>
    <row r="120" spans="1:15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</row>
    <row r="121" spans="1:15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</row>
    <row r="122" spans="1:15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</row>
    <row r="123" spans="1:15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</row>
    <row r="124" spans="1:15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</row>
    <row r="125" spans="1:15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</row>
    <row r="126" spans="1:15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</row>
    <row r="127" spans="1:15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</row>
    <row r="128" spans="1:15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</row>
    <row r="129" spans="1:15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</row>
    <row r="130" spans="1:15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</row>
    <row r="131" spans="1:15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</row>
    <row r="132" spans="1:15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</row>
    <row r="133" spans="1:15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</row>
    <row r="134" spans="1:15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9A383-B6C2-444C-A28D-0BAA60C000BF}">
  <dimension ref="A1:P118"/>
  <sheetViews>
    <sheetView zoomScale="200" zoomScaleNormal="200" workbookViewId="0">
      <selection activeCell="K3" sqref="K3"/>
    </sheetView>
  </sheetViews>
  <sheetFormatPr defaultRowHeight="12.75" x14ac:dyDescent="0.2"/>
  <cols>
    <col min="1" max="1" width="5" style="57" bestFit="1" customWidth="1"/>
    <col min="2" max="16384" width="9.140625" style="57"/>
  </cols>
  <sheetData>
    <row r="1" spans="1:16" x14ac:dyDescent="0.2">
      <c r="A1" s="13" t="s">
        <v>958</v>
      </c>
    </row>
    <row r="2" spans="1:16" x14ac:dyDescent="0.2">
      <c r="A2" s="66"/>
      <c r="B2" s="66"/>
      <c r="C2" s="66" t="s">
        <v>3160</v>
      </c>
      <c r="D2" s="66"/>
      <c r="E2" s="66" t="s">
        <v>3161</v>
      </c>
      <c r="F2" s="66"/>
      <c r="H2" s="66"/>
      <c r="J2" s="66" t="s">
        <v>3526</v>
      </c>
      <c r="N2" s="66" t="s">
        <v>2597</v>
      </c>
      <c r="O2" s="66"/>
      <c r="P2" s="66" t="s">
        <v>2617</v>
      </c>
    </row>
    <row r="3" spans="1:16" x14ac:dyDescent="0.2">
      <c r="A3" s="66"/>
      <c r="B3" s="66"/>
      <c r="C3" s="13" t="s">
        <v>3159</v>
      </c>
      <c r="D3" s="66"/>
      <c r="E3" s="66" t="s">
        <v>3524</v>
      </c>
      <c r="F3" s="66"/>
      <c r="G3" s="66"/>
      <c r="H3" s="66"/>
      <c r="I3" s="66"/>
      <c r="J3" s="66" t="s">
        <v>3527</v>
      </c>
      <c r="K3" s="66"/>
      <c r="L3" s="66"/>
    </row>
    <row r="4" spans="1:16" x14ac:dyDescent="0.2">
      <c r="A4" s="66"/>
      <c r="B4" s="66"/>
      <c r="C4" s="66"/>
      <c r="D4" s="66"/>
      <c r="E4" s="66" t="s">
        <v>3525</v>
      </c>
      <c r="F4" s="66"/>
      <c r="G4" s="66"/>
      <c r="H4" s="66"/>
      <c r="I4" s="66"/>
      <c r="J4" s="66"/>
      <c r="K4" s="66"/>
      <c r="L4" s="66"/>
    </row>
    <row r="5" spans="1:16" x14ac:dyDescent="0.2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66"/>
    </row>
    <row r="6" spans="1:16" x14ac:dyDescent="0.2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66"/>
    </row>
    <row r="7" spans="1:16" x14ac:dyDescent="0.2">
      <c r="A7" s="66"/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</row>
    <row r="8" spans="1:16" x14ac:dyDescent="0.2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</row>
    <row r="9" spans="1:16" x14ac:dyDescent="0.2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</row>
    <row r="10" spans="1:16" x14ac:dyDescent="0.2">
      <c r="A10" s="66"/>
      <c r="B10" s="66"/>
      <c r="C10" s="66"/>
      <c r="D10" s="66"/>
      <c r="E10" s="66"/>
      <c r="F10" s="66"/>
      <c r="G10" s="66"/>
      <c r="H10" s="66"/>
      <c r="I10" s="66"/>
      <c r="J10" s="66"/>
      <c r="K10" s="66"/>
      <c r="L10" s="66"/>
    </row>
    <row r="11" spans="1:16" x14ac:dyDescent="0.2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</row>
    <row r="12" spans="1:16" x14ac:dyDescent="0.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66"/>
    </row>
    <row r="13" spans="1:16" x14ac:dyDescent="0.2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</row>
    <row r="14" spans="1:16" x14ac:dyDescent="0.2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66"/>
    </row>
    <row r="15" spans="1:16" x14ac:dyDescent="0.2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</row>
    <row r="16" spans="1:16" x14ac:dyDescent="0.2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</row>
    <row r="17" spans="1:12" x14ac:dyDescent="0.2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</row>
    <row r="18" spans="1:12" x14ac:dyDescent="0.2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</row>
    <row r="19" spans="1:12" x14ac:dyDescent="0.2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</row>
    <row r="20" spans="1:12" x14ac:dyDescent="0.2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</row>
    <row r="21" spans="1:12" x14ac:dyDescent="0.2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</row>
    <row r="22" spans="1:12" x14ac:dyDescent="0.2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</row>
    <row r="23" spans="1:12" x14ac:dyDescent="0.2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</row>
    <row r="24" spans="1:12" x14ac:dyDescent="0.2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</row>
    <row r="25" spans="1:12" x14ac:dyDescent="0.2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</row>
    <row r="26" spans="1:12" x14ac:dyDescent="0.2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</row>
    <row r="27" spans="1:12" x14ac:dyDescent="0.2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</row>
    <row r="28" spans="1:12" x14ac:dyDescent="0.2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</row>
    <row r="29" spans="1:12" x14ac:dyDescent="0.2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</row>
    <row r="30" spans="1:12" x14ac:dyDescent="0.2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</row>
    <row r="31" spans="1:12" x14ac:dyDescent="0.2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</row>
    <row r="32" spans="1:12" x14ac:dyDescent="0.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</row>
    <row r="33" spans="1:12" x14ac:dyDescent="0.2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</row>
    <row r="34" spans="1:12" x14ac:dyDescent="0.2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</row>
    <row r="35" spans="1:12" x14ac:dyDescent="0.2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</row>
    <row r="36" spans="1:12" x14ac:dyDescent="0.2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</row>
    <row r="37" spans="1:12" x14ac:dyDescent="0.2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</row>
    <row r="38" spans="1:12" x14ac:dyDescent="0.2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</row>
    <row r="39" spans="1:12" x14ac:dyDescent="0.2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</row>
    <row r="40" spans="1:12" x14ac:dyDescent="0.2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</row>
    <row r="41" spans="1:12" x14ac:dyDescent="0.2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</row>
    <row r="42" spans="1:12" x14ac:dyDescent="0.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</row>
    <row r="43" spans="1:12" x14ac:dyDescent="0.2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</row>
    <row r="44" spans="1:12" x14ac:dyDescent="0.2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</row>
    <row r="45" spans="1:12" x14ac:dyDescent="0.2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</row>
    <row r="46" spans="1:12" x14ac:dyDescent="0.2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</row>
    <row r="47" spans="1:12" x14ac:dyDescent="0.2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</row>
    <row r="48" spans="1:12" x14ac:dyDescent="0.2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</row>
    <row r="49" spans="1:12" x14ac:dyDescent="0.2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</row>
    <row r="50" spans="1:12" x14ac:dyDescent="0.2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</row>
    <row r="51" spans="1:12" x14ac:dyDescent="0.2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</row>
    <row r="52" spans="1:12" x14ac:dyDescent="0.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</row>
    <row r="53" spans="1:12" x14ac:dyDescent="0.2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</row>
    <row r="54" spans="1:12" x14ac:dyDescent="0.2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</row>
    <row r="55" spans="1:12" x14ac:dyDescent="0.2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</row>
    <row r="56" spans="1:12" x14ac:dyDescent="0.2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</row>
    <row r="57" spans="1:12" x14ac:dyDescent="0.2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</row>
    <row r="58" spans="1:12" x14ac:dyDescent="0.2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</row>
    <row r="59" spans="1:12" x14ac:dyDescent="0.2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</row>
    <row r="60" spans="1:12" x14ac:dyDescent="0.2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</row>
    <row r="61" spans="1:12" x14ac:dyDescent="0.2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</row>
    <row r="62" spans="1:12" x14ac:dyDescent="0.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</row>
    <row r="63" spans="1:12" x14ac:dyDescent="0.2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</row>
    <row r="64" spans="1:12" x14ac:dyDescent="0.2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</row>
    <row r="65" spans="1:12" x14ac:dyDescent="0.2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</row>
    <row r="66" spans="1:12" x14ac:dyDescent="0.2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</row>
    <row r="67" spans="1:12" x14ac:dyDescent="0.2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</row>
    <row r="68" spans="1:12" x14ac:dyDescent="0.2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</row>
    <row r="69" spans="1:12" x14ac:dyDescent="0.2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</row>
    <row r="70" spans="1:12" x14ac:dyDescent="0.2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</row>
    <row r="71" spans="1:12" x14ac:dyDescent="0.2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</row>
    <row r="72" spans="1:12" x14ac:dyDescent="0.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</row>
    <row r="73" spans="1:12" x14ac:dyDescent="0.2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</row>
    <row r="74" spans="1:12" x14ac:dyDescent="0.2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</row>
    <row r="75" spans="1:12" x14ac:dyDescent="0.2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</row>
    <row r="76" spans="1:12" x14ac:dyDescent="0.2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</row>
    <row r="77" spans="1:12" x14ac:dyDescent="0.2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</row>
    <row r="78" spans="1:12" x14ac:dyDescent="0.2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</row>
    <row r="79" spans="1:12" x14ac:dyDescent="0.2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</row>
    <row r="80" spans="1:12" x14ac:dyDescent="0.2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</row>
    <row r="81" spans="1:12" x14ac:dyDescent="0.2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</row>
    <row r="82" spans="1:12" x14ac:dyDescent="0.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</row>
    <row r="83" spans="1:12" x14ac:dyDescent="0.2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</row>
    <row r="84" spans="1:12" x14ac:dyDescent="0.2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</row>
    <row r="85" spans="1:12" x14ac:dyDescent="0.2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</row>
    <row r="86" spans="1:12" x14ac:dyDescent="0.2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</row>
    <row r="87" spans="1:12" x14ac:dyDescent="0.2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</row>
    <row r="88" spans="1:12" x14ac:dyDescent="0.2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</row>
    <row r="89" spans="1:12" x14ac:dyDescent="0.2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</row>
    <row r="90" spans="1:12" x14ac:dyDescent="0.2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</row>
    <row r="91" spans="1:12" x14ac:dyDescent="0.2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</row>
    <row r="92" spans="1:12" x14ac:dyDescent="0.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</row>
    <row r="93" spans="1:12" x14ac:dyDescent="0.2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</row>
    <row r="94" spans="1:12" x14ac:dyDescent="0.2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</row>
    <row r="95" spans="1:12" x14ac:dyDescent="0.2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</row>
    <row r="96" spans="1:12" x14ac:dyDescent="0.2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</row>
    <row r="97" spans="1:12" x14ac:dyDescent="0.2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</row>
    <row r="98" spans="1:12" x14ac:dyDescent="0.2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</row>
    <row r="99" spans="1:12" x14ac:dyDescent="0.2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</row>
    <row r="100" spans="1:12" x14ac:dyDescent="0.2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</row>
    <row r="101" spans="1:12" x14ac:dyDescent="0.2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</row>
    <row r="102" spans="1:12" x14ac:dyDescent="0.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</row>
    <row r="103" spans="1:12" x14ac:dyDescent="0.2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</row>
    <row r="104" spans="1:12" x14ac:dyDescent="0.2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</row>
    <row r="105" spans="1:12" x14ac:dyDescent="0.2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</row>
    <row r="106" spans="1:12" x14ac:dyDescent="0.2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</row>
    <row r="107" spans="1:12" x14ac:dyDescent="0.2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</row>
    <row r="108" spans="1:12" x14ac:dyDescent="0.2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</row>
    <row r="109" spans="1:12" x14ac:dyDescent="0.2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</row>
    <row r="110" spans="1:12" x14ac:dyDescent="0.2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</row>
    <row r="111" spans="1:12" x14ac:dyDescent="0.2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</row>
    <row r="112" spans="1:12" x14ac:dyDescent="0.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</row>
    <row r="113" spans="1:12" x14ac:dyDescent="0.2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</row>
    <row r="114" spans="1:12" x14ac:dyDescent="0.2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</row>
    <row r="115" spans="1:12" x14ac:dyDescent="0.2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</row>
    <row r="116" spans="1:12" x14ac:dyDescent="0.2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</row>
    <row r="117" spans="1:12" x14ac:dyDescent="0.2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</row>
    <row r="118" spans="1:12" x14ac:dyDescent="0.2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</row>
  </sheetData>
  <sortState xmlns:xlrd2="http://schemas.microsoft.com/office/spreadsheetml/2017/richdata2" ref="B19:B70">
    <sortCondition ref="B70"/>
  </sortState>
  <hyperlinks>
    <hyperlink ref="A1" location="Main!A1" display="Main" xr:uid="{3D615B08-D3AE-4019-B225-2EAC32ADAB3B}"/>
    <hyperlink ref="C3" r:id="rId1" xr:uid="{90F0D077-7B3E-41C5-BE93-60C8BF5C0BB2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B2:C6"/>
  <sheetViews>
    <sheetView zoomScale="200" zoomScaleNormal="200" workbookViewId="0">
      <selection activeCell="B7" sqref="B7"/>
    </sheetView>
  </sheetViews>
  <sheetFormatPr defaultRowHeight="12.75" x14ac:dyDescent="0.2"/>
  <cols>
    <col min="1" max="1" width="4.140625" style="57" customWidth="1"/>
    <col min="2" max="2" width="15.28515625" style="57" customWidth="1"/>
    <col min="3" max="16384" width="9.140625" style="57"/>
  </cols>
  <sheetData>
    <row r="2" spans="2:3" x14ac:dyDescent="0.2">
      <c r="B2" s="57" t="s">
        <v>434</v>
      </c>
      <c r="C2" s="57">
        <v>0.03</v>
      </c>
    </row>
    <row r="3" spans="2:3" x14ac:dyDescent="0.2">
      <c r="B3" s="57" t="s">
        <v>435</v>
      </c>
      <c r="C3" s="57">
        <v>0.14000000000000001</v>
      </c>
    </row>
    <row r="4" spans="2:3" x14ac:dyDescent="0.2">
      <c r="B4" s="57" t="s">
        <v>436</v>
      </c>
      <c r="C4" s="57">
        <v>1.02</v>
      </c>
    </row>
    <row r="5" spans="2:3" x14ac:dyDescent="0.2">
      <c r="B5" s="57" t="s">
        <v>437</v>
      </c>
      <c r="C5" s="57">
        <v>6.8000000000000005E-4</v>
      </c>
    </row>
    <row r="6" spans="2:3" x14ac:dyDescent="0.2">
      <c r="B6" s="57" t="s">
        <v>439</v>
      </c>
      <c r="C6" s="57">
        <v>6.4999999999999997E-3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Main</vt:lpstr>
      <vt:lpstr>AI</vt:lpstr>
      <vt:lpstr>Semiconductors</vt:lpstr>
      <vt:lpstr>Telecom</vt:lpstr>
      <vt:lpstr>Fintech</vt:lpstr>
      <vt:lpstr>E-Commerce</vt:lpstr>
      <vt:lpstr>Quantum</vt:lpstr>
      <vt:lpstr>Enterprise Cloud</vt:lpstr>
      <vt:lpstr>Social</vt:lpstr>
      <vt:lpstr>Education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2026-06-07T11:52:00Z</dcterms:modified>
</cp:coreProperties>
</file>