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3BAD284-984F-4BAE-995A-E88B421B33BE}" xr6:coauthVersionLast="47" xr6:coauthVersionMax="47" xr10:uidLastSave="{00000000-0000-0000-0000-000000000000}"/>
  <bookViews>
    <workbookView xWindow="19095" yWindow="0" windowWidth="19410" windowHeight="20925" activeTab="1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0" l="1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H41" i="4" s="1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1102" i="1"/>
  <c r="A41" i="4"/>
  <c r="A23" i="6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<sst xmlns="http://schemas.openxmlformats.org/spreadsheetml/2006/main" count="5923" uniqueCount="3555">
  <si>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</si>
  <si>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</si>
  <si>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</si>
  <si>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</si>
  <si>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</si>
  <si>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</si>
  <si>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</si>
  <si>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</si>
  <si>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</si>
  <si>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</si>
  <si>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</si>
  <si>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</si>
  <si>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</si>
  <si>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</si>
  <si>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</si>
  <si>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</si>
  <si>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</si>
  <si>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</si>
  <si>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</si>
  <si>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</si>
  <si>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</si>
  <si>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</si>
  <si>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</si>
  <si>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</si>
  <si>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</si>
  <si>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</si>
  <si>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</si>
  <si>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</si>
  <si>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</si>
  <si>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</si>
  <si>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</si>
  <si>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</si>
  <si>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</si>
  <si>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</si>
  <si>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</si>
  <si>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</si>
  <si>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</si>
  <si>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</si>
  <si>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</si>
  <si>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</si>
  <si>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</si>
  <si>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</si>
  <si>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</si>
  <si>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</si>
  <si>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</si>
  <si>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</si>
  <si>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</si>
  <si>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</si>
  <si>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</si>
  <si>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</si>
  <si>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</si>
  <si>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</si>
  <si>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</si>
  <si>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</si>
  <si>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</si>
  <si>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</si>
  <si>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</si>
  <si>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</si>
  <si>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</si>
  <si>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</si>
  <si>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</si>
  <si>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</si>
  <si>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</si>
  <si>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</si>
  <si>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</si>
  <si>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</si>
  <si>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</si>
  <si>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</si>
  <si>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</si>
  <si>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</si>
  <si>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</si>
  <si>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</si>
  <si>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</si>
  <si>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</si>
  <si>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</si>
  <si>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</si>
  <si>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</si>
  <si>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</si>
  <si>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</si>
  <si>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</si>
  <si>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</si>
  <si>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</si>
  <si>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</si>
  <si>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</si>
  <si>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</si>
  <si>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</si>
  <si>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</si>
  <si>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</si>
  <si>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</si>
  <si>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</si>
  <si>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</si>
  <si>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</si>
  <si>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</si>
  <si>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</si>
  <si>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</si>
  <si>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</si>
  <si>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</si>
  <si>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</si>
  <si>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</si>
  <si>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</si>
  <si>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</si>
  <si>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</si>
  <si>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</si>
  <si>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</si>
  <si>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</si>
  <si>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</si>
  <si>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</si>
  <si>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</si>
  <si>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</si>
  <si>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</si>
  <si>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</si>
  <si>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</si>
  <si>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</si>
  <si>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</si>
  <si>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</si>
  <si>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</si>
  <si>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</si>
  <si>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</si>
  <si>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</si>
  <si>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</si>
  <si>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</si>
  <si>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</si>
  <si>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</si>
  <si>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</si>
  <si>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</si>
  <si>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</si>
  <si>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</si>
  <si>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</si>
  <si>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</si>
  <si>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</si>
  <si>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</si>
  <si>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</si>
  <si>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</si>
  <si>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</si>
  <si>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</si>
  <si>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</si>
  <si>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</si>
  <si>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</si>
  <si>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</si>
  <si>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</si>
  <si>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</si>
  <si>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</si>
  <si>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</si>
  <si>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</si>
  <si>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</si>
  <si>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</si>
  <si>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</si>
  <si>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</si>
  <si>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</si>
  <si>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</si>
  <si>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</si>
  <si>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</si>
  <si>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</si>
  <si>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</si>
  <si>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</si>
  <si>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</si>
  <si>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</si>
  <si>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</si>
  <si>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</si>
  <si>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</si>
  <si>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</si>
  <si>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</si>
  <si>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</si>
  <si>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</si>
  <si>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</si>
  <si>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</si>
  <si>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</si>
  <si>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</si>
  <si>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</si>
  <si>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</si>
  <si>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</si>
  <si>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</si>
  <si>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</si>
  <si>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</si>
  <si>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</si>
  <si>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</si>
  <si>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</si>
  <si>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</si>
  <si>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</si>
  <si>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</si>
  <si>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</si>
  <si>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</si>
  <si>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</si>
  <si>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</si>
  <si>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</si>
  <si>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</si>
  <si>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</si>
  <si>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</si>
  <si>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</si>
  <si>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</si>
  <si>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</si>
  <si>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</si>
  <si>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</si>
  <si>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</si>
  <si>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</si>
  <si>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</si>
  <si>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</si>
  <si>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</si>
  <si>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</si>
  <si>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</si>
  <si>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</si>
  <si>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</si>
  <si>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</si>
  <si>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</si>
  <si>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</si>
  <si>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</si>
  <si>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</si>
  <si>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</si>
  <si>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</si>
  <si>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</si>
  <si>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</si>
  <si>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</si>
  <si>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</si>
  <si>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</si>
  <si>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</si>
  <si>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</si>
  <si>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</si>
  <si>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</si>
  <si>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</si>
  <si>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</si>
  <si>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</si>
  <si>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</si>
  <si>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</si>
  <si>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</si>
  <si>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</si>
  <si>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</si>
  <si>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</si>
  <si>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</si>
  <si>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</si>
  <si>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</si>
  <si>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</si>
  <si>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</si>
  <si>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</si>
  <si>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</si>
  <si>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</si>
  <si>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</si>
  <si>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</si>
  <si>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</si>
  <si>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</si>
  <si>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</si>
  <si>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</si>
  <si>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</si>
  <si>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</si>
  <si>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</si>
  <si>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</si>
  <si>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</si>
  <si>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</si>
  <si>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</si>
  <si>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</si>
  <si>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</si>
  <si>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</si>
  <si>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</si>
  <si>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</si>
  <si>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</si>
  <si>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</si>
  <si>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</si>
  <si>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</si>
  <si>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</si>
  <si>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</si>
  <si>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</si>
  <si>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</si>
  <si>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</si>
  <si>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</si>
  <si>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</si>
  <si>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</si>
  <si>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</si>
  <si>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</si>
  <si>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</si>
  <si>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</si>
  <si>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</si>
  <si>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</si>
  <si>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</si>
  <si>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</si>
  <si>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</si>
  <si>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</si>
  <si>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</si>
  <si>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</si>
  <si>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</si>
  <si>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</si>
  <si>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</si>
  <si>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</si>
  <si>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</si>
  <si>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</si>
  <si>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</si>
  <si>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</si>
  <si>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</si>
  <si>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</si>
  <si>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</si>
  <si>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</si>
  <si>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</si>
  <si>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</si>
  <si>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</si>
  <si>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</si>
  <si>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</si>
  <si>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</si>
  <si>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</si>
  <si>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</si>
  <si>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</si>
  <si>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</si>
  <si>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</si>
  <si>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</si>
  <si>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</si>
  <si>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</si>
  <si>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</si>
  <si>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</si>
  <si>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</si>
  <si>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</si>
  <si>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</si>
  <si>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</si>
  <si>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</si>
  <si>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</si>
  <si>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</si>
  <si>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</si>
  <si>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</si>
  <si>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</si>
  <si>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</si>
  <si>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</si>
  <si>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</si>
  <si>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</si>
  <si>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</si>
  <si>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</si>
  <si>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</si>
  <si>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</si>
  <si>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</si>
  <si>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</si>
  <si>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</si>
  <si>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</si>
  <si>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</si>
  <si>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</si>
  <si>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</si>
  <si>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</si>
  <si>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</si>
  <si>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</si>
  <si>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</si>
  <si>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</si>
  <si>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</si>
  <si>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</si>
  <si>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</si>
  <si>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</si>
  <si>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</si>
  <si>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</si>
  <si>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</si>
  <si>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</si>
  <si>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</si>
  <si>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</si>
  <si>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</si>
  <si>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</si>
  <si>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</si>
  <si>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</si>
  <si>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</si>
  <si>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</si>
  <si>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</si>
  <si>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</si>
  <si>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</si>
  <si>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</si>
  <si>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</si>
  <si>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</si>
  <si>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</si>
  <si>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</si>
  <si>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</si>
  <si>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</si>
  <si>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</si>
  <si>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</si>
  <si>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</si>
  <si>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</si>
  <si>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</si>
  <si>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</si>
  <si>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</si>
  <si>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</si>
  <si>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</si>
  <si>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</si>
  <si>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</si>
  <si>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</si>
  <si>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</si>
  <si>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</si>
  <si>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</si>
  <si>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</si>
  <si>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</si>
  <si>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</si>
  <si>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</si>
  <si>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</si>
  <si>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</si>
  <si>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</si>
  <si>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</si>
  <si>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</si>
  <si>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</si>
  <si>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</si>
  <si>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</si>
  <si>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</si>
  <si>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</si>
  <si>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</si>
  <si>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</si>
  <si>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</si>
  <si>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</si>
  <si>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</si>
  <si>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</si>
  <si>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</si>
  <si>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</si>
  <si>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</si>
  <si>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</si>
  <si>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</si>
  <si>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</si>
  <si>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</si>
  <si>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</si>
  <si>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</si>
  <si>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</si>
  <si>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</si>
  <si>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</si>
  <si>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</si>
  <si>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</si>
  <si>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</si>
  <si>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</si>
  <si>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</si>
  <si>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</si>
  <si>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</si>
  <si>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</si>
  <si>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</si>
  <si>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</si>
  <si>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</si>
  <si>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</si>
  <si>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</si>
  <si>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</si>
  <si>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</si>
  <si>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</si>
  <si>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</si>
  <si>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</si>
  <si>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</si>
  <si>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</si>
  <si>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</si>
  <si>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</si>
  <si>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</si>
  <si>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</si>
  <si>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</si>
  <si>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</si>
  <si>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</si>
  <si>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</si>
  <si>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</si>
  <si>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</si>
  <si>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</si>
  <si>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</si>
  <si>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</si>
  <si>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</si>
  <si>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</si>
  <si>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</si>
  <si>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</si>
  <si>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</si>
  <si>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</si>
  <si>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</si>
  <si>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</si>
  <si>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</si>
  <si>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</si>
  <si>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</si>
  <si>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</si>
  <si>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</si>
  <si>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</si>
  <si>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</si>
  <si>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</si>
  <si>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</si>
  <si>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</si>
  <si>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</si>
  <si>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</si>
  <si>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</si>
  <si>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</si>
  <si>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</si>
  <si>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</si>
  <si>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</si>
  <si>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</si>
  <si>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</si>
  <si>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</si>
  <si>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</si>
  <si>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</si>
  <si>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</si>
  <si>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</si>
  <si>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</si>
  <si>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</si>
  <si>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</si>
  <si>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</si>
  <si>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</si>
  <si>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</si>
  <si>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</si>
  <si>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</si>
  <si>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</si>
  <si>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</si>
  <si>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</si>
  <si>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</si>
  <si>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</si>
  <si>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</si>
  <si>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</si>
  <si>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</si>
  <si>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</si>
  <si>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</si>
  <si>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</si>
  <si>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</si>
  <si>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</si>
  <si>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</si>
  <si>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</si>
  <si>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</si>
  <si>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</si>
  <si>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</si>
  <si>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</si>
  <si>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</si>
  <si>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</si>
  <si>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</si>
  <si>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</si>
  <si>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</si>
  <si>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</si>
  <si>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</si>
  <si>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</si>
  <si>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</si>
  <si>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</si>
  <si>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</si>
  <si>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</si>
  <si>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</si>
  <si>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</si>
  <si>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</si>
  <si>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</si>
  <si>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</si>
  <si>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</si>
  <si>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</si>
  <si>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</si>
  <si>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</si>
  <si>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</si>
  <si>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</si>
  <si>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</si>
  <si>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</si>
  <si>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</si>
  <si>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</si>
  <si>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</si>
  <si>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</si>
  <si>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</si>
  <si>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</si>
  <si>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</si>
  <si>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</si>
  <si>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</si>
  <si>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</si>
  <si>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</si>
  <si>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</si>
  <si>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</si>
  <si>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</si>
  <si>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</si>
  <si>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</si>
  <si>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</si>
  <si>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</si>
  <si>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</si>
  <si>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</si>
  <si>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</si>
  <si>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</si>
  <si>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</si>
  <si>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</si>
  <si>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</si>
  <si>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</si>
  <si>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</si>
  <si>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</si>
  <si>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</si>
  <si>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</si>
  <si>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</si>
  <si>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</si>
  <si>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</si>
  <si>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</si>
  <si>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</si>
  <si>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</si>
  <si>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</si>
  <si>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</si>
  <si>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</si>
  <si>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</si>
  <si>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</si>
  <si>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</si>
  <si>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</si>
  <si>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</si>
  <si>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</si>
  <si>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</si>
  <si>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</si>
  <si>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</si>
  <si>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</si>
  <si>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</si>
  <si>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</si>
  <si>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</si>
  <si>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</si>
  <si>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</si>
  <si>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</si>
  <si>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</si>
  <si>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</si>
  <si>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</si>
  <si>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</si>
  <si>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</si>
  <si>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</si>
  <si>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</si>
  <si>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</si>
  <si>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</si>
  <si>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</si>
  <si>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</si>
  <si>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</si>
  <si>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</si>
  <si>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</si>
  <si>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</si>
  <si>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</si>
  <si>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</si>
  <si>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</si>
  <si>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</si>
  <si>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</si>
  <si>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</si>
  <si>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</si>
  <si>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</si>
  <si>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</si>
  <si>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</si>
  <si>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</si>
  <si>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</si>
  <si>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</si>
  <si>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</si>
  <si>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</si>
  <si>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</si>
  <si>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</si>
  <si>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</si>
  <si>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</si>
  <si>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</si>
  <si>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</si>
  <si>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</si>
  <si>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</si>
  <si>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</si>
  <si>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</si>
  <si>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</si>
  <si>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</si>
  <si>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</si>
  <si>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</si>
  <si>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</si>
  <si>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</si>
  <si>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</si>
  <si>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</si>
  <si>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</si>
  <si>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</si>
  <si>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</si>
  <si>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</si>
  <si>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</si>
  <si>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</si>
  <si>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</si>
  <si>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</si>
  <si>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</si>
  <si>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</si>
  <si>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</si>
  <si>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</si>
  <si>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</si>
  <si>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</si>
  <si>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</si>
  <si>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</si>
  <si>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</si>
  <si>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</si>
  <si>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</si>
  <si>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</si>
  <si>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</si>
  <si>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</si>
  <si>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</si>
  <si>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</si>
  <si>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</si>
  <si>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</si>
  <si>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</si>
  <si>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</si>
  <si>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</si>
  <si>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</si>
  <si>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</si>
  <si>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</si>
  <si>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</si>
  <si>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</si>
  <si>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</si>
  <si>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</si>
  <si>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</si>
  <si>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</si>
  <si>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</si>
  <si>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</si>
  <si>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</si>
  <si>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</si>
  <si>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</si>
  <si>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</si>
  <si>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</si>
  <si>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</si>
  <si>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</si>
  <si>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</si>
  <si>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</si>
  <si>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</si>
  <si>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</si>
  <si>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</si>
  <si>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</si>
  <si>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</si>
  <si>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</si>
  <si>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</si>
  <si>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</si>
  <si>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</si>
  <si>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</si>
  <si>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</si>
  <si>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</si>
  <si>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</si>
  <si>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</si>
  <si>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</si>
  <si>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</si>
  <si>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</si>
  <si>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</si>
  <si>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</si>
  <si>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</si>
  <si>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</si>
  <si>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</si>
  <si>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</si>
  <si>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</si>
  <si>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</si>
  <si>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</si>
  <si>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</si>
  <si>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</si>
  <si>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</si>
  <si>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</si>
  <si>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</si>
  <si>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</si>
  <si>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</si>
  <si>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</si>
  <si>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</si>
  <si>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</si>
  <si>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</si>
  <si>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</si>
  <si>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</si>
  <si>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</si>
  <si>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</si>
  <si>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</si>
  <si>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</si>
  <si>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</si>
  <si>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</si>
  <si>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</si>
  <si>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</si>
  <si>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</si>
  <si>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</si>
  <si>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</si>
  <si>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</si>
  <si>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</si>
  <si>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</si>
  <si>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</si>
  <si>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</si>
  <si>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</si>
  <si>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</si>
  <si>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</si>
  <si>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</si>
  <si>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</si>
  <si>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</si>
  <si>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</si>
  <si>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</si>
  <si>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</si>
  <si>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</si>
  <si>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</si>
  <si>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</si>
  <si>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</si>
  <si>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</si>
  <si>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</si>
  <si>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</si>
  <si>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</si>
  <si>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</si>
  <si>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</si>
  <si>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</si>
  <si>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</si>
  <si>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</si>
  <si>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</si>
  <si>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</si>
  <si>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</si>
  <si>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</si>
  <si>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</si>
  <si>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</si>
  <si>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</si>
  <si>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</si>
  <si>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</si>
  <si>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</si>
  <si>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</si>
  <si>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</si>
  <si>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</si>
  <si>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</si>
  <si>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</si>
  <si>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</si>
  <si>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</si>
  <si>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</si>
  <si>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</si>
  <si>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</si>
  <si>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</si>
  <si>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</si>
  <si>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</si>
  <si>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</si>
  <si>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</si>
  <si>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</si>
  <si>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</si>
  <si>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</si>
  <si>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</si>
  <si>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</si>
  <si>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</si>
  <si>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</si>
  <si>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</si>
  <si>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</si>
  <si>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</si>
  <si>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</si>
  <si>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</si>
  <si>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</si>
  <si>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</si>
  <si>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</si>
  <si>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</si>
  <si>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</si>
  <si>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</si>
  <si>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</si>
  <si>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</si>
  <si>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</si>
  <si>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</si>
  <si>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</si>
  <si>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</si>
  <si>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</si>
  <si>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</si>
  <si>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</si>
  <si>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</si>
  <si>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</si>
  <si>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</si>
  <si>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</si>
  <si>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</si>
  <si>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</si>
  <si>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</si>
  <si>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</si>
  <si>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</si>
  <si>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</si>
  <si>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</si>
  <si>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</si>
  <si>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</si>
  <si>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</si>
  <si>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</si>
  <si>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</si>
  <si>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</si>
  <si>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</si>
  <si>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</si>
  <si>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</si>
  <si>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</si>
  <si>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</si>
  <si>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</si>
  <si>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</si>
  <si>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</si>
  <si>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</si>
  <si>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</si>
  <si>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</si>
  <si>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</si>
  <si>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</si>
  <si>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</si>
  <si>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</si>
  <si>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</si>
  <si>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</si>
  <si>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</si>
  <si>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</si>
  <si>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</si>
  <si>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</si>
  <si>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</si>
  <si>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</si>
  <si>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</si>
  <si>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</si>
  <si>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</si>
  <si>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</si>
  <si>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</si>
  <si>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</si>
  <si>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</si>
  <si>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</si>
  <si>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</si>
  <si>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</si>
  <si>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</si>
  <si>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</si>
  <si>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</si>
  <si>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</si>
  <si>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</si>
  <si>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</si>
  <si>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</si>
  <si>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</si>
  <si>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</si>
  <si>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</si>
  <si>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</si>
  <si>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</si>
  <si>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</si>
  <si>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</si>
  <si>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</si>
  <si>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</si>
  <si>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</si>
  <si>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</si>
  <si>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</si>
  <si>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</si>
  <si>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</si>
  <si>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</si>
  <si>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</si>
  <si>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</si>
  <si>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</si>
  <si>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</si>
  <si>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</si>
  <si>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</si>
  <si>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</si>
  <si>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</si>
  <si>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</si>
  <si>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</si>
  <si>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</si>
  <si>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</si>
  <si>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</si>
  <si>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</si>
  <si>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</si>
  <si>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</si>
  <si>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</si>
  <si>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</si>
  <si>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</si>
  <si>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</si>
  <si>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</si>
  <si>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</si>
  <si>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</si>
  <si>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</si>
  <si>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</si>
  <si>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</si>
  <si>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</si>
  <si>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</si>
  <si>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</si>
  <si>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</si>
  <si>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</si>
  <si>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</si>
  <si>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</si>
  <si>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</si>
  <si>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</si>
  <si>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</si>
  <si>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</si>
  <si>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</si>
  <si>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</si>
  <si>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</si>
  <si>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</si>
  <si>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</si>
  <si>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</si>
  <si>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</si>
  <si>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</si>
  <si>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</si>
  <si>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</si>
  <si>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</si>
  <si>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</si>
  <si>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</si>
  <si>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</si>
  <si>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</si>
  <si>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</si>
  <si>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</si>
  <si>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</si>
  <si>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</si>
  <si>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</si>
  <si>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</si>
  <si>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</si>
  <si>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</si>
  <si>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</si>
  <si>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</si>
  <si>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</si>
  <si>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</si>
  <si>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</si>
  <si>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</si>
  <si>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</si>
  <si>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</si>
  <si>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</si>
  <si>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</si>
  <si>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</si>
  <si>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</si>
  <si>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</si>
  <si>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</si>
  <si>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</si>
  <si>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</si>
  <si>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</si>
  <si>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</si>
  <si>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</si>
  <si>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</si>
  <si>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</si>
  <si>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</si>
  <si>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</si>
  <si>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</si>
  <si>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</si>
  <si>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</si>
  <si>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</si>
  <si>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</si>
  <si>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</si>
  <si>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</si>
  <si>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</si>
  <si>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</si>
  <si>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</si>
  <si>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</si>
  <si>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</si>
  <si>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</si>
  <si>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</si>
  <si>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</si>
  <si>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</si>
  <si>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</si>
  <si>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</si>
  <si>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</si>
  <si>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</si>
  <si>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</si>
  <si>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</si>
  <si>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</si>
  <si>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</si>
  <si>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</si>
  <si>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</si>
  <si>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</si>
  <si>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</si>
  <si>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</si>
  <si>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</si>
  <si>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</si>
  <si>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</si>
  <si>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</si>
  <si>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</si>
  <si>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</si>
  <si>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</si>
  <si>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</si>
  <si>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</si>
  <si>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</si>
  <si>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</si>
  <si>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</si>
  <si>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</si>
  <si>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</si>
  <si>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</si>
  <si>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</si>
  <si>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</si>
  <si>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</si>
  <si>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</si>
  <si>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</si>
  <si>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</si>
  <si>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</si>
  <si>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</si>
  <si>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</si>
  <si>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</si>
  <si>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</si>
  <si>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</si>
  <si>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</si>
  <si>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</si>
  <si>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</si>
  <si>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</si>
  <si>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</si>
  <si>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</si>
  <si>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</si>
  <si>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</si>
  <si>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</si>
  <si>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</si>
  <si>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</si>
  <si>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</si>
  <si>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</si>
  <si>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</si>
  <si>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</si>
  <si>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</si>
  <si>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</si>
  <si>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</si>
  <si>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</si>
  <si>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</si>
  <si>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</si>
  <si>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</si>
  <si>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</si>
  <si>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</si>
  <si>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</si>
  <si>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</si>
  <si>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</si>
  <si>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</si>
  <si>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</si>
  <si>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</si>
  <si>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</si>
  <si>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</si>
  <si>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</si>
  <si>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</si>
  <si>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</si>
  <si>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</si>
  <si>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</si>
  <si>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</si>
  <si>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</si>
  <si>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</si>
  <si>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</si>
  <si>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</si>
  <si>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</si>
  <si>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</si>
  <si>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</si>
  <si>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</si>
  <si>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</si>
  <si>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</si>
  <si>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</si>
  <si>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</si>
  <si>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</si>
  <si>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</si>
  <si>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</si>
  <si>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</si>
  <si>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</si>
  <si>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</si>
  <si>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</si>
  <si>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</si>
  <si>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</si>
  <si>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</si>
  <si>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</si>
  <si>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</si>
  <si>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</si>
  <si>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</si>
  <si>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</si>
  <si>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</si>
  <si>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</si>
  <si>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</si>
  <si>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</si>
  <si>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</si>
  <si>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</si>
  <si>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</si>
  <si>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</si>
  <si>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</si>
  <si>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</si>
  <si>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</si>
  <si>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</si>
  <si>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</si>
  <si>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</si>
  <si>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</si>
  <si>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</si>
  <si>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</si>
  <si>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</si>
  <si>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</si>
  <si>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</si>
  <si>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</si>
  <si>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</si>
  <si>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</si>
  <si>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</si>
  <si>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</si>
  <si>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</si>
  <si>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</si>
  <si>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</si>
  <si>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</si>
  <si>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</si>
  <si>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</si>
  <si>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</si>
  <si>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</si>
  <si>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</si>
  <si>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</si>
  <si>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</si>
  <si>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</si>
  <si>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</si>
  <si>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</si>
  <si>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</si>
  <si>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</si>
  <si>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</si>
  <si>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</si>
  <si>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</si>
  <si>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</si>
  <si>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</si>
  <si>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</si>
  <si>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</si>
  <si>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</si>
  <si>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</si>
  <si>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</si>
  <si>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</si>
  <si>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</si>
  <si>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</si>
  <si>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</si>
  <si>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</si>
  <si>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</si>
  <si>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</si>
  <si>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</si>
  <si>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</si>
  <si>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</si>
  <si>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</si>
  <si>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</si>
  <si>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</si>
  <si>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</si>
  <si>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</si>
  <si>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</si>
  <si>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</si>
  <si>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</si>
  <si>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</si>
  <si>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</si>
  <si>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</si>
  <si>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</si>
  <si>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</si>
  <si>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</si>
  <si>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</si>
  <si>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</si>
  <si>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</si>
  <si>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</si>
  <si>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</si>
  <si>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</si>
  <si>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</si>
  <si>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</si>
  <si>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</si>
  <si>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</si>
  <si>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</si>
  <si>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</si>
  <si>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</si>
  <si>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</si>
  <si>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</si>
  <si>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</si>
  <si>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</si>
  <si>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</si>
  <si>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</si>
  <si>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</si>
  <si>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</si>
  <si>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</si>
  <si>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</si>
  <si>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</si>
  <si>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</si>
  <si>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</si>
  <si>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</si>
  <si>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</si>
  <si>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</si>
  <si>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</si>
  <si>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</si>
  <si>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</si>
  <si>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</si>
  <si>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</si>
  <si>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</si>
  <si>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</si>
  <si>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</si>
  <si>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</si>
  <si>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</si>
  <si>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</si>
  <si>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</si>
  <si>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</si>
  <si>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</si>
  <si>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</si>
  <si>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</si>
  <si>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</si>
  <si>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</si>
  <si>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</si>
  <si>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</si>
  <si>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</si>
  <si>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</si>
  <si>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</si>
  <si>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</si>
  <si>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</si>
  <si>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</si>
  <si>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</si>
  <si>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</si>
  <si>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</si>
  <si>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</si>
  <si>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</si>
  <si>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</si>
  <si>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</si>
  <si>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</si>
  <si>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</si>
  <si>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</si>
  <si>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</si>
  <si>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</si>
  <si>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</si>
  <si>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</si>
  <si>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</si>
  <si>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</si>
  <si>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</si>
  <si>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</si>
  <si>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</si>
  <si>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</si>
  <si>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</si>
  <si>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</si>
  <si>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</si>
  <si>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</si>
  <si>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</si>
  <si>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</si>
  <si>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</si>
  <si>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</si>
  <si>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</si>
  <si>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</si>
  <si>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</si>
  <si>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</si>
  <si>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</si>
  <si>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</si>
  <si>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</si>
  <si>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</si>
  <si>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</si>
  <si>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</si>
  <si>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</si>
  <si>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</si>
  <si>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</si>
  <si>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</si>
  <si>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</si>
  <si>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</si>
  <si>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</si>
  <si>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</si>
  <si>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</si>
  <si>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</si>
  <si>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</si>
  <si>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</si>
  <si>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</si>
  <si>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</si>
  <si>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</si>
  <si>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</si>
  <si>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</si>
  <si>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</si>
  <si>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</si>
  <si>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</si>
  <si>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</si>
  <si>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</si>
  <si>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</si>
  <si>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</si>
  <si>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</si>
  <si>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</si>
  <si>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</si>
  <si>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</si>
  <si>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</si>
  <si>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</si>
  <si>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</si>
  <si>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</si>
  <si>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</si>
  <si>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</si>
  <si>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</si>
  <si>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</si>
  <si>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</si>
  <si>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</si>
  <si>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</si>
  <si>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</si>
  <si>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</si>
  <si>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</si>
  <si>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</si>
  <si>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</si>
  <si>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</si>
  <si>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</si>
  <si>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</si>
  <si>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</si>
  <si>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</si>
  <si>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</si>
  <si>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</si>
  <si>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</si>
  <si>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</si>
  <si>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</si>
  <si>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</si>
  <si>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</si>
  <si>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</si>
  <si>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</si>
  <si>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</si>
  <si>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</si>
  <si>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</si>
  <si>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</si>
  <si>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</si>
  <si>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</si>
  <si>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</si>
  <si>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</si>
  <si>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</si>
  <si>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</si>
  <si>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</si>
  <si>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</si>
  <si>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</si>
  <si>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</si>
  <si>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</si>
  <si>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</si>
  <si>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</si>
  <si>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</si>
  <si>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</si>
  <si>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</si>
  <si>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</si>
  <si>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</si>
  <si>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</si>
  <si>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</si>
  <si>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</si>
  <si>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</si>
  <si>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</si>
  <si>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</si>
  <si>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</si>
  <si>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</si>
  <si>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</si>
  <si>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</si>
  <si>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</si>
  <si>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</si>
  <si>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</si>
  <si>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</si>
  <si>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</si>
  <si>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</si>
  <si>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</si>
  <si>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</si>
  <si>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</si>
  <si>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</si>
  <si>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</si>
  <si>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</si>
  <si>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</si>
  <si>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</si>
  <si>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</si>
  <si>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</si>
  <si>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</si>
  <si>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</si>
  <si>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</si>
  <si>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</si>
  <si>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</si>
  <si>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</si>
  <si>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</si>
  <si>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</si>
  <si>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</si>
  <si>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</si>
  <si>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</si>
  <si>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</si>
  <si>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</si>
  <si>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</si>
  <si>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</si>
  <si>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</si>
  <si>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</si>
  <si>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</si>
  <si>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</si>
  <si>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</si>
  <si>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</si>
  <si>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</si>
  <si>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</si>
  <si>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</si>
  <si>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</si>
  <si>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</si>
  <si>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</si>
  <si>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</si>
  <si>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</si>
  <si>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</si>
  <si>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</si>
  <si>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</si>
  <si>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</si>
  <si>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</si>
  <si>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</si>
  <si>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</si>
  <si>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</si>
  <si>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</si>
  <si>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</si>
  <si>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</si>
  <si>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</si>
  <si>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</si>
  <si>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</si>
  <si>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</si>
  <si>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</si>
  <si>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</si>
  <si>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</si>
  <si>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</si>
  <si>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</si>
  <si>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</si>
  <si>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</si>
  <si>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</si>
  <si>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</si>
  <si>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</si>
  <si>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</si>
  <si>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</si>
  <si>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</si>
  <si>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</si>
  <si>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</si>
  <si>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</si>
  <si>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</si>
  <si>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</si>
  <si>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</si>
  <si>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</si>
  <si>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</si>
  <si>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</si>
  <si>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</si>
  <si>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</si>
  <si>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</si>
  <si>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</si>
  <si>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</si>
  <si>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</si>
  <si>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</si>
  <si>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</si>
  <si>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</si>
  <si>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</si>
  <si>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</si>
  <si>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</si>
  <si>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</si>
  <si>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</si>
  <si>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</si>
  <si>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</si>
  <si>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</si>
  <si>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</si>
  <si>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</si>
  <si>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</si>
  <si>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</si>
  <si>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</si>
  <si>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</si>
  <si>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</si>
  <si>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</si>
  <si>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</si>
  <si>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</si>
  <si>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</si>
  <si>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</si>
  <si>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</si>
  <si>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</si>
  <si>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</si>
  <si>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</si>
  <si>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</si>
  <si>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</si>
  <si>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</si>
  <si>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</si>
  <si>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</si>
  <si>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</si>
  <si>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</si>
  <si>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</si>
  <si>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</si>
  <si>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</si>
  <si>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</si>
  <si>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</si>
  <si>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</si>
  <si>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</si>
  <si>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</si>
  <si>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</si>
  <si>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</si>
  <si>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</si>
  <si>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</si>
  <si>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</si>
  <si>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</si>
  <si>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</si>
  <si>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</si>
  <si>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</si>
  <si>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</si>
  <si>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</si>
  <si>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</si>
  <si>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</si>
  <si>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</si>
  <si>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</si>
  <si>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</si>
  <si>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</si>
  <si>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</si>
  <si>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</si>
  <si>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</si>
  <si>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</si>
  <si>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</si>
  <si>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</si>
  <si>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</si>
  <si>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</si>
  <si>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</si>
  <si>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</si>
  <si>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</si>
  <si>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</si>
  <si>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</si>
  <si>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</si>
  <si>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</si>
  <si>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</si>
  <si>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</si>
  <si>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</si>
  <si>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</si>
  <si>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</si>
  <si>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</si>
  <si>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</si>
  <si>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</si>
  <si>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</si>
  <si>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</si>
  <si>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</si>
  <si>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</si>
  <si>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</si>
  <si>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</si>
  <si>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</si>
  <si>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</si>
  <si>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</si>
  <si>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</si>
  <si>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</si>
  <si>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</si>
  <si>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</si>
  <si>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</si>
  <si>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</si>
  <si>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</si>
  <si>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</si>
  <si>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</si>
  <si>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</si>
  <si>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</si>
  <si>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</si>
  <si>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</si>
  <si>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</si>
  <si>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</si>
  <si>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</si>
  <si>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</si>
  <si>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</si>
  <si>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</si>
  <si>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</si>
  <si>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</si>
  <si>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</si>
  <si>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</si>
  <si>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</si>
  <si>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</si>
  <si>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</si>
  <si>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</si>
  <si>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</si>
  <si>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</si>
  <si>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</si>
  <si>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</si>
  <si>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</si>
  <si>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</si>
  <si>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</si>
  <si>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</si>
  <si>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</si>
  <si>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</si>
  <si>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</si>
  <si>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</si>
  <si>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</si>
  <si>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</si>
  <si>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</si>
  <si>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</si>
  <si>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</si>
  <si>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</si>
  <si>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</si>
  <si>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</si>
  <si>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</si>
  <si>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</si>
  <si>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</si>
  <si>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</si>
  <si>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</si>
  <si>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</si>
  <si>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</si>
  <si>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</si>
  <si>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</si>
  <si>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</si>
  <si>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</si>
  <si>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</si>
  <si>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</si>
  <si>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</si>
  <si>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</si>
  <si>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</si>
  <si>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</si>
  <si>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</si>
  <si>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</si>
  <si>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</si>
  <si>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</si>
  <si>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</si>
  <si>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</si>
  <si>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</si>
  <si>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</si>
  <si>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</si>
  <si>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</si>
  <si>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</si>
  <si>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</si>
  <si>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</si>
  <si>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</si>
  <si>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</si>
  <si>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</si>
  <si>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</si>
  <si>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</si>
  <si>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</si>
  <si>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</si>
  <si>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</si>
  <si>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</si>
  <si>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</si>
  <si>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</si>
  <si>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</si>
  <si>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</si>
  <si>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</si>
  <si>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</si>
  <si>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</si>
  <si>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</si>
  <si>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</si>
  <si>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</si>
  <si>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</si>
  <si>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</si>
  <si>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</si>
  <si>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</si>
  <si>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</si>
  <si>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</si>
  <si>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</si>
  <si>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</si>
  <si>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</si>
  <si>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</si>
  <si>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</si>
  <si>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</si>
  <si>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</si>
  <si>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</si>
  <si>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</si>
  <si>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</si>
  <si>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</si>
  <si>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</si>
  <si>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</si>
  <si>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</si>
  <si>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</si>
  <si>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</si>
  <si>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</si>
  <si>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</si>
  <si>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</si>
  <si>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</si>
  <si>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</si>
  <si>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</si>
  <si>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</si>
  <si>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</si>
  <si>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</si>
  <si>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</si>
  <si>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</si>
  <si>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</si>
  <si>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</si>
  <si>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</si>
  <si>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</si>
  <si>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</si>
  <si>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</si>
  <si>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</si>
  <si>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</si>
  <si>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</si>
  <si>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</si>
  <si>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</si>
  <si>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</si>
  <si>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</si>
  <si>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</si>
  <si>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</si>
  <si>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</si>
  <si>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</si>
  <si>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</si>
  <si>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</si>
  <si>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</si>
  <si>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</si>
  <si>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</si>
  <si>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</si>
  <si>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</si>
  <si>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</si>
  <si>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</si>
  <si>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</si>
  <si>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</si>
  <si>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</si>
  <si>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</si>
  <si>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</si>
  <si>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</si>
  <si>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</si>
  <si>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</si>
  <si>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</si>
  <si>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</si>
  <si>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</si>
  <si>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</si>
  <si>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</si>
  <si>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</si>
  <si>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</si>
  <si>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</si>
  <si>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</si>
  <si>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</si>
  <si>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</si>
  <si>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</si>
  <si>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</si>
  <si>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</si>
  <si>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</si>
  <si>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</si>
  <si>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</si>
  <si>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</si>
  <si>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</si>
  <si>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</si>
  <si>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</si>
  <si>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</si>
  <si>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</si>
  <si>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</si>
  <si>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</si>
  <si>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</si>
  <si>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</si>
  <si>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</si>
  <si>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</si>
  <si>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</si>
  <si>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</si>
  <si>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</si>
  <si>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</si>
  <si>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</si>
  <si>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</si>
  <si>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</si>
  <si>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</si>
  <si>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</si>
  <si>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</si>
  <si>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</si>
  <si>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</si>
  <si>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</si>
  <si>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</si>
  <si>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</si>
  <si>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</si>
  <si>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</si>
  <si>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</si>
  <si>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</si>
  <si>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</si>
  <si>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</si>
  <si>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</si>
  <si>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</si>
  <si>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</si>
  <si>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</si>
  <si>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</si>
  <si>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</si>
  <si>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</si>
  <si>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</si>
  <si>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</si>
  <si>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</si>
  <si>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</si>
  <si>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</si>
  <si>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</si>
  <si>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</si>
  <si>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</si>
  <si>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</si>
  <si>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</si>
  <si>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</si>
  <si>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</si>
  <si>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</si>
  <si>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</si>
  <si>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</si>
  <si>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</si>
  <si>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</si>
  <si>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</si>
  <si>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</si>
  <si>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</si>
  <si>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</si>
  <si>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</si>
  <si>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</si>
  <si>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</si>
  <si>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</si>
  <si>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</si>
  <si>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</si>
  <si>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</si>
  <si>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</si>
  <si>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</si>
  <si>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</si>
  <si>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</si>
  <si>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</si>
  <si>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</si>
  <si>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</si>
  <si>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</si>
  <si>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</si>
  <si>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</si>
  <si>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</si>
  <si>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</si>
  <si>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</si>
  <si>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</si>
  <si>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</si>
  <si>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</si>
  <si>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</si>
  <si>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</si>
  <si>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</si>
  <si>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</si>
  <si>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</si>
  <si>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</si>
  <si>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</si>
  <si>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</si>
  <si>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</si>
  <si>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</si>
  <si>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</si>
  <si>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</si>
  <si>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</si>
  <si>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</si>
  <si>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</si>
  <si>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</si>
  <si>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</si>
  <si>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</si>
  <si>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</si>
  <si>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</si>
  <si>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</si>
  <si>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</si>
  <si>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</si>
  <si>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</si>
  <si>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</si>
  <si>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</si>
  <si>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</si>
  <si>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</si>
  <si>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</si>
  <si>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</si>
  <si>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</si>
  <si>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</si>
  <si>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</si>
  <si>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</si>
  <si>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</si>
  <si>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</si>
  <si>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</si>
  <si>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</si>
  <si>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</si>
  <si>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</si>
  <si>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</si>
  <si>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</si>
  <si>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</si>
  <si>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</si>
  <si>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</si>
  <si>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</si>
  <si>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</si>
  <si>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</si>
  <si>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</si>
  <si>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</si>
  <si>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</si>
  <si>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</si>
  <si>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</si>
  <si>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</si>
  <si>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</si>
  <si>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</si>
  <si>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</si>
  <si>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</si>
  <si>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</si>
  <si>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</si>
  <si>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</si>
  <si>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</si>
  <si>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</si>
  <si>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</si>
  <si>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</si>
  <si>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</si>
  <si>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</si>
  <si>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</si>
  <si>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</si>
  <si>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</si>
  <si>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</si>
  <si>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</si>
  <si>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</si>
  <si>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</si>
  <si>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</si>
  <si>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</si>
  <si>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</si>
  <si>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</si>
  <si>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</si>
  <si>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</si>
  <si>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</si>
  <si>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</si>
  <si>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</si>
  <si>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</si>
  <si>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</si>
  <si>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</si>
  <si>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</si>
  <si>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</si>
  <si>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</si>
  <si>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</si>
  <si>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</si>
  <si>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</si>
  <si>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</si>
  <si>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</si>
  <si>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</si>
  <si>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</si>
  <si>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</si>
  <si>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</si>
  <si>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</si>
  <si>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</si>
  <si>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</si>
  <si>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</si>
  <si>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</si>
  <si>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</si>
  <si>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</si>
  <si>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</si>
  <si>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</si>
  <si>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</si>
  <si>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</si>
  <si>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</si>
  <si>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</si>
  <si>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</si>
  <si>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</si>
  <si>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</si>
  <si>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</si>
  <si>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</si>
  <si>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</si>
  <si>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</si>
  <si>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</si>
  <si>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</si>
  <si>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</si>
  <si>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</si>
  <si>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</si>
  <si>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</si>
  <si>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</si>
  <si>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</si>
  <si>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</si>
  <si>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</si>
  <si>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</si>
  <si>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</si>
  <si>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</si>
  <si>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</si>
  <si>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</si>
  <si>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</si>
  <si>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</si>
  <si>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</si>
  <si>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</si>
  <si>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</si>
  <si>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</si>
  <si>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</si>
  <si>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</si>
  <si>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</si>
  <si>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</si>
  <si>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</si>
  <si>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</si>
  <si>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</si>
  <si>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</si>
  <si>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</si>
  <si>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</si>
  <si>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</si>
  <si>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</si>
  <si>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</si>
  <si>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</si>
  <si>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</si>
  <si>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</si>
  <si>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</si>
  <si>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</si>
  <si>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</si>
  <si>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</si>
  <si>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</si>
  <si>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</si>
  <si>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</si>
  <si>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</si>
  <si>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</si>
  <si>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</si>
  <si>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</si>
  <si>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</si>
  <si>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</si>
  <si>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</si>
  <si>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</si>
  <si>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</si>
  <si>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</si>
  <si>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</si>
  <si>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</si>
  <si>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</si>
  <si>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</si>
  <si>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</si>
  <si>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</si>
  <si>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</si>
  <si>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</si>
  <si>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</si>
  <si>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</si>
  <si>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</si>
  <si>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</si>
  <si>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</si>
  <si>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</si>
  <si>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</si>
  <si>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</si>
  <si>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</si>
  <si>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</si>
  <si>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</si>
  <si>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</si>
  <si>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</si>
  <si>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</si>
  <si>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</si>
  <si>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</si>
  <si>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</si>
  <si>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</si>
  <si>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</si>
  <si>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</si>
  <si>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</si>
  <si>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</si>
  <si>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</si>
  <si>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</si>
  <si>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</si>
  <si>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</si>
  <si>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</si>
  <si>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</si>
  <si>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</si>
  <si>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</si>
  <si>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</si>
  <si>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</si>
  <si>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</si>
  <si>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</si>
  <si>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</si>
  <si>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</si>
  <si>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</si>
  <si>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</si>
  <si>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</si>
  <si>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</si>
  <si>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</si>
  <si>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</si>
  <si>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</si>
  <si>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</si>
  <si>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</si>
  <si>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</si>
  <si>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</si>
  <si>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</si>
  <si>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</si>
  <si>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</si>
  <si>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</si>
  <si>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</si>
  <si>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</si>
  <si>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</si>
  <si>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</si>
  <si>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</si>
  <si>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</si>
  <si>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</si>
  <si>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</si>
  <si>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</si>
  <si>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</si>
  <si>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</si>
  <si>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</si>
  <si>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</si>
  <si>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</si>
  <si>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</si>
  <si>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</si>
  <si>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</si>
  <si>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</si>
  <si>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</si>
  <si>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</si>
  <si>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</si>
  <si>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</si>
  <si>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</si>
  <si>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</si>
  <si>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</si>
  <si>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</si>
  <si>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</si>
  <si>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</si>
  <si>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</si>
  <si>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</si>
  <si>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</si>
  <si>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</si>
  <si>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</si>
  <si>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</si>
  <si>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</si>
  <si>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</si>
  <si>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</si>
  <si>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</si>
  <si>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</si>
  <si>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</si>
  <si>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</si>
  <si>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</si>
  <si>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</si>
  <si>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</si>
  <si>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</si>
  <si>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</si>
  <si>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</si>
  <si>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</si>
  <si>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</si>
  <si>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</si>
  <si>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</si>
  <si>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</si>
  <si>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</si>
  <si>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</si>
  <si>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</si>
  <si>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</si>
  <si>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</si>
  <si>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</si>
  <si>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</si>
  <si>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</si>
  <si>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</si>
  <si>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</si>
  <si>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</si>
  <si>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</si>
  <si>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</si>
  <si>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</si>
  <si>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</si>
  <si>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</si>
  <si>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</si>
  <si>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</si>
  <si>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</si>
  <si>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</si>
  <si>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</si>
  <si>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</si>
  <si>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</si>
  <si>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</si>
  <si>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</si>
  <si>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</si>
  <si>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</si>
  <si>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</si>
  <si>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</si>
  <si>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</si>
  <si>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</si>
  <si>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</si>
  <si>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</si>
  <si>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</si>
  <si>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</si>
  <si>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</si>
  <si>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</si>
  <si>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</si>
  <si>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</si>
  <si>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</si>
  <si>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</si>
  <si>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</si>
  <si>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</si>
  <si>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</si>
  <si>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</si>
  <si>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</si>
  <si>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</si>
  <si>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</si>
  <si>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</si>
  <si>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</si>
  <si>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</si>
  <si>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</si>
  <si>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</si>
  <si>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</si>
  <si>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</si>
  <si>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</si>
  <si>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</si>
  <si>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</si>
  <si>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</si>
  <si>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</si>
  <si>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</si>
  <si>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</si>
  <si>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</si>
  <si>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</si>
  <si>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</si>
  <si>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</si>
  <si>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</si>
  <si>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</si>
  <si>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</si>
  <si>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</si>
  <si>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</si>
  <si>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</si>
  <si>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</si>
  <si>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</si>
  <si>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</si>
  <si>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</si>
  <si>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</si>
  <si>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</si>
  <si>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</si>
  <si>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</si>
  <si>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</si>
  <si>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</si>
  <si>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</si>
  <si>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</si>
  <si>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</si>
  <si>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</si>
  <si>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</si>
  <si>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</si>
  <si>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</si>
  <si>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</si>
  <si>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</si>
  <si>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</si>
  <si>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</si>
  <si>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</si>
  <si>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</si>
  <si>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</si>
  <si>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</si>
  <si>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</si>
  <si>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</si>
  <si>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</si>
  <si>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</si>
  <si>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</si>
  <si>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</si>
  <si>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</si>
  <si>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</si>
  <si>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</si>
  <si>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</si>
  <si>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</si>
  <si>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</si>
  <si>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</si>
  <si>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</si>
  <si>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</si>
  <si>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</si>
  <si>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</si>
  <si>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</si>
  <si>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</si>
  <si>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</si>
  <si>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</si>
  <si>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</si>
  <si>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</si>
  <si>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</si>
  <si>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</si>
  <si>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</si>
  <si>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</si>
  <si>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</si>
  <si>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</si>
  <si>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</si>
  <si>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</si>
  <si>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</si>
  <si>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</si>
  <si>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</si>
  <si>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</si>
  <si>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</si>
  <si>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</si>
  <si>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</si>
  <si>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</si>
  <si>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</si>
  <si>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</si>
  <si>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</si>
  <si>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</si>
  <si>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</si>
  <si>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</si>
  <si>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</si>
  <si>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</si>
  <si>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</si>
  <si>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</si>
  <si>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</si>
  <si>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</si>
  <si>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</si>
  <si>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</si>
  <si>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</si>
  <si>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</si>
  <si>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</si>
  <si>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</si>
  <si>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</si>
  <si>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</si>
  <si>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</si>
  <si>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</si>
  <si>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</si>
  <si>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</si>
  <si>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</si>
  <si>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</si>
  <si>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</si>
  <si>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</si>
  <si>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</si>
  <si>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</si>
  <si>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</si>
  <si>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</si>
  <si>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</si>
  <si>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</si>
  <si>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</si>
  <si>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</si>
  <si>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</si>
  <si>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</si>
  <si>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</si>
  <si>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</si>
  <si>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</si>
  <si>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</si>
  <si>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</si>
  <si>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</si>
  <si>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</si>
  <si>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</si>
  <si>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</si>
  <si>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</si>
  <si>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</si>
  <si>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</si>
  <si>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</si>
  <si>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</si>
  <si>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</si>
  <si>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</si>
  <si>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</si>
  <si>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</si>
  <si>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</si>
  <si>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</si>
  <si>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</si>
  <si>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</si>
  <si>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</si>
  <si>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</si>
  <si>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</si>
  <si>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</si>
  <si>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</si>
  <si>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</si>
  <si>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</si>
  <si>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</si>
  <si>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</si>
  <si>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</si>
  <si>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</si>
  <si>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</si>
  <si>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</si>
  <si>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</si>
  <si>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</si>
  <si>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</si>
  <si>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</si>
  <si>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</si>
  <si>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</si>
  <si>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</si>
  <si>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</si>
  <si>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</si>
  <si>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</si>
  <si>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</si>
  <si>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</si>
  <si>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</si>
  <si>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</si>
  <si>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</si>
  <si>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</si>
  <si>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</si>
  <si>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</si>
  <si>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</si>
  <si>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</si>
  <si>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</si>
  <si>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</si>
  <si>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</si>
  <si>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</si>
  <si>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</si>
  <si>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</si>
  <si>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</si>
  <si>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</si>
  <si>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</si>
  <si>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</si>
  <si>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</si>
  <si>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</si>
  <si>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</si>
  <si>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</si>
  <si>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</si>
  <si>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</si>
  <si>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</si>
  <si>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</si>
  <si>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</si>
  <si>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</si>
  <si>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</si>
  <si>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</si>
  <si>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</si>
  <si>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</si>
  <si>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</si>
  <si>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</si>
  <si>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</si>
  <si>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</si>
  <si>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</si>
  <si>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</si>
  <si>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</si>
  <si>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</si>
  <si>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</si>
  <si>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</si>
  <si>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</si>
  <si>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</si>
  <si>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</si>
  <si>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</si>
  <si>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</si>
  <si>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</si>
  <si>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</si>
  <si>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</si>
  <si>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</si>
  <si>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</si>
  <si>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</si>
  <si>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</si>
  <si>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</si>
  <si>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</si>
  <si>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</si>
  <si>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</si>
  <si>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</si>
  <si>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</si>
  <si>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</si>
  <si>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</si>
  <si>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</si>
  <si>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</si>
  <si>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</si>
  <si>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</si>
  <si>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</si>
  <si>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</si>
  <si>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</si>
  <si>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</si>
  <si>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</si>
  <si>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</si>
  <si>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</si>
  <si>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</si>
  <si>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</si>
  <si>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</si>
  <si>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</si>
  <si>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</si>
  <si>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</si>
  <si>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</si>
  <si>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</si>
  <si>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</si>
  <si>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</si>
  <si>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</si>
  <si>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</si>
  <si>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</si>
  <si>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</si>
  <si>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</si>
  <si>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</si>
  <si>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</si>
  <si>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</si>
  <si>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</si>
  <si>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</si>
  <si>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</si>
  <si>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</si>
  <si>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</si>
  <si>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</si>
  <si>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</si>
  <si>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</si>
  <si>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</si>
  <si>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</si>
  <si>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</si>
  <si>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</si>
  <si>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</si>
  <si>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</si>
  <si>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</si>
  <si>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</si>
  <si>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</si>
  <si>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</si>
  <si>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</si>
  <si>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</si>
  <si>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</si>
  <si>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</si>
  <si>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</si>
  <si>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</si>
  <si>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</si>
  <si>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</si>
  <si>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</si>
  <si>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</si>
  <si>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</si>
  <si>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</si>
  <si>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</si>
  <si>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</si>
  <si>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</si>
  <si>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</si>
  <si>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</si>
  <si>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</si>
  <si>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</si>
  <si>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</si>
  <si>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</si>
  <si>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</si>
  <si>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</si>
  <si>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</si>
  <si>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</si>
  <si>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</si>
  <si>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</si>
  <si>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</si>
  <si>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</si>
  <si>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</si>
  <si>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</si>
  <si>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</si>
  <si>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</si>
  <si>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</si>
  <si>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</si>
  <si>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</si>
  <si>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</si>
  <si>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</si>
  <si>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</si>
  <si>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</si>
  <si>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</si>
  <si>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</si>
  <si>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</si>
  <si>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</si>
  <si>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</si>
  <si>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</si>
  <si>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</si>
  <si>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</si>
  <si>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</si>
  <si>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</si>
  <si>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</si>
  <si>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</si>
  <si>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</si>
  <si>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</si>
  <si>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</si>
  <si>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</si>
  <si>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</si>
  <si>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</si>
  <si>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</si>
  <si>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</si>
  <si>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</si>
  <si>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</si>
  <si>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</si>
  <si>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</si>
  <si>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</si>
  <si>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</si>
  <si>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</si>
  <si>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</si>
  <si>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</si>
  <si>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</si>
  <si>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</si>
  <si>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</si>
  <si>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</si>
  <si>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</si>
  <si>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</si>
  <si>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</si>
  <si>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</si>
  <si>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</si>
  <si>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</si>
  <si>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</si>
  <si>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</si>
  <si>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</si>
  <si>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</si>
  <si>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</si>
  <si>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</si>
  <si>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</si>
  <si>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</si>
  <si>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</si>
  <si>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</si>
  <si>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</si>
  <si>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</si>
  <si>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</si>
  <si>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</si>
  <si>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</si>
  <si>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</si>
  <si>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</si>
  <si>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</si>
  <si>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</si>
  <si>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</si>
  <si>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</si>
  <si>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</si>
  <si>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</si>
  <si>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</si>
  <si>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</si>
  <si>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</si>
  <si>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</si>
  <si>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</si>
  <si>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</si>
  <si>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</si>
  <si>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</si>
  <si>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</si>
  <si>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</si>
  <si>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</si>
  <si>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</si>
  <si>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</si>
  <si>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</si>
  <si>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</si>
  <si>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</si>
  <si>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</si>
  <si>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</si>
  <si>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</si>
  <si>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</si>
  <si>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</si>
  <si>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</si>
  <si>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</si>
  <si>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</si>
  <si>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</si>
  <si>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</si>
  <si>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</si>
  <si>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</si>
  <si>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</si>
  <si>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</si>
  <si>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</si>
  <si>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</si>
  <si>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</si>
  <si>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</si>
  <si>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</si>
  <si>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</si>
  <si>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</si>
  <si>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</si>
  <si>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</si>
  <si>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</si>
  <si>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</si>
  <si>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</si>
  <si>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</si>
  <si>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</si>
  <si>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</si>
  <si>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</si>
  <si>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</si>
  <si>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</si>
  <si>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</si>
  <si>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</si>
  <si>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</si>
  <si>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</si>
  <si>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</si>
  <si>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</si>
  <si>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</si>
  <si>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</si>
  <si>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</si>
  <si>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</si>
  <si>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</si>
  <si>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</si>
  <si>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</si>
  <si>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</si>
  <si>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</si>
  <si>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</si>
  <si>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</si>
  <si>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</si>
  <si>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</si>
  <si>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</si>
  <si>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</si>
  <si>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</si>
  <si>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</si>
  <si>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</si>
  <si>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</si>
  <si>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</si>
  <si>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</si>
  <si>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</si>
  <si>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</si>
  <si>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</si>
  <si>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</si>
  <si>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</si>
  <si>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</si>
  <si>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</si>
  <si>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</si>
  <si>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</si>
  <si>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</si>
  <si>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</si>
  <si>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</si>
  <si>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</si>
  <si>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</si>
  <si>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</si>
  <si>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</si>
  <si>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</si>
  <si>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</si>
  <si>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</si>
  <si>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</si>
  <si>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</si>
  <si>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</si>
  <si>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</si>
  <si>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</si>
  <si>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</si>
  <si>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</si>
  <si>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</si>
  <si>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</si>
  <si>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</si>
  <si>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</si>
  <si>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</si>
  <si>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</si>
  <si>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</si>
  <si>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</si>
  <si>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</si>
  <si>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</si>
  <si>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</si>
  <si>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</si>
  <si>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</si>
  <si>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</si>
  <si>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</si>
  <si>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</si>
  <si>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</si>
  <si>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</si>
  <si>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</si>
  <si>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</si>
  <si>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</si>
  <si>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</si>
  <si>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</si>
  <si>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</si>
  <si>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</si>
  <si>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</si>
  <si>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</si>
  <si>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</si>
  <si>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</si>
  <si>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</si>
  <si>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</si>
  <si>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</si>
  <si>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</si>
  <si>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</si>
  <si>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</si>
  <si>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</si>
  <si>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</si>
  <si>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</si>
  <si>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</si>
  <si>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</si>
  <si>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</si>
  <si>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</si>
  <si>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</si>
  <si>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</si>
  <si>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</si>
  <si>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</si>
  <si>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</si>
  <si>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</si>
  <si>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</si>
  <si>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</si>
  <si>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</si>
  <si>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</si>
  <si>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</si>
  <si>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</si>
  <si>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</si>
  <si>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</si>
  <si>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</si>
  <si>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</si>
  <si>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</si>
  <si>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</si>
  <si>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</si>
  <si>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</si>
  <si>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</si>
  <si>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</si>
  <si>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</si>
  <si>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</si>
  <si>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</si>
  <si>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</si>
  <si>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</si>
  <si>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</si>
  <si>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</si>
  <si>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</si>
  <si>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</si>
  <si>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</si>
  <si>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</si>
  <si>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</si>
  <si>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</si>
  <si>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</si>
  <si>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</si>
  <si>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</si>
  <si>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</si>
  <si>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</si>
  <si>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</si>
  <si>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</si>
  <si>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</si>
  <si>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</si>
  <si>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</si>
  <si>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</si>
  <si>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</si>
  <si>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</si>
  <si>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</si>
  <si>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</si>
  <si>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</si>
  <si>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</si>
  <si>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</si>
  <si>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</si>
  <si>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</si>
  <si>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</si>
  <si>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</si>
  <si>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</si>
  <si>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</si>
  <si>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</si>
  <si>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</si>
  <si>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</si>
  <si>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</si>
  <si>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</si>
  <si>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</si>
  <si>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</si>
  <si>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</si>
  <si>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</si>
  <si>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</si>
  <si>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</si>
  <si>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</si>
  <si>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</si>
  <si>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</si>
  <si>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</si>
  <si>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</si>
  <si>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</si>
  <si>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</si>
  <si>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</si>
  <si>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</si>
  <si>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</si>
  <si>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</si>
  <si>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</si>
  <si>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</si>
  <si>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</si>
  <si>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</si>
  <si>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</si>
  <si>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</si>
  <si>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</si>
  <si>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</si>
  <si>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</si>
  <si>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</si>
  <si>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</si>
  <si>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</si>
  <si>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</si>
  <si>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</si>
  <si>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</si>
  <si>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</si>
  <si>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</si>
  <si>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</si>
  <si>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</si>
  <si>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</si>
  <si>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</si>
  <si>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</si>
  <si>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</si>
  <si>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</si>
  <si>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</si>
  <si>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</si>
  <si>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</si>
  <si>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</si>
  <si>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</si>
  <si>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</si>
  <si>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</si>
  <si>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</si>
  <si>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</si>
  <si>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</si>
  <si>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</si>
  <si>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</si>
  <si>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</si>
  <si>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</si>
  <si>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</si>
  <si>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</si>
  <si>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</si>
  <si>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</si>
  <si>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</si>
  <si>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</si>
  <si>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</si>
  <si>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</si>
  <si>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</si>
  <si>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</si>
  <si>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</si>
  <si>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</si>
  <si>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</si>
  <si>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</si>
  <si>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</si>
  <si>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</si>
  <si>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</si>
  <si>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</si>
  <si>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</si>
  <si>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</si>
  <si>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</si>
  <si>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</si>
  <si>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</si>
  <si>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</si>
  <si>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</si>
  <si>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</si>
  <si>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</si>
  <si>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</si>
  <si>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</si>
  <si>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</si>
  <si>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</si>
  <si>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</si>
  <si>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</si>
  <si>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</si>
  <si>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</si>
  <si>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</si>
  <si>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</si>
  <si>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</si>
  <si>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</si>
  <si>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</si>
  <si>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</si>
  <si>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</si>
  <si>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</si>
  <si>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</si>
  <si>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</si>
  <si>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</si>
  <si>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</si>
  <si>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</si>
  <si>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</si>
  <si>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</si>
  <si>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</si>
  <si>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</si>
  <si>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</si>
  <si>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</si>
  <si>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</si>
  <si>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</si>
  <si>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</si>
  <si>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</si>
  <si>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</si>
  <si>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</si>
  <si>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</si>
  <si>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</si>
  <si>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</si>
  <si>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</si>
  <si>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</si>
  <si>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</si>
  <si>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</si>
  <si>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</si>
  <si>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</si>
  <si>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</si>
  <si>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</si>
  <si>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</si>
  <si>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</si>
  <si>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</si>
  <si>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</si>
  <si>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</si>
  <si>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</si>
  <si>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</si>
  <si>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</si>
  <si>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</si>
  <si>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</si>
  <si>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</si>
  <si>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</si>
  <si>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</si>
  <si>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</si>
  <si>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</si>
  <si>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</si>
  <si>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</si>
  <si>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</si>
  <si>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</si>
  <si>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</si>
  <si>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</si>
  <si>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</si>
  <si>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</si>
  <si>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</si>
  <si>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</si>
  <si>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</si>
  <si>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</si>
  <si>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</si>
  <si>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</si>
  <si>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</si>
  <si>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</si>
  <si>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</si>
  <si>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</si>
  <si>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</si>
  <si>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</si>
  <si>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</si>
  <si>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</si>
  <si>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</si>
  <si>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</si>
  <si>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</si>
  <si>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</si>
  <si>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</si>
  <si>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</si>
  <si>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</si>
  <si>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</si>
  <si>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</si>
  <si>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</si>
  <si>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</si>
  <si>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</si>
  <si>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</si>
  <si>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</si>
  <si>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</si>
  <si>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</si>
  <si>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</si>
  <si>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</si>
  <si>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</si>
  <si>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</si>
  <si>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</si>
  <si>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</si>
  <si>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</si>
  <si>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</si>
  <si>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</si>
  <si>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</si>
  <si>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</si>
  <si>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</si>
  <si>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</si>
  <si>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</si>
  <si>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</si>
  <si>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</si>
  <si>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</si>
  <si>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</si>
  <si>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</si>
  <si>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</si>
  <si>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</si>
  <si>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</si>
  <si>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</si>
  <si>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</si>
  <si>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</si>
  <si>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</si>
  <si>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</si>
  <si>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</si>
  <si>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</si>
  <si>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</si>
  <si>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</si>
  <si>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</si>
  <si>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</si>
  <si>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</si>
  <si>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</si>
  <si>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</si>
  <si>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</si>
  <si>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</si>
  <si>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</si>
  <si>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</si>
  <si>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</si>
  <si>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</si>
  <si>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</si>
  <si>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</si>
  <si>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</si>
  <si>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</si>
  <si>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</si>
  <si>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</si>
  <si>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</si>
  <si>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</si>
  <si>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</si>
  <si>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</si>
  <si>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</si>
  <si>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</si>
  <si>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</si>
  <si>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</si>
  <si>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</si>
  <si>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</si>
  <si>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</si>
  <si>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</si>
  <si>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</si>
  <si>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</si>
  <si>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</si>
  <si>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</si>
  <si>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</si>
  <si>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</si>
  <si>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</si>
  <si>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</si>
  <si>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</si>
  <si>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</si>
  <si>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</si>
  <si>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</si>
  <si>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</si>
  <si>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</si>
  <si>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</si>
  <si>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</si>
  <si>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</si>
  <si>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</si>
  <si>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</si>
  <si>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</si>
  <si>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</si>
  <si>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</si>
  <si>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</si>
  <si>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</si>
  <si>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</si>
  <si>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</si>
  <si>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</si>
  <si>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</si>
  <si>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</si>
  <si>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</si>
  <si>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</si>
  <si>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</si>
  <si>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</si>
  <si>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</si>
  <si>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</si>
  <si>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</si>
  <si>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</si>
  <si>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</si>
  <si>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</si>
  <si>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</si>
  <si>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</si>
  <si>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</si>
  <si>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</si>
  <si>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</si>
  <si>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</si>
  <si>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</si>
  <si>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</si>
  <si>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</si>
  <si>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</si>
  <si>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</si>
  <si>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</si>
  <si>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</si>
  <si>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</si>
  <si>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</si>
  <si>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</si>
  <si>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</si>
  <si>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</si>
  <si>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</si>
  <si>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</si>
  <si>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</si>
  <si>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</si>
  <si>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</si>
  <si>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</si>
  <si>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</si>
  <si>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</si>
  <si>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</si>
  <si>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</si>
  <si>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</si>
  <si>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</si>
  <si>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</si>
  <si>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</si>
  <si>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</si>
  <si>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</si>
  <si>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</si>
  <si>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</si>
  <si>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</si>
  <si>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</si>
  <si>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</si>
  <si>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</si>
  <si>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</si>
  <si>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</si>
  <si>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</si>
  <si>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</si>
  <si>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</si>
  <si>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</si>
  <si>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</si>
  <si>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</si>
  <si>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</si>
  <si>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</si>
  <si>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</si>
  <si>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</si>
  <si>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</si>
  <si>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</si>
  <si>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</si>
  <si>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</si>
  <si>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</si>
  <si>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</si>
  <si>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</si>
  <si>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</si>
  <si>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</si>
  <si>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</si>
  <si>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</si>
  <si>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</si>
  <si>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</si>
  <si>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</si>
  <si>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</si>
  <si>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</si>
  <si>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</si>
  <si>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</si>
  <si>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</si>
  <si>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</si>
  <si>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</si>
  <si>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</si>
  <si>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</si>
  <si>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</si>
  <si>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</si>
  <si>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</si>
  <si>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</si>
  <si>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</si>
  <si>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</si>
  <si>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</si>
  <si>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</si>
  <si>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</si>
  <si>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</si>
  <si>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</si>
  <si>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</si>
  <si>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</si>
  <si>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</si>
  <si>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</si>
  <si>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</si>
  <si>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</si>
  <si>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</si>
  <si>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</si>
  <si>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</si>
  <si>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</si>
  <si>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</si>
  <si>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</si>
  <si>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</si>
  <si>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</si>
  <si>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</si>
  <si>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</si>
  <si>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</si>
  <si>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</si>
  <si>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</si>
  <si>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</si>
  <si>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</si>
  <si>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</si>
  <si>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</si>
  <si>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</si>
  <si>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</si>
  <si>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</si>
  <si>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</si>
  <si>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</si>
  <si>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</si>
  <si>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</si>
  <si>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</si>
  <si>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</si>
  <si>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</si>
  <si>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</si>
  <si>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</si>
  <si>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</si>
  <si>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</si>
  <si>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</si>
  <si>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</si>
  <si>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</si>
  <si>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</si>
  <si>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</si>
  <si>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</si>
  <si>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</si>
  <si>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</si>
  <si>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</si>
  <si>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</si>
  <si>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</si>
  <si>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</si>
  <si>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</si>
  <si>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</si>
  <si>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</si>
  <si>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</si>
  <si>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</si>
  <si>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</si>
  <si>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</si>
  <si>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</si>
  <si>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</si>
  <si>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</si>
  <si>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</si>
  <si>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</si>
  <si>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</si>
  <si>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</si>
  <si>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</si>
  <si>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</si>
  <si>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</si>
  <si>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</si>
  <si>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</si>
  <si>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</si>
  <si>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</si>
  <si>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</si>
  <si>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</si>
  <si>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</si>
  <si>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</si>
  <si>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</si>
  <si>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</si>
  <si>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</si>
  <si>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</si>
  <si>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</si>
  <si>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</si>
  <si>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</si>
  <si>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</si>
  <si>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</si>
  <si>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Q426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</si>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</sst>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57" fillId="0" borderId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4" applyNumberFormat="0" applyFill="0" applyAlignment="0" applyProtection="0"/>
    <xf numFmtId="0" fontId="43" fillId="0" borderId="5" applyNumberFormat="0" applyFill="0" applyAlignment="0" applyProtection="0"/>
    <xf numFmtId="0" fontId="44" fillId="0" borderId="6" applyNumberFormat="0" applyFill="0" applyAlignment="0" applyProtection="0"/>
    <xf numFmtId="0" fontId="44" fillId="0" borderId="0" applyNumberFormat="0" applyFill="0" applyBorder="0" applyAlignment="0" applyProtection="0"/>
    <xf numFmtId="0" fontId="45" fillId="3" borderId="0" applyNumberFormat="0" applyBorder="0" applyAlignment="0" applyProtection="0"/>
    <xf numFmtId="0" fontId="46" fillId="4" borderId="0" applyNumberFormat="0" applyBorder="0" applyAlignment="0" applyProtection="0"/>
    <xf numFmtId="0" fontId="47" fillId="5" borderId="0" applyNumberFormat="0" applyBorder="0" applyAlignment="0" applyProtection="0"/>
    <xf numFmtId="0" fontId="48" fillId="6" borderId="7" applyNumberFormat="0" applyAlignment="0" applyProtection="0"/>
    <xf numFmtId="0" fontId="49" fillId="7" borderId="8" applyNumberFormat="0" applyAlignment="0" applyProtection="0"/>
    <xf numFmtId="0" fontId="50" fillId="7" borderId="7" applyNumberFormat="0" applyAlignment="0" applyProtection="0"/>
    <xf numFmtId="0" fontId="51" fillId="0" borderId="9" applyNumberFormat="0" applyFill="0" applyAlignment="0" applyProtection="0"/>
    <xf numFmtId="0" fontId="52" fillId="8" borderId="10" applyNumberFormat="0" applyAlignment="0" applyProtection="0"/>
    <xf numFmtId="0" fontId="53" fillId="0" borderId="0" applyNumberFormat="0" applyFill="0" applyBorder="0" applyAlignment="0" applyProtection="0"/>
    <xf numFmtId="0" fontId="40" fillId="9" borderId="11" applyNumberFormat="0" applyFont="0" applyAlignment="0" applyProtection="0"/>
    <xf numFmtId="0" fontId="54" fillId="0" borderId="0" applyNumberFormat="0" applyFill="0" applyBorder="0" applyAlignment="0" applyProtection="0"/>
    <xf numFmtId="0" fontId="36" fillId="0" borderId="12" applyNumberFormat="0" applyFill="0" applyAlignment="0" applyProtection="0"/>
    <xf numFmtId="0" fontId="55" fillId="10" borderId="0" applyNumberFormat="0" applyBorder="0" applyAlignment="0" applyProtection="0"/>
    <xf numFmtId="0" fontId="40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55" fillId="14" borderId="0" applyNumberFormat="0" applyBorder="0" applyAlignment="0" applyProtection="0"/>
    <xf numFmtId="0" fontId="40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55" fillId="18" borderId="0" applyNumberFormat="0" applyBorder="0" applyAlignment="0" applyProtection="0"/>
    <xf numFmtId="0" fontId="40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55" fillId="22" borderId="0" applyNumberFormat="0" applyBorder="0" applyAlignment="0" applyProtection="0"/>
    <xf numFmtId="0" fontId="40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55" fillId="26" borderId="0" applyNumberFormat="0" applyBorder="0" applyAlignment="0" applyProtection="0"/>
    <xf numFmtId="0" fontId="40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55" fillId="30" borderId="0" applyNumberFormat="0" applyBorder="0" applyAlignment="0" applyProtection="0"/>
    <xf numFmtId="0" fontId="40" fillId="31" borderId="0" applyNumberFormat="0" applyBorder="0" applyAlignment="0" applyProtection="0"/>
    <xf numFmtId="0" fontId="40" fillId="32" borderId="0" applyNumberFormat="0" applyBorder="0" applyAlignment="0" applyProtection="0"/>
    <xf numFmtId="0" fontId="40" fillId="33" borderId="0" applyNumberFormat="0" applyBorder="0" applyAlignment="0" applyProtection="0"/>
    <xf numFmtId="0" fontId="3" fillId="0" borderId="0"/>
    <xf numFmtId="0" fontId="40" fillId="0" borderId="0"/>
  </cellStyleXfs>
  <cellXfs count="69">
    <xf numFmtId="0" fontId="0" fillId="0" borderId="0" xfId="0"/>
    <xf numFmtId="0" fontId="37" fillId="0" borderId="0" xfId="0" applyFont="1"/>
    <xf numFmtId="0" fontId="38" fillId="0" borderId="0" xfId="0" applyFont="1"/>
    <xf numFmtId="0" fontId="39" fillId="0" borderId="0" xfId="0" applyFont="1"/>
    <xf numFmtId="0" fontId="35" fillId="0" borderId="0" xfId="0" applyFont="1"/>
    <xf numFmtId="0" fontId="35" fillId="0" borderId="0" xfId="0" applyFont="1" applyAlignment="1">
      <alignment horizontal="right"/>
    </xf>
    <xf numFmtId="0" fontId="56" fillId="0" borderId="0" xfId="0" applyFont="1"/>
    <xf numFmtId="0" fontId="38" fillId="2" borderId="1" xfId="0" applyFont="1" applyFill="1" applyBorder="1" applyAlignment="1">
      <alignment horizontal="center"/>
    </xf>
    <xf numFmtId="0" fontId="38" fillId="2" borderId="2" xfId="0" applyFont="1" applyFill="1" applyBorder="1"/>
    <xf numFmtId="0" fontId="38" fillId="2" borderId="2" xfId="0" applyFont="1" applyFill="1" applyBorder="1" applyAlignment="1">
      <alignment horizontal="center"/>
    </xf>
    <xf numFmtId="0" fontId="38" fillId="2" borderId="2" xfId="0" applyFont="1" applyFill="1" applyBorder="1" applyAlignment="1">
      <alignment horizontal="right"/>
    </xf>
    <xf numFmtId="0" fontId="35" fillId="2" borderId="3" xfId="0" applyFont="1" applyFill="1" applyBorder="1"/>
    <xf numFmtId="0" fontId="35" fillId="0" borderId="0" xfId="0" applyFont="1" applyAlignment="1">
      <alignment horizontal="center"/>
    </xf>
    <xf numFmtId="0" fontId="57" fillId="0" borderId="0" xfId="1"/>
    <xf numFmtId="164" fontId="35" fillId="0" borderId="0" xfId="0" applyNumberFormat="1" applyFont="1"/>
    <xf numFmtId="16" fontId="35" fillId="0" borderId="0" xfId="0" applyNumberFormat="1" applyFont="1"/>
    <xf numFmtId="0" fontId="58" fillId="0" borderId="0" xfId="0" applyFont="1"/>
    <xf numFmtId="0" fontId="35" fillId="0" borderId="0" xfId="0" quotePrefix="1" applyFont="1"/>
    <xf numFmtId="0" fontId="56" fillId="0" borderId="0" xfId="0" applyFont="1" applyAlignment="1">
      <alignment horizontal="right"/>
    </xf>
    <xf numFmtId="0" fontId="35" fillId="2" borderId="2" xfId="0" applyFont="1" applyFill="1" applyBorder="1"/>
    <xf numFmtId="0" fontId="38" fillId="2" borderId="3" xfId="0" applyFont="1" applyFill="1" applyBorder="1"/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/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164" fontId="26" fillId="0" borderId="0" xfId="0" applyNumberFormat="1" applyFont="1"/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/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  <xf numFmtId="0" fontId="57" fillId="0" borderId="0" xfId="1" applyFont="1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44" applyFont="1"/>
    <xf numFmtId="0" fontId="1" fillId="0" borderId="0" xfId="44" applyFont="1" applyAlignment="1">
      <alignment horizontal="center"/>
    </xf>
    <xf numFmtId="0" fontId="38" fillId="0" borderId="0" xfId="44" applyFont="1"/>
    <xf numFmtId="0" fontId="38" fillId="0" borderId="0" xfId="44" applyFont="1" applyAlignment="1">
      <alignment horizontal="center"/>
    </xf>
    <xf numFmtId="0" fontId="59" fillId="0" borderId="0" xfId="44" applyFont="1"/>
    <xf numFmtId="0" fontId="59" fillId="0" borderId="0" xfId="44" applyFont="1" applyAlignment="1">
      <alignment horizontal="center"/>
    </xf>
    <xf numFmtId="3" fontId="1" fillId="0" borderId="0" xfId="44" applyNumberFormat="1" applyFont="1" applyAlignment="1">
      <alignment horizontal="right"/>
    </xf>
    <xf numFmtId="0" fontId="1" fillId="0" borderId="0" xfId="43" applyFont="1"/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theme" Target="theme/theme1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styles" Target="styles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sharedStrings" Target="sharedStrings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197.53</v>
          </cell>
        </row>
        <row r="4">
          <cell r="I4">
            <v>4799979</v>
          </cell>
        </row>
        <row r="5">
          <cell r="I5">
            <v>62556</v>
          </cell>
        </row>
        <row r="6">
          <cell r="I6">
            <v>8468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372.9</v>
          </cell>
        </row>
        <row r="4">
          <cell r="I4">
            <v>4518056.3999999994</v>
          </cell>
        </row>
        <row r="5">
          <cell r="I5">
            <v>126840</v>
          </cell>
        </row>
        <row r="6">
          <cell r="I6">
            <v>77501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323.43</v>
          </cell>
        </row>
        <row r="5">
          <cell r="G5">
            <v>1531333.73075112</v>
          </cell>
        </row>
        <row r="6">
          <cell r="G6">
            <v>14174</v>
          </cell>
        </row>
        <row r="7">
          <cell r="G7">
            <v>66057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2030</v>
          </cell>
        </row>
        <row r="4">
          <cell r="H4">
            <v>52639930</v>
          </cell>
        </row>
        <row r="5">
          <cell r="H5">
            <v>3383601</v>
          </cell>
        </row>
        <row r="6">
          <cell r="H6">
            <v>1016268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1250.8</v>
          </cell>
        </row>
        <row r="4">
          <cell r="H4">
            <v>482058.31999999995</v>
          </cell>
        </row>
        <row r="5">
          <cell r="H5">
            <v>8376.2999999999993</v>
          </cell>
        </row>
        <row r="6">
          <cell r="H6">
            <v>2705.6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133.06</v>
          </cell>
        </row>
        <row r="5">
          <cell r="G5">
            <v>318986.33165962005</v>
          </cell>
        </row>
        <row r="6">
          <cell r="G6">
            <v>8026.4130000000005</v>
          </cell>
        </row>
        <row r="7">
          <cell r="G7">
            <v>0</v>
          </cell>
        </row>
      </sheetData>
      <sheetData sheetId="1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196.4</v>
          </cell>
        </row>
        <row r="4">
          <cell r="K4">
            <v>320212.68956520001</v>
          </cell>
        </row>
        <row r="5">
          <cell r="K5">
            <v>7243</v>
          </cell>
        </row>
        <row r="6">
          <cell r="K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 refreshError="1"/>
      <sheetData sheetId="2" refreshError="1"/>
      <sheetData sheetId="3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45.76</v>
          </cell>
        </row>
        <row r="4">
          <cell r="I4">
            <v>40365.147359679999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311.07</v>
          </cell>
        </row>
        <row r="4">
          <cell r="L4">
            <v>66951.596099999995</v>
          </cell>
        </row>
        <row r="5">
          <cell r="L5">
            <v>1108.2370000000001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zoomScale="220" zoomScaleNormal="220" workbookViewId="0">
      <pane xSplit="2" ySplit="3" topLeftCell="C253" activePane="bottomRight" state="frozen"/>
      <selection pane="topRight" activeCell="C1" sqref="C1"/>
      <selection pane="bottomLeft" activeCell="A3" sqref="A3"/>
      <selection pane="bottomRight" activeCell="B20" sqref="B20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197.53</v>
      </c>
      <c r="F4" s="14">
        <f>+[1]Main!$I$4</f>
        <v>4799979</v>
      </c>
      <c r="G4" s="14">
        <f>+[1]Main!$I$6-[1]Main!$I$5</f>
        <v>-54088</v>
      </c>
      <c r="H4" s="14">
        <f>F4+G4</f>
        <v>4745891</v>
      </c>
      <c r="I4" s="44" t="s">
        <v>3152</v>
      </c>
      <c r="J4" s="15">
        <v>46168</v>
      </c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405.1</v>
      </c>
      <c r="F5" s="14">
        <f>+[2]Main!$H$4</f>
        <v>3009258.8985904003</v>
      </c>
      <c r="G5" s="14">
        <f>+[2]Main!$H$6-[2]Main!$H$5</f>
        <v>-38010</v>
      </c>
      <c r="H5" s="14">
        <f>F5+G5</f>
        <v>2971248.8985904003</v>
      </c>
      <c r="I5" s="53" t="s">
        <v>3155</v>
      </c>
      <c r="J5" s="15"/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283.95999999999998</v>
      </c>
      <c r="F6" s="14">
        <f>+[3]Main!$H$5</f>
        <v>4170621.6097599994</v>
      </c>
      <c r="G6" s="14">
        <f>+[3]Main!$H$6-[3]Main!$H$7</f>
        <v>-14207</v>
      </c>
      <c r="H6" s="14">
        <f t="shared" ref="H6:H14" si="0">F6+G6</f>
        <v>4156414.6097599994</v>
      </c>
      <c r="I6" s="54" t="s">
        <v>3156</v>
      </c>
      <c r="J6" s="15"/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372.9</v>
      </c>
      <c r="F7" s="14">
        <f>+[4]Main!$I$4</f>
        <v>4518056.3999999994</v>
      </c>
      <c r="G7" s="14">
        <f>+[4]Main!$I$6-[4]Main!$I$5</f>
        <v>-49339</v>
      </c>
      <c r="H7" s="14">
        <f t="shared" si="0"/>
        <v>4468717.3999999994</v>
      </c>
      <c r="I7" s="53" t="s">
        <v>3144</v>
      </c>
      <c r="J7" s="15"/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257.5</v>
      </c>
      <c r="F8" s="14">
        <f>+[5]Main!$I$5</f>
        <v>2769955.6797700003</v>
      </c>
      <c r="G8" s="14">
        <f>+[5]Main!$I$7-[5]Main!$I$6</f>
        <v>-24015</v>
      </c>
      <c r="H8" s="14">
        <f t="shared" si="0"/>
        <v>2745940.6797700003</v>
      </c>
      <c r="I8" s="53" t="s">
        <v>3144</v>
      </c>
      <c r="J8" s="15"/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2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606.92999999999995</v>
      </c>
      <c r="F9" s="14">
        <f>+[6]Main!$I$4</f>
        <v>1540645.2558967199</v>
      </c>
      <c r="G9" s="14">
        <f>+[6]Main!$I$6-[6]Main!$I$5</f>
        <v>-22432</v>
      </c>
      <c r="H9" s="14">
        <f t="shared" si="0"/>
        <v>1518213.2558967199</v>
      </c>
      <c r="I9" s="53" t="s">
        <v>3144</v>
      </c>
      <c r="J9" s="15"/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14</v>
      </c>
      <c r="C10" s="4" t="s">
        <v>36</v>
      </c>
      <c r="D10" s="4" t="s">
        <v>45</v>
      </c>
      <c r="E10" s="14">
        <f>+[7]Main!$K$2</f>
        <v>373.72</v>
      </c>
      <c r="F10" s="14">
        <f>+[7]Main!$K$4</f>
        <v>1403589.1250701202</v>
      </c>
      <c r="G10" s="14">
        <f>+[7]Main!$K$6-[7]Main!$K$5</f>
        <v>-35514</v>
      </c>
      <c r="H10" s="14">
        <f t="shared" si="0"/>
        <v>1368075.1250701202</v>
      </c>
      <c r="I10" s="51" t="s">
        <v>3144</v>
      </c>
      <c r="J10" s="15">
        <v>46225</v>
      </c>
      <c r="K10" s="4"/>
      <c r="L10" s="4"/>
      <c r="M10" s="4"/>
      <c r="N10" s="4"/>
      <c r="O10" s="4"/>
      <c r="P10" s="4"/>
      <c r="Q10" s="4"/>
      <c r="R10" s="4">
        <v>2003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10</v>
      </c>
      <c r="C11" s="4" t="s">
        <v>35</v>
      </c>
      <c r="D11" s="4" t="s">
        <v>45</v>
      </c>
      <c r="E11" s="14">
        <f>+[8]Main!$G$3</f>
        <v>323.43</v>
      </c>
      <c r="F11" s="14">
        <f>+[8]Main!$G$5</f>
        <v>1531333.73075112</v>
      </c>
      <c r="G11" s="14">
        <f>+[8]Main!$G$7-[8]Main!$G$6</f>
        <v>51883</v>
      </c>
      <c r="H11" s="14">
        <f t="shared" si="0"/>
        <v>1583216.73075112</v>
      </c>
      <c r="I11" s="46" t="s">
        <v>3144</v>
      </c>
      <c r="J11" s="15">
        <v>46177</v>
      </c>
      <c r="K11" s="4"/>
      <c r="L11" s="4"/>
      <c r="M11" s="4"/>
      <c r="N11" s="4"/>
      <c r="O11" s="4"/>
      <c r="P11" s="4"/>
      <c r="Q11" s="4"/>
      <c r="R11" s="4">
        <v>1991</v>
      </c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15</v>
      </c>
      <c r="C12" s="4" t="s">
        <v>57</v>
      </c>
      <c r="D12" s="4" t="s">
        <v>45</v>
      </c>
      <c r="E12" s="14">
        <f>+[9]Main!$H$3</f>
        <v>188.13</v>
      </c>
      <c r="F12" s="14">
        <f>+[9]Main!$H$5</f>
        <v>540521.94689999998</v>
      </c>
      <c r="G12" s="14">
        <f>+[9]Main!$H$7-[9]Main!$H$6</f>
        <v>88309</v>
      </c>
      <c r="H12" s="14">
        <f>F12+G12</f>
        <v>628830.94689999998</v>
      </c>
      <c r="I12" s="41" t="s">
        <v>3151</v>
      </c>
      <c r="J12" s="15">
        <v>46091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13</v>
      </c>
      <c r="C13" s="4" t="s">
        <v>53</v>
      </c>
      <c r="D13" s="4" t="s">
        <v>1126</v>
      </c>
      <c r="E13" s="14">
        <f>+[10]Main!$H$2</f>
        <v>2030</v>
      </c>
      <c r="F13" s="14">
        <f>+[10]Main!$H$4*FX!C2</f>
        <v>1579197.9</v>
      </c>
      <c r="G13" s="14">
        <f>+([10]Main!$H$6-[10]Main!$H$5)*FX!C2</f>
        <v>-71019.989999999991</v>
      </c>
      <c r="H13" s="14">
        <f t="shared" si="0"/>
        <v>1508177.91</v>
      </c>
      <c r="I13" s="49" t="s">
        <v>3144</v>
      </c>
      <c r="J13" s="15">
        <v>46219</v>
      </c>
      <c r="K13" s="4"/>
      <c r="L13" s="4"/>
      <c r="M13" s="4"/>
      <c r="N13" s="4"/>
      <c r="O13" s="4"/>
      <c r="P13" s="4"/>
      <c r="Q13" s="4"/>
      <c r="R13" s="4">
        <v>1987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55</v>
      </c>
      <c r="C14" s="4" t="s">
        <v>56</v>
      </c>
      <c r="D14" s="4" t="s">
        <v>768</v>
      </c>
      <c r="E14" s="14">
        <f>+[11]Main!$G$2</f>
        <v>617.5</v>
      </c>
      <c r="F14" s="14">
        <f>+[11]Main!$G$5*FX!C3</f>
        <v>722248.25400000019</v>
      </c>
      <c r="G14" s="14">
        <f>+([11]Main!$G$7-[11]Main!$G$6)*FX!C3</f>
        <v>-18653.460000000003</v>
      </c>
      <c r="H14" s="14">
        <f t="shared" si="0"/>
        <v>703594.79400000023</v>
      </c>
      <c r="I14" s="47" t="s">
        <v>2708</v>
      </c>
      <c r="J14" s="15">
        <v>46099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58</v>
      </c>
      <c r="C15" s="4" t="s">
        <v>58</v>
      </c>
      <c r="D15" s="4" t="s">
        <v>46</v>
      </c>
      <c r="E15" s="14">
        <f>+[12]Main!$H$2</f>
        <v>1250.8</v>
      </c>
      <c r="F15" s="14">
        <f>+[12]Main!$H$4*FX!C4</f>
        <v>491699.48639999994</v>
      </c>
      <c r="G15" s="14">
        <f>+([12]Main!$H$6-[12]Main!$H$5)*FX!C4</f>
        <v>-5784.1139999999987</v>
      </c>
      <c r="H15" s="14">
        <f t="shared" ref="H15:H19" si="3">F15+G15</f>
        <v>485915.37239999993</v>
      </c>
      <c r="I15" s="47" t="s">
        <v>3147</v>
      </c>
      <c r="J15" s="15">
        <v>46218</v>
      </c>
      <c r="K15" s="4"/>
      <c r="L15" s="4"/>
      <c r="M15" s="4"/>
      <c r="N15" s="4"/>
      <c r="O15" s="4"/>
      <c r="P15" s="4"/>
      <c r="Q15" s="4"/>
      <c r="R15" s="4">
        <v>1984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16</v>
      </c>
      <c r="C16" s="17" t="s">
        <v>60</v>
      </c>
      <c r="D16" s="4" t="s">
        <v>59</v>
      </c>
      <c r="E16" s="14">
        <f>+[13]Main!$J$2</f>
        <v>71500</v>
      </c>
      <c r="F16" s="14">
        <f>+[13]Main!$J$4*FX!C5</f>
        <v>285727.36377900001</v>
      </c>
      <c r="G16" s="14">
        <f>+([13]Main!$J$6-[13]Main!$J$5)*FX!C5</f>
        <v>-59763.892360000005</v>
      </c>
      <c r="H16" s="14">
        <f t="shared" si="3"/>
        <v>225963.47141900001</v>
      </c>
      <c r="I16" s="23" t="s">
        <v>2583</v>
      </c>
      <c r="J16" s="15">
        <v>45960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17</v>
      </c>
      <c r="C17" s="4" t="s">
        <v>50</v>
      </c>
      <c r="D17" s="4" t="s">
        <v>45</v>
      </c>
      <c r="E17" s="14">
        <f>+[14]Main!$I$3</f>
        <v>97.5</v>
      </c>
      <c r="F17" s="14">
        <f>+[14]Main!$I$5</f>
        <v>411721.73250000004</v>
      </c>
      <c r="G17" s="14">
        <f>+[14]Main!$I$7-[14]Main!$I$6</f>
        <v>2072.0659999999989</v>
      </c>
      <c r="H17" s="14">
        <f t="shared" si="3"/>
        <v>413793.79850000003</v>
      </c>
      <c r="I17" s="49" t="s">
        <v>3144</v>
      </c>
      <c r="J17" s="15"/>
      <c r="K17" s="4"/>
      <c r="L17" s="4"/>
      <c r="M17" s="4"/>
      <c r="N17" s="4"/>
      <c r="O17" s="4"/>
      <c r="P17" s="4"/>
      <c r="Q17" s="4"/>
      <c r="R17" s="4">
        <v>1997</v>
      </c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115</v>
      </c>
      <c r="C18" s="4" t="s">
        <v>116</v>
      </c>
      <c r="D18" s="4" t="s">
        <v>45</v>
      </c>
      <c r="E18" s="14">
        <f>+[15]Main!$G$3</f>
        <v>133.06</v>
      </c>
      <c r="F18" s="14">
        <f>+[15]Main!$G$5</f>
        <v>318986.33165962005</v>
      </c>
      <c r="G18" s="14">
        <f>+[15]Main!$G$7-[15]Main!$G$6</f>
        <v>-8026.4130000000005</v>
      </c>
      <c r="H18" s="14">
        <f t="shared" si="3"/>
        <v>310959.91865962005</v>
      </c>
      <c r="I18" s="57" t="s">
        <v>3144</v>
      </c>
      <c r="J18" s="15"/>
      <c r="K18" s="4"/>
      <c r="L18" s="4"/>
      <c r="M18" s="4"/>
      <c r="N18" s="4"/>
      <c r="O18" s="4"/>
      <c r="P18" s="4"/>
      <c r="Q18" s="4"/>
      <c r="R18" s="4">
        <v>2003</v>
      </c>
      <c r="S18" s="4" t="s">
        <v>453</v>
      </c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61</v>
      </c>
      <c r="C19" s="4" t="s">
        <v>62</v>
      </c>
      <c r="D19" s="4" t="s">
        <v>768</v>
      </c>
      <c r="E19" s="14">
        <f>+[16]Main!$J$2</f>
        <v>177</v>
      </c>
      <c r="F19" s="14">
        <f>+[16]Main!$J$5*FX!C3</f>
        <v>432554.72400000005</v>
      </c>
      <c r="G19" s="14">
        <f>+([16]Main!$J$7-[16]Main!$J$6)*FX!C3</f>
        <v>-41909.560000000005</v>
      </c>
      <c r="H19" s="14">
        <f t="shared" si="3"/>
        <v>390645.16400000005</v>
      </c>
      <c r="I19" s="22" t="s">
        <v>3144</v>
      </c>
      <c r="J19" s="15">
        <v>45981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20</v>
      </c>
      <c r="C20" s="4" t="s">
        <v>20</v>
      </c>
      <c r="D20" s="4" t="s">
        <v>47</v>
      </c>
      <c r="E20" s="14">
        <f>+[17]Main!$H$2</f>
        <v>237.8</v>
      </c>
      <c r="F20" s="14">
        <f>+[17]Main!$H$4*FX!C4</f>
        <v>282820.29599999997</v>
      </c>
      <c r="G20" s="14">
        <f>(+[17]Main!$H$6-[17]Main!$H$5)*FX!C4</f>
        <v>-812.94</v>
      </c>
      <c r="H20" s="14">
        <f t="shared" ref="H20:H32" si="4">F20+G20</f>
        <v>282007.35599999997</v>
      </c>
      <c r="I20" s="23" t="s">
        <v>2583</v>
      </c>
      <c r="J20" s="15">
        <v>45952</v>
      </c>
      <c r="K20" s="4"/>
      <c r="L20" s="4"/>
      <c r="M20" s="4"/>
      <c r="N20" s="4"/>
      <c r="O20" s="4"/>
      <c r="P20" s="4"/>
      <c r="Q20" s="4"/>
      <c r="R20" s="4">
        <v>1999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19</v>
      </c>
      <c r="C21" s="4" t="s">
        <v>63</v>
      </c>
      <c r="D21" s="4" t="s">
        <v>45</v>
      </c>
      <c r="E21" s="14">
        <f>+[18]Main!$F$3</f>
        <v>246.6</v>
      </c>
      <c r="F21" s="14">
        <f>+[18]Main!$F$5</f>
        <v>234763.19999999998</v>
      </c>
      <c r="G21" s="14">
        <f>+[18]Main!$F$7-[18]Main!$F$6</f>
        <v>-6936</v>
      </c>
      <c r="H21" s="14">
        <f t="shared" si="4"/>
        <v>227827.19999999998</v>
      </c>
      <c r="I21" s="26" t="s">
        <v>2583</v>
      </c>
      <c r="J21" s="15">
        <v>45993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64</v>
      </c>
      <c r="C22" s="4" t="s">
        <v>64</v>
      </c>
      <c r="D22" s="4" t="s">
        <v>45</v>
      </c>
      <c r="E22" s="14">
        <f>+[19]Main!$K$2</f>
        <v>196.4</v>
      </c>
      <c r="F22" s="14">
        <f>+[19]Main!$K$4</f>
        <v>320212.68956520001</v>
      </c>
      <c r="G22" s="14">
        <f>+[19]Main!$K$6-[19]Main!$K$5</f>
        <v>-4023</v>
      </c>
      <c r="H22" s="14">
        <f t="shared" si="4"/>
        <v>316189.68956520001</v>
      </c>
      <c r="I22" s="47" t="s">
        <v>3147</v>
      </c>
      <c r="J22" s="15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18</v>
      </c>
      <c r="C23" s="4" t="s">
        <v>65</v>
      </c>
      <c r="D23" s="4" t="s">
        <v>45</v>
      </c>
      <c r="E23" s="14">
        <f>+[20]Main!$G$2</f>
        <v>349.25</v>
      </c>
      <c r="F23" s="14">
        <f>+[20]Main!$G$4</f>
        <v>148151.85</v>
      </c>
      <c r="G23" s="14">
        <f>+[20]Main!$G$6-[20]Main!$G$5</f>
        <v>260</v>
      </c>
      <c r="H23" s="14">
        <f t="shared" si="4"/>
        <v>148411.85</v>
      </c>
      <c r="I23" s="27" t="s">
        <v>2708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22</v>
      </c>
      <c r="C24" s="4" t="s">
        <v>66</v>
      </c>
      <c r="D24" s="4" t="s">
        <v>45</v>
      </c>
      <c r="E24" s="14">
        <f>+[21]Main!$G$2</f>
        <v>67.2</v>
      </c>
      <c r="F24" s="14">
        <f>+[21]Main!$G$4</f>
        <v>265654.8352416</v>
      </c>
      <c r="G24" s="14">
        <f>+[21]Main!$G$6-[21]Main!$G$5</f>
        <v>11993</v>
      </c>
      <c r="H24" s="14">
        <f t="shared" si="4"/>
        <v>277647.8352416</v>
      </c>
      <c r="I24" s="33" t="s">
        <v>2707</v>
      </c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67</v>
      </c>
      <c r="C25" s="4" t="s">
        <v>68</v>
      </c>
      <c r="D25" s="4" t="s">
        <v>768</v>
      </c>
      <c r="E25" s="14">
        <f>+[22]Main!$I$2</f>
        <v>130.96</v>
      </c>
      <c r="F25" s="14">
        <f>+[22]Main!$I$5*FX!C3</f>
        <v>156332.59056749998</v>
      </c>
      <c r="G25" s="14">
        <f>+([22]Main!$I$7-[22]Main!$I$6)*FX!C3</f>
        <v>-53458.08986</v>
      </c>
      <c r="H25" s="14">
        <f t="shared" si="4"/>
        <v>102874.50070749997</v>
      </c>
      <c r="I25" s="38" t="s">
        <v>2583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25</v>
      </c>
      <c r="C26" s="4" t="s">
        <v>25</v>
      </c>
      <c r="D26" s="4" t="s">
        <v>45</v>
      </c>
      <c r="E26" s="14">
        <f>+[23]Main!$H$2</f>
        <v>258.2</v>
      </c>
      <c r="F26" s="14">
        <f>+[23]Main!$H$4</f>
        <v>240518.26828439999</v>
      </c>
      <c r="G26" s="14">
        <f>+[23]Main!$H$6-[23]Main!$H$5</f>
        <v>48717</v>
      </c>
      <c r="H26" s="14">
        <f t="shared" si="4"/>
        <v>289235.26828439999</v>
      </c>
      <c r="I26" s="29" t="s">
        <v>2583</v>
      </c>
      <c r="J26" s="15">
        <v>45952</v>
      </c>
      <c r="K26" s="4"/>
      <c r="L26" s="4"/>
      <c r="M26" s="4"/>
      <c r="N26" s="4"/>
      <c r="O26" s="4"/>
      <c r="P26" s="4"/>
      <c r="Q26" s="4"/>
      <c r="R26" s="4"/>
      <c r="S26" s="4" t="s">
        <v>460</v>
      </c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21</v>
      </c>
      <c r="C27" s="4" t="s">
        <v>69</v>
      </c>
      <c r="D27" s="4" t="s">
        <v>45</v>
      </c>
      <c r="E27" s="14">
        <f>+[24]Main!$H$2</f>
        <v>171.39</v>
      </c>
      <c r="F27" s="14">
        <f>+[24]Main!$H$4</f>
        <v>184929.81</v>
      </c>
      <c r="G27" s="14">
        <f>+[24]Main!$H$6-[24]Main!$H$5</f>
        <v>4777</v>
      </c>
      <c r="H27" s="14">
        <f t="shared" si="4"/>
        <v>189706.81</v>
      </c>
      <c r="I27" s="33" t="s">
        <v>3145</v>
      </c>
      <c r="J27" s="4"/>
      <c r="K27" s="4"/>
      <c r="L27" s="4"/>
      <c r="M27" s="4"/>
      <c r="N27" s="4"/>
      <c r="O27" s="4"/>
      <c r="P27" s="4"/>
      <c r="Q27" s="4"/>
      <c r="R27" s="4">
        <v>1930</v>
      </c>
      <c r="S27" s="4" t="s">
        <v>459</v>
      </c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29</v>
      </c>
      <c r="C28" s="4" t="s">
        <v>106</v>
      </c>
      <c r="D28" s="4" t="s">
        <v>107</v>
      </c>
      <c r="E28" s="14">
        <f>+[25]Main!$I$2</f>
        <v>122.04</v>
      </c>
      <c r="F28" s="14">
        <f>+[25]Main!$I$4</f>
        <v>159153.75196092</v>
      </c>
      <c r="G28" s="14">
        <f>+[25]Main!$I$6-[25]Main!$I$5</f>
        <v>-4901</v>
      </c>
      <c r="H28" s="14">
        <f>+F28+G28</f>
        <v>154252.75196092</v>
      </c>
      <c r="I28" s="48" t="s">
        <v>3147</v>
      </c>
      <c r="J28" s="15">
        <v>46149</v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23</v>
      </c>
      <c r="C29" s="4" t="s">
        <v>166</v>
      </c>
      <c r="D29" s="4" t="s">
        <v>45</v>
      </c>
      <c r="E29" s="14">
        <f>+[26]Main!$G$3</f>
        <v>182.49</v>
      </c>
      <c r="F29" s="14">
        <f>+[26]Main!$G$5</f>
        <v>165908.44197081</v>
      </c>
      <c r="G29" s="14">
        <f>+[26]Main!$G$7-[26]Main!$G$6</f>
        <v>8684</v>
      </c>
      <c r="H29" s="14">
        <f t="shared" si="4"/>
        <v>174592.44197081</v>
      </c>
      <c r="I29" s="32" t="s">
        <v>2583</v>
      </c>
      <c r="J29" s="4"/>
      <c r="K29" s="4"/>
      <c r="L29" s="4"/>
      <c r="M29" s="4"/>
      <c r="N29" s="4"/>
      <c r="O29" s="4"/>
      <c r="P29" s="4"/>
      <c r="Q29" s="4"/>
      <c r="R29" s="4">
        <v>2004</v>
      </c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26</v>
      </c>
      <c r="C30" s="4" t="s">
        <v>70</v>
      </c>
      <c r="D30" s="4" t="s">
        <v>45</v>
      </c>
      <c r="E30" s="14">
        <f>+[27]Main!$H$3</f>
        <v>947.74</v>
      </c>
      <c r="F30" s="14">
        <f>+[27]Main!$H$5</f>
        <v>197129.92</v>
      </c>
      <c r="G30" s="14">
        <f>+[27]Main!$H$7-[27]Main!$H$6</f>
        <v>-4642</v>
      </c>
      <c r="H30" s="14">
        <f t="shared" si="4"/>
        <v>192487.92</v>
      </c>
      <c r="I30" s="37" t="s">
        <v>2583</v>
      </c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24</v>
      </c>
      <c r="C31" s="4" t="s">
        <v>71</v>
      </c>
      <c r="D31" s="4" t="s">
        <v>45</v>
      </c>
      <c r="E31" s="14">
        <f>+[28]Main!$I$2</f>
        <v>670.1</v>
      </c>
      <c r="F31" s="14">
        <f>+[28]Main!$I$4</f>
        <v>186827.23050000001</v>
      </c>
      <c r="G31" s="14">
        <f>+[28]Main!$I$6-[28]Main!$I$5</f>
        <v>6178</v>
      </c>
      <c r="H31" s="14">
        <f t="shared" si="4"/>
        <v>193005.23050000001</v>
      </c>
      <c r="I31" s="37" t="s">
        <v>3147</v>
      </c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72</v>
      </c>
      <c r="C32" s="4" t="s">
        <v>73</v>
      </c>
      <c r="D32" s="4" t="s">
        <v>45</v>
      </c>
      <c r="E32" s="14">
        <f>+[29]Main!$I$2</f>
        <v>225.73</v>
      </c>
      <c r="F32" s="14">
        <f>+[29]Main!$I$4</f>
        <v>179826.09504670999</v>
      </c>
      <c r="G32" s="14">
        <f>+[29]Main!$I$6-[29]Main!$I$5</f>
        <v>-2846</v>
      </c>
      <c r="H32" s="14">
        <f t="shared" si="4"/>
        <v>176980.09504670999</v>
      </c>
      <c r="I32" s="37" t="s">
        <v>3145</v>
      </c>
      <c r="J32" s="4"/>
      <c r="K32" s="4"/>
      <c r="L32" s="4"/>
      <c r="M32" s="4"/>
      <c r="N32" s="4"/>
      <c r="O32" s="4"/>
      <c r="P32" s="4"/>
      <c r="Q32" s="4"/>
      <c r="R32" s="4">
        <v>2009</v>
      </c>
      <c r="S32" s="4" t="s">
        <v>456</v>
      </c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74</v>
      </c>
      <c r="C33" s="4" t="s">
        <v>74</v>
      </c>
      <c r="D33" s="4" t="s">
        <v>45</v>
      </c>
      <c r="E33" s="14">
        <f>+[30]Main!$H$2</f>
        <v>75.69</v>
      </c>
      <c r="F33" s="14">
        <f>+[30]Main!$H$4</f>
        <v>155778.79875327001</v>
      </c>
      <c r="G33" s="14">
        <f>+[30]Main!$H$6-[30]Main!$H$5</f>
        <v>2888</v>
      </c>
      <c r="H33" s="14">
        <f>F33+G33</f>
        <v>158666.79875327001</v>
      </c>
      <c r="I33" s="45" t="s">
        <v>2708</v>
      </c>
      <c r="J33" s="15">
        <v>45784</v>
      </c>
      <c r="K33" s="4"/>
      <c r="L33" s="4"/>
      <c r="M33" s="4"/>
      <c r="N33" s="4"/>
      <c r="O33" s="4"/>
      <c r="P33" s="4"/>
      <c r="Q33" s="4"/>
      <c r="R33" s="4"/>
      <c r="S33" s="4" t="s">
        <v>458</v>
      </c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130</v>
      </c>
      <c r="C34" s="4" t="s">
        <v>2588</v>
      </c>
      <c r="D34" s="4" t="s">
        <v>768</v>
      </c>
      <c r="E34" s="14">
        <f>+[31]Main!$I$2</f>
        <v>56.2</v>
      </c>
      <c r="F34" s="14">
        <f>+[31]Main!$I$5*FX!C3</f>
        <v>187067.70580176005</v>
      </c>
      <c r="G34" s="14">
        <f>+([31]Main!$I$7-[31]Main!$I$6)*FX!C3</f>
        <v>-11416.8614</v>
      </c>
      <c r="H34" s="14">
        <f>+F34+G34</f>
        <v>175650.84440176006</v>
      </c>
      <c r="I34" s="27" t="s">
        <v>2583</v>
      </c>
      <c r="J34" s="15">
        <v>45978</v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4" t="s">
        <v>75</v>
      </c>
      <c r="C35" s="4" t="s">
        <v>76</v>
      </c>
      <c r="D35" s="4" t="s">
        <v>768</v>
      </c>
      <c r="E35" s="1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13" t="s">
        <v>77</v>
      </c>
      <c r="C36" s="4" t="s">
        <v>78</v>
      </c>
      <c r="D36" s="4" t="s">
        <v>79</v>
      </c>
      <c r="E36" s="14">
        <f>+[32]Main!$J$2</f>
        <v>227.65</v>
      </c>
      <c r="F36" s="14">
        <f>+[32]Main!$J$4*FX!C4</f>
        <v>133014.210772452</v>
      </c>
      <c r="G36" s="14">
        <f>+([32]Main!$J$6-[32]Main!$J$5)*FX!C4</f>
        <v>8102.88</v>
      </c>
      <c r="H36" s="14">
        <f>+F36+G36</f>
        <v>141117.09077245201</v>
      </c>
      <c r="I36" s="5" t="s">
        <v>430</v>
      </c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4" t="s">
        <v>80</v>
      </c>
      <c r="C37" s="4" t="s">
        <v>81</v>
      </c>
      <c r="D37" s="4" t="s">
        <v>84</v>
      </c>
      <c r="E37" s="1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13" t="s">
        <v>82</v>
      </c>
      <c r="C38" s="4" t="s">
        <v>83</v>
      </c>
      <c r="D38" s="4" t="s">
        <v>45</v>
      </c>
      <c r="E38" s="14">
        <f>+[33]Main!$I$2</f>
        <v>5475.01</v>
      </c>
      <c r="F38" s="14">
        <f>+[33]Main!$I$4</f>
        <v>177444.44447385002</v>
      </c>
      <c r="G38" s="14">
        <f>+[33]Main!$I$6-[33]Main!$I$5</f>
        <v>877</v>
      </c>
      <c r="H38" s="14">
        <f>F38+G38</f>
        <v>178321.44447385002</v>
      </c>
      <c r="I38" s="28" t="s">
        <v>2583</v>
      </c>
      <c r="J38" s="4"/>
      <c r="K38" s="4"/>
      <c r="L38" s="4"/>
      <c r="M38" s="4"/>
      <c r="N38" s="4"/>
      <c r="O38" s="4"/>
      <c r="P38" s="4"/>
      <c r="Q38" s="4"/>
      <c r="R38" s="4"/>
      <c r="S38" s="4" t="s">
        <v>452</v>
      </c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13" t="s">
        <v>959</v>
      </c>
      <c r="C39" s="4" t="s">
        <v>85</v>
      </c>
      <c r="D39" s="4" t="s">
        <v>45</v>
      </c>
      <c r="E39" s="14">
        <f>+[34]Main!$I$2</f>
        <v>133.80000000000001</v>
      </c>
      <c r="F39" s="14">
        <f>+[34]Main!$I$4</f>
        <v>168492.342366</v>
      </c>
      <c r="G39" s="14">
        <f>+[34]Main!$I$6-[34]Main!$I$5</f>
        <v>-10106.200000000001</v>
      </c>
      <c r="H39" s="14">
        <f>F39+G39</f>
        <v>158386.14236599999</v>
      </c>
      <c r="I39" s="47" t="s">
        <v>2708</v>
      </c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86</v>
      </c>
      <c r="C40" s="4" t="s">
        <v>88</v>
      </c>
      <c r="D40" s="4" t="s">
        <v>87</v>
      </c>
      <c r="E40" s="14">
        <f>+[35]Main!$H$2</f>
        <v>3214</v>
      </c>
      <c r="F40" s="14">
        <f>+[35]Main!$H$4*FX!C6</f>
        <v>126918.76080161199</v>
      </c>
      <c r="G40" s="14">
        <f>+([35]Main!$H$6-[35]Main!$H$5)*FX!C6</f>
        <v>12746.721</v>
      </c>
      <c r="H40" s="14">
        <f>F40+G40</f>
        <v>139665.48180161198</v>
      </c>
      <c r="I40" s="5" t="s">
        <v>440</v>
      </c>
      <c r="J40" s="4"/>
      <c r="K40" s="4"/>
      <c r="L40" s="4"/>
      <c r="M40" s="4"/>
      <c r="N40" s="4"/>
      <c r="O40" s="4"/>
      <c r="P40" s="4"/>
      <c r="Q40" s="4"/>
      <c r="R40" s="4"/>
      <c r="S40" s="4" t="s">
        <v>457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135</v>
      </c>
      <c r="C41" s="4" t="s">
        <v>136</v>
      </c>
      <c r="D41" s="4" t="s">
        <v>45</v>
      </c>
      <c r="E41" s="14">
        <f>+[36]Main!$I$2</f>
        <v>481.5</v>
      </c>
      <c r="F41" s="14">
        <f>+[36]Main!$I$4</f>
        <v>120834.89990999999</v>
      </c>
      <c r="G41" s="14">
        <f>+[36]Main!$I$6-[36]Main!$I$5</f>
        <v>-4227.7089999999998</v>
      </c>
      <c r="H41" s="14">
        <f>+F41+G41</f>
        <v>116607.19090999999</v>
      </c>
      <c r="I41" s="32" t="s">
        <v>2583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4" t="s">
        <v>89</v>
      </c>
      <c r="C42" s="4" t="s">
        <v>90</v>
      </c>
      <c r="D42" s="4" t="s">
        <v>87</v>
      </c>
      <c r="E42" s="1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13" t="s">
        <v>91</v>
      </c>
      <c r="C43" s="4" t="s">
        <v>92</v>
      </c>
      <c r="D43" s="4" t="s">
        <v>45</v>
      </c>
      <c r="E43" s="14">
        <f>+[37]Main!$I$2</f>
        <v>284.85000000000002</v>
      </c>
      <c r="F43" s="14">
        <f>+[37]Main!$I$4</f>
        <v>115897.17387105002</v>
      </c>
      <c r="G43" s="14">
        <f>+[37]Main!$I$6-[37]Main!$I$5</f>
        <v>1766.1</v>
      </c>
      <c r="H43" s="14">
        <f>+F43+G43</f>
        <v>117663.27387105003</v>
      </c>
      <c r="I43" s="5" t="s">
        <v>431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13" t="s">
        <v>93</v>
      </c>
      <c r="C44" s="4" t="s">
        <v>94</v>
      </c>
      <c r="D44" s="4" t="s">
        <v>45</v>
      </c>
      <c r="E44" s="14">
        <f>+[38]Main!$H$2</f>
        <v>97.8</v>
      </c>
      <c r="F44" s="14">
        <f>+[38]Main!$H$4</f>
        <v>108966.01494959999</v>
      </c>
      <c r="G44" s="14">
        <f>+[38]Main!$H$6-[38]Main!$H$5</f>
        <v>5041</v>
      </c>
      <c r="H44" s="14">
        <f>+F44+G44</f>
        <v>114007.01494959999</v>
      </c>
      <c r="I44" s="5" t="s">
        <v>49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95</v>
      </c>
      <c r="C45" s="4" t="s">
        <v>96</v>
      </c>
      <c r="D45" s="4" t="s">
        <v>45</v>
      </c>
      <c r="E45" s="14">
        <f>+[39]Main!$J$2</f>
        <v>176.33</v>
      </c>
      <c r="F45" s="14">
        <f>+[39]Main!$J$4</f>
        <v>105088.53324739002</v>
      </c>
      <c r="G45" s="14">
        <f>+[39]Main!$J$6-[39]Main!$J$5</f>
        <v>4296.9570000000003</v>
      </c>
      <c r="H45" s="14">
        <f>+F45+G45</f>
        <v>109385.49024739001</v>
      </c>
      <c r="I45" s="5" t="s">
        <v>708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97</v>
      </c>
      <c r="C46" s="4" t="s">
        <v>98</v>
      </c>
      <c r="D46" s="4" t="s">
        <v>45</v>
      </c>
      <c r="E46" s="14">
        <f>+[40]Main!$H$3</f>
        <v>171.05</v>
      </c>
      <c r="F46" s="14">
        <f>+[40]Main!$H$5</f>
        <v>56121.505000000005</v>
      </c>
      <c r="G46" s="14">
        <f>+[40]Main!$H$7-[40]Main!$H$6</f>
        <v>-2745.2</v>
      </c>
      <c r="H46" s="14">
        <f t="shared" ref="H46:H51" si="5">+F46+G46</f>
        <v>53376.305000000008</v>
      </c>
      <c r="I46" s="5" t="s">
        <v>49</v>
      </c>
      <c r="J46" s="4"/>
      <c r="K46" s="4"/>
      <c r="L46" s="4"/>
      <c r="M46" s="4"/>
      <c r="N46" s="4"/>
      <c r="O46" s="4"/>
      <c r="P46" s="4"/>
      <c r="Q46" s="4"/>
      <c r="R46" s="4"/>
      <c r="S46" s="4" t="s">
        <v>456</v>
      </c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99</v>
      </c>
      <c r="C47" s="4" t="s">
        <v>100</v>
      </c>
      <c r="D47" s="4" t="s">
        <v>101</v>
      </c>
      <c r="E47" s="14">
        <f>+[41]Main!$H$3</f>
        <v>3216</v>
      </c>
      <c r="F47" s="14">
        <f>+[41]Main!$H$5</f>
        <v>163042.758</v>
      </c>
      <c r="G47" s="14">
        <f>+[41]Main!$H$7-[41]Main!$H$6</f>
        <v>-7567</v>
      </c>
      <c r="H47" s="14">
        <f t="shared" si="5"/>
        <v>155475.758</v>
      </c>
      <c r="I47" s="29" t="s">
        <v>2583</v>
      </c>
      <c r="J47" s="4"/>
      <c r="K47" s="4"/>
      <c r="L47" s="4"/>
      <c r="M47" s="4"/>
      <c r="N47" s="4"/>
      <c r="O47" s="4"/>
      <c r="P47" s="4"/>
      <c r="Q47" s="4"/>
      <c r="R47" s="4">
        <v>1999</v>
      </c>
      <c r="S47" s="4" t="s">
        <v>455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102</v>
      </c>
      <c r="C48" s="4" t="s">
        <v>103</v>
      </c>
      <c r="D48" s="4" t="s">
        <v>45</v>
      </c>
      <c r="E48" s="14">
        <f>+[42]Main!$I$2</f>
        <v>62.5</v>
      </c>
      <c r="F48" s="14">
        <f>+[42]Main!$I$4</f>
        <v>33615.742937499999</v>
      </c>
      <c r="G48" s="14">
        <f>+[42]Main!$I$6-[42]Main!$I$5</f>
        <v>29131</v>
      </c>
      <c r="H48" s="14">
        <f t="shared" si="5"/>
        <v>62746.742937499999</v>
      </c>
      <c r="I48" s="5" t="s">
        <v>430</v>
      </c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104</v>
      </c>
      <c r="C49" s="4" t="s">
        <v>105</v>
      </c>
      <c r="D49" s="4" t="s">
        <v>45</v>
      </c>
      <c r="E49" s="14">
        <f>+[43]Main!$H$2</f>
        <v>73.2</v>
      </c>
      <c r="F49" s="14">
        <f>+[43]Main!$H$4</f>
        <v>94185.342000000004</v>
      </c>
      <c r="G49" s="14">
        <f>+[43]Main!$H$6-[43]Main!$H$5</f>
        <v>-1083.7019999999993</v>
      </c>
      <c r="H49" s="14">
        <f t="shared" si="5"/>
        <v>93101.64</v>
      </c>
      <c r="I49" s="5" t="s">
        <v>429</v>
      </c>
      <c r="J49" s="4"/>
      <c r="K49" s="4"/>
      <c r="L49" s="4"/>
      <c r="M49" s="4"/>
      <c r="N49" s="4"/>
      <c r="O49" s="4"/>
      <c r="P49" s="4"/>
      <c r="Q49" s="4"/>
      <c r="R49" s="4"/>
      <c r="S49" s="4" t="s">
        <v>438</v>
      </c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109</v>
      </c>
      <c r="C50" s="4" t="s">
        <v>108</v>
      </c>
      <c r="D50" s="4" t="s">
        <v>45</v>
      </c>
      <c r="E50" s="14">
        <f>+[44]Main!$I$2</f>
        <v>739.7</v>
      </c>
      <c r="F50" s="14">
        <f>+[44]Main!$I$4</f>
        <v>98296.326016199993</v>
      </c>
      <c r="G50" s="14">
        <f>+[44]Main!$I$6-[44]Main!$I$5</f>
        <v>2101.982</v>
      </c>
      <c r="H50" s="14">
        <f t="shared" si="5"/>
        <v>100398.3080162</v>
      </c>
      <c r="I50" s="5" t="s">
        <v>431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27</v>
      </c>
      <c r="C51" s="4" t="s">
        <v>110</v>
      </c>
      <c r="D51" s="4" t="s">
        <v>45</v>
      </c>
      <c r="E51" s="14">
        <f>+[45]Main!$K$2</f>
        <v>82.72</v>
      </c>
      <c r="F51" s="14">
        <f>+[45]Main!$K$4</f>
        <v>85340</v>
      </c>
      <c r="G51" s="14">
        <f>+[45]Main!$K$6-[45]Main!$K$5</f>
        <v>12242</v>
      </c>
      <c r="H51" s="14">
        <f t="shared" si="5"/>
        <v>97582</v>
      </c>
      <c r="I51" s="57" t="s">
        <v>3144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454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4" t="s">
        <v>111</v>
      </c>
      <c r="C52" s="17" t="s">
        <v>112</v>
      </c>
      <c r="D52" s="4" t="s">
        <v>59</v>
      </c>
      <c r="E52" s="14"/>
      <c r="F52" s="14"/>
      <c r="G52" s="14"/>
      <c r="H52" s="14"/>
      <c r="I52" s="5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113</v>
      </c>
      <c r="C53" s="4" t="s">
        <v>114</v>
      </c>
      <c r="D53" s="4" t="s">
        <v>45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117</v>
      </c>
      <c r="C54" s="4" t="s">
        <v>118</v>
      </c>
      <c r="D54" s="4" t="s">
        <v>87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13" t="s">
        <v>2582</v>
      </c>
      <c r="C55" s="4" t="s">
        <v>119</v>
      </c>
      <c r="D55" s="4" t="s">
        <v>1126</v>
      </c>
      <c r="E55" s="14">
        <f>+[46]Main!$J$2</f>
        <v>142.5</v>
      </c>
      <c r="F55" s="14">
        <f>+[46]Main!$J$4*FX!C2</f>
        <v>59264.286524999996</v>
      </c>
      <c r="G55" s="14">
        <f>+([46]Main!$J$6-[46]Main!$J$5)*FX!C2</f>
        <v>-8207.3572199999999</v>
      </c>
      <c r="H55" s="14">
        <f t="shared" ref="H55:H61" si="6">+F55+G55</f>
        <v>51056.929304999998</v>
      </c>
      <c r="I55" s="5" t="s">
        <v>49</v>
      </c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28</v>
      </c>
      <c r="C56" s="4" t="s">
        <v>120</v>
      </c>
      <c r="D56" s="4" t="s">
        <v>45</v>
      </c>
      <c r="E56" s="14">
        <f>+[47]Main!$H$2</f>
        <v>119.01</v>
      </c>
      <c r="F56" s="14">
        <f>+[47]Main!$H$4</f>
        <v>83361.643560510012</v>
      </c>
      <c r="G56" s="14">
        <f>+[47]Main!$H$6-[47]Main!$H$5</f>
        <v>19797</v>
      </c>
      <c r="H56" s="14">
        <f t="shared" si="6"/>
        <v>103158.64356051001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 t="s">
        <v>441</v>
      </c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121</v>
      </c>
      <c r="C57" s="4" t="s">
        <v>122</v>
      </c>
      <c r="D57" s="4" t="s">
        <v>45</v>
      </c>
      <c r="E57" s="14">
        <f>+[48]Main!$H$2</f>
        <v>123.56</v>
      </c>
      <c r="F57" s="14">
        <f>+[48]Main!$H$4</f>
        <v>76784.591385200009</v>
      </c>
      <c r="G57" s="14">
        <f>+[48]Main!$H$6-[48]Main!$H$5</f>
        <v>-9359</v>
      </c>
      <c r="H57" s="14">
        <f t="shared" si="6"/>
        <v>67425.591385200009</v>
      </c>
      <c r="I57" s="32" t="s">
        <v>2583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452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123</v>
      </c>
      <c r="C58" s="4" t="s">
        <v>124</v>
      </c>
      <c r="D58" s="4" t="s">
        <v>45</v>
      </c>
      <c r="E58" s="14">
        <f>+[49]Main!$I$2</f>
        <v>45.76</v>
      </c>
      <c r="F58" s="14">
        <f>+[49]Main!$I$4</f>
        <v>40365.147359679999</v>
      </c>
      <c r="G58" s="14">
        <f>+[49]Main!$I$6-[49]Main!$I$5</f>
        <v>67</v>
      </c>
      <c r="H58" s="14">
        <f t="shared" si="6"/>
        <v>40432.147359679999</v>
      </c>
      <c r="I58" s="55" t="s">
        <v>3144</v>
      </c>
      <c r="J58" s="15"/>
      <c r="K58" s="4"/>
      <c r="L58" s="4"/>
      <c r="M58" s="4"/>
      <c r="N58" s="4"/>
      <c r="O58" s="4"/>
      <c r="P58" s="4"/>
      <c r="Q58" s="4"/>
      <c r="R58" s="4"/>
      <c r="S58" s="4" t="s">
        <v>451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125</v>
      </c>
      <c r="C59" s="4" t="s">
        <v>126</v>
      </c>
      <c r="D59" s="4" t="s">
        <v>45</v>
      </c>
      <c r="E59" s="14">
        <f>+[50]Main!$I$2</f>
        <v>512.14</v>
      </c>
      <c r="F59" s="14">
        <f>+[50]Main!$I$4</f>
        <v>79187.125722640005</v>
      </c>
      <c r="G59" s="14">
        <f>+[50]Main!$I$6-[50]Main!$I$5</f>
        <v>-3795.1490000000003</v>
      </c>
      <c r="H59" s="14">
        <f t="shared" si="6"/>
        <v>75391.97672264</v>
      </c>
      <c r="I59" s="5" t="s">
        <v>708</v>
      </c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127</v>
      </c>
      <c r="C60" s="4" t="s">
        <v>129</v>
      </c>
      <c r="D60" s="4" t="s">
        <v>128</v>
      </c>
      <c r="E60" s="14">
        <f>+[51]Main!$H$2</f>
        <v>627.5</v>
      </c>
      <c r="F60" s="14">
        <f>+[51]Main!$H$5*FX!C4</f>
        <v>131483.55070995001</v>
      </c>
      <c r="G60" s="14">
        <f>+([51]Main!$H$7-[51]Main!$H$6)*FX!C4</f>
        <v>-8510.880000000001</v>
      </c>
      <c r="H60" s="14">
        <f t="shared" si="6"/>
        <v>122972.67070995001</v>
      </c>
      <c r="I60" s="5" t="s">
        <v>2583</v>
      </c>
      <c r="J60" s="15"/>
      <c r="K60" s="4"/>
      <c r="L60" s="4"/>
      <c r="M60" s="4"/>
      <c r="N60" s="4"/>
      <c r="O60" s="4"/>
      <c r="P60" s="4"/>
      <c r="Q60" s="4"/>
      <c r="R60" s="4"/>
      <c r="S60" s="4" t="s">
        <v>450</v>
      </c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131</v>
      </c>
      <c r="C61" s="4" t="s">
        <v>132</v>
      </c>
      <c r="D61" s="4" t="s">
        <v>45</v>
      </c>
      <c r="E61" s="14">
        <f>+[52]Main!$J$2</f>
        <v>304.60000000000002</v>
      </c>
      <c r="F61" s="14">
        <f>+[52]Main!$J$4</f>
        <v>83168.593200000003</v>
      </c>
      <c r="G61" s="14">
        <f>+[52]Main!$J$6-[52]Main!$J$5</f>
        <v>-300.51499999999987</v>
      </c>
      <c r="H61" s="14">
        <f t="shared" si="6"/>
        <v>82868.078200000004</v>
      </c>
      <c r="I61" s="5" t="s">
        <v>708</v>
      </c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4" t="s">
        <v>133</v>
      </c>
      <c r="C62" s="4" t="s">
        <v>134</v>
      </c>
      <c r="D62" s="4" t="s">
        <v>107</v>
      </c>
      <c r="E62" s="14"/>
      <c r="F62" s="14"/>
      <c r="G62" s="14"/>
      <c r="H62" s="1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137</v>
      </c>
      <c r="C63" s="4" t="s">
        <v>138</v>
      </c>
      <c r="D63" s="4" t="s">
        <v>768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140</v>
      </c>
      <c r="C64" s="4" t="s">
        <v>139</v>
      </c>
      <c r="D64" s="4" t="s">
        <v>45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13" t="s">
        <v>141</v>
      </c>
      <c r="C65" s="4" t="s">
        <v>142</v>
      </c>
      <c r="D65" s="4" t="s">
        <v>87</v>
      </c>
      <c r="E65" s="14">
        <f>+[53]Main!$I$2</f>
        <v>12800</v>
      </c>
      <c r="F65" s="14">
        <f>+[53]Main!$I$4*FX!C6</f>
        <v>108051.008</v>
      </c>
      <c r="G65" s="14">
        <f>+([53]Main!$I$6-[53]Main!$I$5)*FX!C6</f>
        <v>-10310.7875</v>
      </c>
      <c r="H65" s="14">
        <f>+F65+G65</f>
        <v>97740.220499999996</v>
      </c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4" t="s">
        <v>143</v>
      </c>
      <c r="C66" s="4" t="s">
        <v>144</v>
      </c>
      <c r="D66" s="4" t="s">
        <v>768</v>
      </c>
      <c r="E66" s="14"/>
      <c r="F66" s="14"/>
      <c r="G66" s="14"/>
      <c r="H66" s="14"/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13" t="s">
        <v>146</v>
      </c>
      <c r="C67" s="4" t="s">
        <v>145</v>
      </c>
      <c r="D67" s="4" t="s">
        <v>45</v>
      </c>
      <c r="E67" s="14">
        <f>+[54]Main!$I$2</f>
        <v>70.2</v>
      </c>
      <c r="F67" s="14">
        <f>+[54]Main!$I$4</f>
        <v>60526.44</v>
      </c>
      <c r="G67" s="14">
        <f>+[54]Main!$I$6-[54]Main!$I$5</f>
        <v>3346.7000000000003</v>
      </c>
      <c r="H67" s="14">
        <f>+F67+G67</f>
        <v>63873.14</v>
      </c>
      <c r="I67" s="5" t="s">
        <v>708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4" t="s">
        <v>147</v>
      </c>
      <c r="C68" s="4" t="s">
        <v>148</v>
      </c>
      <c r="D68" s="4" t="s">
        <v>1126</v>
      </c>
      <c r="E68" s="14"/>
      <c r="F68" s="14"/>
      <c r="G68" s="14"/>
      <c r="H68" s="14"/>
      <c r="I68" s="5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149</v>
      </c>
      <c r="C69" s="4" t="s">
        <v>150</v>
      </c>
      <c r="D69" s="4" t="s">
        <v>46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151</v>
      </c>
      <c r="C70" s="4" t="s">
        <v>152</v>
      </c>
      <c r="D70" s="4" t="s">
        <v>45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153</v>
      </c>
      <c r="C71" s="4" t="s">
        <v>154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13" t="s">
        <v>155</v>
      </c>
      <c r="C72" s="4" t="s">
        <v>157</v>
      </c>
      <c r="D72" s="4" t="s">
        <v>45</v>
      </c>
      <c r="E72" s="14">
        <f>+[55]Main!$G$3</f>
        <v>267.60000000000002</v>
      </c>
      <c r="F72" s="14">
        <f>+[55]Main!$G$5</f>
        <v>114317.33704320001</v>
      </c>
      <c r="G72" s="14">
        <f>+[55]Main!$G$7-[55]Main!$G$6</f>
        <v>-2278</v>
      </c>
      <c r="H72" s="14">
        <f>F72+G72</f>
        <v>112039.33704320001</v>
      </c>
      <c r="I72" s="29" t="s">
        <v>2583</v>
      </c>
      <c r="J72" s="4"/>
      <c r="K72" s="4"/>
      <c r="L72" s="4"/>
      <c r="M72" s="4"/>
      <c r="N72" s="4"/>
      <c r="O72" s="4"/>
      <c r="P72" s="4"/>
      <c r="Q72" s="4"/>
      <c r="R72" s="4"/>
      <c r="S72" s="4" t="s">
        <v>449</v>
      </c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ref="A73:A136" si="7">+A72+1</f>
        <v>70</v>
      </c>
      <c r="B73" s="4" t="s">
        <v>156</v>
      </c>
      <c r="C73" s="4" t="s">
        <v>158</v>
      </c>
      <c r="D73" s="4" t="s">
        <v>45</v>
      </c>
      <c r="E73" s="14"/>
      <c r="F73" s="14"/>
      <c r="G73" s="14"/>
      <c r="H73" s="14"/>
      <c r="I73" s="5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si="7"/>
        <v>71</v>
      </c>
      <c r="B74" s="13" t="s">
        <v>160</v>
      </c>
      <c r="C74" s="4" t="s">
        <v>159</v>
      </c>
      <c r="D74" s="4" t="s">
        <v>161</v>
      </c>
      <c r="E74" s="14">
        <f>+[56]Main!$I$2</f>
        <v>141.63</v>
      </c>
      <c r="F74" s="14">
        <f>+[56]Main!$I$4</f>
        <v>82151.979704910002</v>
      </c>
      <c r="G74" s="14">
        <f>+[56]Main!$I$6-[56]Main!$I$5</f>
        <v>1013.5080000000007</v>
      </c>
      <c r="H74" s="14">
        <f>+F74+G74</f>
        <v>83165.487704910003</v>
      </c>
      <c r="I74" s="5" t="s">
        <v>430</v>
      </c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162</v>
      </c>
      <c r="C75" s="4" t="s">
        <v>163</v>
      </c>
      <c r="D75" s="4" t="s">
        <v>45</v>
      </c>
      <c r="E75" s="14">
        <f>+[57]Main!$J$2</f>
        <v>81.150000000000006</v>
      </c>
      <c r="F75" s="14">
        <f>+[57]Main!$J$4</f>
        <v>39872.214139349999</v>
      </c>
      <c r="G75" s="14">
        <f>+[57]Main!$J$6-[57]Main!$J$5</f>
        <v>-1740.3710000000001</v>
      </c>
      <c r="H75" s="14">
        <f>+F75+G75</f>
        <v>38131.84313935</v>
      </c>
      <c r="I75" s="5" t="s">
        <v>708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4" t="s">
        <v>164</v>
      </c>
      <c r="C76" s="4" t="s">
        <v>165</v>
      </c>
      <c r="D76" s="4" t="s">
        <v>79</v>
      </c>
      <c r="E76" s="14"/>
      <c r="F76" s="14"/>
      <c r="G76" s="14"/>
      <c r="H76" s="14"/>
      <c r="I76" s="5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13" t="s">
        <v>167</v>
      </c>
      <c r="C77" s="4" t="s">
        <v>167</v>
      </c>
      <c r="D77" s="4" t="s">
        <v>45</v>
      </c>
      <c r="E77" s="14">
        <f>+[58]Main!$I$2</f>
        <v>1790.2</v>
      </c>
      <c r="F77" s="14">
        <f>+[58]Main!$I$4</f>
        <v>43576.493437999998</v>
      </c>
      <c r="G77" s="14">
        <f>+[58]Main!$I$6-[58]Main!$I$5</f>
        <v>2381.538</v>
      </c>
      <c r="H77" s="14">
        <f>+F77+G77</f>
        <v>45958.031437999998</v>
      </c>
      <c r="I77" s="5" t="s">
        <v>431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4" t="s">
        <v>168</v>
      </c>
      <c r="C78" s="4" t="s">
        <v>169</v>
      </c>
      <c r="D78" s="4" t="s">
        <v>46</v>
      </c>
      <c r="E78" s="14"/>
      <c r="F78" s="14"/>
      <c r="G78" s="14"/>
      <c r="H78" s="14"/>
      <c r="I78" s="5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170</v>
      </c>
      <c r="C79" s="4" t="s">
        <v>171</v>
      </c>
      <c r="D79" s="4" t="s">
        <v>45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172</v>
      </c>
      <c r="C80" s="4" t="s">
        <v>174</v>
      </c>
      <c r="D80" s="4" t="s">
        <v>173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13" t="s">
        <v>175</v>
      </c>
      <c r="C81" s="4" t="s">
        <v>176</v>
      </c>
      <c r="D81" s="4" t="s">
        <v>59</v>
      </c>
      <c r="E81" s="14">
        <f>+[59]Main!$I$2</f>
        <v>22.51</v>
      </c>
      <c r="F81" s="14">
        <f>+[59]Main!$I$4</f>
        <v>40518</v>
      </c>
      <c r="G81" s="14">
        <f>+[59]Main!$I$6-[59]Main!$I$5</f>
        <v>-4497</v>
      </c>
      <c r="H81" s="14">
        <f>+F81+G81</f>
        <v>36021</v>
      </c>
      <c r="I81" s="5" t="s">
        <v>430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4" t="s">
        <v>177</v>
      </c>
      <c r="C82" s="4" t="s">
        <v>178</v>
      </c>
      <c r="D82" s="4" t="s">
        <v>47</v>
      </c>
      <c r="E82" s="14"/>
      <c r="F82" s="14"/>
      <c r="G82" s="14"/>
      <c r="H82" s="14"/>
      <c r="I82" s="5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13" t="s">
        <v>179</v>
      </c>
      <c r="C83" s="4" t="s">
        <v>180</v>
      </c>
      <c r="D83" s="4" t="s">
        <v>45</v>
      </c>
      <c r="E83" s="14">
        <f>+[60]Main!$I$2</f>
        <v>355.99</v>
      </c>
      <c r="F83" s="14">
        <f>+[60]Main!$I$4</f>
        <v>121021.73065369001</v>
      </c>
      <c r="G83" s="14">
        <f>+[60]Main!$I$6-[60]Main!$I$5</f>
        <v>2767.482</v>
      </c>
      <c r="H83" s="14">
        <f>+F83+G83</f>
        <v>123789.21265369002</v>
      </c>
      <c r="I83" s="5" t="s">
        <v>430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4" t="s">
        <v>181</v>
      </c>
      <c r="C84" s="4" t="s">
        <v>182</v>
      </c>
      <c r="D84" s="4" t="s">
        <v>45</v>
      </c>
      <c r="E84" s="14"/>
      <c r="F84" s="14"/>
      <c r="G84" s="14"/>
      <c r="H84" s="14"/>
      <c r="I84" s="5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183</v>
      </c>
      <c r="C85" s="4" t="s">
        <v>184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13" t="s">
        <v>307</v>
      </c>
      <c r="C86" s="4" t="s">
        <v>308</v>
      </c>
      <c r="D86" s="4" t="s">
        <v>45</v>
      </c>
      <c r="E86" s="14">
        <f>+[61]Main!$J$2</f>
        <v>117.07</v>
      </c>
      <c r="F86" s="14">
        <f>+[61]Main!$J$4</f>
        <v>104037.19313750998</v>
      </c>
      <c r="G86" s="14">
        <f>+[61]Main!$J$6-[61]Main!$J$5</f>
        <v>-4332</v>
      </c>
      <c r="H86" s="14">
        <f>+F86+G86</f>
        <v>99705.193137509981</v>
      </c>
      <c r="I86" s="5" t="s">
        <v>2583</v>
      </c>
      <c r="J86" s="4"/>
      <c r="K86" s="4"/>
      <c r="L86" s="4"/>
      <c r="M86" s="4"/>
      <c r="N86" s="4"/>
      <c r="O86" s="4"/>
      <c r="P86" s="4"/>
      <c r="Q86" s="4"/>
      <c r="R86" s="4"/>
      <c r="S86" s="4" t="s">
        <v>445</v>
      </c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4" t="s">
        <v>185</v>
      </c>
      <c r="C87" s="4" t="s">
        <v>187</v>
      </c>
      <c r="D87" s="4" t="s">
        <v>186</v>
      </c>
      <c r="E87" s="14"/>
      <c r="F87" s="14"/>
      <c r="G87" s="14"/>
      <c r="H87" s="14"/>
      <c r="I87" s="5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13" t="s">
        <v>442</v>
      </c>
      <c r="C88" s="4" t="s">
        <v>222</v>
      </c>
      <c r="D88" s="4" t="s">
        <v>45</v>
      </c>
      <c r="E88" s="14">
        <f>+[62]Main!$I$2</f>
        <v>337.5</v>
      </c>
      <c r="F88" s="14">
        <f>+[62]Main!$I$4</f>
        <v>78536.25</v>
      </c>
      <c r="G88" s="14">
        <f>+[62]Main!$I$6-[62]Main!$I$5</f>
        <v>-42129.569890000006</v>
      </c>
      <c r="H88" s="14">
        <f>+F88+G88</f>
        <v>36406.680109999994</v>
      </c>
      <c r="I88" s="5" t="s">
        <v>430</v>
      </c>
      <c r="J88" s="4"/>
      <c r="K88" s="4"/>
      <c r="L88" s="4"/>
      <c r="M88" s="4"/>
      <c r="N88" s="4"/>
      <c r="O88" s="4"/>
      <c r="P88" s="4"/>
      <c r="Q88" s="4"/>
      <c r="R88" s="4"/>
      <c r="S88" s="4" t="s">
        <v>448</v>
      </c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4" t="s">
        <v>188</v>
      </c>
      <c r="C89" s="4" t="s">
        <v>189</v>
      </c>
      <c r="D89" s="4" t="s">
        <v>45</v>
      </c>
      <c r="E89" s="14"/>
      <c r="F89" s="14"/>
      <c r="G89" s="14"/>
      <c r="H89" s="14"/>
      <c r="I89" s="5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190</v>
      </c>
      <c r="C90" s="4" t="s">
        <v>191</v>
      </c>
      <c r="D90" s="4" t="s">
        <v>768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13" t="s">
        <v>192</v>
      </c>
      <c r="C91" s="4" t="s">
        <v>193</v>
      </c>
      <c r="D91" s="4" t="s">
        <v>45</v>
      </c>
      <c r="E91" s="14">
        <f>+[63]Main!$H$2</f>
        <v>276.01</v>
      </c>
      <c r="F91" s="14">
        <f>+[63]Main!$H$4</f>
        <v>69099.22577243</v>
      </c>
      <c r="G91" s="14">
        <f>+[63]Main!$H$6-[63]Main!$H$5</f>
        <v>-3259.3870999999999</v>
      </c>
      <c r="H91" s="14">
        <f>+F91+G91</f>
        <v>65839.838672429993</v>
      </c>
      <c r="I91" s="5" t="s">
        <v>49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194</v>
      </c>
      <c r="C92" s="4" t="s">
        <v>707</v>
      </c>
      <c r="D92" s="4" t="s">
        <v>45</v>
      </c>
      <c r="E92" s="14">
        <f>+[64]Main!$J$2</f>
        <v>53.86</v>
      </c>
      <c r="F92" s="14">
        <f>+[64]Main!$J$4</f>
        <v>33365.192799999997</v>
      </c>
      <c r="G92" s="14">
        <f>+[64]Main!$J$6-[64]Main!$J$5</f>
        <v>-2373.2370000000001</v>
      </c>
      <c r="H92" s="14">
        <f>+F92+G92</f>
        <v>30991.955799999996</v>
      </c>
      <c r="I92" s="5" t="s">
        <v>430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4" t="s">
        <v>195</v>
      </c>
      <c r="C93" s="4" t="s">
        <v>197</v>
      </c>
      <c r="D93" s="4" t="s">
        <v>196</v>
      </c>
      <c r="E93" s="14"/>
      <c r="F93" s="14"/>
      <c r="G93" s="14"/>
      <c r="H93" s="14"/>
      <c r="I93" s="5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198</v>
      </c>
      <c r="C94" s="4" t="s">
        <v>199</v>
      </c>
      <c r="D94" s="4" t="s">
        <v>46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200</v>
      </c>
      <c r="C95" s="4" t="s">
        <v>201</v>
      </c>
      <c r="D95" s="4" t="s">
        <v>45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202</v>
      </c>
      <c r="C96" s="4" t="s">
        <v>203</v>
      </c>
      <c r="D96" s="4" t="s">
        <v>768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13" t="s">
        <v>204</v>
      </c>
      <c r="C97" s="4" t="s">
        <v>205</v>
      </c>
      <c r="D97" s="4" t="s">
        <v>45</v>
      </c>
      <c r="E97" s="14">
        <f>+[65]Main!$I$2</f>
        <v>202.53</v>
      </c>
      <c r="F97" s="14">
        <f>+[65]Main!$I$4</f>
        <v>50674.485076589997</v>
      </c>
      <c r="G97" s="14">
        <f>+[65]Main!$I$6-[65]Main!$I$5</f>
        <v>-1230</v>
      </c>
      <c r="H97" s="14">
        <f>+F97+G97</f>
        <v>49444.485076589997</v>
      </c>
      <c r="I97" s="5" t="s">
        <v>431</v>
      </c>
      <c r="J97" s="36" t="s">
        <v>3146</v>
      </c>
      <c r="K97" s="4"/>
      <c r="L97" s="4"/>
      <c r="M97" s="4"/>
      <c r="N97" s="4"/>
      <c r="O97" s="4"/>
      <c r="P97" s="4"/>
      <c r="Q97" s="4"/>
      <c r="R97" s="4"/>
      <c r="S97" s="4" t="s">
        <v>446</v>
      </c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4" t="s">
        <v>206</v>
      </c>
      <c r="C98" s="4" t="s">
        <v>207</v>
      </c>
      <c r="D98" s="4" t="s">
        <v>45</v>
      </c>
      <c r="E98" s="14"/>
      <c r="F98" s="14"/>
      <c r="G98" s="14"/>
      <c r="H98" s="14"/>
      <c r="I98" s="5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208</v>
      </c>
      <c r="C99" s="4" t="s">
        <v>209</v>
      </c>
      <c r="D99" s="4" t="s">
        <v>87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210</v>
      </c>
      <c r="C100" s="17" t="s">
        <v>211</v>
      </c>
      <c r="D100" s="4" t="s">
        <v>768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212</v>
      </c>
      <c r="C101" s="4" t="s">
        <v>213</v>
      </c>
      <c r="D101" s="4" t="s">
        <v>87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214</v>
      </c>
      <c r="C102" s="4" t="s">
        <v>215</v>
      </c>
      <c r="D102" s="4" t="s">
        <v>45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13" t="s">
        <v>216</v>
      </c>
      <c r="C103" s="4" t="s">
        <v>217</v>
      </c>
      <c r="D103" s="4" t="s">
        <v>45</v>
      </c>
      <c r="E103" s="14">
        <f>+[66]Main!$I$2</f>
        <v>28.82</v>
      </c>
      <c r="F103" s="14">
        <f>+[66]Main!$I$4</f>
        <v>27027.330751519999</v>
      </c>
      <c r="G103" s="14">
        <f>+[66]Main!$I$6-[66]Main!$I$5</f>
        <v>6416</v>
      </c>
      <c r="H103" s="14">
        <f>+F103+G103</f>
        <v>33443.330751519999</v>
      </c>
      <c r="I103" s="5" t="s">
        <v>430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4" t="s">
        <v>218</v>
      </c>
      <c r="C104" s="4" t="s">
        <v>219</v>
      </c>
      <c r="D104" s="4" t="s">
        <v>173</v>
      </c>
      <c r="E104" s="14"/>
      <c r="F104" s="14"/>
      <c r="G104" s="14"/>
      <c r="H104" s="14"/>
      <c r="I104" s="5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220</v>
      </c>
      <c r="C105" s="4" t="s">
        <v>221</v>
      </c>
      <c r="D105" s="4" t="s">
        <v>768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223</v>
      </c>
      <c r="C106" s="4" t="s">
        <v>224</v>
      </c>
      <c r="D106" s="4" t="s">
        <v>1126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13" t="s">
        <v>225</v>
      </c>
      <c r="C107" s="4" t="s">
        <v>226</v>
      </c>
      <c r="D107" s="4" t="s">
        <v>45</v>
      </c>
      <c r="E107" s="14">
        <f>+[67]Main!$H$2</f>
        <v>84.016999999999996</v>
      </c>
      <c r="F107" s="14">
        <f>+[67]Main!$H$4</f>
        <v>37639.615999999995</v>
      </c>
      <c r="G107" s="14">
        <f>+[67]Main!$H$6-[67]Main!$H$5</f>
        <v>3827</v>
      </c>
      <c r="H107" s="14">
        <f>+F107+G107</f>
        <v>41466.615999999995</v>
      </c>
      <c r="I107" s="43" t="s">
        <v>3147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4" t="s">
        <v>227</v>
      </c>
      <c r="C108" s="4" t="s">
        <v>228</v>
      </c>
      <c r="D108" s="4" t="s">
        <v>46</v>
      </c>
      <c r="E108" s="14"/>
      <c r="F108" s="14"/>
      <c r="G108" s="14"/>
      <c r="H108" s="14"/>
      <c r="I108" s="5"/>
      <c r="J108" s="4"/>
      <c r="K108" s="4"/>
      <c r="L108" s="4"/>
      <c r="M108" s="4"/>
      <c r="N108" s="4"/>
      <c r="O108" s="4"/>
      <c r="P108" s="4"/>
      <c r="Q108" s="4"/>
      <c r="R108" s="4"/>
      <c r="S108" s="4" t="s">
        <v>447</v>
      </c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229</v>
      </c>
      <c r="C109" s="4" t="s">
        <v>230</v>
      </c>
      <c r="D109" s="4" t="s">
        <v>87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195</v>
      </c>
      <c r="C110" s="4" t="s">
        <v>231</v>
      </c>
      <c r="D110" s="4" t="s">
        <v>1126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232</v>
      </c>
      <c r="C111" s="4" t="s">
        <v>234</v>
      </c>
      <c r="D111" s="4" t="s">
        <v>233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235</v>
      </c>
      <c r="C112" s="4" t="s">
        <v>236</v>
      </c>
      <c r="D112" s="4" t="s">
        <v>186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237</v>
      </c>
      <c r="C113" s="4" t="s">
        <v>238</v>
      </c>
      <c r="D113" s="4" t="s">
        <v>45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239</v>
      </c>
      <c r="C114" s="4" t="s">
        <v>240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241</v>
      </c>
      <c r="C115" s="4" t="s">
        <v>242</v>
      </c>
      <c r="D115" s="4" t="s">
        <v>87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243</v>
      </c>
      <c r="C116" s="4" t="s">
        <v>244</v>
      </c>
      <c r="D116" s="4" t="s">
        <v>245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246</v>
      </c>
      <c r="C117" s="4" t="s">
        <v>247</v>
      </c>
      <c r="D117" s="4" t="s">
        <v>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248</v>
      </c>
      <c r="C118" s="4" t="s">
        <v>249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250</v>
      </c>
      <c r="C119" s="4" t="s">
        <v>251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252</v>
      </c>
      <c r="C120" s="4" t="s">
        <v>253</v>
      </c>
      <c r="D120" s="4" t="s">
        <v>173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13" t="s">
        <v>257</v>
      </c>
      <c r="C121" s="4" t="s">
        <v>254</v>
      </c>
      <c r="D121" s="4" t="s">
        <v>45</v>
      </c>
      <c r="E121" s="14">
        <f>+[68]Main!$I$2</f>
        <v>194.53</v>
      </c>
      <c r="F121" s="14">
        <f>+[68]Main!$I$4</f>
        <v>67601.194415930004</v>
      </c>
      <c r="G121" s="14">
        <f>+[68]Main!$I$6-[68]Main!$I$5</f>
        <v>-204.459</v>
      </c>
      <c r="H121" s="14">
        <f>+F121+G121</f>
        <v>67396.735415930001</v>
      </c>
      <c r="I121" s="5" t="s">
        <v>708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255</v>
      </c>
      <c r="C122" s="4" t="s">
        <v>256</v>
      </c>
      <c r="D122" s="4" t="s">
        <v>45</v>
      </c>
      <c r="E122" s="14">
        <f>+[69]Main!$L$3</f>
        <v>228.01</v>
      </c>
      <c r="F122" s="14">
        <f>+[69]Main!$L$5</f>
        <v>42061.053038120001</v>
      </c>
      <c r="G122" s="14">
        <f>+[69]Main!$L$7-[69]Main!$L$6</f>
        <v>1030</v>
      </c>
      <c r="H122" s="14">
        <f>+F122+G122</f>
        <v>43091.053038120001</v>
      </c>
      <c r="I122" s="5" t="s">
        <v>429</v>
      </c>
      <c r="J122" s="4"/>
      <c r="K122" s="4"/>
      <c r="L122" s="4"/>
      <c r="M122" s="4"/>
      <c r="N122" s="4"/>
      <c r="O122" s="4"/>
      <c r="P122" s="4"/>
      <c r="Q122" s="4"/>
      <c r="R122" s="4"/>
      <c r="S122" s="4" t="s">
        <v>446</v>
      </c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4" t="s">
        <v>258</v>
      </c>
      <c r="C123" s="4" t="s">
        <v>259</v>
      </c>
      <c r="D123" s="4" t="s">
        <v>87</v>
      </c>
      <c r="E123" s="14"/>
      <c r="F123" s="14"/>
      <c r="G123" s="14"/>
      <c r="H123" s="14"/>
      <c r="I123" s="5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260</v>
      </c>
      <c r="C124" s="4" t="s">
        <v>261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262</v>
      </c>
      <c r="C125" s="4" t="s">
        <v>263</v>
      </c>
      <c r="D125" s="4" t="s">
        <v>45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264</v>
      </c>
      <c r="C126" s="4" t="s">
        <v>265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266</v>
      </c>
      <c r="C127" s="4" t="s">
        <v>267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268</v>
      </c>
      <c r="C128" s="4" t="s">
        <v>269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271</v>
      </c>
      <c r="C129" s="4" t="s">
        <v>270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13" t="s">
        <v>424</v>
      </c>
      <c r="C130" s="4" t="s">
        <v>425</v>
      </c>
      <c r="D130" s="4" t="s">
        <v>45</v>
      </c>
      <c r="E130" s="14">
        <f>+[70]Main!$I$2</f>
        <v>215</v>
      </c>
      <c r="F130" s="14">
        <f>+[70]Main!$I$4</f>
        <v>40238.578914999998</v>
      </c>
      <c r="G130" s="14">
        <f>+[70]Main!$I$6-[70]Main!$I$5</f>
        <v>-2059.9409999999998</v>
      </c>
      <c r="H130" s="14">
        <f>+F130+G130</f>
        <v>38178.637914999999</v>
      </c>
      <c r="I130" s="5" t="s">
        <v>2583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4" t="s">
        <v>272</v>
      </c>
      <c r="C131" s="4" t="s">
        <v>273</v>
      </c>
      <c r="D131" s="4" t="s">
        <v>128</v>
      </c>
      <c r="E131" s="14"/>
      <c r="F131" s="14"/>
      <c r="G131" s="14"/>
      <c r="H131" s="14"/>
      <c r="I131" s="5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274</v>
      </c>
      <c r="C132" s="4" t="s">
        <v>275</v>
      </c>
      <c r="D132" s="4" t="s">
        <v>45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13" t="s">
        <v>276</v>
      </c>
      <c r="C133" s="4" t="s">
        <v>277</v>
      </c>
      <c r="D133" s="4" t="s">
        <v>278</v>
      </c>
      <c r="E133" s="14">
        <f>+[71]Main!$J$2</f>
        <v>4.42</v>
      </c>
      <c r="F133" s="14">
        <f>+[71]Main!$J$4*FX!C4</f>
        <v>25273.325527398003</v>
      </c>
      <c r="G133" s="14">
        <f>+([71]Main!$J$6-[71]Main!$J$5)*FX!C4</f>
        <v>-2129.7600000000002</v>
      </c>
      <c r="H133" s="14">
        <f>+F133+G133</f>
        <v>23143.565527398001</v>
      </c>
      <c r="I133" s="5" t="s">
        <v>708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4" t="s">
        <v>279</v>
      </c>
      <c r="C134" s="4" t="s">
        <v>280</v>
      </c>
      <c r="D134" s="4" t="s">
        <v>45</v>
      </c>
      <c r="E134" s="14"/>
      <c r="F134" s="14"/>
      <c r="G134" s="14"/>
      <c r="H134" s="14"/>
      <c r="I134" s="5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281</v>
      </c>
      <c r="C135" s="4" t="s">
        <v>283</v>
      </c>
      <c r="D135" s="4" t="s">
        <v>282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285</v>
      </c>
      <c r="C136" s="4" t="s">
        <v>284</v>
      </c>
      <c r="D136" s="4" t="s">
        <v>768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ref="A137:A200" si="8">+A136+1</f>
        <v>134</v>
      </c>
      <c r="B137" s="4" t="s">
        <v>286</v>
      </c>
      <c r="C137" s="4" t="s">
        <v>287</v>
      </c>
      <c r="D137" s="4" t="s">
        <v>45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si="8"/>
        <v>135</v>
      </c>
      <c r="B138" s="4" t="s">
        <v>288</v>
      </c>
      <c r="C138" s="4" t="s">
        <v>289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290</v>
      </c>
      <c r="C139" s="4" t="s">
        <v>291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292</v>
      </c>
      <c r="C140" s="4" t="s">
        <v>293</v>
      </c>
      <c r="D140" s="4" t="s">
        <v>1126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295</v>
      </c>
      <c r="C141" s="4" t="s">
        <v>296</v>
      </c>
      <c r="D141" s="4" t="s">
        <v>294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299</v>
      </c>
      <c r="C142" s="4" t="s">
        <v>299</v>
      </c>
      <c r="D142" s="4" t="s">
        <v>45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297</v>
      </c>
      <c r="C143" s="4" t="s">
        <v>298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300</v>
      </c>
      <c r="C144" s="4" t="s">
        <v>302</v>
      </c>
      <c r="D144" s="4" t="s">
        <v>301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303</v>
      </c>
      <c r="C145" s="4" t="s">
        <v>304</v>
      </c>
      <c r="D145" s="4" t="s">
        <v>1126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305</v>
      </c>
      <c r="C146" s="4" t="s">
        <v>306</v>
      </c>
      <c r="D146" s="4" t="s">
        <v>87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13" t="s">
        <v>309</v>
      </c>
      <c r="C147" s="4" t="s">
        <v>310</v>
      </c>
      <c r="D147" s="4" t="s">
        <v>45</v>
      </c>
      <c r="E147" s="14">
        <f>+[72]Main!$I$2</f>
        <v>195.81</v>
      </c>
      <c r="F147" s="14">
        <f>+[72]Main!$I$4</f>
        <v>25231.503659940001</v>
      </c>
      <c r="G147" s="14">
        <f>+[72]Main!$I$6-[72]Main!$I$5</f>
        <v>392</v>
      </c>
      <c r="H147" s="14">
        <f>+F147+G147</f>
        <v>25623.503659940001</v>
      </c>
      <c r="I147" s="5" t="s">
        <v>430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4" t="s">
        <v>311</v>
      </c>
      <c r="C148" s="4" t="s">
        <v>312</v>
      </c>
      <c r="D148" s="4" t="s">
        <v>45</v>
      </c>
      <c r="E148" s="14"/>
      <c r="F148" s="14"/>
      <c r="G148" s="14"/>
      <c r="H148" s="14"/>
      <c r="I148" s="5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313</v>
      </c>
      <c r="C149" s="17" t="s">
        <v>314</v>
      </c>
      <c r="D149" s="4" t="s">
        <v>59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315</v>
      </c>
      <c r="C150" s="4" t="s">
        <v>316</v>
      </c>
      <c r="D150" s="4" t="s">
        <v>45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317</v>
      </c>
      <c r="C151" s="4" t="s">
        <v>318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320</v>
      </c>
      <c r="C152" s="4" t="s">
        <v>319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13" t="s">
        <v>321</v>
      </c>
      <c r="C153" s="17" t="s">
        <v>323</v>
      </c>
      <c r="D153" s="4" t="s">
        <v>322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324</v>
      </c>
      <c r="C154" s="4" t="s">
        <v>325</v>
      </c>
      <c r="D154" s="4" t="s">
        <v>45</v>
      </c>
      <c r="E154" s="14">
        <f>+[73]Main!$I$2</f>
        <v>283.56</v>
      </c>
      <c r="F154" s="14">
        <f>+[73]Main!$I$4</f>
        <v>10720.488835439999</v>
      </c>
      <c r="G154" s="14">
        <f>+[73]Main!$I$6-[73]Main!$I$5</f>
        <v>1066.1519999999998</v>
      </c>
      <c r="H154" s="14">
        <f>+F154+G154</f>
        <v>11786.640835439999</v>
      </c>
      <c r="I154" s="5" t="s">
        <v>429</v>
      </c>
      <c r="J154" s="4"/>
      <c r="K154" s="4"/>
      <c r="L154" s="4"/>
      <c r="M154" s="4"/>
      <c r="N154" s="4"/>
      <c r="O154" s="4"/>
      <c r="P154" s="4"/>
      <c r="Q154" s="4"/>
      <c r="R154" s="4"/>
      <c r="S154" s="4" t="s">
        <v>443</v>
      </c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327</v>
      </c>
      <c r="C155" s="4" t="s">
        <v>326</v>
      </c>
      <c r="D155" s="4" t="s">
        <v>45</v>
      </c>
      <c r="E155" s="14">
        <f>+[74]Main!$I$2</f>
        <v>8.2100000000000009</v>
      </c>
      <c r="F155" s="14">
        <f>+[74]Main!$I$4</f>
        <v>14115.934196310003</v>
      </c>
      <c r="G155" s="14">
        <f>+[74]Main!$I$6-[74]Main!$I$5</f>
        <v>544.51200000000017</v>
      </c>
      <c r="H155" s="14">
        <f>+F155+G155</f>
        <v>14660.446196310004</v>
      </c>
      <c r="I155" s="5" t="s">
        <v>2583</v>
      </c>
      <c r="J155" s="15">
        <v>45958</v>
      </c>
      <c r="K155" s="4"/>
      <c r="L155" s="4"/>
      <c r="M155" s="4"/>
      <c r="N155" s="4"/>
      <c r="O155" s="4"/>
      <c r="P155" s="4"/>
      <c r="Q155" s="4"/>
      <c r="R155" s="4"/>
      <c r="S155" s="4" t="s">
        <v>444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4" t="s">
        <v>329</v>
      </c>
      <c r="C156" s="4" t="s">
        <v>328</v>
      </c>
      <c r="D156" s="4" t="s">
        <v>45</v>
      </c>
      <c r="E156" s="14"/>
      <c r="F156" s="14"/>
      <c r="G156" s="14"/>
      <c r="H156" s="14"/>
      <c r="I156" s="5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330</v>
      </c>
      <c r="C157" s="4" t="s">
        <v>331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332</v>
      </c>
      <c r="C158" s="4" t="s">
        <v>333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334</v>
      </c>
      <c r="C159" s="4" t="s">
        <v>335</v>
      </c>
      <c r="D159" s="4" t="s">
        <v>87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336</v>
      </c>
      <c r="C160" s="4" t="s">
        <v>337</v>
      </c>
      <c r="D160" s="4" t="s">
        <v>45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338</v>
      </c>
      <c r="C161" s="4" t="s">
        <v>339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340</v>
      </c>
      <c r="C162" s="4" t="s">
        <v>341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342</v>
      </c>
      <c r="C163" s="4" t="s">
        <v>343</v>
      </c>
      <c r="D163" s="4" t="s">
        <v>186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344</v>
      </c>
      <c r="C164" s="4" t="s">
        <v>345</v>
      </c>
      <c r="D164" s="4" t="s">
        <v>45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346</v>
      </c>
      <c r="C165" s="4" t="s">
        <v>347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348</v>
      </c>
      <c r="C166" s="4" t="s">
        <v>349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350</v>
      </c>
      <c r="C167" s="4" t="s">
        <v>351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353</v>
      </c>
      <c r="C168" s="4" t="s">
        <v>352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354</v>
      </c>
      <c r="C169" s="4" t="s">
        <v>355</v>
      </c>
      <c r="D169" s="4" t="s">
        <v>161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356</v>
      </c>
      <c r="C170" s="4" t="s">
        <v>357</v>
      </c>
      <c r="D170" s="4" t="s">
        <v>45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358</v>
      </c>
      <c r="C171" s="4" t="s">
        <v>359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360</v>
      </c>
      <c r="C172" s="4" t="s">
        <v>361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362</v>
      </c>
      <c r="C173" s="4" t="s">
        <v>363</v>
      </c>
      <c r="D173" s="4" t="s">
        <v>322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364</v>
      </c>
      <c r="C174" s="4" t="s">
        <v>365</v>
      </c>
      <c r="D174" s="4" t="s">
        <v>45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366</v>
      </c>
      <c r="C175" s="4" t="s">
        <v>367</v>
      </c>
      <c r="D175" s="4" t="s">
        <v>768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368</v>
      </c>
      <c r="C176" s="4" t="s">
        <v>369</v>
      </c>
      <c r="D176" s="4" t="s">
        <v>87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13" t="s">
        <v>371</v>
      </c>
      <c r="C177" s="4" t="s">
        <v>370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4" t="s">
        <v>372</v>
      </c>
      <c r="C178" s="4" t="s">
        <v>373</v>
      </c>
      <c r="D178" s="4" t="s">
        <v>768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374</v>
      </c>
      <c r="C179" s="4" t="s">
        <v>375</v>
      </c>
      <c r="D179" s="4" t="s">
        <v>45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376</v>
      </c>
      <c r="C180" s="4" t="s">
        <v>377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378</v>
      </c>
      <c r="C181" s="4" t="s">
        <v>379</v>
      </c>
      <c r="D181" s="4" t="s">
        <v>87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380</v>
      </c>
      <c r="C182" s="4" t="s">
        <v>381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433</v>
      </c>
      <c r="C183" s="4" t="s">
        <v>382</v>
      </c>
      <c r="D183" s="4" t="s">
        <v>301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383</v>
      </c>
      <c r="C184" s="4" t="s">
        <v>384</v>
      </c>
      <c r="D184" s="4" t="s">
        <v>1126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385</v>
      </c>
      <c r="C185" s="4" t="s">
        <v>386</v>
      </c>
      <c r="D185" s="4" t="s">
        <v>173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387</v>
      </c>
      <c r="C186" s="17" t="s">
        <v>388</v>
      </c>
      <c r="D186" s="4" t="s">
        <v>59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389</v>
      </c>
      <c r="C187" s="4" t="s">
        <v>390</v>
      </c>
      <c r="D187" s="4" t="s">
        <v>84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391</v>
      </c>
      <c r="C188" s="4" t="s">
        <v>392</v>
      </c>
      <c r="D188" s="4" t="s">
        <v>45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393</v>
      </c>
      <c r="C189" s="4" t="s">
        <v>394</v>
      </c>
      <c r="D189" s="4" t="s">
        <v>87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395</v>
      </c>
      <c r="C190" s="4" t="s">
        <v>396</v>
      </c>
      <c r="D190" s="4" t="s">
        <v>45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397</v>
      </c>
      <c r="C191" s="4" t="s">
        <v>399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400</v>
      </c>
      <c r="C192" s="4" t="s">
        <v>401</v>
      </c>
      <c r="D192" s="4" t="s">
        <v>398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402</v>
      </c>
      <c r="C193" s="17" t="s">
        <v>403</v>
      </c>
      <c r="D193" s="4" t="s">
        <v>322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404</v>
      </c>
      <c r="C194" s="4" t="s">
        <v>405</v>
      </c>
      <c r="D194" s="4" t="s">
        <v>186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406</v>
      </c>
      <c r="C195" s="4" t="s">
        <v>407</v>
      </c>
      <c r="D195" s="4" t="s">
        <v>45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408</v>
      </c>
      <c r="C196" s="4" t="s">
        <v>409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410</v>
      </c>
      <c r="C197" s="4" t="s">
        <v>411</v>
      </c>
      <c r="D197" s="4" t="s">
        <v>301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412</v>
      </c>
      <c r="C198" s="4" t="s">
        <v>413</v>
      </c>
      <c r="D198" s="4" t="s">
        <v>45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416</v>
      </c>
      <c r="C199" s="4" t="s">
        <v>415</v>
      </c>
      <c r="D199" s="4" t="s">
        <v>47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417</v>
      </c>
      <c r="C200" s="17" t="s">
        <v>418</v>
      </c>
      <c r="D200" s="4" t="s">
        <v>59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ref="A201:A264" si="9">+A200+1</f>
        <v>198</v>
      </c>
      <c r="B201" s="4" t="s">
        <v>419</v>
      </c>
      <c r="C201" s="4" t="s">
        <v>420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si="9"/>
        <v>199</v>
      </c>
      <c r="B202" s="4" t="s">
        <v>414</v>
      </c>
      <c r="C202" s="4" t="s">
        <v>421</v>
      </c>
      <c r="D202" s="4" t="s">
        <v>47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422</v>
      </c>
      <c r="C203" s="4" t="s">
        <v>423</v>
      </c>
      <c r="D203" s="4" t="s">
        <v>45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13" t="s">
        <v>461</v>
      </c>
      <c r="C204" s="4" t="s">
        <v>462</v>
      </c>
      <c r="D204" s="4" t="s">
        <v>45</v>
      </c>
      <c r="E204" s="14">
        <f>+[75]Main!$I$2</f>
        <v>371.65</v>
      </c>
      <c r="F204" s="14">
        <f>+[75]Main!$I$4</f>
        <v>17029.711736549998</v>
      </c>
      <c r="G204" s="14">
        <f>+[75]Main!$I$6-[75]Main!$I$5</f>
        <v>-1097.883</v>
      </c>
      <c r="H204" s="14">
        <f>+F204+G204</f>
        <v>15931.828736549998</v>
      </c>
      <c r="I204" s="5" t="s">
        <v>2583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4" t="s">
        <v>463</v>
      </c>
      <c r="C205" s="4" t="s">
        <v>464</v>
      </c>
      <c r="D205" s="4" t="s">
        <v>45</v>
      </c>
      <c r="E205" s="14"/>
      <c r="F205" s="14"/>
      <c r="G205" s="14"/>
      <c r="H205" s="14"/>
      <c r="I205" s="5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465</v>
      </c>
      <c r="C206" s="4" t="s">
        <v>466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467</v>
      </c>
      <c r="C207" s="4" t="s">
        <v>468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13" t="s">
        <v>705</v>
      </c>
      <c r="C208" s="4" t="s">
        <v>706</v>
      </c>
      <c r="D208" s="24" t="s">
        <v>128</v>
      </c>
      <c r="E208" s="14">
        <f>+[76]Main!$I$2</f>
        <v>44</v>
      </c>
      <c r="F208" s="14">
        <f>+[76]Main!$I$4</f>
        <v>16060</v>
      </c>
      <c r="G208" s="14">
        <f>+[76]Main!$I$6-[76]Main!$I$5</f>
        <v>-4777</v>
      </c>
      <c r="H208" s="14">
        <f>+F208+G208</f>
        <v>11283</v>
      </c>
      <c r="I208" s="25" t="s">
        <v>2583</v>
      </c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4" t="s">
        <v>469</v>
      </c>
      <c r="C209" s="4" t="s">
        <v>470</v>
      </c>
      <c r="D209" s="4" t="s">
        <v>1126</v>
      </c>
      <c r="E209" s="14"/>
      <c r="F209" s="14"/>
      <c r="G209" s="14"/>
      <c r="H209" s="14"/>
      <c r="I209" s="5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471</v>
      </c>
      <c r="C210" s="4" t="s">
        <v>472</v>
      </c>
      <c r="D210" s="4" t="s">
        <v>45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473</v>
      </c>
      <c r="C211" s="4" t="s">
        <v>474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475</v>
      </c>
      <c r="C212" s="4" t="s">
        <v>476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478</v>
      </c>
      <c r="C213" s="4" t="s">
        <v>477</v>
      </c>
      <c r="D213" s="4" t="s">
        <v>1126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479</v>
      </c>
      <c r="C214" s="4" t="s">
        <v>480</v>
      </c>
      <c r="D214" s="4" t="s">
        <v>45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481</v>
      </c>
      <c r="C215" s="4" t="s">
        <v>482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483</v>
      </c>
      <c r="C216" s="4" t="s">
        <v>484</v>
      </c>
      <c r="D216" s="4" t="s">
        <v>245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485</v>
      </c>
      <c r="C217" s="4" t="s">
        <v>486</v>
      </c>
      <c r="D217" s="4" t="s">
        <v>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487</v>
      </c>
      <c r="C218" s="4" t="s">
        <v>488</v>
      </c>
      <c r="D218" s="4" t="s">
        <v>768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489</v>
      </c>
      <c r="C219" s="4" t="s">
        <v>490</v>
      </c>
      <c r="D219" s="4" t="s">
        <v>45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491</v>
      </c>
      <c r="C220" s="4" t="s">
        <v>492</v>
      </c>
      <c r="D220" s="4" t="s">
        <v>301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493</v>
      </c>
      <c r="C221" s="4" t="s">
        <v>494</v>
      </c>
      <c r="D221" s="4" t="s">
        <v>45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495</v>
      </c>
      <c r="C222" s="4" t="s">
        <v>496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497</v>
      </c>
      <c r="C223" s="4" t="s">
        <v>498</v>
      </c>
      <c r="D223" s="4" t="s">
        <v>46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499</v>
      </c>
      <c r="C224" s="4" t="s">
        <v>499</v>
      </c>
      <c r="D224" s="4" t="s">
        <v>301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500</v>
      </c>
      <c r="C225" s="4" t="s">
        <v>501</v>
      </c>
      <c r="D225" s="4" t="s">
        <v>87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502</v>
      </c>
      <c r="C226" s="4" t="s">
        <v>503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504</v>
      </c>
      <c r="C227" s="4" t="s">
        <v>505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506</v>
      </c>
      <c r="C228" s="4" t="s">
        <v>507</v>
      </c>
      <c r="D228" s="4" t="s">
        <v>508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509</v>
      </c>
      <c r="C229" s="4" t="s">
        <v>510</v>
      </c>
      <c r="D229" s="4" t="s">
        <v>511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512</v>
      </c>
      <c r="C230" s="4" t="s">
        <v>513</v>
      </c>
      <c r="D230" s="4" t="s">
        <v>1126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514</v>
      </c>
      <c r="C231" s="4" t="s">
        <v>515</v>
      </c>
      <c r="D231" s="4" t="s">
        <v>45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516</v>
      </c>
      <c r="C232" s="4" t="s">
        <v>517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518</v>
      </c>
      <c r="C233" s="4" t="s">
        <v>519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520</v>
      </c>
      <c r="C234" s="4" t="s">
        <v>521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522</v>
      </c>
      <c r="C235" s="4" t="s">
        <v>523</v>
      </c>
      <c r="D235" s="4" t="s">
        <v>768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524</v>
      </c>
      <c r="C236" s="4" t="s">
        <v>525</v>
      </c>
      <c r="D236" s="4" t="s">
        <v>107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526</v>
      </c>
      <c r="C237" s="4" t="s">
        <v>527</v>
      </c>
      <c r="D237" s="4" t="s">
        <v>768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528</v>
      </c>
      <c r="C238" s="4" t="s">
        <v>529</v>
      </c>
      <c r="D238" s="4" t="s">
        <v>186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530</v>
      </c>
      <c r="C239" s="4" t="s">
        <v>531</v>
      </c>
      <c r="D239" s="4" t="s">
        <v>45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532</v>
      </c>
      <c r="C240" s="4" t="s">
        <v>533</v>
      </c>
      <c r="D240" s="4" t="s">
        <v>107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534</v>
      </c>
      <c r="C241" s="4" t="s">
        <v>535</v>
      </c>
      <c r="D241" s="4" t="s">
        <v>536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537</v>
      </c>
      <c r="C242" s="4" t="s">
        <v>538</v>
      </c>
      <c r="D242" s="4" t="s">
        <v>45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539</v>
      </c>
      <c r="C243" s="4" t="s">
        <v>540</v>
      </c>
      <c r="D243" s="4" t="s">
        <v>87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541</v>
      </c>
      <c r="C244" s="4" t="s">
        <v>542</v>
      </c>
      <c r="D244" s="4" t="s">
        <v>45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543</v>
      </c>
      <c r="C245" s="4" t="s">
        <v>544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545</v>
      </c>
      <c r="C246" s="4" t="s">
        <v>546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547</v>
      </c>
      <c r="C247" s="4" t="s">
        <v>548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13" t="s">
        <v>2584</v>
      </c>
      <c r="C248" s="4" t="s">
        <v>2585</v>
      </c>
      <c r="D248" s="4" t="s">
        <v>301</v>
      </c>
      <c r="E248" s="14">
        <f>+[77]Main!$I$2</f>
        <v>65.7</v>
      </c>
      <c r="F248" s="14">
        <f>+[77]Main!$I$4</f>
        <v>7075.3846356000004</v>
      </c>
      <c r="G248" s="14">
        <f>+[77]Main!$I$6-[77]Main!$I$5</f>
        <v>-640.70899999999995</v>
      </c>
      <c r="H248" s="14">
        <f>+F248+G248</f>
        <v>6434.6756356000005</v>
      </c>
      <c r="I248" s="5" t="s">
        <v>430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4" t="s">
        <v>549</v>
      </c>
      <c r="C249" s="4" t="s">
        <v>550</v>
      </c>
      <c r="D249" s="4" t="s">
        <v>45</v>
      </c>
      <c r="E249" s="14"/>
      <c r="F249" s="14"/>
      <c r="G249" s="14"/>
      <c r="H249" s="14"/>
      <c r="I249" s="5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551</v>
      </c>
      <c r="C250" s="4" t="s">
        <v>552</v>
      </c>
      <c r="D250" s="4" t="s">
        <v>1126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553</v>
      </c>
      <c r="C251" s="4" t="s">
        <v>554</v>
      </c>
      <c r="D251" s="4" t="s">
        <v>45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555</v>
      </c>
      <c r="C252" s="4" t="s">
        <v>556</v>
      </c>
      <c r="D252" s="4" t="s">
        <v>245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557</v>
      </c>
      <c r="C253" s="4" t="s">
        <v>558</v>
      </c>
      <c r="D253" s="4" t="s">
        <v>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559</v>
      </c>
      <c r="C254" s="4" t="s">
        <v>560</v>
      </c>
      <c r="D254" s="4" t="s">
        <v>107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561</v>
      </c>
      <c r="C255" s="4" t="s">
        <v>562</v>
      </c>
      <c r="D255" s="4" t="s">
        <v>768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563</v>
      </c>
      <c r="C256" s="4" t="s">
        <v>564</v>
      </c>
      <c r="D256" s="4" t="s">
        <v>45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565</v>
      </c>
      <c r="C257" s="4" t="s">
        <v>566</v>
      </c>
      <c r="D257" s="4" t="s">
        <v>1126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567</v>
      </c>
      <c r="C258" s="4" t="s">
        <v>568</v>
      </c>
      <c r="D258" s="4" t="s">
        <v>45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569</v>
      </c>
      <c r="C259" s="4" t="s">
        <v>570</v>
      </c>
      <c r="D259" s="4" t="s">
        <v>107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571</v>
      </c>
      <c r="C260" s="4" t="s">
        <v>572</v>
      </c>
      <c r="D260" s="4" t="s">
        <v>45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573</v>
      </c>
      <c r="C261" s="4" t="s">
        <v>574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575</v>
      </c>
      <c r="C262" s="4" t="s">
        <v>576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577</v>
      </c>
      <c r="C263" s="4" t="s">
        <v>578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579</v>
      </c>
      <c r="C264" s="4" t="s">
        <v>580</v>
      </c>
      <c r="D264" s="4" t="s">
        <v>768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ref="A265:A328" si="10">+A264+1</f>
        <v>262</v>
      </c>
      <c r="B265" s="4" t="s">
        <v>581</v>
      </c>
      <c r="C265" s="4" t="s">
        <v>582</v>
      </c>
      <c r="D265" s="4" t="s">
        <v>301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si="10"/>
        <v>263</v>
      </c>
      <c r="B266" s="4" t="s">
        <v>583</v>
      </c>
      <c r="C266" s="4" t="s">
        <v>584</v>
      </c>
      <c r="D266" s="4" t="s">
        <v>45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585</v>
      </c>
      <c r="C267" s="4" t="s">
        <v>586</v>
      </c>
      <c r="D267" s="4" t="s">
        <v>301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587</v>
      </c>
      <c r="C268" s="4" t="s">
        <v>588</v>
      </c>
      <c r="D268" s="4" t="s">
        <v>45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589</v>
      </c>
      <c r="C269" s="4" t="s">
        <v>590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591</v>
      </c>
      <c r="C270" s="4" t="s">
        <v>592</v>
      </c>
      <c r="D270" s="4" t="s">
        <v>46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593</v>
      </c>
      <c r="C271" s="4" t="s">
        <v>594</v>
      </c>
      <c r="D271" s="4" t="s">
        <v>45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595</v>
      </c>
      <c r="C272" s="4" t="s">
        <v>596</v>
      </c>
      <c r="D272" s="4" t="s">
        <v>398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597</v>
      </c>
      <c r="C273" s="4" t="s">
        <v>598</v>
      </c>
      <c r="D273" s="4" t="s">
        <v>1126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599</v>
      </c>
      <c r="C274" s="4" t="s">
        <v>600</v>
      </c>
      <c r="D274" s="4" t="s">
        <v>601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602</v>
      </c>
      <c r="C275" s="4" t="s">
        <v>603</v>
      </c>
      <c r="D275" s="4" t="s">
        <v>1126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604</v>
      </c>
      <c r="C276" s="4" t="s">
        <v>605</v>
      </c>
      <c r="D276" s="4" t="s">
        <v>173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606</v>
      </c>
      <c r="C277" s="4" t="s">
        <v>607</v>
      </c>
      <c r="D277" s="4" t="s">
        <v>1126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608</v>
      </c>
      <c r="C278" s="4" t="s">
        <v>609</v>
      </c>
      <c r="D278" s="4" t="s">
        <v>610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611</v>
      </c>
      <c r="C279" s="4" t="s">
        <v>612</v>
      </c>
      <c r="D279" s="4" t="s">
        <v>186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613</v>
      </c>
      <c r="C280" s="4" t="s">
        <v>614</v>
      </c>
      <c r="D280" s="4" t="s">
        <v>45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615</v>
      </c>
      <c r="C281" s="4" t="s">
        <v>616</v>
      </c>
      <c r="D281" s="4" t="s">
        <v>536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617</v>
      </c>
      <c r="C282" s="4" t="s">
        <v>618</v>
      </c>
      <c r="D282" s="4" t="s">
        <v>45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620</v>
      </c>
      <c r="C283" s="4" t="s">
        <v>619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621</v>
      </c>
      <c r="C284" s="4" t="s">
        <v>622</v>
      </c>
      <c r="D284" s="4" t="s">
        <v>623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624</v>
      </c>
      <c r="C285" s="4" t="s">
        <v>625</v>
      </c>
      <c r="D285" s="4" t="s">
        <v>45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627</v>
      </c>
      <c r="C286" s="4" t="s">
        <v>626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628</v>
      </c>
      <c r="C287" s="4" t="s">
        <v>629</v>
      </c>
      <c r="D287" s="4" t="s">
        <v>245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630</v>
      </c>
      <c r="C288" s="4" t="s">
        <v>631</v>
      </c>
      <c r="D288" s="4" t="s">
        <v>1126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632</v>
      </c>
      <c r="C289" s="4" t="s">
        <v>633</v>
      </c>
      <c r="D289" s="4" t="s">
        <v>245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634</v>
      </c>
      <c r="C290" s="4" t="s">
        <v>635</v>
      </c>
      <c r="D290" s="4" t="s">
        <v>186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636</v>
      </c>
      <c r="C291" s="4" t="s">
        <v>637</v>
      </c>
      <c r="D291" s="4" t="s">
        <v>45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13" t="s">
        <v>638</v>
      </c>
      <c r="C292" s="4" t="s">
        <v>639</v>
      </c>
      <c r="D292" s="4" t="s">
        <v>45</v>
      </c>
      <c r="E292" s="14">
        <f>+[78]Main!$I$2</f>
        <v>70.8</v>
      </c>
      <c r="F292" s="14">
        <f>+[78]Main!$I$4</f>
        <v>7016.8866144000003</v>
      </c>
      <c r="G292" s="14">
        <f>+[78]Main!$I$6-[78]Main!$I$5</f>
        <v>1566.635</v>
      </c>
      <c r="H292" s="14">
        <f>+F292+G292</f>
        <v>8583.5216144000005</v>
      </c>
      <c r="I292" s="35" t="s">
        <v>2583</v>
      </c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4" t="s">
        <v>640</v>
      </c>
      <c r="C293" s="4" t="s">
        <v>641</v>
      </c>
      <c r="D293" s="4" t="s">
        <v>45</v>
      </c>
      <c r="E293" s="14"/>
      <c r="F293" s="14"/>
      <c r="G293" s="14"/>
      <c r="H293" s="14"/>
      <c r="I293" s="5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642</v>
      </c>
      <c r="C294" s="4" t="s">
        <v>643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644</v>
      </c>
      <c r="C295" s="4" t="s">
        <v>645</v>
      </c>
      <c r="D295" s="4" t="s">
        <v>768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646</v>
      </c>
      <c r="C296" s="4" t="s">
        <v>647</v>
      </c>
      <c r="D296" s="4" t="s">
        <v>1126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648</v>
      </c>
      <c r="C297" s="4" t="s">
        <v>649</v>
      </c>
      <c r="D297" s="4" t="s">
        <v>45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650</v>
      </c>
      <c r="C298" s="4" t="s">
        <v>651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653</v>
      </c>
      <c r="C299" s="4" t="s">
        <v>652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654</v>
      </c>
      <c r="C300" s="4" t="s">
        <v>655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657</v>
      </c>
      <c r="C301" s="4" t="s">
        <v>656</v>
      </c>
      <c r="D301" s="4" t="s">
        <v>768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658</v>
      </c>
      <c r="C302" s="4" t="s">
        <v>659</v>
      </c>
      <c r="D302" s="4" t="s">
        <v>45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660</v>
      </c>
      <c r="C303" s="4" t="s">
        <v>661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662</v>
      </c>
      <c r="C304" s="4" t="s">
        <v>663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664</v>
      </c>
      <c r="C305" s="4" t="s">
        <v>665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666</v>
      </c>
      <c r="C306" s="4" t="s">
        <v>667</v>
      </c>
      <c r="D306" s="4" t="s">
        <v>245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668</v>
      </c>
      <c r="C307" s="4" t="s">
        <v>669</v>
      </c>
      <c r="D307" s="4" t="s">
        <v>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670</v>
      </c>
      <c r="C308" s="4" t="s">
        <v>670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671</v>
      </c>
      <c r="C309" s="4" t="s">
        <v>672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673</v>
      </c>
      <c r="C310" s="4" t="s">
        <v>674</v>
      </c>
      <c r="D310" s="4" t="s">
        <v>768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675</v>
      </c>
      <c r="C311" s="4" t="s">
        <v>676</v>
      </c>
      <c r="D311" s="4" t="s">
        <v>45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677</v>
      </c>
      <c r="C312" s="4" t="s">
        <v>678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681</v>
      </c>
      <c r="C313" s="4" t="s">
        <v>682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683</v>
      </c>
      <c r="C314" s="4" t="s">
        <v>684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685</v>
      </c>
      <c r="C315" s="4" t="s">
        <v>686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687</v>
      </c>
      <c r="C316" s="4" t="s">
        <v>688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689</v>
      </c>
      <c r="C317" s="4" t="s">
        <v>690</v>
      </c>
      <c r="D317" s="4" t="s">
        <v>46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691</v>
      </c>
      <c r="C318" s="4" t="s">
        <v>692</v>
      </c>
      <c r="D318" s="4" t="s">
        <v>87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693</v>
      </c>
      <c r="C319" s="4" t="s">
        <v>694</v>
      </c>
      <c r="D319" s="4" t="s">
        <v>508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695</v>
      </c>
      <c r="C320" s="4" t="s">
        <v>696</v>
      </c>
      <c r="D320" s="4" t="s">
        <v>1126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13" t="s">
        <v>697</v>
      </c>
      <c r="C321" s="4" t="s">
        <v>698</v>
      </c>
      <c r="D321" s="4" t="s">
        <v>45</v>
      </c>
      <c r="E321" s="14">
        <f>+[79]Main!$J$3</f>
        <v>15.92</v>
      </c>
      <c r="F321" s="14">
        <f>+[79]Main!$J$5</f>
        <v>3056.2842516800001</v>
      </c>
      <c r="G321" s="14">
        <f>+[79]Main!$J$7-[79]Main!$J$6</f>
        <v>162.63800000000003</v>
      </c>
      <c r="H321" s="14">
        <f>+F321+G321</f>
        <v>3218.92225168</v>
      </c>
      <c r="I321" s="5" t="s">
        <v>48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699</v>
      </c>
      <c r="C322" s="4" t="s">
        <v>700</v>
      </c>
      <c r="D322" s="4" t="s">
        <v>45</v>
      </c>
      <c r="E322" s="14">
        <f>+[80]Main!$I$2</f>
        <v>7.36</v>
      </c>
      <c r="F322" s="14">
        <f>+[80]Main!$I$4</f>
        <v>1581.06035488</v>
      </c>
      <c r="G322" s="14">
        <f>+[80]Main!$I$6-[80]Main!$I$5</f>
        <v>-73.627598000000006</v>
      </c>
      <c r="H322" s="14">
        <f>+F322+G322</f>
        <v>1507.4327568799999</v>
      </c>
      <c r="I322" s="5" t="s">
        <v>430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4" t="s">
        <v>701</v>
      </c>
      <c r="C323" s="4" t="s">
        <v>702</v>
      </c>
      <c r="D323" s="4" t="s">
        <v>45</v>
      </c>
      <c r="E323" s="14"/>
      <c r="F323" s="14"/>
      <c r="G323" s="14"/>
      <c r="H323" s="14"/>
      <c r="I323" s="5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703</v>
      </c>
      <c r="C324" s="4" t="s">
        <v>704</v>
      </c>
      <c r="D324" s="4" t="s">
        <v>508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679</v>
      </c>
      <c r="C325" s="4" t="s">
        <v>680</v>
      </c>
      <c r="D325" s="4" t="s">
        <v>45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1132</v>
      </c>
      <c r="C326" s="4" t="s">
        <v>1133</v>
      </c>
      <c r="D326" s="4" t="s">
        <v>128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1134</v>
      </c>
      <c r="C327" s="4" t="s">
        <v>1135</v>
      </c>
      <c r="D327" s="4" t="s">
        <v>45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1136</v>
      </c>
      <c r="C328" s="4" t="s">
        <v>1137</v>
      </c>
      <c r="D328" s="4" t="s">
        <v>1125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ref="A329:A392" si="11">+A328+1</f>
        <v>326</v>
      </c>
      <c r="B329" s="4" t="s">
        <v>859</v>
      </c>
      <c r="C329" s="4" t="s">
        <v>860</v>
      </c>
      <c r="D329" s="4" t="s">
        <v>45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si="11"/>
        <v>327</v>
      </c>
      <c r="B330" s="4" t="s">
        <v>1138</v>
      </c>
      <c r="C330" s="4" t="s">
        <v>1139</v>
      </c>
      <c r="D330" s="4" t="s">
        <v>508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1140</v>
      </c>
      <c r="C331" s="4" t="s">
        <v>1141</v>
      </c>
      <c r="D331" s="4" t="s">
        <v>768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1142</v>
      </c>
      <c r="C332" s="4" t="s">
        <v>1143</v>
      </c>
      <c r="D332" s="4" t="s">
        <v>45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1144</v>
      </c>
      <c r="C333" s="4" t="s">
        <v>1145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1146</v>
      </c>
      <c r="C334" s="4" t="s">
        <v>1147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1148</v>
      </c>
      <c r="C335" s="4" t="s">
        <v>1149</v>
      </c>
      <c r="D335" s="4" t="s">
        <v>87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1150</v>
      </c>
      <c r="C336" s="4" t="s">
        <v>1151</v>
      </c>
      <c r="D336" s="4" t="s">
        <v>84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1152</v>
      </c>
      <c r="C337" s="4" t="s">
        <v>1153</v>
      </c>
      <c r="D337" s="4" t="s">
        <v>2569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1154</v>
      </c>
      <c r="C338" s="4" t="s">
        <v>1155</v>
      </c>
      <c r="D338" s="4" t="s">
        <v>1125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852</v>
      </c>
      <c r="C339" s="4" t="s">
        <v>853</v>
      </c>
      <c r="D339" s="4" t="s">
        <v>45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1156</v>
      </c>
      <c r="C340" s="4" t="s">
        <v>1157</v>
      </c>
      <c r="D340" s="4" t="s">
        <v>1130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1158</v>
      </c>
      <c r="C341" s="4" t="s">
        <v>1159</v>
      </c>
      <c r="D341" s="4" t="s">
        <v>45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1160</v>
      </c>
      <c r="C342" s="4" t="s">
        <v>1161</v>
      </c>
      <c r="D342" s="4" t="s">
        <v>770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1162</v>
      </c>
      <c r="C343" s="4" t="s">
        <v>1163</v>
      </c>
      <c r="D343" s="4" t="s">
        <v>87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1164</v>
      </c>
      <c r="C344" s="4" t="s">
        <v>866</v>
      </c>
      <c r="D344" s="4" t="s">
        <v>45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1165</v>
      </c>
      <c r="C345" s="4" t="s">
        <v>1166</v>
      </c>
      <c r="D345" s="4" t="s">
        <v>770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1167</v>
      </c>
      <c r="C346" s="4" t="s">
        <v>1168</v>
      </c>
      <c r="D346" s="4" t="s">
        <v>128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1169</v>
      </c>
      <c r="C347" s="4" t="s">
        <v>1170</v>
      </c>
      <c r="D347" s="4" t="s">
        <v>2572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1171</v>
      </c>
      <c r="C348" s="4" t="s">
        <v>1172</v>
      </c>
      <c r="D348" s="4" t="s">
        <v>1130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1173</v>
      </c>
      <c r="C349" s="4" t="s">
        <v>1174</v>
      </c>
      <c r="D349" s="4" t="s">
        <v>1123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1175</v>
      </c>
      <c r="C350" s="4" t="s">
        <v>872</v>
      </c>
      <c r="D350" s="4" t="s">
        <v>45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1176</v>
      </c>
      <c r="C351" s="4" t="s">
        <v>1177</v>
      </c>
      <c r="D351" s="4" t="s">
        <v>87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1178</v>
      </c>
      <c r="C352" s="4" t="s">
        <v>173</v>
      </c>
      <c r="D352" s="4" t="s">
        <v>45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841</v>
      </c>
      <c r="C353" s="4" t="s">
        <v>842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1179</v>
      </c>
      <c r="C354" s="4" t="s">
        <v>1180</v>
      </c>
      <c r="D354" s="4" t="s">
        <v>1126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974</v>
      </c>
      <c r="C355" s="4" t="s">
        <v>975</v>
      </c>
      <c r="D355" s="4" t="s">
        <v>84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1181</v>
      </c>
      <c r="C356" s="4" t="s">
        <v>1182</v>
      </c>
      <c r="D356" s="4" t="s">
        <v>45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1183</v>
      </c>
      <c r="C357" s="4" t="s">
        <v>1184</v>
      </c>
      <c r="D357" s="4" t="s">
        <v>768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1185</v>
      </c>
      <c r="C358" s="4" t="s">
        <v>1186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1187</v>
      </c>
      <c r="C359" s="4" t="s">
        <v>1188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875</v>
      </c>
      <c r="C360" s="4" t="s">
        <v>876</v>
      </c>
      <c r="D360" s="4" t="s">
        <v>45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1189</v>
      </c>
      <c r="C361" s="4" t="s">
        <v>1190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1191</v>
      </c>
      <c r="C362" s="4" t="s">
        <v>1192</v>
      </c>
      <c r="D362" s="4" t="s">
        <v>610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1193</v>
      </c>
      <c r="C363" s="4" t="s">
        <v>1194</v>
      </c>
      <c r="D363" s="4" t="s">
        <v>2571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1195</v>
      </c>
      <c r="C364" s="4" t="s">
        <v>1196</v>
      </c>
      <c r="D364" s="4" t="s">
        <v>45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1197</v>
      </c>
      <c r="C365" s="4" t="s">
        <v>1198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869</v>
      </c>
      <c r="C366" s="4" t="s">
        <v>870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1199</v>
      </c>
      <c r="C367" s="4" t="s">
        <v>1200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1201</v>
      </c>
      <c r="C368" s="4" t="s">
        <v>1202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1203</v>
      </c>
      <c r="C369" s="4" t="s">
        <v>757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1204</v>
      </c>
      <c r="C370" s="4" t="s">
        <v>1205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1206</v>
      </c>
      <c r="C371" s="4" t="s">
        <v>1207</v>
      </c>
      <c r="D371" s="4" t="s">
        <v>955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1208</v>
      </c>
      <c r="C372" s="4" t="s">
        <v>1209</v>
      </c>
      <c r="D372" s="4" t="s">
        <v>87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1210</v>
      </c>
      <c r="C373" s="4" t="s">
        <v>1211</v>
      </c>
      <c r="D373" s="4" t="s">
        <v>1124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1212</v>
      </c>
      <c r="C374" s="4" t="s">
        <v>1213</v>
      </c>
      <c r="D374" s="4" t="s">
        <v>536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1214</v>
      </c>
      <c r="C375" s="4" t="s">
        <v>1215</v>
      </c>
      <c r="D375" s="4" t="s">
        <v>45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1216</v>
      </c>
      <c r="C376" s="4" t="s">
        <v>1217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978</v>
      </c>
      <c r="C377" s="4" t="s">
        <v>979</v>
      </c>
      <c r="D377" s="4" t="s">
        <v>87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933</v>
      </c>
      <c r="C378" s="4" t="s">
        <v>1218</v>
      </c>
      <c r="D378" s="4" t="s">
        <v>45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980</v>
      </c>
      <c r="C379" s="4" t="s">
        <v>981</v>
      </c>
      <c r="D379" s="4" t="s">
        <v>1126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1219</v>
      </c>
      <c r="C380" s="4" t="s">
        <v>1220</v>
      </c>
      <c r="D380" s="4" t="s">
        <v>45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1221</v>
      </c>
      <c r="C381" s="4" t="s">
        <v>1222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1223</v>
      </c>
      <c r="C382" s="4" t="s">
        <v>752</v>
      </c>
      <c r="D382" s="4" t="s">
        <v>1224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1225</v>
      </c>
      <c r="C383" s="4" t="s">
        <v>1226</v>
      </c>
      <c r="D383" s="4" t="s">
        <v>45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1227</v>
      </c>
      <c r="C384" s="4" t="s">
        <v>1228</v>
      </c>
      <c r="D384" s="4" t="s">
        <v>768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1229</v>
      </c>
      <c r="C385" s="4" t="s">
        <v>1230</v>
      </c>
      <c r="D385" s="4" t="s">
        <v>128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1231</v>
      </c>
      <c r="C386" s="4" t="s">
        <v>1232</v>
      </c>
      <c r="D386" s="4" t="s">
        <v>1124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1233</v>
      </c>
      <c r="C387" s="4" t="s">
        <v>1234</v>
      </c>
      <c r="D387" s="4" t="s">
        <v>45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1235</v>
      </c>
      <c r="C388" s="4" t="s">
        <v>1236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1237</v>
      </c>
      <c r="C389" s="4" t="s">
        <v>1238</v>
      </c>
      <c r="D389" s="4" t="s">
        <v>1125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1239</v>
      </c>
      <c r="C390" s="4" t="s">
        <v>1240</v>
      </c>
      <c r="D390" s="4" t="s">
        <v>84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1241</v>
      </c>
      <c r="C391" s="4" t="s">
        <v>1242</v>
      </c>
      <c r="D391" s="4" t="s">
        <v>128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1243</v>
      </c>
      <c r="C392" s="4" t="s">
        <v>1244</v>
      </c>
      <c r="D392" s="4" t="s">
        <v>508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ref="A393:A456" si="12">+A392+1</f>
        <v>390</v>
      </c>
      <c r="B393" s="4" t="s">
        <v>1245</v>
      </c>
      <c r="C393" s="4" t="s">
        <v>1246</v>
      </c>
      <c r="D393" s="4" t="s">
        <v>45</v>
      </c>
      <c r="E393" s="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si="12"/>
        <v>391</v>
      </c>
      <c r="B394" s="4" t="s">
        <v>1247</v>
      </c>
      <c r="C394" s="4" t="s">
        <v>1248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1249</v>
      </c>
      <c r="C395" s="4" t="s">
        <v>1250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1251</v>
      </c>
      <c r="C396" s="4" t="s">
        <v>1252</v>
      </c>
      <c r="D396" s="4" t="s">
        <v>84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1253</v>
      </c>
      <c r="C397" s="4" t="s">
        <v>1254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1255</v>
      </c>
      <c r="C398" s="4" t="s">
        <v>1256</v>
      </c>
      <c r="D398" s="4" t="s">
        <v>45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1257</v>
      </c>
      <c r="C399" s="4" t="s">
        <v>1258</v>
      </c>
      <c r="D399" s="4" t="s">
        <v>768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1259</v>
      </c>
      <c r="C400" s="4" t="s">
        <v>1260</v>
      </c>
      <c r="D400" s="4" t="s">
        <v>45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1261</v>
      </c>
      <c r="C401" s="4" t="s">
        <v>1262</v>
      </c>
      <c r="D401" s="4" t="s">
        <v>1123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1263</v>
      </c>
      <c r="C402" s="4" t="s">
        <v>1264</v>
      </c>
      <c r="D402" s="4" t="s">
        <v>45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1265</v>
      </c>
      <c r="C403" s="4" t="s">
        <v>1266</v>
      </c>
      <c r="D403" s="4" t="s">
        <v>2576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857</v>
      </c>
      <c r="C404" s="4" t="s">
        <v>1267</v>
      </c>
      <c r="D404" s="4" t="s">
        <v>508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1268</v>
      </c>
      <c r="C405" s="4" t="s">
        <v>1269</v>
      </c>
      <c r="D405" s="4" t="s">
        <v>128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1270</v>
      </c>
      <c r="C406" s="4" t="s">
        <v>1271</v>
      </c>
      <c r="D406" s="4" t="s">
        <v>278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1272</v>
      </c>
      <c r="C407" s="4" t="s">
        <v>1273</v>
      </c>
      <c r="D407" s="4" t="s">
        <v>45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1274</v>
      </c>
      <c r="C408" s="4" t="s">
        <v>1275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1276</v>
      </c>
      <c r="C409" s="4" t="s">
        <v>1277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1278</v>
      </c>
      <c r="C410" s="4" t="s">
        <v>1279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1280</v>
      </c>
      <c r="C411" s="4" t="s">
        <v>1281</v>
      </c>
      <c r="D411" s="4" t="s">
        <v>770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1282</v>
      </c>
      <c r="C412" s="4" t="s">
        <v>1283</v>
      </c>
      <c r="D412" s="4" t="s">
        <v>955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877</v>
      </c>
      <c r="C413" s="4" t="s">
        <v>878</v>
      </c>
      <c r="D413" s="4" t="s">
        <v>45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1284</v>
      </c>
      <c r="C414" s="4" t="s">
        <v>1285</v>
      </c>
      <c r="D414" s="4" t="s">
        <v>1125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1286</v>
      </c>
      <c r="C415" s="4" t="s">
        <v>1287</v>
      </c>
      <c r="D415" s="4" t="s">
        <v>1126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1288</v>
      </c>
      <c r="C416" s="4" t="s">
        <v>1289</v>
      </c>
      <c r="D416" s="4" t="s">
        <v>45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1290</v>
      </c>
      <c r="C417" s="4" t="s">
        <v>1291</v>
      </c>
      <c r="D417" s="4" t="s">
        <v>1130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821</v>
      </c>
      <c r="C418" s="4" t="s">
        <v>822</v>
      </c>
      <c r="D418" s="4" t="s">
        <v>45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1292</v>
      </c>
      <c r="C419" s="4" t="s">
        <v>1293</v>
      </c>
      <c r="D419" s="4" t="s">
        <v>1127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1294</v>
      </c>
      <c r="C420" s="4" t="s">
        <v>1295</v>
      </c>
      <c r="D420" s="4" t="s">
        <v>45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1296</v>
      </c>
      <c r="C421" s="4" t="s">
        <v>1297</v>
      </c>
      <c r="D421" s="4" t="s">
        <v>278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1298</v>
      </c>
      <c r="C422" s="4" t="s">
        <v>1299</v>
      </c>
      <c r="D422" s="4" t="s">
        <v>87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901</v>
      </c>
      <c r="C423" s="4" t="s">
        <v>902</v>
      </c>
      <c r="D423" s="4" t="s">
        <v>768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1300</v>
      </c>
      <c r="C424" s="4" t="s">
        <v>1301</v>
      </c>
      <c r="D424" s="4" t="s">
        <v>45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1302</v>
      </c>
      <c r="C425" s="4" t="s">
        <v>1303</v>
      </c>
      <c r="D425" s="4" t="s">
        <v>1130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1304</v>
      </c>
      <c r="C426" s="4" t="s">
        <v>1305</v>
      </c>
      <c r="D426" s="4" t="s">
        <v>45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1306</v>
      </c>
      <c r="C427" s="4" t="s">
        <v>1307</v>
      </c>
      <c r="D427" s="4" t="s">
        <v>1123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1308</v>
      </c>
      <c r="C428" s="4" t="s">
        <v>1309</v>
      </c>
      <c r="D428" s="4" t="s">
        <v>1124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1310</v>
      </c>
      <c r="C429" s="4" t="s">
        <v>1311</v>
      </c>
      <c r="D429" s="4" t="s">
        <v>45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1312</v>
      </c>
      <c r="C430" s="4" t="s">
        <v>1313</v>
      </c>
      <c r="D430" s="4" t="s">
        <v>1125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1314</v>
      </c>
      <c r="C431" s="4" t="s">
        <v>1315</v>
      </c>
      <c r="D431" s="4" t="s">
        <v>398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1316</v>
      </c>
      <c r="C432" s="4" t="s">
        <v>1317</v>
      </c>
      <c r="D432" s="4" t="s">
        <v>1126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1318</v>
      </c>
      <c r="C433" s="4" t="s">
        <v>1319</v>
      </c>
      <c r="D433" s="4" t="s">
        <v>45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1320</v>
      </c>
      <c r="C434" s="4" t="s">
        <v>1321</v>
      </c>
      <c r="D434" s="4" t="s">
        <v>128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1322</v>
      </c>
      <c r="C435" s="4" t="s">
        <v>1323</v>
      </c>
      <c r="D435" s="4" t="s">
        <v>45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1324</v>
      </c>
      <c r="C436" s="4" t="s">
        <v>1325</v>
      </c>
      <c r="D436" s="4" t="s">
        <v>1130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1326</v>
      </c>
      <c r="C437" s="4" t="s">
        <v>1327</v>
      </c>
      <c r="D437" s="4" t="s">
        <v>1126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844</v>
      </c>
      <c r="C438" s="4" t="s">
        <v>845</v>
      </c>
      <c r="D438" s="4" t="s">
        <v>45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1328</v>
      </c>
      <c r="C439" s="4" t="s">
        <v>1329</v>
      </c>
      <c r="D439" s="4" t="s">
        <v>1130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1330</v>
      </c>
      <c r="C440" s="4" t="s">
        <v>1331</v>
      </c>
      <c r="D440" s="4" t="s">
        <v>45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1332</v>
      </c>
      <c r="C441" s="4" t="s">
        <v>1333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1334</v>
      </c>
      <c r="C442" s="4" t="s">
        <v>1335</v>
      </c>
      <c r="D442" s="4" t="s">
        <v>1130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1336</v>
      </c>
      <c r="C443" s="4" t="s">
        <v>1337</v>
      </c>
      <c r="D443" s="4" t="s">
        <v>508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1338</v>
      </c>
      <c r="C444" s="4" t="s">
        <v>1339</v>
      </c>
      <c r="D444" s="4" t="s">
        <v>45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1340</v>
      </c>
      <c r="C445" s="4" t="s">
        <v>1341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1342</v>
      </c>
      <c r="C446" s="4" t="s">
        <v>1343</v>
      </c>
      <c r="D446" s="4" t="s">
        <v>1126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1344</v>
      </c>
      <c r="C447" s="4" t="s">
        <v>1345</v>
      </c>
      <c r="D447" s="4" t="s">
        <v>768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1346</v>
      </c>
      <c r="C448" s="4" t="s">
        <v>1347</v>
      </c>
      <c r="D448" s="4" t="s">
        <v>2571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1348</v>
      </c>
      <c r="C449" s="4" t="s">
        <v>1349</v>
      </c>
      <c r="D449" s="4" t="s">
        <v>45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1350</v>
      </c>
      <c r="C450" s="4" t="s">
        <v>1351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1352</v>
      </c>
      <c r="C451" s="4" t="s">
        <v>1353</v>
      </c>
      <c r="D451" s="4" t="s">
        <v>2577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1354</v>
      </c>
      <c r="C452" s="4" t="s">
        <v>1355</v>
      </c>
      <c r="D452" s="4" t="s">
        <v>768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1356</v>
      </c>
      <c r="C453" s="4" t="s">
        <v>1357</v>
      </c>
      <c r="D453" s="4" t="s">
        <v>278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1358</v>
      </c>
      <c r="C454" s="4" t="s">
        <v>1359</v>
      </c>
      <c r="D454" s="4" t="s">
        <v>101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1360</v>
      </c>
      <c r="C455" s="4" t="s">
        <v>1361</v>
      </c>
      <c r="D455" s="4" t="s">
        <v>1129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1362</v>
      </c>
      <c r="C456" s="4" t="s">
        <v>1363</v>
      </c>
      <c r="D456" s="4" t="s">
        <v>1130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ref="A457:A520" si="13">+A456+1</f>
        <v>454</v>
      </c>
      <c r="B457" s="4" t="s">
        <v>1364</v>
      </c>
      <c r="C457" s="4" t="s">
        <v>1365</v>
      </c>
      <c r="D457" s="4" t="s">
        <v>161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si="13"/>
        <v>455</v>
      </c>
      <c r="B458" s="4" t="s">
        <v>1366</v>
      </c>
      <c r="C458" s="4" t="s">
        <v>1367</v>
      </c>
      <c r="D458" s="4" t="s">
        <v>45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1368</v>
      </c>
      <c r="C459" s="4" t="s">
        <v>1369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1370</v>
      </c>
      <c r="C460" s="4" t="s">
        <v>1371</v>
      </c>
      <c r="D460" s="4" t="s">
        <v>87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1372</v>
      </c>
      <c r="C461" s="4" t="s">
        <v>1373</v>
      </c>
      <c r="D461" s="4" t="s">
        <v>45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1374</v>
      </c>
      <c r="C462" s="4" t="s">
        <v>1375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1376</v>
      </c>
      <c r="C463" s="4" t="s">
        <v>1377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1378</v>
      </c>
      <c r="C464" s="4" t="s">
        <v>1379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1380</v>
      </c>
      <c r="C465" s="4" t="s">
        <v>1381</v>
      </c>
      <c r="D465" s="4" t="s">
        <v>84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1382</v>
      </c>
      <c r="C466" s="4" t="s">
        <v>1383</v>
      </c>
      <c r="D466" s="4" t="s">
        <v>87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1384</v>
      </c>
      <c r="C467" s="4" t="s">
        <v>1385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1386</v>
      </c>
      <c r="C468" s="4" t="s">
        <v>1387</v>
      </c>
      <c r="D468" s="4" t="s">
        <v>84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1388</v>
      </c>
      <c r="C469" s="4" t="s">
        <v>1389</v>
      </c>
      <c r="D469" s="4" t="s">
        <v>128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1390</v>
      </c>
      <c r="C470" s="4" t="s">
        <v>1391</v>
      </c>
      <c r="D470" s="4" t="s">
        <v>87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1392</v>
      </c>
      <c r="C471" s="4" t="s">
        <v>1393</v>
      </c>
      <c r="D471" s="4" t="s">
        <v>161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982</v>
      </c>
      <c r="C472" s="4" t="s">
        <v>983</v>
      </c>
      <c r="D472" s="4" t="s">
        <v>770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1394</v>
      </c>
      <c r="C473" s="4" t="s">
        <v>1395</v>
      </c>
      <c r="D473" s="4" t="s">
        <v>45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1396</v>
      </c>
      <c r="C474" s="4" t="s">
        <v>1397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1398</v>
      </c>
      <c r="C475" s="4" t="s">
        <v>1399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1400</v>
      </c>
      <c r="C476" s="4" t="s">
        <v>1401</v>
      </c>
      <c r="D476" s="4" t="s">
        <v>1125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1402</v>
      </c>
      <c r="C477" s="4" t="s">
        <v>1403</v>
      </c>
      <c r="D477" s="4" t="s">
        <v>45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1404</v>
      </c>
      <c r="C478" s="4" t="s">
        <v>1405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984</v>
      </c>
      <c r="C479" s="4" t="s">
        <v>985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1406</v>
      </c>
      <c r="C480" s="4" t="s">
        <v>1407</v>
      </c>
      <c r="D480" s="4" t="s">
        <v>186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1408</v>
      </c>
      <c r="C481" s="4" t="s">
        <v>1409</v>
      </c>
      <c r="D481" s="4" t="s">
        <v>45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1410</v>
      </c>
      <c r="C482" s="4" t="s">
        <v>1411</v>
      </c>
      <c r="D482" s="4" t="s">
        <v>161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1412</v>
      </c>
      <c r="C483" s="4" t="s">
        <v>1413</v>
      </c>
      <c r="D483" s="4" t="s">
        <v>45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1414</v>
      </c>
      <c r="C484" s="4" t="s">
        <v>1415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1416</v>
      </c>
      <c r="C485" s="4" t="s">
        <v>1417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1418</v>
      </c>
      <c r="C486" s="4" t="s">
        <v>1419</v>
      </c>
      <c r="D486" s="4" t="s">
        <v>1130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1420</v>
      </c>
      <c r="C487" s="4" t="s">
        <v>1421</v>
      </c>
      <c r="D487" s="4" t="s">
        <v>508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1422</v>
      </c>
      <c r="C488" s="4" t="s">
        <v>1423</v>
      </c>
      <c r="D488" s="4" t="s">
        <v>955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1424</v>
      </c>
      <c r="C489" s="4" t="s">
        <v>1425</v>
      </c>
      <c r="D489" s="4" t="s">
        <v>768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1426</v>
      </c>
      <c r="C490" s="4" t="s">
        <v>1427</v>
      </c>
      <c r="D490" s="4" t="s">
        <v>1124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1428</v>
      </c>
      <c r="C491" s="4" t="s">
        <v>1429</v>
      </c>
      <c r="D491" s="4" t="s">
        <v>1125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1430</v>
      </c>
      <c r="C492" s="4" t="s">
        <v>1431</v>
      </c>
      <c r="D492" s="4" t="s">
        <v>508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1432</v>
      </c>
      <c r="C493" s="4" t="s">
        <v>1433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1434</v>
      </c>
      <c r="C494" s="4" t="s">
        <v>1435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1436</v>
      </c>
      <c r="C495" s="4" t="s">
        <v>1437</v>
      </c>
      <c r="D495" s="4" t="s">
        <v>398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1438</v>
      </c>
      <c r="C496" s="4" t="s">
        <v>1439</v>
      </c>
      <c r="D496" s="4" t="s">
        <v>84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988</v>
      </c>
      <c r="C497" s="4" t="s">
        <v>989</v>
      </c>
      <c r="D497" s="4" t="s">
        <v>1123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1440</v>
      </c>
      <c r="C498" s="4" t="s">
        <v>1441</v>
      </c>
      <c r="D498" s="4" t="s">
        <v>45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1442</v>
      </c>
      <c r="C499" s="4" t="s">
        <v>1443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1444</v>
      </c>
      <c r="C500" s="4" t="s">
        <v>1445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1446</v>
      </c>
      <c r="C501" s="4" t="s">
        <v>1447</v>
      </c>
      <c r="D501" s="4" t="s">
        <v>1129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1448</v>
      </c>
      <c r="C502" s="4" t="s">
        <v>1449</v>
      </c>
      <c r="D502" s="4" t="s">
        <v>45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1450</v>
      </c>
      <c r="C503" s="4" t="s">
        <v>1451</v>
      </c>
      <c r="D503" s="4" t="s">
        <v>508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1452</v>
      </c>
      <c r="C504" s="4" t="s">
        <v>1453</v>
      </c>
      <c r="D504" s="4" t="s">
        <v>45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1454</v>
      </c>
      <c r="C505" s="4" t="s">
        <v>1455</v>
      </c>
      <c r="D505" s="4" t="s">
        <v>2571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1456</v>
      </c>
      <c r="C506" s="4" t="s">
        <v>1457</v>
      </c>
      <c r="D506" s="4" t="s">
        <v>45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1458</v>
      </c>
      <c r="C507" s="4" t="s">
        <v>1459</v>
      </c>
      <c r="D507" s="4" t="s">
        <v>161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1460</v>
      </c>
      <c r="C508" s="4" t="s">
        <v>1461</v>
      </c>
      <c r="D508" s="4" t="s">
        <v>508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1462</v>
      </c>
      <c r="C509" s="4" t="s">
        <v>1463</v>
      </c>
      <c r="D509" s="4" t="s">
        <v>1129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1464</v>
      </c>
      <c r="C510" s="4" t="s">
        <v>1465</v>
      </c>
      <c r="D510" s="4" t="s">
        <v>1123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1466</v>
      </c>
      <c r="C511" s="4" t="s">
        <v>1467</v>
      </c>
      <c r="D511" s="4" t="s">
        <v>1129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1468</v>
      </c>
      <c r="C512" s="4" t="s">
        <v>1469</v>
      </c>
      <c r="D512" s="4" t="s">
        <v>768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1470</v>
      </c>
      <c r="C513" s="4" t="s">
        <v>1471</v>
      </c>
      <c r="D513" s="4" t="s">
        <v>45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1472</v>
      </c>
      <c r="C514" s="4" t="s">
        <v>1473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1474</v>
      </c>
      <c r="C515" s="4" t="s">
        <v>1475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1476</v>
      </c>
      <c r="C516" s="4" t="s">
        <v>1477</v>
      </c>
      <c r="D516" s="4" t="s">
        <v>508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1478</v>
      </c>
      <c r="C517" s="4" t="s">
        <v>1479</v>
      </c>
      <c r="D517" s="4" t="s">
        <v>45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1480</v>
      </c>
      <c r="C518" s="4" t="s">
        <v>1481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1482</v>
      </c>
      <c r="C519" s="4" t="s">
        <v>1483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1484</v>
      </c>
      <c r="C520" s="4" t="s">
        <v>1485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ref="A521:A583" si="14">+A520+1</f>
        <v>518</v>
      </c>
      <c r="B521" s="4" t="s">
        <v>1486</v>
      </c>
      <c r="C521" s="4" t="s">
        <v>1487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si="14"/>
        <v>519</v>
      </c>
      <c r="B522" s="4" t="s">
        <v>1488</v>
      </c>
      <c r="C522" s="4" t="s">
        <v>1489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1490</v>
      </c>
      <c r="C523" s="4" t="s">
        <v>1491</v>
      </c>
      <c r="D523" s="4" t="s">
        <v>47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1492</v>
      </c>
      <c r="C524" s="4" t="s">
        <v>1493</v>
      </c>
      <c r="D524" s="4" t="s">
        <v>1130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1494</v>
      </c>
      <c r="C525" s="4" t="s">
        <v>1495</v>
      </c>
      <c r="D525" s="4" t="s">
        <v>84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1496</v>
      </c>
      <c r="C526" s="4" t="s">
        <v>761</v>
      </c>
      <c r="D526" s="4" t="s">
        <v>45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1497</v>
      </c>
      <c r="C527" s="4" t="s">
        <v>1498</v>
      </c>
      <c r="D527" s="4" t="s">
        <v>1126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1499</v>
      </c>
      <c r="C528" s="4" t="s">
        <v>1500</v>
      </c>
      <c r="D528" s="4" t="s">
        <v>770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1501</v>
      </c>
      <c r="C529" s="4" t="s">
        <v>1502</v>
      </c>
      <c r="D529" s="4" t="s">
        <v>45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990</v>
      </c>
      <c r="C530" s="4" t="s">
        <v>991</v>
      </c>
      <c r="D530" s="4" t="s">
        <v>282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1505</v>
      </c>
      <c r="C531" s="4" t="s">
        <v>1506</v>
      </c>
      <c r="D531" s="4" t="s">
        <v>87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1507</v>
      </c>
      <c r="C532" s="4" t="s">
        <v>1508</v>
      </c>
      <c r="D532" s="4" t="s">
        <v>84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1509</v>
      </c>
      <c r="C533" s="4" t="s">
        <v>1510</v>
      </c>
      <c r="D533" s="4" t="s">
        <v>45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1511</v>
      </c>
      <c r="C534" s="4" t="s">
        <v>1512</v>
      </c>
      <c r="D534" s="4" t="s">
        <v>508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1513</v>
      </c>
      <c r="C535" s="4" t="s">
        <v>1514</v>
      </c>
      <c r="D535" s="4" t="s">
        <v>45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1515</v>
      </c>
      <c r="C536" s="4" t="s">
        <v>1516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1517</v>
      </c>
      <c r="C537" s="4" t="s">
        <v>1518</v>
      </c>
      <c r="D537" s="4" t="s">
        <v>84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1519</v>
      </c>
      <c r="C538" s="4" t="s">
        <v>1520</v>
      </c>
      <c r="D538" s="4" t="s">
        <v>1126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1521</v>
      </c>
      <c r="C539" s="4" t="s">
        <v>1522</v>
      </c>
      <c r="D539" s="4" t="s">
        <v>45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1523</v>
      </c>
      <c r="C540" s="4" t="s">
        <v>1524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1525</v>
      </c>
      <c r="C541" s="4" t="s">
        <v>1526</v>
      </c>
      <c r="D541" s="4" t="s">
        <v>508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1527</v>
      </c>
      <c r="C542" s="4" t="s">
        <v>1528</v>
      </c>
      <c r="D542" s="4" t="s">
        <v>84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1529</v>
      </c>
      <c r="C543" s="4" t="s">
        <v>1530</v>
      </c>
      <c r="D543" s="4" t="s">
        <v>45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1531</v>
      </c>
      <c r="C544" s="4" t="s">
        <v>1532</v>
      </c>
      <c r="D544" s="4" t="s">
        <v>1129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1533</v>
      </c>
      <c r="C545" s="4" t="s">
        <v>1534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1535</v>
      </c>
      <c r="C546" s="4" t="s">
        <v>1536</v>
      </c>
      <c r="D546" s="4" t="s">
        <v>87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1537</v>
      </c>
      <c r="C547" s="4" t="s">
        <v>1538</v>
      </c>
      <c r="D547" s="4" t="s">
        <v>45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1539</v>
      </c>
      <c r="C548" s="4" t="s">
        <v>1540</v>
      </c>
      <c r="D548" s="4" t="s">
        <v>508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992</v>
      </c>
      <c r="C549" s="4" t="s">
        <v>993</v>
      </c>
      <c r="D549" s="4" t="s">
        <v>84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1541</v>
      </c>
      <c r="C550" s="4" t="s">
        <v>1542</v>
      </c>
      <c r="D550" s="4" t="s">
        <v>45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1543</v>
      </c>
      <c r="C551" s="4" t="s">
        <v>1544</v>
      </c>
      <c r="D551" s="4" t="s">
        <v>1123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1545</v>
      </c>
      <c r="C552" s="4" t="s">
        <v>1546</v>
      </c>
      <c r="D552" s="4" t="s">
        <v>45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1547</v>
      </c>
      <c r="C553" s="4" t="s">
        <v>1548</v>
      </c>
      <c r="D553" s="4" t="s">
        <v>398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994</v>
      </c>
      <c r="C554" s="4" t="s">
        <v>995</v>
      </c>
      <c r="D554" s="4" t="s">
        <v>45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1549</v>
      </c>
      <c r="C555" s="4" t="s">
        <v>1550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1551</v>
      </c>
      <c r="C556" s="4" t="s">
        <v>1552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1553</v>
      </c>
      <c r="C557" s="4" t="s">
        <v>1554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1555</v>
      </c>
      <c r="C558" s="4" t="s">
        <v>1556</v>
      </c>
      <c r="D558" s="4" t="s">
        <v>87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1557</v>
      </c>
      <c r="C559" s="4" t="s">
        <v>1558</v>
      </c>
      <c r="D559" s="4" t="s">
        <v>45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1559</v>
      </c>
      <c r="C560" s="4" t="s">
        <v>1560</v>
      </c>
      <c r="D560" s="4" t="s">
        <v>1123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1561</v>
      </c>
      <c r="C561" s="4" t="s">
        <v>1562</v>
      </c>
      <c r="D561" s="4" t="s">
        <v>1127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1563</v>
      </c>
      <c r="C562" s="4" t="s">
        <v>1564</v>
      </c>
      <c r="D562" s="4" t="s">
        <v>1129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1565</v>
      </c>
      <c r="C563" s="4" t="s">
        <v>1566</v>
      </c>
      <c r="D563" s="4" t="s">
        <v>1125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1567</v>
      </c>
      <c r="C564" s="4" t="s">
        <v>1568</v>
      </c>
      <c r="D564" s="4" t="s">
        <v>45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1569</v>
      </c>
      <c r="C565" s="4" t="s">
        <v>1570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996</v>
      </c>
      <c r="C566" s="4" t="s">
        <v>996</v>
      </c>
      <c r="D566" s="4" t="s">
        <v>84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1571</v>
      </c>
      <c r="C567" s="4" t="s">
        <v>1572</v>
      </c>
      <c r="D567" s="4" t="s">
        <v>45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1573</v>
      </c>
      <c r="C568" s="4" t="s">
        <v>1574</v>
      </c>
      <c r="D568" s="4" t="s">
        <v>1126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1575</v>
      </c>
      <c r="C569" s="4" t="s">
        <v>1576</v>
      </c>
      <c r="D569" s="4" t="s">
        <v>45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1577</v>
      </c>
      <c r="C570" s="4" t="s">
        <v>1578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1579</v>
      </c>
      <c r="C571" s="4" t="s">
        <v>913</v>
      </c>
      <c r="D571" s="4" t="s">
        <v>2571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1580</v>
      </c>
      <c r="C572" s="4" t="s">
        <v>1581</v>
      </c>
      <c r="D572" s="4" t="s">
        <v>45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1582</v>
      </c>
      <c r="C573" s="4" t="s">
        <v>1583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1584</v>
      </c>
      <c r="C574" s="4" t="s">
        <v>1585</v>
      </c>
      <c r="D574" s="4" t="s">
        <v>84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1586</v>
      </c>
      <c r="C575" s="4" t="s">
        <v>1587</v>
      </c>
      <c r="D575" s="4" t="s">
        <v>45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1588</v>
      </c>
      <c r="C576" s="4" t="s">
        <v>1589</v>
      </c>
      <c r="D576" s="4" t="s">
        <v>770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1590</v>
      </c>
      <c r="C577" s="4" t="s">
        <v>1591</v>
      </c>
      <c r="D577" s="4" t="s">
        <v>768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1592</v>
      </c>
      <c r="C578" s="4" t="s">
        <v>1593</v>
      </c>
      <c r="D578" s="4" t="s">
        <v>45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1594</v>
      </c>
      <c r="C579" s="4" t="s">
        <v>1595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1596</v>
      </c>
      <c r="C580" s="4" t="s">
        <v>1597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1598</v>
      </c>
      <c r="C581" s="4" t="s">
        <v>1599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997</v>
      </c>
      <c r="C582" s="4" t="s">
        <v>998</v>
      </c>
      <c r="D582" s="4" t="s">
        <v>245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1600</v>
      </c>
      <c r="C583" s="4" t="s">
        <v>1601</v>
      </c>
      <c r="D583" s="4" t="s">
        <v>1130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ref="A584:A647" si="15">+A583+1</f>
        <v>581</v>
      </c>
      <c r="B584" s="4" t="s">
        <v>1602</v>
      </c>
      <c r="C584" s="4" t="s">
        <v>1603</v>
      </c>
      <c r="D584" s="4" t="s">
        <v>84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5"/>
        <v>582</v>
      </c>
      <c r="B585" s="4" t="s">
        <v>1604</v>
      </c>
      <c r="C585" s="4" t="s">
        <v>1605</v>
      </c>
      <c r="D585" s="4" t="s">
        <v>45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si="15"/>
        <v>583</v>
      </c>
      <c r="B586" s="4" t="s">
        <v>1606</v>
      </c>
      <c r="C586" s="4" t="s">
        <v>1607</v>
      </c>
      <c r="D586" s="4" t="s">
        <v>770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1608</v>
      </c>
      <c r="C587" s="4" t="s">
        <v>1609</v>
      </c>
      <c r="D587" s="4" t="s">
        <v>45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1610</v>
      </c>
      <c r="C588" s="4" t="s">
        <v>1611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846</v>
      </c>
      <c r="C589" s="4" t="s">
        <v>847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1612</v>
      </c>
      <c r="C590" s="4" t="s">
        <v>1613</v>
      </c>
      <c r="D590" s="4" t="s">
        <v>770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1614</v>
      </c>
      <c r="C591" s="4" t="s">
        <v>1615</v>
      </c>
      <c r="D591" s="4" t="s">
        <v>45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1616</v>
      </c>
      <c r="C592" s="4" t="s">
        <v>1617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1618</v>
      </c>
      <c r="C593" s="4" t="s">
        <v>1619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1001</v>
      </c>
      <c r="C594" s="4" t="s">
        <v>1002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1620</v>
      </c>
      <c r="C595" s="4" t="s">
        <v>1621</v>
      </c>
      <c r="D595" s="4" t="s">
        <v>1125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1622</v>
      </c>
      <c r="C596" s="4" t="s">
        <v>1623</v>
      </c>
      <c r="D596" s="4" t="s">
        <v>955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1624</v>
      </c>
      <c r="C597" s="4" t="s">
        <v>1625</v>
      </c>
      <c r="D597" s="4" t="s">
        <v>87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1626</v>
      </c>
      <c r="C598" s="4" t="s">
        <v>1627</v>
      </c>
      <c r="D598" s="4" t="s">
        <v>1125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1628</v>
      </c>
      <c r="C599" s="4" t="s">
        <v>1629</v>
      </c>
      <c r="D599" s="4" t="s">
        <v>87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1003</v>
      </c>
      <c r="C600" s="4" t="s">
        <v>1004</v>
      </c>
      <c r="D600" s="4" t="s">
        <v>536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1630</v>
      </c>
      <c r="C601" s="4" t="s">
        <v>1631</v>
      </c>
      <c r="D601" s="4" t="s">
        <v>45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1632</v>
      </c>
      <c r="C602" s="4" t="s">
        <v>1633</v>
      </c>
      <c r="D602" s="4" t="s">
        <v>768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1634</v>
      </c>
      <c r="C603" s="4" t="s">
        <v>1635</v>
      </c>
      <c r="D603" s="4" t="s">
        <v>161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1636</v>
      </c>
      <c r="C604" s="4" t="s">
        <v>1637</v>
      </c>
      <c r="D604" s="4" t="s">
        <v>1638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1639</v>
      </c>
      <c r="C605" s="4" t="s">
        <v>1640</v>
      </c>
      <c r="D605" s="4" t="s">
        <v>1123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1641</v>
      </c>
      <c r="C606" s="4" t="s">
        <v>1642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1005</v>
      </c>
      <c r="C607" s="4" t="s">
        <v>1006</v>
      </c>
      <c r="D607" s="4" t="s">
        <v>508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1643</v>
      </c>
      <c r="C608" s="4" t="s">
        <v>1644</v>
      </c>
      <c r="D608" s="4" t="s">
        <v>1125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1645</v>
      </c>
      <c r="C609" s="4" t="s">
        <v>1646</v>
      </c>
      <c r="D609" s="4" t="s">
        <v>45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1647</v>
      </c>
      <c r="C610" s="4" t="s">
        <v>1648</v>
      </c>
      <c r="D610" s="4" t="s">
        <v>508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1649</v>
      </c>
      <c r="C611" s="4" t="s">
        <v>1650</v>
      </c>
      <c r="D611" s="4" t="s">
        <v>2575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1651</v>
      </c>
      <c r="C612" s="4" t="s">
        <v>1652</v>
      </c>
      <c r="D612" s="4" t="s">
        <v>1125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1653</v>
      </c>
      <c r="C613" s="4" t="s">
        <v>1654</v>
      </c>
      <c r="D613" s="4" t="s">
        <v>1129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1655</v>
      </c>
      <c r="C614" s="4" t="s">
        <v>1656</v>
      </c>
      <c r="D614" s="4" t="s">
        <v>45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1657</v>
      </c>
      <c r="C615" s="4" t="s">
        <v>1658</v>
      </c>
      <c r="D615" s="4" t="s">
        <v>1125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1659</v>
      </c>
      <c r="C616" s="4" t="s">
        <v>1660</v>
      </c>
      <c r="D616" s="4" t="s">
        <v>45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1661</v>
      </c>
      <c r="C617" s="4" t="s">
        <v>1662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1663</v>
      </c>
      <c r="C618" s="4" t="s">
        <v>1664</v>
      </c>
      <c r="D618" s="4" t="s">
        <v>1123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1665</v>
      </c>
      <c r="C619" s="4" t="s">
        <v>1666</v>
      </c>
      <c r="D619" s="4" t="s">
        <v>508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1667</v>
      </c>
      <c r="C620" s="4" t="s">
        <v>1668</v>
      </c>
      <c r="D620" s="4" t="s">
        <v>2572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1669</v>
      </c>
      <c r="C621" s="4" t="s">
        <v>1670</v>
      </c>
      <c r="D621" s="4" t="s">
        <v>1125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1671</v>
      </c>
      <c r="C622" s="4" t="s">
        <v>1672</v>
      </c>
      <c r="D622" s="4" t="s">
        <v>1129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1673</v>
      </c>
      <c r="C623" s="4" t="s">
        <v>1674</v>
      </c>
      <c r="D623" s="4" t="s">
        <v>770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1675</v>
      </c>
      <c r="C624" s="4" t="s">
        <v>1676</v>
      </c>
      <c r="D624" s="4" t="s">
        <v>87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1677</v>
      </c>
      <c r="C625" s="4" t="s">
        <v>1678</v>
      </c>
      <c r="D625" s="4" t="s">
        <v>536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1679</v>
      </c>
      <c r="C626" s="4" t="s">
        <v>1680</v>
      </c>
      <c r="D626" s="4" t="s">
        <v>45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1681</v>
      </c>
      <c r="C627" s="4" t="s">
        <v>1682</v>
      </c>
      <c r="D627" s="4" t="s">
        <v>955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1683</v>
      </c>
      <c r="C628" s="4" t="s">
        <v>1684</v>
      </c>
      <c r="D628" s="4" t="s">
        <v>45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1685</v>
      </c>
      <c r="C629" s="4" t="s">
        <v>1686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1687</v>
      </c>
      <c r="C630" s="4" t="s">
        <v>1688</v>
      </c>
      <c r="D630" s="4" t="s">
        <v>1130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1689</v>
      </c>
      <c r="C631" s="4" t="s">
        <v>1690</v>
      </c>
      <c r="D631" s="4" t="s">
        <v>1127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1691</v>
      </c>
      <c r="C632" s="4" t="s">
        <v>1692</v>
      </c>
      <c r="D632" s="4" t="s">
        <v>45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1693</v>
      </c>
      <c r="C633" s="4" t="s">
        <v>1694</v>
      </c>
      <c r="D633" s="4" t="s">
        <v>1130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1695</v>
      </c>
      <c r="C634" s="4" t="s">
        <v>1696</v>
      </c>
      <c r="D634" s="4" t="s">
        <v>1129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906</v>
      </c>
      <c r="C635" s="4" t="s">
        <v>907</v>
      </c>
      <c r="D635" s="4" t="s">
        <v>45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1697</v>
      </c>
      <c r="C636" s="4" t="s">
        <v>1698</v>
      </c>
      <c r="D636" s="4" t="s">
        <v>46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1699</v>
      </c>
      <c r="C637" s="4" t="s">
        <v>1700</v>
      </c>
      <c r="D637" s="4" t="s">
        <v>1129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1701</v>
      </c>
      <c r="C638" s="4" t="s">
        <v>1702</v>
      </c>
      <c r="D638" s="4" t="s">
        <v>45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1703</v>
      </c>
      <c r="C639" s="4" t="s">
        <v>1704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1009</v>
      </c>
      <c r="C640" s="4" t="s">
        <v>1010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1705</v>
      </c>
      <c r="C641" s="4" t="s">
        <v>1706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1707</v>
      </c>
      <c r="C642" s="4" t="s">
        <v>1708</v>
      </c>
      <c r="D642" s="4" t="s">
        <v>1125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1709</v>
      </c>
      <c r="C643" s="4" t="s">
        <v>1710</v>
      </c>
      <c r="D643" s="4" t="s">
        <v>45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1711</v>
      </c>
      <c r="C644" s="4" t="s">
        <v>1712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1713</v>
      </c>
      <c r="C645" s="4" t="s">
        <v>1714</v>
      </c>
      <c r="D645" s="4" t="s">
        <v>1124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1715</v>
      </c>
      <c r="C646" s="4" t="s">
        <v>1716</v>
      </c>
      <c r="D646" s="4" t="s">
        <v>45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1717</v>
      </c>
      <c r="C647" s="4" t="s">
        <v>1718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ref="A648:A711" si="16">+A647+1</f>
        <v>645</v>
      </c>
      <c r="B648" s="4" t="s">
        <v>1719</v>
      </c>
      <c r="C648" s="4" t="s">
        <v>1720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6"/>
        <v>646</v>
      </c>
      <c r="B649" s="4" t="s">
        <v>1721</v>
      </c>
      <c r="C649" s="4" t="s">
        <v>1721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si="16"/>
        <v>647</v>
      </c>
      <c r="B650" s="4" t="s">
        <v>1722</v>
      </c>
      <c r="C650" s="4" t="s">
        <v>1723</v>
      </c>
      <c r="D650" s="4" t="s">
        <v>2576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1724</v>
      </c>
      <c r="C651" s="4" t="s">
        <v>1725</v>
      </c>
      <c r="D651" s="4" t="s">
        <v>45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1726</v>
      </c>
      <c r="C652" s="4" t="s">
        <v>1727</v>
      </c>
      <c r="D652" s="4" t="s">
        <v>770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1728</v>
      </c>
      <c r="C653" s="4" t="s">
        <v>1729</v>
      </c>
      <c r="D653" s="4" t="s">
        <v>45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1013</v>
      </c>
      <c r="C654" s="4" t="s">
        <v>1014</v>
      </c>
      <c r="D654" s="4" t="s">
        <v>770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1730</v>
      </c>
      <c r="C655" s="4" t="s">
        <v>1731</v>
      </c>
      <c r="D655" s="4" t="s">
        <v>45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1732</v>
      </c>
      <c r="C656" s="4" t="s">
        <v>1733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1734</v>
      </c>
      <c r="C657" s="4" t="s">
        <v>1735</v>
      </c>
      <c r="D657" s="4" t="s">
        <v>186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1736</v>
      </c>
      <c r="C658" s="4" t="s">
        <v>1737</v>
      </c>
      <c r="D658" s="4" t="s">
        <v>84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1738</v>
      </c>
      <c r="C659" s="4" t="s">
        <v>1739</v>
      </c>
      <c r="D659" s="4" t="s">
        <v>45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1740</v>
      </c>
      <c r="C660" s="4" t="s">
        <v>1741</v>
      </c>
      <c r="D660" s="4" t="s">
        <v>1126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1742</v>
      </c>
      <c r="C661" s="4" t="s">
        <v>1743</v>
      </c>
      <c r="D661" s="4" t="s">
        <v>186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1744</v>
      </c>
      <c r="C662" s="4" t="s">
        <v>1745</v>
      </c>
      <c r="D662" s="4" t="s">
        <v>1124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1746</v>
      </c>
      <c r="C663" s="4" t="s">
        <v>1747</v>
      </c>
      <c r="D663" s="4" t="s">
        <v>45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1748</v>
      </c>
      <c r="C664" s="4" t="s">
        <v>1749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1750</v>
      </c>
      <c r="C665" s="4" t="s">
        <v>1751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1752</v>
      </c>
      <c r="C666" s="4" t="s">
        <v>1753</v>
      </c>
      <c r="D666" s="4" t="s">
        <v>84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1754</v>
      </c>
      <c r="C667" s="4" t="s">
        <v>1755</v>
      </c>
      <c r="D667" s="4" t="s">
        <v>45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1756</v>
      </c>
      <c r="C668" s="4" t="s">
        <v>1757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1758</v>
      </c>
      <c r="C669" s="4" t="s">
        <v>1759</v>
      </c>
      <c r="D669" s="4" t="s">
        <v>536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1760</v>
      </c>
      <c r="C670" s="4" t="s">
        <v>1761</v>
      </c>
      <c r="D670" s="4" t="s">
        <v>45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1762</v>
      </c>
      <c r="C671" s="4" t="s">
        <v>1763</v>
      </c>
      <c r="D671" s="4" t="s">
        <v>1123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1764</v>
      </c>
      <c r="C672" s="4" t="s">
        <v>1765</v>
      </c>
      <c r="D672" s="4" t="s">
        <v>1129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1766</v>
      </c>
      <c r="C673" s="4" t="s">
        <v>1767</v>
      </c>
      <c r="D673" s="4" t="s">
        <v>84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1019</v>
      </c>
      <c r="C674" s="4" t="s">
        <v>1020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1768</v>
      </c>
      <c r="C675" s="4" t="s">
        <v>1769</v>
      </c>
      <c r="D675" s="4" t="s">
        <v>2575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1770</v>
      </c>
      <c r="C676" s="4" t="s">
        <v>1771</v>
      </c>
      <c r="D676" s="4" t="s">
        <v>47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1772</v>
      </c>
      <c r="C677" s="4" t="s">
        <v>1773</v>
      </c>
      <c r="D677" s="4" t="s">
        <v>45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1774</v>
      </c>
      <c r="C678" s="4" t="s">
        <v>886</v>
      </c>
      <c r="D678" s="4" t="s">
        <v>768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1775</v>
      </c>
      <c r="C679" s="4" t="s">
        <v>1776</v>
      </c>
      <c r="D679" s="4" t="s">
        <v>45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1777</v>
      </c>
      <c r="C680" s="4" t="s">
        <v>1778</v>
      </c>
      <c r="D680" s="4" t="s">
        <v>87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1779</v>
      </c>
      <c r="C681" s="4" t="s">
        <v>1780</v>
      </c>
      <c r="D681" s="4" t="s">
        <v>768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1781</v>
      </c>
      <c r="C682" s="4" t="s">
        <v>1782</v>
      </c>
      <c r="D682" s="4" t="s">
        <v>45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1783</v>
      </c>
      <c r="C683" s="4" t="s">
        <v>1784</v>
      </c>
      <c r="D683" s="4" t="s">
        <v>508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1785</v>
      </c>
      <c r="C684" s="4" t="s">
        <v>1786</v>
      </c>
      <c r="D684" s="4" t="s">
        <v>1123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1787</v>
      </c>
      <c r="C685" s="4" t="s">
        <v>1788</v>
      </c>
      <c r="D685" s="4" t="s">
        <v>45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1027</v>
      </c>
      <c r="C686" s="4" t="s">
        <v>1028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1789</v>
      </c>
      <c r="C687" s="4" t="s">
        <v>1790</v>
      </c>
      <c r="D687" s="4" t="s">
        <v>2569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1791</v>
      </c>
      <c r="C688" s="4" t="s">
        <v>1792</v>
      </c>
      <c r="D688" s="4" t="s">
        <v>955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1793</v>
      </c>
      <c r="C689" s="4" t="s">
        <v>1794</v>
      </c>
      <c r="D689" s="4" t="s">
        <v>45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1795</v>
      </c>
      <c r="C690" s="4" t="s">
        <v>1796</v>
      </c>
      <c r="D690" s="4" t="s">
        <v>1123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1029</v>
      </c>
      <c r="C691" s="4" t="s">
        <v>1030</v>
      </c>
      <c r="D691" s="4" t="s">
        <v>770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1797</v>
      </c>
      <c r="C692" s="4" t="s">
        <v>1798</v>
      </c>
      <c r="D692" s="4" t="s">
        <v>84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1799</v>
      </c>
      <c r="C693" s="4" t="s">
        <v>1800</v>
      </c>
      <c r="D693" s="4" t="s">
        <v>87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1801</v>
      </c>
      <c r="C694" s="4" t="s">
        <v>1802</v>
      </c>
      <c r="D694" s="4" t="s">
        <v>45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1803</v>
      </c>
      <c r="C695" s="4" t="s">
        <v>1804</v>
      </c>
      <c r="D695" s="4" t="s">
        <v>1123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1805</v>
      </c>
      <c r="C696" s="4" t="s">
        <v>1806</v>
      </c>
      <c r="D696" s="4" t="s">
        <v>282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1807</v>
      </c>
      <c r="C697" s="4" t="s">
        <v>1808</v>
      </c>
      <c r="D697" s="4" t="s">
        <v>1130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1031</v>
      </c>
      <c r="C698" s="4" t="s">
        <v>1032</v>
      </c>
      <c r="D698" s="4" t="s">
        <v>45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1809</v>
      </c>
      <c r="C699" s="4" t="s">
        <v>1810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1811</v>
      </c>
      <c r="C700" s="4" t="s">
        <v>1812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1813</v>
      </c>
      <c r="C701" s="4" t="s">
        <v>1814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1815</v>
      </c>
      <c r="C702" s="4" t="s">
        <v>1816</v>
      </c>
      <c r="D702" s="4" t="s">
        <v>1130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1817</v>
      </c>
      <c r="C703" s="4" t="s">
        <v>1818</v>
      </c>
      <c r="D703" s="4" t="s">
        <v>770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1819</v>
      </c>
      <c r="C704" s="4" t="s">
        <v>1820</v>
      </c>
      <c r="D704" s="4" t="s">
        <v>45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1821</v>
      </c>
      <c r="C705" s="4" t="s">
        <v>1822</v>
      </c>
      <c r="D705" s="4" t="s">
        <v>1123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1823</v>
      </c>
      <c r="C706" s="4" t="s">
        <v>1824</v>
      </c>
      <c r="D706" s="4" t="s">
        <v>45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1825</v>
      </c>
      <c r="C707" s="4" t="s">
        <v>1826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1827</v>
      </c>
      <c r="C708" s="4" t="s">
        <v>1828</v>
      </c>
      <c r="D708" s="4" t="s">
        <v>398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1829</v>
      </c>
      <c r="C709" s="4" t="s">
        <v>1830</v>
      </c>
      <c r="D709" s="4" t="s">
        <v>2579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1831</v>
      </c>
      <c r="C710" s="4" t="s">
        <v>1832</v>
      </c>
      <c r="D710" s="4" t="s">
        <v>1129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1833</v>
      </c>
      <c r="C711" s="4" t="s">
        <v>1834</v>
      </c>
      <c r="D711" s="4" t="s">
        <v>1125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ref="A712:A775" si="17">+A711+1</f>
        <v>709</v>
      </c>
      <c r="B712" s="4" t="s">
        <v>1835</v>
      </c>
      <c r="C712" s="4" t="s">
        <v>1836</v>
      </c>
      <c r="D712" s="4" t="s">
        <v>45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7"/>
        <v>710</v>
      </c>
      <c r="B713" s="4" t="s">
        <v>1837</v>
      </c>
      <c r="C713" s="4" t="s">
        <v>1838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si="17"/>
        <v>711</v>
      </c>
      <c r="B714" s="4" t="s">
        <v>1839</v>
      </c>
      <c r="C714" s="4" t="s">
        <v>1840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1841</v>
      </c>
      <c r="C715" s="4" t="s">
        <v>1842</v>
      </c>
      <c r="D715" s="4" t="s">
        <v>536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1843</v>
      </c>
      <c r="C716" s="4" t="s">
        <v>1844</v>
      </c>
      <c r="D716" s="4" t="s">
        <v>768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1845</v>
      </c>
      <c r="C717" s="4" t="s">
        <v>1846</v>
      </c>
      <c r="D717" s="4" t="s">
        <v>45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1847</v>
      </c>
      <c r="C718" s="4" t="s">
        <v>1848</v>
      </c>
      <c r="D718" s="4" t="s">
        <v>282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1849</v>
      </c>
      <c r="C719" s="4" t="s">
        <v>1850</v>
      </c>
      <c r="D719" s="4" t="s">
        <v>278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1851</v>
      </c>
      <c r="C720" s="4" t="s">
        <v>1852</v>
      </c>
      <c r="D720" s="4" t="s">
        <v>1130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1853</v>
      </c>
      <c r="C721" s="4" t="s">
        <v>1854</v>
      </c>
      <c r="D721" s="4" t="s">
        <v>508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1855</v>
      </c>
      <c r="C722" s="4" t="s">
        <v>1856</v>
      </c>
      <c r="D722" s="4" t="s">
        <v>45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1857</v>
      </c>
      <c r="C723" s="4" t="s">
        <v>1858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1859</v>
      </c>
      <c r="C724" s="4" t="s">
        <v>1860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1861</v>
      </c>
      <c r="C725" s="4" t="s">
        <v>1862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1863</v>
      </c>
      <c r="C726" s="4" t="s">
        <v>1864</v>
      </c>
      <c r="D726" s="4" t="s">
        <v>87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1865</v>
      </c>
      <c r="C727" s="4" t="s">
        <v>1866</v>
      </c>
      <c r="D727" s="4" t="s">
        <v>45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1867</v>
      </c>
      <c r="C728" s="4" t="s">
        <v>1868</v>
      </c>
      <c r="D728" s="4" t="s">
        <v>1129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1869</v>
      </c>
      <c r="C729" s="4" t="s">
        <v>1870</v>
      </c>
      <c r="D729" s="4" t="s">
        <v>45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1871</v>
      </c>
      <c r="C730" s="4" t="s">
        <v>1872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1035</v>
      </c>
      <c r="C731" s="4" t="s">
        <v>1036</v>
      </c>
      <c r="D731" s="4" t="s">
        <v>536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1873</v>
      </c>
      <c r="C732" s="4" t="s">
        <v>1874</v>
      </c>
      <c r="D732" s="4" t="s">
        <v>955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1875</v>
      </c>
      <c r="C733" s="4" t="s">
        <v>1876</v>
      </c>
      <c r="D733" s="4" t="s">
        <v>1126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1877</v>
      </c>
      <c r="C734" s="4" t="s">
        <v>1878</v>
      </c>
      <c r="D734" s="4" t="s">
        <v>955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1879</v>
      </c>
      <c r="C735" s="4" t="s">
        <v>1880</v>
      </c>
      <c r="D735" s="4" t="s">
        <v>45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1881</v>
      </c>
      <c r="C736" s="4" t="s">
        <v>1882</v>
      </c>
      <c r="D736" s="4" t="s">
        <v>768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1883</v>
      </c>
      <c r="C737" s="4" t="s">
        <v>1884</v>
      </c>
      <c r="D737" s="4" t="s">
        <v>45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1885</v>
      </c>
      <c r="C738" s="4" t="s">
        <v>1886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1887</v>
      </c>
      <c r="C739" s="4" t="s">
        <v>1888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1889</v>
      </c>
      <c r="C740" s="4" t="s">
        <v>1890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1891</v>
      </c>
      <c r="C741" s="4" t="s">
        <v>1892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1893</v>
      </c>
      <c r="C742" s="4" t="s">
        <v>1894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1895</v>
      </c>
      <c r="C743" s="4" t="s">
        <v>1896</v>
      </c>
      <c r="D743" s="4" t="s">
        <v>768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1897</v>
      </c>
      <c r="C744" s="4" t="s">
        <v>1898</v>
      </c>
      <c r="D744" s="4" t="s">
        <v>161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1899</v>
      </c>
      <c r="C745" s="4" t="s">
        <v>1900</v>
      </c>
      <c r="D745" s="4" t="s">
        <v>1127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1901</v>
      </c>
      <c r="C746" s="4" t="s">
        <v>1902</v>
      </c>
      <c r="D746" s="4" t="s">
        <v>1129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1903</v>
      </c>
      <c r="C747" s="4" t="s">
        <v>1904</v>
      </c>
      <c r="D747" s="4" t="s">
        <v>1123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1905</v>
      </c>
      <c r="C748" s="4" t="s">
        <v>1906</v>
      </c>
      <c r="D748" s="4" t="s">
        <v>2572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1907</v>
      </c>
      <c r="C749" s="4" t="s">
        <v>1908</v>
      </c>
      <c r="D749" s="4" t="s">
        <v>45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1909</v>
      </c>
      <c r="C750" s="4" t="s">
        <v>1910</v>
      </c>
      <c r="D750" s="4" t="s">
        <v>2569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1911</v>
      </c>
      <c r="C751" s="4" t="s">
        <v>1912</v>
      </c>
      <c r="D751" s="4" t="s">
        <v>768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1913</v>
      </c>
      <c r="C752" s="4" t="s">
        <v>1914</v>
      </c>
      <c r="D752" s="4" t="s">
        <v>1129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1915</v>
      </c>
      <c r="C753" s="4" t="s">
        <v>1916</v>
      </c>
      <c r="D753" s="4" t="s">
        <v>955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1917</v>
      </c>
      <c r="C754" s="4" t="s">
        <v>1918</v>
      </c>
      <c r="D754" s="4" t="s">
        <v>45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1919</v>
      </c>
      <c r="C755" s="4" t="s">
        <v>1920</v>
      </c>
      <c r="D755" s="4" t="s">
        <v>1127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1921</v>
      </c>
      <c r="C756" s="4" t="s">
        <v>1922</v>
      </c>
      <c r="D756" s="4" t="s">
        <v>45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1923</v>
      </c>
      <c r="C757" s="4" t="s">
        <v>1924</v>
      </c>
      <c r="D757" s="4" t="s">
        <v>278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1925</v>
      </c>
      <c r="C758" s="4" t="s">
        <v>1926</v>
      </c>
      <c r="D758" s="4" t="s">
        <v>1129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1927</v>
      </c>
      <c r="C759" s="4" t="s">
        <v>1928</v>
      </c>
      <c r="D759" s="4" t="s">
        <v>84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1929</v>
      </c>
      <c r="C760" s="4" t="s">
        <v>1930</v>
      </c>
      <c r="D760" s="4" t="s">
        <v>1129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1931</v>
      </c>
      <c r="C761" s="4" t="s">
        <v>1932</v>
      </c>
      <c r="D761" s="4" t="s">
        <v>1125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1933</v>
      </c>
      <c r="C762" s="4" t="s">
        <v>1934</v>
      </c>
      <c r="D762" s="4" t="s">
        <v>2576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1935</v>
      </c>
      <c r="C763" s="4" t="s">
        <v>1936</v>
      </c>
      <c r="D763" s="4" t="s">
        <v>45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1937</v>
      </c>
      <c r="C764" s="4" t="s">
        <v>1938</v>
      </c>
      <c r="D764" s="4" t="s">
        <v>508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1939</v>
      </c>
      <c r="C765" s="4" t="s">
        <v>1940</v>
      </c>
      <c r="D765" s="4" t="s">
        <v>1130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1941</v>
      </c>
      <c r="C766" s="4" t="s">
        <v>1942</v>
      </c>
      <c r="D766" s="4" t="s">
        <v>45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1943</v>
      </c>
      <c r="C767" s="4" t="s">
        <v>1944</v>
      </c>
      <c r="D767" s="4" t="s">
        <v>2575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1945</v>
      </c>
      <c r="C768" s="4" t="s">
        <v>1946</v>
      </c>
      <c r="D768" s="4" t="s">
        <v>770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1947</v>
      </c>
      <c r="C769" s="4" t="s">
        <v>1948</v>
      </c>
      <c r="D769" s="4" t="s">
        <v>45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1949</v>
      </c>
      <c r="C770" s="4" t="s">
        <v>1950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1951</v>
      </c>
      <c r="C771" s="4" t="s">
        <v>1952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1953</v>
      </c>
      <c r="C772" s="4" t="s">
        <v>1954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1955</v>
      </c>
      <c r="C773" s="4" t="s">
        <v>107</v>
      </c>
      <c r="D773" s="4" t="s">
        <v>768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1956</v>
      </c>
      <c r="C774" s="4" t="s">
        <v>1957</v>
      </c>
      <c r="D774" s="4" t="s">
        <v>45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1041</v>
      </c>
      <c r="C775" s="4" t="s">
        <v>1042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ref="A776:A839" si="18">+A775+1</f>
        <v>773</v>
      </c>
      <c r="B776" s="4" t="s">
        <v>1043</v>
      </c>
      <c r="C776" s="4" t="s">
        <v>1044</v>
      </c>
      <c r="D776" s="4" t="s">
        <v>508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8"/>
        <v>774</v>
      </c>
      <c r="B777" s="4" t="s">
        <v>1958</v>
      </c>
      <c r="C777" s="4" t="s">
        <v>1959</v>
      </c>
      <c r="D777" s="4" t="s">
        <v>45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si="18"/>
        <v>775</v>
      </c>
      <c r="B778" s="4" t="s">
        <v>1960</v>
      </c>
      <c r="C778" s="4" t="s">
        <v>1961</v>
      </c>
      <c r="D778" s="4" t="s">
        <v>1125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1962</v>
      </c>
      <c r="C779" s="4" t="s">
        <v>1963</v>
      </c>
      <c r="D779" s="4" t="s">
        <v>87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1964</v>
      </c>
      <c r="C780" s="4" t="s">
        <v>1965</v>
      </c>
      <c r="D780" s="4" t="s">
        <v>768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1966</v>
      </c>
      <c r="C781" s="4" t="s">
        <v>1967</v>
      </c>
      <c r="D781" s="4" t="s">
        <v>45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1968</v>
      </c>
      <c r="C782" s="4" t="s">
        <v>1969</v>
      </c>
      <c r="D782" s="4" t="s">
        <v>84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1970</v>
      </c>
      <c r="C783" s="4" t="s">
        <v>1971</v>
      </c>
      <c r="D783" s="4" t="s">
        <v>1123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1972</v>
      </c>
      <c r="C784" s="4" t="s">
        <v>1973</v>
      </c>
      <c r="D784" s="4" t="s">
        <v>45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1974</v>
      </c>
      <c r="C785" s="4" t="s">
        <v>1975</v>
      </c>
      <c r="D785" s="4" t="s">
        <v>770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1976</v>
      </c>
      <c r="C786" s="4" t="s">
        <v>1977</v>
      </c>
      <c r="D786" s="4" t="s">
        <v>1125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1978</v>
      </c>
      <c r="C787" s="4" t="s">
        <v>1979</v>
      </c>
      <c r="D787" s="4" t="s">
        <v>84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1980</v>
      </c>
      <c r="C788" s="4" t="s">
        <v>1981</v>
      </c>
      <c r="D788" s="4" t="s">
        <v>45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1982</v>
      </c>
      <c r="C789" s="4" t="s">
        <v>1983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1984</v>
      </c>
      <c r="C790" s="4" t="s">
        <v>1985</v>
      </c>
      <c r="D790" s="4" t="s">
        <v>1125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1986</v>
      </c>
      <c r="C791" s="4" t="s">
        <v>1987</v>
      </c>
      <c r="D791" s="4" t="s">
        <v>1129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1988</v>
      </c>
      <c r="C792" s="4" t="s">
        <v>1989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1990</v>
      </c>
      <c r="C793" s="4" t="s">
        <v>1991</v>
      </c>
      <c r="D793" s="4" t="s">
        <v>45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1992</v>
      </c>
      <c r="C794" s="4" t="s">
        <v>1993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1994</v>
      </c>
      <c r="C795" s="4" t="s">
        <v>1995</v>
      </c>
      <c r="D795" s="4" t="s">
        <v>508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1996</v>
      </c>
      <c r="C796" s="4" t="s">
        <v>1997</v>
      </c>
      <c r="D796" s="4" t="s">
        <v>45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1998</v>
      </c>
      <c r="C797" s="4" t="s">
        <v>1999</v>
      </c>
      <c r="D797" s="4" t="s">
        <v>84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2000</v>
      </c>
      <c r="C798" s="4" t="s">
        <v>2001</v>
      </c>
      <c r="D798" s="4" t="s">
        <v>2569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2002</v>
      </c>
      <c r="C799" s="4" t="s">
        <v>2003</v>
      </c>
      <c r="D799" s="4" t="s">
        <v>186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2004</v>
      </c>
      <c r="C800" s="4" t="s">
        <v>2005</v>
      </c>
      <c r="D800" s="4" t="s">
        <v>1129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2006</v>
      </c>
      <c r="C801" s="4" t="s">
        <v>2007</v>
      </c>
      <c r="D801" s="4" t="s">
        <v>45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2008</v>
      </c>
      <c r="C802" s="4" t="s">
        <v>2009</v>
      </c>
      <c r="D802" s="4" t="s">
        <v>278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2010</v>
      </c>
      <c r="C803" s="4" t="s">
        <v>2011</v>
      </c>
      <c r="D803" s="4" t="s">
        <v>768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2012</v>
      </c>
      <c r="C804" s="4" t="s">
        <v>2013</v>
      </c>
      <c r="D804" s="4" t="s">
        <v>45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2014</v>
      </c>
      <c r="C805" s="4" t="s">
        <v>2015</v>
      </c>
      <c r="D805" s="4" t="s">
        <v>84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2016</v>
      </c>
      <c r="C806" s="4" t="s">
        <v>2017</v>
      </c>
      <c r="D806" s="4" t="s">
        <v>87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2018</v>
      </c>
      <c r="C807" s="4" t="s">
        <v>2019</v>
      </c>
      <c r="D807" s="4" t="s">
        <v>1127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2020</v>
      </c>
      <c r="C808" s="4" t="s">
        <v>2021</v>
      </c>
      <c r="D808" s="4" t="s">
        <v>1130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2022</v>
      </c>
      <c r="C809" s="4" t="s">
        <v>2023</v>
      </c>
      <c r="D809" s="4" t="s">
        <v>87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2024</v>
      </c>
      <c r="C810" s="4" t="s">
        <v>2025</v>
      </c>
      <c r="D810" s="4" t="s">
        <v>84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2026</v>
      </c>
      <c r="C811" s="4" t="s">
        <v>2027</v>
      </c>
      <c r="D811" s="4" t="s">
        <v>1125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2028</v>
      </c>
      <c r="C812" s="4" t="s">
        <v>2029</v>
      </c>
      <c r="D812" s="4" t="s">
        <v>1130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2030</v>
      </c>
      <c r="C813" s="4" t="s">
        <v>2031</v>
      </c>
      <c r="D813" s="4" t="s">
        <v>2578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2032</v>
      </c>
      <c r="C814" s="4" t="s">
        <v>2033</v>
      </c>
      <c r="D814" s="4" t="s">
        <v>1129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2034</v>
      </c>
      <c r="C815" s="4" t="s">
        <v>2035</v>
      </c>
      <c r="D815" s="4" t="s">
        <v>45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2036</v>
      </c>
      <c r="C816" s="4" t="s">
        <v>2037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2038</v>
      </c>
      <c r="C817" s="4" t="s">
        <v>2039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2040</v>
      </c>
      <c r="C818" s="4" t="s">
        <v>2041</v>
      </c>
      <c r="D818" s="4" t="s">
        <v>278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2042</v>
      </c>
      <c r="C819" s="4" t="s">
        <v>2043</v>
      </c>
      <c r="D819" s="4" t="s">
        <v>770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2044</v>
      </c>
      <c r="C820" s="4" t="s">
        <v>2045</v>
      </c>
      <c r="D820" s="4" t="s">
        <v>1125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2046</v>
      </c>
      <c r="C821" s="4" t="s">
        <v>2047</v>
      </c>
      <c r="D821" s="4" t="s">
        <v>84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2048</v>
      </c>
      <c r="C822" s="4" t="s">
        <v>2049</v>
      </c>
      <c r="D822" s="4" t="s">
        <v>2570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2050</v>
      </c>
      <c r="C823" s="4" t="s">
        <v>2051</v>
      </c>
      <c r="D823" s="4" t="s">
        <v>45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2052</v>
      </c>
      <c r="C824" s="4" t="s">
        <v>2053</v>
      </c>
      <c r="D824" s="4" t="s">
        <v>508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2054</v>
      </c>
      <c r="C825" s="4" t="s">
        <v>2055</v>
      </c>
      <c r="D825" s="4" t="s">
        <v>1126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2056</v>
      </c>
      <c r="C826" s="4" t="s">
        <v>2057</v>
      </c>
      <c r="D826" s="4" t="s">
        <v>1123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2058</v>
      </c>
      <c r="C827" s="4" t="s">
        <v>2059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2060</v>
      </c>
      <c r="C828" s="4" t="s">
        <v>2061</v>
      </c>
      <c r="D828" s="4" t="s">
        <v>87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2062</v>
      </c>
      <c r="C829" s="4" t="s">
        <v>2063</v>
      </c>
      <c r="D829" s="4" t="s">
        <v>45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2064</v>
      </c>
      <c r="C830" s="4" t="s">
        <v>2065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2066</v>
      </c>
      <c r="C831" s="4" t="s">
        <v>2067</v>
      </c>
      <c r="D831" s="4" t="s">
        <v>1129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2068</v>
      </c>
      <c r="C832" s="4" t="s">
        <v>2069</v>
      </c>
      <c r="D832" s="4" t="s">
        <v>45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2070</v>
      </c>
      <c r="C833" s="4" t="s">
        <v>2071</v>
      </c>
      <c r="D833" s="4" t="s">
        <v>2577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2072</v>
      </c>
      <c r="C834" s="4" t="s">
        <v>2073</v>
      </c>
      <c r="D834" s="4" t="s">
        <v>45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2074</v>
      </c>
      <c r="C835" s="4" t="s">
        <v>2075</v>
      </c>
      <c r="D835" s="4" t="s">
        <v>1129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2076</v>
      </c>
      <c r="C836" s="4" t="s">
        <v>2077</v>
      </c>
      <c r="D836" s="4" t="s">
        <v>2569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2078</v>
      </c>
      <c r="C837" s="4" t="s">
        <v>2079</v>
      </c>
      <c r="D837" s="4" t="s">
        <v>2576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2080</v>
      </c>
      <c r="C838" s="4" t="s">
        <v>2081</v>
      </c>
      <c r="D838" s="4" t="s">
        <v>45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2082</v>
      </c>
      <c r="C839" s="4" t="s">
        <v>2083</v>
      </c>
      <c r="D839" s="4" t="s">
        <v>84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ref="A840:A903" si="19">+A839+1</f>
        <v>837</v>
      </c>
      <c r="B840" s="4" t="s">
        <v>2084</v>
      </c>
      <c r="C840" s="4" t="s">
        <v>2085</v>
      </c>
      <c r="D840" s="4" t="s">
        <v>45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9"/>
        <v>838</v>
      </c>
      <c r="B841" s="4" t="s">
        <v>2086</v>
      </c>
      <c r="C841" s="4" t="s">
        <v>2087</v>
      </c>
      <c r="D841" s="4" t="s">
        <v>84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si="19"/>
        <v>839</v>
      </c>
      <c r="B842" s="4" t="s">
        <v>2088</v>
      </c>
      <c r="C842" s="4" t="s">
        <v>2089</v>
      </c>
      <c r="D842" s="4" t="s">
        <v>1130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2090</v>
      </c>
      <c r="C843" s="4" t="s">
        <v>2091</v>
      </c>
      <c r="D843" s="4" t="s">
        <v>536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2092</v>
      </c>
      <c r="C844" s="4" t="s">
        <v>2093</v>
      </c>
      <c r="D844" s="4" t="s">
        <v>84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2094</v>
      </c>
      <c r="C845" s="4" t="s">
        <v>2095</v>
      </c>
      <c r="D845" s="4" t="s">
        <v>1123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2096</v>
      </c>
      <c r="C846" s="4" t="s">
        <v>2097</v>
      </c>
      <c r="D846" s="4" t="s">
        <v>1126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2098</v>
      </c>
      <c r="C847" s="4" t="s">
        <v>2099</v>
      </c>
      <c r="D847" s="4" t="s">
        <v>1123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1055</v>
      </c>
      <c r="C848" s="4" t="s">
        <v>1056</v>
      </c>
      <c r="D848" s="4" t="s">
        <v>768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2100</v>
      </c>
      <c r="C849" s="4" t="s">
        <v>2101</v>
      </c>
      <c r="D849" s="4" t="s">
        <v>45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2102</v>
      </c>
      <c r="C850" s="4" t="s">
        <v>2103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2104</v>
      </c>
      <c r="C851" s="4" t="s">
        <v>2105</v>
      </c>
      <c r="D851" s="4" t="s">
        <v>508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2106</v>
      </c>
      <c r="C852" s="4" t="s">
        <v>2107</v>
      </c>
      <c r="D852" s="4" t="s">
        <v>1129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2108</v>
      </c>
      <c r="C853" s="4" t="s">
        <v>2109</v>
      </c>
      <c r="D853" s="4" t="s">
        <v>128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2110</v>
      </c>
      <c r="C854" s="4" t="s">
        <v>2111</v>
      </c>
      <c r="D854" s="4" t="s">
        <v>45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2112</v>
      </c>
      <c r="C855" s="4" t="s">
        <v>2113</v>
      </c>
      <c r="D855" s="4" t="s">
        <v>84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2114</v>
      </c>
      <c r="C856" s="4" t="s">
        <v>2115</v>
      </c>
      <c r="D856" s="4" t="s">
        <v>536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2116</v>
      </c>
      <c r="C857" s="4" t="b">
        <v>1</v>
      </c>
      <c r="D857" s="4" t="s">
        <v>45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2117</v>
      </c>
      <c r="C858" s="4" t="s">
        <v>2118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2119</v>
      </c>
      <c r="C859" s="4" t="s">
        <v>2120</v>
      </c>
      <c r="D859" s="4" t="s">
        <v>508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2121</v>
      </c>
      <c r="C860" s="4" t="s">
        <v>2122</v>
      </c>
      <c r="D860" s="4" t="s">
        <v>84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2123</v>
      </c>
      <c r="C861" s="4" t="s">
        <v>2124</v>
      </c>
      <c r="D861" s="4" t="s">
        <v>1123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2125</v>
      </c>
      <c r="C862" s="4" t="s">
        <v>2126</v>
      </c>
      <c r="D862" s="4" t="s">
        <v>45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2127</v>
      </c>
      <c r="C863" s="4" t="s">
        <v>2128</v>
      </c>
      <c r="D863" s="4" t="s">
        <v>508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2129</v>
      </c>
      <c r="C864" s="4" t="s">
        <v>2130</v>
      </c>
      <c r="D864" s="4" t="s">
        <v>84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2131</v>
      </c>
      <c r="C865" s="4" t="s">
        <v>2132</v>
      </c>
      <c r="D865" s="4" t="s">
        <v>45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2133</v>
      </c>
      <c r="C866" s="4" t="s">
        <v>2134</v>
      </c>
      <c r="D866" s="4" t="s">
        <v>87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2135</v>
      </c>
      <c r="C867" s="4" t="s">
        <v>2136</v>
      </c>
      <c r="D867" s="4" t="s">
        <v>84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2137</v>
      </c>
      <c r="C868" s="4" t="s">
        <v>2138</v>
      </c>
      <c r="D868" s="4" t="s">
        <v>45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2139</v>
      </c>
      <c r="C869" s="4" t="s">
        <v>2140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2141</v>
      </c>
      <c r="C870" s="4" t="s">
        <v>2142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2143</v>
      </c>
      <c r="C871" s="4" t="s">
        <v>2144</v>
      </c>
      <c r="D871" s="4" t="s">
        <v>1125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2145</v>
      </c>
      <c r="C872" s="4" t="s">
        <v>2146</v>
      </c>
      <c r="D872" s="4" t="s">
        <v>278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2147</v>
      </c>
      <c r="C873" s="4" t="s">
        <v>2148</v>
      </c>
      <c r="D873" s="4" t="s">
        <v>508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2149</v>
      </c>
      <c r="C874" s="4" t="s">
        <v>2150</v>
      </c>
      <c r="D874" s="4" t="s">
        <v>84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2151</v>
      </c>
      <c r="C875" s="4" t="s">
        <v>2152</v>
      </c>
      <c r="D875" s="4" t="s">
        <v>45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2153</v>
      </c>
      <c r="C876" s="4" t="s">
        <v>2154</v>
      </c>
      <c r="D876" s="4" t="s">
        <v>2569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2155</v>
      </c>
      <c r="C877" s="4" t="s">
        <v>2156</v>
      </c>
      <c r="D877" s="4" t="s">
        <v>2574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2157</v>
      </c>
      <c r="C878" s="4" t="s">
        <v>2158</v>
      </c>
      <c r="D878" s="4" t="s">
        <v>1129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2159</v>
      </c>
      <c r="C879" s="4" t="s">
        <v>2160</v>
      </c>
      <c r="D879" s="4" t="s">
        <v>1125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2161</v>
      </c>
      <c r="C880" s="4" t="s">
        <v>2162</v>
      </c>
      <c r="D880" s="4" t="s">
        <v>84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2163</v>
      </c>
      <c r="C881" s="4" t="s">
        <v>2164</v>
      </c>
      <c r="D881" s="4" t="s">
        <v>45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2165</v>
      </c>
      <c r="C882" s="4" t="s">
        <v>2166</v>
      </c>
      <c r="D882" s="4" t="s">
        <v>1125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2167</v>
      </c>
      <c r="C883" s="4" t="s">
        <v>2168</v>
      </c>
      <c r="D883" s="4" t="s">
        <v>45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2169</v>
      </c>
      <c r="C884" s="4" t="s">
        <v>2170</v>
      </c>
      <c r="D884" s="4" t="s">
        <v>278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2171</v>
      </c>
      <c r="C885" s="4" t="s">
        <v>2172</v>
      </c>
      <c r="D885" s="4" t="s">
        <v>45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2173</v>
      </c>
      <c r="C886" s="4" t="s">
        <v>2174</v>
      </c>
      <c r="D886" s="4" t="s">
        <v>2569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1061</v>
      </c>
      <c r="C887" s="4" t="s">
        <v>1062</v>
      </c>
      <c r="D887" s="4" t="s">
        <v>2572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2175</v>
      </c>
      <c r="C888" s="4" t="s">
        <v>2176</v>
      </c>
      <c r="D888" s="4" t="s">
        <v>768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2177</v>
      </c>
      <c r="C889" s="4" t="s">
        <v>2178</v>
      </c>
      <c r="D889" s="4" t="s">
        <v>84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2179</v>
      </c>
      <c r="C890" s="4" t="s">
        <v>2180</v>
      </c>
      <c r="D890" s="4" t="s">
        <v>1130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2181</v>
      </c>
      <c r="C891" s="4" t="s">
        <v>2182</v>
      </c>
      <c r="D891" s="4" t="s">
        <v>601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2183</v>
      </c>
      <c r="C892" s="4" t="s">
        <v>2184</v>
      </c>
      <c r="D892" s="4" t="s">
        <v>768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2185</v>
      </c>
      <c r="C893" s="4" t="s">
        <v>2186</v>
      </c>
      <c r="D893" s="4" t="s">
        <v>45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2187</v>
      </c>
      <c r="C894" s="4" t="s">
        <v>2188</v>
      </c>
      <c r="D894" s="4" t="s">
        <v>87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2189</v>
      </c>
      <c r="C895" s="4" t="s">
        <v>2190</v>
      </c>
      <c r="D895" s="4" t="s">
        <v>768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2191</v>
      </c>
      <c r="C896" s="4" t="s">
        <v>2192</v>
      </c>
      <c r="D896" s="4" t="s">
        <v>84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2193</v>
      </c>
      <c r="C897" s="4" t="s">
        <v>2194</v>
      </c>
      <c r="D897" s="4" t="s">
        <v>1125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2195</v>
      </c>
      <c r="C898" s="4" t="s">
        <v>2196</v>
      </c>
      <c r="D898" s="4" t="s">
        <v>1130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2197</v>
      </c>
      <c r="C899" s="4" t="s">
        <v>2198</v>
      </c>
      <c r="D899" s="4" t="s">
        <v>768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2199</v>
      </c>
      <c r="C900" s="4" t="s">
        <v>2200</v>
      </c>
      <c r="D900" s="4" t="s">
        <v>2575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2201</v>
      </c>
      <c r="C901" s="4" t="s">
        <v>2202</v>
      </c>
      <c r="D901" s="4" t="s">
        <v>45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2203</v>
      </c>
      <c r="C902" s="4" t="s">
        <v>2204</v>
      </c>
      <c r="D902" s="4" t="s">
        <v>536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2205</v>
      </c>
      <c r="C903" s="4" t="s">
        <v>2206</v>
      </c>
      <c r="D903" s="4" t="s">
        <v>768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ref="A904:A967" si="20">+A903+1</f>
        <v>901</v>
      </c>
      <c r="B904" s="4" t="s">
        <v>2207</v>
      </c>
      <c r="C904" s="4" t="s">
        <v>2208</v>
      </c>
      <c r="D904" s="4" t="s">
        <v>45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20"/>
        <v>902</v>
      </c>
      <c r="B905" s="4" t="s">
        <v>2209</v>
      </c>
      <c r="C905" s="4" t="s">
        <v>2210</v>
      </c>
      <c r="D905" s="4" t="s">
        <v>1125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si="20"/>
        <v>903</v>
      </c>
      <c r="B906" s="4" t="s">
        <v>2211</v>
      </c>
      <c r="C906" s="4" t="s">
        <v>2212</v>
      </c>
      <c r="D906" s="4" t="s">
        <v>45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2213</v>
      </c>
      <c r="C907" s="4" t="s">
        <v>2214</v>
      </c>
      <c r="D907" s="4" t="s">
        <v>128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2215</v>
      </c>
      <c r="C908" s="4" t="s">
        <v>2216</v>
      </c>
      <c r="D908" s="4" t="s">
        <v>1130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2217</v>
      </c>
      <c r="C909" s="4" t="s">
        <v>2218</v>
      </c>
      <c r="D909" s="4" t="s">
        <v>47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2219</v>
      </c>
      <c r="C910" s="4" t="s">
        <v>2220</v>
      </c>
      <c r="D910" s="4" t="s">
        <v>508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2221</v>
      </c>
      <c r="C911" s="4" t="s">
        <v>2222</v>
      </c>
      <c r="D911" s="4" t="s">
        <v>1130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2223</v>
      </c>
      <c r="C912" s="4" t="s">
        <v>2224</v>
      </c>
      <c r="D912" s="4" t="s">
        <v>536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2225</v>
      </c>
      <c r="C913" s="4" t="s">
        <v>2226</v>
      </c>
      <c r="D913" s="4" t="s">
        <v>45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2227</v>
      </c>
      <c r="C914" s="4" t="s">
        <v>2228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2229</v>
      </c>
      <c r="C915" s="4" t="s">
        <v>2230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2231</v>
      </c>
      <c r="C916" s="4" t="s">
        <v>2232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2233</v>
      </c>
      <c r="C917" s="4" t="s">
        <v>2234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2235</v>
      </c>
      <c r="C918" s="4" t="s">
        <v>2236</v>
      </c>
      <c r="D918" s="4" t="s">
        <v>2574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2237</v>
      </c>
      <c r="C919" s="4" t="s">
        <v>2238</v>
      </c>
      <c r="D919" s="4" t="s">
        <v>45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2239</v>
      </c>
      <c r="C920" s="4" t="s">
        <v>2240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2241</v>
      </c>
      <c r="C921" s="4" t="s">
        <v>2242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2243</v>
      </c>
      <c r="C922" s="4" t="s">
        <v>2244</v>
      </c>
      <c r="D922" s="4" t="s">
        <v>1129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2245</v>
      </c>
      <c r="C923" s="4" t="s">
        <v>2246</v>
      </c>
      <c r="D923" s="4" t="s">
        <v>1125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2247</v>
      </c>
      <c r="C924" s="4" t="s">
        <v>2248</v>
      </c>
      <c r="D924" s="4" t="s">
        <v>508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2249</v>
      </c>
      <c r="C925" s="4" t="s">
        <v>2250</v>
      </c>
      <c r="D925" s="4" t="s">
        <v>1129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2251</v>
      </c>
      <c r="C926" s="4" t="s">
        <v>2252</v>
      </c>
      <c r="D926" s="4" t="s">
        <v>45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2253</v>
      </c>
      <c r="C927" s="4" t="s">
        <v>2254</v>
      </c>
      <c r="D927" s="4" t="s">
        <v>84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2255</v>
      </c>
      <c r="C928" s="4" t="s">
        <v>2256</v>
      </c>
      <c r="D928" s="4" t="s">
        <v>2572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2257</v>
      </c>
      <c r="C929" s="4" t="s">
        <v>2258</v>
      </c>
      <c r="D929" s="4" t="s">
        <v>508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2259</v>
      </c>
      <c r="C930" s="4" t="s">
        <v>2260</v>
      </c>
      <c r="D930" s="4" t="s">
        <v>45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2261</v>
      </c>
      <c r="C931" s="4" t="s">
        <v>2262</v>
      </c>
      <c r="D931" s="4" t="s">
        <v>84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2263</v>
      </c>
      <c r="C932" s="4" t="s">
        <v>2264</v>
      </c>
      <c r="D932" s="4" t="s">
        <v>128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2265</v>
      </c>
      <c r="C933" s="4" t="s">
        <v>2266</v>
      </c>
      <c r="D933" s="4" t="s">
        <v>2574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2267</v>
      </c>
      <c r="C934" s="4" t="s">
        <v>2268</v>
      </c>
      <c r="D934" s="4" t="s">
        <v>45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2269</v>
      </c>
      <c r="C935" s="4" t="s">
        <v>2270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1073</v>
      </c>
      <c r="C936" s="4" t="s">
        <v>1074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2271</v>
      </c>
      <c r="C937" s="4" t="s">
        <v>2272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2273</v>
      </c>
      <c r="C938" s="4" t="s">
        <v>2274</v>
      </c>
      <c r="D938" s="4" t="s">
        <v>768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2275</v>
      </c>
      <c r="C939" s="4" t="s">
        <v>2276</v>
      </c>
      <c r="D939" s="4" t="s">
        <v>45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2277</v>
      </c>
      <c r="C940" s="4" t="s">
        <v>2278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2279</v>
      </c>
      <c r="C941" s="4" t="s">
        <v>2280</v>
      </c>
      <c r="D941" s="4" t="s">
        <v>1130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2281</v>
      </c>
      <c r="C942" s="4" t="s">
        <v>2282</v>
      </c>
      <c r="D942" s="4" t="s">
        <v>45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2283</v>
      </c>
      <c r="C943" s="4" t="s">
        <v>2284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2285</v>
      </c>
      <c r="C944" s="4" t="s">
        <v>2286</v>
      </c>
      <c r="D944" s="4" t="s">
        <v>508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2287</v>
      </c>
      <c r="C945" s="4" t="s">
        <v>2288</v>
      </c>
      <c r="D945" s="4" t="s">
        <v>1124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2289</v>
      </c>
      <c r="C946" s="4" t="s">
        <v>2290</v>
      </c>
      <c r="D946" s="4" t="s">
        <v>1130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2291</v>
      </c>
      <c r="C947" s="4" t="s">
        <v>2292</v>
      </c>
      <c r="D947" s="4" t="s">
        <v>45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2293</v>
      </c>
      <c r="C948" s="4" t="s">
        <v>2294</v>
      </c>
      <c r="D948" s="4" t="s">
        <v>1129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2295</v>
      </c>
      <c r="C949" s="4" t="s">
        <v>2296</v>
      </c>
      <c r="D949" s="4" t="s">
        <v>1130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2297</v>
      </c>
      <c r="C950" s="4" t="s">
        <v>2298</v>
      </c>
      <c r="D950" s="4" t="s">
        <v>45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1077</v>
      </c>
      <c r="C951" s="4" t="s">
        <v>1078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2299</v>
      </c>
      <c r="C952" s="4" t="s">
        <v>2300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2301</v>
      </c>
      <c r="C953" s="4" t="s">
        <v>2302</v>
      </c>
      <c r="D953" s="4" t="s">
        <v>87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2303</v>
      </c>
      <c r="C954" s="4" t="s">
        <v>2304</v>
      </c>
      <c r="D954" s="4" t="s">
        <v>768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2305</v>
      </c>
      <c r="C955" s="4" t="s">
        <v>2306</v>
      </c>
      <c r="D955" s="4" t="s">
        <v>45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2307</v>
      </c>
      <c r="C956" s="4" t="s">
        <v>2308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2309</v>
      </c>
      <c r="C957" s="4" t="s">
        <v>2310</v>
      </c>
      <c r="D957" s="4" t="s">
        <v>1130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2311</v>
      </c>
      <c r="C958" s="4" t="s">
        <v>2312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2313</v>
      </c>
      <c r="C959" s="4" t="s">
        <v>2314</v>
      </c>
      <c r="D959" s="4" t="s">
        <v>45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2315</v>
      </c>
      <c r="C960" s="4" t="s">
        <v>2316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2317</v>
      </c>
      <c r="C961" s="4" t="s">
        <v>2318</v>
      </c>
      <c r="D961" s="4" t="s">
        <v>1126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1081</v>
      </c>
      <c r="C962" s="4" t="s">
        <v>1082</v>
      </c>
      <c r="D962" s="4" t="s">
        <v>508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1083</v>
      </c>
      <c r="C963" s="4" t="s">
        <v>1084</v>
      </c>
      <c r="D963" s="4" t="s">
        <v>45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2319</v>
      </c>
      <c r="C964" s="4" t="s">
        <v>2320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2321</v>
      </c>
      <c r="C965" s="4" t="s">
        <v>2322</v>
      </c>
      <c r="D965" s="4" t="s">
        <v>1130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2323</v>
      </c>
      <c r="C966" s="4" t="s">
        <v>2324</v>
      </c>
      <c r="D966" s="4" t="s">
        <v>128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2325</v>
      </c>
      <c r="C967" s="4" t="s">
        <v>2326</v>
      </c>
      <c r="D967" s="4" t="s">
        <v>45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ref="A968:A1031" si="21">+A967+1</f>
        <v>965</v>
      </c>
      <c r="B968" s="4" t="s">
        <v>2327</v>
      </c>
      <c r="C968" s="4" t="s">
        <v>2328</v>
      </c>
      <c r="D968" s="4" t="s">
        <v>2573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1"/>
        <v>966</v>
      </c>
      <c r="B969" s="4" t="s">
        <v>2329</v>
      </c>
      <c r="C969" s="4" t="s">
        <v>2330</v>
      </c>
      <c r="D969" s="4" t="s">
        <v>45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si="21"/>
        <v>967</v>
      </c>
      <c r="B970" s="4" t="s">
        <v>2331</v>
      </c>
      <c r="C970" s="4" t="s">
        <v>2332</v>
      </c>
      <c r="D970" s="4" t="s">
        <v>87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2333</v>
      </c>
      <c r="C971" s="4" t="s">
        <v>2334</v>
      </c>
      <c r="D971" s="4" t="s">
        <v>2572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2335</v>
      </c>
      <c r="C972" s="4" t="s">
        <v>2336</v>
      </c>
      <c r="D972" s="4" t="s">
        <v>45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2337</v>
      </c>
      <c r="C973" s="4" t="s">
        <v>2338</v>
      </c>
      <c r="D973" s="4" t="s">
        <v>84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2339</v>
      </c>
      <c r="C974" s="4" t="s">
        <v>2340</v>
      </c>
      <c r="D974" s="4" t="s">
        <v>1125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2341</v>
      </c>
      <c r="C975" s="4" t="s">
        <v>2342</v>
      </c>
      <c r="D975" s="4" t="s">
        <v>45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2343</v>
      </c>
      <c r="C976" s="4" t="s">
        <v>2344</v>
      </c>
      <c r="D976" s="4" t="s">
        <v>1127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2345</v>
      </c>
      <c r="C977" s="4" t="s">
        <v>2346</v>
      </c>
      <c r="D977" s="4" t="s">
        <v>770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2347</v>
      </c>
      <c r="C978" s="4" t="s">
        <v>2348</v>
      </c>
      <c r="D978" s="4" t="s">
        <v>87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2349</v>
      </c>
      <c r="C979" s="4" t="s">
        <v>2349</v>
      </c>
      <c r="D979" s="4" t="s">
        <v>45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2350</v>
      </c>
      <c r="C980" s="4" t="s">
        <v>2351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2352</v>
      </c>
      <c r="C981" s="4" t="s">
        <v>2353</v>
      </c>
      <c r="D981" s="4" t="s">
        <v>1125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1091</v>
      </c>
      <c r="C982" s="4" t="s">
        <v>1092</v>
      </c>
      <c r="D982" s="4" t="s">
        <v>45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2354</v>
      </c>
      <c r="C983" s="4" t="s">
        <v>2355</v>
      </c>
      <c r="D983" s="4" t="s">
        <v>398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2356</v>
      </c>
      <c r="C984" s="4" t="s">
        <v>2357</v>
      </c>
      <c r="D984" s="4" t="s">
        <v>45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2358</v>
      </c>
      <c r="C985" s="4" t="s">
        <v>2359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2360</v>
      </c>
      <c r="C986" s="4" t="s">
        <v>2361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2362</v>
      </c>
      <c r="C987" s="4" t="s">
        <v>2363</v>
      </c>
      <c r="D987" s="4" t="s">
        <v>768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2364</v>
      </c>
      <c r="C988" s="4" t="s">
        <v>2365</v>
      </c>
      <c r="D988" s="4" t="s">
        <v>45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2366</v>
      </c>
      <c r="C989" s="4" t="s">
        <v>2367</v>
      </c>
      <c r="D989" s="4" t="s">
        <v>87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2368</v>
      </c>
      <c r="C990" s="4" t="s">
        <v>2369</v>
      </c>
      <c r="D990" s="4" t="s">
        <v>45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2370</v>
      </c>
      <c r="C991" s="4" t="s">
        <v>2371</v>
      </c>
      <c r="D991" s="4" t="s">
        <v>1123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2372</v>
      </c>
      <c r="C992" s="4" t="s">
        <v>2373</v>
      </c>
      <c r="D992" s="4" t="s">
        <v>1125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1097</v>
      </c>
      <c r="C993" s="4" t="s">
        <v>1098</v>
      </c>
      <c r="D993" s="4" t="s">
        <v>508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2374</v>
      </c>
      <c r="C994" s="4" t="s">
        <v>2375</v>
      </c>
      <c r="D994" s="4" t="s">
        <v>87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2376</v>
      </c>
      <c r="C995" s="4" t="s">
        <v>2377</v>
      </c>
      <c r="D995" s="4" t="s">
        <v>45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2378</v>
      </c>
      <c r="C996" s="4" t="s">
        <v>2379</v>
      </c>
      <c r="D996" s="4" t="s">
        <v>2571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2380</v>
      </c>
      <c r="C997" s="4" t="s">
        <v>2381</v>
      </c>
      <c r="D997" s="4" t="s">
        <v>128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2382</v>
      </c>
      <c r="C998" s="4" t="s">
        <v>2383</v>
      </c>
      <c r="D998" s="4" t="s">
        <v>768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2384</v>
      </c>
      <c r="C999" s="4" t="s">
        <v>2385</v>
      </c>
      <c r="D999" s="4" t="s">
        <v>45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2386</v>
      </c>
      <c r="C1000" s="4" t="s">
        <v>2387</v>
      </c>
      <c r="D1000" s="4" t="s">
        <v>1130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2388</v>
      </c>
      <c r="C1001" s="4" t="s">
        <v>2389</v>
      </c>
      <c r="D1001" s="4" t="s">
        <v>45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2390</v>
      </c>
      <c r="C1002" s="4" t="s">
        <v>2391</v>
      </c>
      <c r="D1002" s="4" t="s">
        <v>1130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2392</v>
      </c>
      <c r="C1003" s="4" t="s">
        <v>2393</v>
      </c>
      <c r="D1003" s="4" t="s">
        <v>768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2394</v>
      </c>
      <c r="C1004" s="4" t="s">
        <v>2395</v>
      </c>
      <c r="D1004" s="4" t="s">
        <v>87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2396</v>
      </c>
      <c r="C1005" s="4" t="s">
        <v>2397</v>
      </c>
      <c r="D1005" s="4" t="s">
        <v>45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2398</v>
      </c>
      <c r="C1006" s="4" t="s">
        <v>2399</v>
      </c>
      <c r="D1006" s="4" t="s">
        <v>84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2400</v>
      </c>
      <c r="C1007" s="4" t="s">
        <v>2401</v>
      </c>
      <c r="D1007" s="4" t="s">
        <v>1125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2402</v>
      </c>
      <c r="C1008" s="4" t="s">
        <v>2403</v>
      </c>
      <c r="D1008" s="4" t="s">
        <v>768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2404</v>
      </c>
      <c r="C1009" s="4" t="s">
        <v>2405</v>
      </c>
      <c r="D1009" s="4" t="s">
        <v>45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2406</v>
      </c>
      <c r="C1010" s="4" t="s">
        <v>2407</v>
      </c>
      <c r="D1010" s="4" t="s">
        <v>87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2408</v>
      </c>
      <c r="C1011" s="4" t="s">
        <v>2409</v>
      </c>
      <c r="D1011" s="4" t="s">
        <v>45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2410</v>
      </c>
      <c r="C1012" s="4" t="s">
        <v>2411</v>
      </c>
      <c r="D1012" s="4" t="s">
        <v>87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2412</v>
      </c>
      <c r="C1013" s="4" t="s">
        <v>2413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2414</v>
      </c>
      <c r="C1014" s="4" t="s">
        <v>2415</v>
      </c>
      <c r="D1014" s="4" t="s">
        <v>161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2416</v>
      </c>
      <c r="C1015" s="4" t="s">
        <v>2417</v>
      </c>
      <c r="D1015" s="4" t="s">
        <v>508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2418</v>
      </c>
      <c r="C1016" s="4" t="s">
        <v>2419</v>
      </c>
      <c r="D1016" s="4" t="s">
        <v>955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2420</v>
      </c>
      <c r="C1017" s="4" t="s">
        <v>2421</v>
      </c>
      <c r="D1017" s="4" t="s">
        <v>45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2422</v>
      </c>
      <c r="C1018" s="4" t="s">
        <v>2423</v>
      </c>
      <c r="D1018" s="4" t="s">
        <v>768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2424</v>
      </c>
      <c r="C1019" s="4" t="s">
        <v>2425</v>
      </c>
      <c r="D1019" s="4" t="s">
        <v>1125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2426</v>
      </c>
      <c r="C1020" s="4" t="s">
        <v>2427</v>
      </c>
      <c r="D1020" s="4" t="s">
        <v>87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2428</v>
      </c>
      <c r="C1021" s="4" t="s">
        <v>2429</v>
      </c>
      <c r="D1021" s="4" t="s">
        <v>45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2430</v>
      </c>
      <c r="C1022" s="4" t="s">
        <v>2431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2432</v>
      </c>
      <c r="C1023" s="4" t="s">
        <v>2433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2434</v>
      </c>
      <c r="C1024" s="4" t="s">
        <v>2435</v>
      </c>
      <c r="D1024" s="4" t="s">
        <v>768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2436</v>
      </c>
      <c r="C1025" s="4" t="s">
        <v>2437</v>
      </c>
      <c r="D1025" s="4" t="s">
        <v>87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2438</v>
      </c>
      <c r="C1026" s="4" t="s">
        <v>2439</v>
      </c>
      <c r="D1026" s="4" t="s">
        <v>1129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2440</v>
      </c>
      <c r="C1027" s="4" t="s">
        <v>2441</v>
      </c>
      <c r="D1027" s="4" t="s">
        <v>45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2442</v>
      </c>
      <c r="C1028" s="4" t="s">
        <v>2443</v>
      </c>
      <c r="D1028" s="4" t="s">
        <v>768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2444</v>
      </c>
      <c r="C1029" s="4" t="s">
        <v>2445</v>
      </c>
      <c r="D1029" s="4" t="s">
        <v>1125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2446</v>
      </c>
      <c r="C1030" s="4" t="s">
        <v>2447</v>
      </c>
      <c r="D1030" s="4" t="s">
        <v>1129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2448</v>
      </c>
      <c r="C1031" s="4" t="s">
        <v>2449</v>
      </c>
      <c r="D1031" s="4" t="s">
        <v>45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ref="A1032:A1095" si="22">+A1031+1</f>
        <v>1029</v>
      </c>
      <c r="B1032" s="4" t="s">
        <v>2450</v>
      </c>
      <c r="C1032" s="4" t="s">
        <v>2451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2"/>
        <v>1030</v>
      </c>
      <c r="B1033" s="4" t="s">
        <v>2452</v>
      </c>
      <c r="C1033" s="4" t="s">
        <v>2453</v>
      </c>
      <c r="D1033" s="4" t="s">
        <v>770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si="22"/>
        <v>1031</v>
      </c>
      <c r="B1034" s="4" t="s">
        <v>2454</v>
      </c>
      <c r="C1034" s="4" t="s">
        <v>2455</v>
      </c>
      <c r="D1034" s="4" t="s">
        <v>45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2456</v>
      </c>
      <c r="C1035" s="4" t="s">
        <v>2457</v>
      </c>
      <c r="D1035" s="4" t="s">
        <v>1123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2458</v>
      </c>
      <c r="C1036" s="4" t="s">
        <v>2459</v>
      </c>
      <c r="D1036" s="4" t="s">
        <v>45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2460</v>
      </c>
      <c r="C1037" s="4" t="s">
        <v>2461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2462</v>
      </c>
      <c r="C1038" s="4" t="s">
        <v>2463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2464</v>
      </c>
      <c r="C1039" s="4" t="s">
        <v>2465</v>
      </c>
      <c r="D1039" s="4" t="s">
        <v>1123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2466</v>
      </c>
      <c r="C1040" s="4" t="s">
        <v>2467</v>
      </c>
      <c r="D1040" s="4" t="s">
        <v>45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2468</v>
      </c>
      <c r="C1041" s="4" t="s">
        <v>2469</v>
      </c>
      <c r="D1041" s="4" t="s">
        <v>1130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2470</v>
      </c>
      <c r="C1042" s="4" t="s">
        <v>2471</v>
      </c>
      <c r="D1042" s="4" t="s">
        <v>161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2472</v>
      </c>
      <c r="C1043" s="4" t="s">
        <v>2473</v>
      </c>
      <c r="D1043" s="4" t="s">
        <v>45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2474</v>
      </c>
      <c r="C1044" s="4" t="s">
        <v>2475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2476</v>
      </c>
      <c r="C1045" s="4" t="s">
        <v>2477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1105</v>
      </c>
      <c r="C1046" s="4" t="s">
        <v>1106</v>
      </c>
      <c r="D1046" s="4" t="s">
        <v>768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1107</v>
      </c>
      <c r="C1047" s="4" t="s">
        <v>1108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2478</v>
      </c>
      <c r="C1048" s="4" t="s">
        <v>2479</v>
      </c>
      <c r="D1048" s="4" t="s">
        <v>45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2480</v>
      </c>
      <c r="C1049" s="4" t="s">
        <v>2481</v>
      </c>
      <c r="D1049" s="4" t="s">
        <v>1130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2482</v>
      </c>
      <c r="C1050" s="4" t="s">
        <v>2483</v>
      </c>
      <c r="D1050" s="4" t="s">
        <v>508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2484</v>
      </c>
      <c r="C1051" s="4" t="s">
        <v>2485</v>
      </c>
      <c r="D1051" s="4" t="s">
        <v>45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2486</v>
      </c>
      <c r="C1052" s="4" t="s">
        <v>2487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2488</v>
      </c>
      <c r="C1053" s="4" t="s">
        <v>2489</v>
      </c>
      <c r="D1053" s="4" t="s">
        <v>1125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2490</v>
      </c>
      <c r="C1054" s="4" t="s">
        <v>2491</v>
      </c>
      <c r="D1054" s="4" t="s">
        <v>45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2492</v>
      </c>
      <c r="C1055" s="4" t="s">
        <v>2493</v>
      </c>
      <c r="D1055" s="4" t="s">
        <v>87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2494</v>
      </c>
      <c r="C1056" s="4" t="s">
        <v>2495</v>
      </c>
      <c r="D1056" s="4" t="s">
        <v>45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2496</v>
      </c>
      <c r="C1057" s="4" t="s">
        <v>2497</v>
      </c>
      <c r="D1057" s="4" t="s">
        <v>768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2498</v>
      </c>
      <c r="C1058" s="4" t="s">
        <v>2499</v>
      </c>
      <c r="D1058" s="4" t="s">
        <v>45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2500</v>
      </c>
      <c r="C1059" s="4" t="s">
        <v>2501</v>
      </c>
      <c r="D1059" s="4" t="s">
        <v>1129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2502</v>
      </c>
      <c r="C1060" s="4" t="s">
        <v>2502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1109</v>
      </c>
      <c r="C1061" s="4" t="s">
        <v>1110</v>
      </c>
      <c r="D1061" s="4" t="s">
        <v>45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1111</v>
      </c>
      <c r="C1062" s="4" t="s">
        <v>1112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2503</v>
      </c>
      <c r="C1063" s="4" t="s">
        <v>2504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2505</v>
      </c>
      <c r="C1064" s="4" t="s">
        <v>2506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2507</v>
      </c>
      <c r="C1065" s="4" t="s">
        <v>2508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2509</v>
      </c>
      <c r="C1066" s="4" t="s">
        <v>2510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2511</v>
      </c>
      <c r="C1067" s="4" t="s">
        <v>2512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2513</v>
      </c>
      <c r="C1068" s="4" t="s">
        <v>2514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2515</v>
      </c>
      <c r="C1069" s="4" t="s">
        <v>2516</v>
      </c>
      <c r="D1069" s="4" t="s">
        <v>84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1113</v>
      </c>
      <c r="C1070" s="4" t="s">
        <v>1114</v>
      </c>
      <c r="D1070" s="4" t="s">
        <v>1131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2517</v>
      </c>
      <c r="C1071" s="4" t="s">
        <v>2518</v>
      </c>
      <c r="D1071" s="4" t="s">
        <v>45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2519</v>
      </c>
      <c r="C1072" s="4" t="s">
        <v>2520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2521</v>
      </c>
      <c r="C1073" s="4" t="s">
        <v>2522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2523</v>
      </c>
      <c r="C1074" s="4" t="s">
        <v>2524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2525</v>
      </c>
      <c r="C1075" s="4" t="s">
        <v>2526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2527</v>
      </c>
      <c r="C1076" s="4" t="s">
        <v>2528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2529</v>
      </c>
      <c r="C1077" s="4" t="s">
        <v>2530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2531</v>
      </c>
      <c r="C1078" s="4" t="s">
        <v>2532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2533</v>
      </c>
      <c r="C1079" s="4" t="s">
        <v>2534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2535</v>
      </c>
      <c r="C1080" s="4" t="s">
        <v>2536</v>
      </c>
      <c r="D1080" s="4" t="s">
        <v>1125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2537</v>
      </c>
      <c r="C1081" s="4" t="s">
        <v>2538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2539</v>
      </c>
      <c r="C1082" s="4" t="s">
        <v>2540</v>
      </c>
      <c r="D1082" s="4" t="s">
        <v>45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2541</v>
      </c>
      <c r="C1083" s="4" t="s">
        <v>2542</v>
      </c>
      <c r="D1083" s="4" t="s">
        <v>1131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2543</v>
      </c>
      <c r="C1084" s="4" t="s">
        <v>2544</v>
      </c>
      <c r="D1084" s="4" t="s">
        <v>45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2545</v>
      </c>
      <c r="C1085" s="4" t="s">
        <v>2546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2547</v>
      </c>
      <c r="C1086" s="4" t="s">
        <v>2548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2549</v>
      </c>
      <c r="C1087" s="4" t="s">
        <v>2550</v>
      </c>
      <c r="D1087" s="4" t="s">
        <v>768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2551</v>
      </c>
      <c r="C1088" s="4" t="s">
        <v>2552</v>
      </c>
      <c r="D1088" s="4" t="s">
        <v>45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2553</v>
      </c>
      <c r="C1089" s="4" t="s">
        <v>2554</v>
      </c>
      <c r="D1089" s="4" t="s">
        <v>84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2555</v>
      </c>
      <c r="C1090" s="4" t="s">
        <v>2556</v>
      </c>
      <c r="D1090" s="4" t="s">
        <v>45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2557</v>
      </c>
      <c r="C1091" s="4" t="s">
        <v>2558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2559</v>
      </c>
      <c r="C1092" s="4" t="s">
        <v>2560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2561</v>
      </c>
      <c r="C1093" s="4" t="s">
        <v>2562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2563</v>
      </c>
      <c r="C1094" s="4" t="s">
        <v>2564</v>
      </c>
      <c r="D1094" s="4" t="s">
        <v>161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2565</v>
      </c>
      <c r="C1095" s="4" t="s">
        <v>2566</v>
      </c>
      <c r="D1095" s="4" t="s">
        <v>45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ref="A1096:A1102" si="23">+A1095+1</f>
        <v>1093</v>
      </c>
      <c r="B1096" s="4" t="s">
        <v>2567</v>
      </c>
      <c r="C1096" s="4" t="s">
        <v>2568</v>
      </c>
      <c r="D1096" s="4" t="s">
        <v>46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3"/>
        <v>1094</v>
      </c>
      <c r="B1097" s="4" t="s">
        <v>1121</v>
      </c>
      <c r="C1097" s="4" t="s">
        <v>1122</v>
      </c>
      <c r="D1097" s="4" t="s">
        <v>45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si="23"/>
        <v>1095</v>
      </c>
      <c r="B1098" s="13" t="s">
        <v>2593</v>
      </c>
      <c r="C1098" s="4" t="s">
        <v>2594</v>
      </c>
      <c r="D1098" s="4" t="s">
        <v>45</v>
      </c>
      <c r="E1098" s="4">
        <f>+[81]Main!$I$2</f>
        <v>141.35</v>
      </c>
      <c r="F1098" s="14">
        <f>+[81]Main!$I$4</f>
        <v>69059.707043799994</v>
      </c>
      <c r="G1098" s="14">
        <f>+[81]Main!$I$6-[81]Main!$I$5</f>
        <v>9898.6180000000004</v>
      </c>
      <c r="H1098" s="14">
        <f>+F1098+G1098</f>
        <v>78958.325043799996</v>
      </c>
      <c r="I1098" s="35" t="s">
        <v>2583</v>
      </c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2705</v>
      </c>
      <c r="C1099" s="4" t="s">
        <v>2706</v>
      </c>
      <c r="D1099" s="4" t="s">
        <v>45</v>
      </c>
      <c r="E1099" s="4"/>
      <c r="F1099" s="14"/>
      <c r="G1099" s="14"/>
      <c r="H1099" s="14"/>
      <c r="I1099" s="5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1503</v>
      </c>
      <c r="C1100" s="4" t="s">
        <v>1504</v>
      </c>
      <c r="D1100" s="4" t="s">
        <v>45</v>
      </c>
      <c r="E1100" s="4">
        <f>+[82]Main!$I$2</f>
        <v>11.3</v>
      </c>
      <c r="F1100" s="14">
        <f>+[82]Main!$I$4</f>
        <v>1849.81</v>
      </c>
      <c r="G1100" s="14">
        <f>+[82]Main!$I$6-[82]Main!$I$5</f>
        <v>-775.1</v>
      </c>
      <c r="H1100" s="14">
        <f>+F1100+G1100</f>
        <v>1074.71</v>
      </c>
      <c r="I1100" s="34" t="s">
        <v>2583</v>
      </c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3149</v>
      </c>
      <c r="C1101" s="39" t="s">
        <v>3148</v>
      </c>
      <c r="D1101" s="39" t="s">
        <v>768</v>
      </c>
      <c r="E1101" s="4">
        <f>+[83]Main!$I$2</f>
        <v>209</v>
      </c>
      <c r="F1101" s="14">
        <f>+[83]Main!$I$5*FX!C3</f>
        <v>11115.748496252399</v>
      </c>
      <c r="G1101" s="14">
        <f>+([83]Main!$I$7-[83]Main!$I$6)*FX!C3</f>
        <v>-1206.6192600000004</v>
      </c>
      <c r="H1101" s="14">
        <f>+F1101+G1101</f>
        <v>9909.1292362524</v>
      </c>
      <c r="I1101" s="40" t="s">
        <v>2708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810</v>
      </c>
      <c r="C1102" s="50" t="s">
        <v>3153</v>
      </c>
      <c r="D1102" s="50" t="s">
        <v>45</v>
      </c>
      <c r="E1102" s="4"/>
      <c r="F1102" s="14"/>
      <c r="G1102" s="14"/>
      <c r="H1102" s="14"/>
      <c r="I1102" s="5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4"/>
      <c r="B1103" s="4"/>
      <c r="C1103" s="4"/>
      <c r="D1103" s="4"/>
      <c r="E1103" s="4"/>
      <c r="F1103" s="14"/>
      <c r="G1103" s="14"/>
      <c r="H1103" s="14"/>
      <c r="I1103" s="5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4"/>
      <c r="B1104" s="4"/>
      <c r="C1104" s="4"/>
      <c r="D1104" s="4"/>
      <c r="E1104" s="4"/>
      <c r="F1104" s="14"/>
      <c r="G1104" s="14"/>
      <c r="H1104" s="14"/>
      <c r="I1104" s="5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4"/>
      <c r="B1105" s="4"/>
      <c r="C1105" s="4"/>
      <c r="D1105" s="4"/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4"/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4"/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4"/>
      <c r="G1233" s="4"/>
      <c r="H1233" s="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  <hyperlink ref="B1102" r:id="rId87" xr:uid="{08DFB937-4A07-43A5-8FDF-1CAC363B74F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abSelected="1" topLeftCell="A415" zoomScale="200" zoomScaleNormal="200" workbookViewId="0">
      <selection activeCell="B428" sqref="B428"/>
    </sheetView>
  </sheetViews>
  <sheetFormatPr defaultRowHeight="12.75" x14ac:dyDescent="0.2"/>
  <cols>
    <col min="1" max="1" width="5" style="59" bestFit="1" customWidth="1"/>
    <col min="2" max="2" width="21.5703125" style="59" customWidth="1"/>
    <col min="3" max="16384" width="9.140625" style="59"/>
  </cols>
  <sheetData>
    <row r="1" spans="1:15" x14ac:dyDescent="0.2">
      <c r="A1" s="58" t="s">
        <v>958</v>
      </c>
    </row>
    <row r="2" spans="1:15" x14ac:dyDescent="0.2">
      <c r="A2" s="59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3154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60">
        <v>1</v>
      </c>
      <c r="B4" s="61" t="s">
        <v>6</v>
      </c>
      <c r="C4" s="62" t="s">
        <v>31</v>
      </c>
    </row>
    <row r="5" spans="1:15" x14ac:dyDescent="0.2">
      <c r="A5" s="60">
        <f>1+A4</f>
        <v>2</v>
      </c>
      <c r="B5" s="61" t="s">
        <v>8</v>
      </c>
      <c r="C5" s="62" t="s">
        <v>428</v>
      </c>
    </row>
    <row r="6" spans="1:15" x14ac:dyDescent="0.2">
      <c r="A6" s="60">
        <f t="shared" ref="A6:A57" si="0">1+A5</f>
        <v>3</v>
      </c>
      <c r="B6" s="61" t="s">
        <v>2608</v>
      </c>
      <c r="C6" s="62" t="s">
        <v>34</v>
      </c>
    </row>
    <row r="7" spans="1:15" x14ac:dyDescent="0.2">
      <c r="A7" s="60">
        <f t="shared" si="0"/>
        <v>4</v>
      </c>
      <c r="B7" s="61" t="s">
        <v>3163</v>
      </c>
      <c r="C7" s="62" t="s">
        <v>811</v>
      </c>
    </row>
    <row r="8" spans="1:15" x14ac:dyDescent="0.2">
      <c r="A8" s="60">
        <f t="shared" si="0"/>
        <v>5</v>
      </c>
      <c r="B8" s="61" t="s">
        <v>11</v>
      </c>
      <c r="C8" s="62" t="s">
        <v>37</v>
      </c>
    </row>
    <row r="9" spans="1:15" x14ac:dyDescent="0.2">
      <c r="A9" s="60">
        <f t="shared" si="0"/>
        <v>6</v>
      </c>
      <c r="B9" s="61" t="s">
        <v>14</v>
      </c>
      <c r="C9" s="62" t="s">
        <v>36</v>
      </c>
    </row>
    <row r="10" spans="1:15" x14ac:dyDescent="0.2">
      <c r="A10" s="60">
        <f t="shared" si="0"/>
        <v>7</v>
      </c>
      <c r="B10" s="61" t="s">
        <v>115</v>
      </c>
      <c r="C10" s="62" t="s">
        <v>116</v>
      </c>
    </row>
    <row r="11" spans="1:15" x14ac:dyDescent="0.2">
      <c r="A11" s="60">
        <f t="shared" si="0"/>
        <v>8</v>
      </c>
      <c r="B11" s="61" t="s">
        <v>202</v>
      </c>
      <c r="C11" s="62" t="s">
        <v>203</v>
      </c>
    </row>
    <row r="12" spans="1:15" x14ac:dyDescent="0.2">
      <c r="A12" s="60">
        <f t="shared" si="0"/>
        <v>9</v>
      </c>
      <c r="B12" s="59" t="s">
        <v>15</v>
      </c>
      <c r="C12" s="60" t="s">
        <v>57</v>
      </c>
    </row>
    <row r="13" spans="1:15" x14ac:dyDescent="0.2">
      <c r="A13" s="60">
        <f t="shared" si="0"/>
        <v>10</v>
      </c>
      <c r="B13" s="59" t="s">
        <v>25</v>
      </c>
      <c r="C13" s="59" t="s">
        <v>25</v>
      </c>
    </row>
    <row r="14" spans="1:15" x14ac:dyDescent="0.2">
      <c r="A14" s="60">
        <f t="shared" si="0"/>
        <v>11</v>
      </c>
      <c r="B14" s="59" t="s">
        <v>3529</v>
      </c>
      <c r="C14" s="59" t="s">
        <v>3530</v>
      </c>
      <c r="D14" s="59" t="s">
        <v>768</v>
      </c>
    </row>
    <row r="15" spans="1:15" x14ac:dyDescent="0.2">
      <c r="A15" s="60">
        <f t="shared" si="0"/>
        <v>12</v>
      </c>
      <c r="B15" s="59" t="s">
        <v>18</v>
      </c>
      <c r="C15" s="59" t="s">
        <v>3531</v>
      </c>
    </row>
    <row r="16" spans="1:15" x14ac:dyDescent="0.2">
      <c r="A16" s="60">
        <f t="shared" si="0"/>
        <v>13</v>
      </c>
      <c r="B16" s="59" t="s">
        <v>3532</v>
      </c>
      <c r="C16" s="59" t="s">
        <v>2594</v>
      </c>
    </row>
    <row r="17" spans="1:4" x14ac:dyDescent="0.2">
      <c r="A17" s="60">
        <f t="shared" si="0"/>
        <v>14</v>
      </c>
      <c r="B17" s="59" t="s">
        <v>810</v>
      </c>
      <c r="C17" s="59" t="s">
        <v>3533</v>
      </c>
    </row>
    <row r="18" spans="1:4" x14ac:dyDescent="0.2">
      <c r="A18" s="60">
        <f t="shared" si="0"/>
        <v>15</v>
      </c>
      <c r="B18" s="59" t="s">
        <v>3534</v>
      </c>
      <c r="C18" s="59" t="s">
        <v>3535</v>
      </c>
    </row>
    <row r="19" spans="1:4" x14ac:dyDescent="0.2">
      <c r="A19" s="60">
        <f t="shared" si="0"/>
        <v>16</v>
      </c>
      <c r="B19" s="59" t="s">
        <v>340</v>
      </c>
      <c r="C19" s="59" t="s">
        <v>341</v>
      </c>
    </row>
    <row r="20" spans="1:4" x14ac:dyDescent="0.2">
      <c r="A20" s="60">
        <f t="shared" si="0"/>
        <v>17</v>
      </c>
      <c r="B20" s="59" t="s">
        <v>3536</v>
      </c>
      <c r="C20" s="59" t="s">
        <v>807</v>
      </c>
      <c r="D20" s="59" t="s">
        <v>3537</v>
      </c>
    </row>
    <row r="21" spans="1:4" x14ac:dyDescent="0.2">
      <c r="A21" s="60">
        <f t="shared" si="0"/>
        <v>18</v>
      </c>
      <c r="B21" s="59" t="s">
        <v>543</v>
      </c>
      <c r="C21" s="59" t="s">
        <v>544</v>
      </c>
    </row>
    <row r="22" spans="1:4" x14ac:dyDescent="0.2">
      <c r="A22" s="60">
        <f t="shared" si="0"/>
        <v>19</v>
      </c>
      <c r="B22" s="59" t="s">
        <v>873</v>
      </c>
      <c r="C22" s="59" t="s">
        <v>3546</v>
      </c>
      <c r="D22" s="59" t="s">
        <v>46</v>
      </c>
    </row>
    <row r="23" spans="1:4" x14ac:dyDescent="0.2">
      <c r="A23" s="60">
        <f t="shared" si="0"/>
        <v>20</v>
      </c>
      <c r="B23" s="59" t="s">
        <v>575</v>
      </c>
      <c r="C23" s="59" t="s">
        <v>576</v>
      </c>
    </row>
    <row r="24" spans="1:4" x14ac:dyDescent="0.2">
      <c r="A24" s="60">
        <f t="shared" si="0"/>
        <v>21</v>
      </c>
      <c r="B24" s="59" t="s">
        <v>3538</v>
      </c>
      <c r="C24" s="59" t="s">
        <v>656</v>
      </c>
      <c r="D24" s="59" t="s">
        <v>3539</v>
      </c>
    </row>
    <row r="25" spans="1:4" x14ac:dyDescent="0.2">
      <c r="A25" s="60">
        <f t="shared" si="0"/>
        <v>22</v>
      </c>
      <c r="B25" s="59" t="s">
        <v>3540</v>
      </c>
      <c r="C25" s="59" t="s">
        <v>872</v>
      </c>
    </row>
    <row r="26" spans="1:4" x14ac:dyDescent="0.2">
      <c r="A26" s="60">
        <f t="shared" si="0"/>
        <v>23</v>
      </c>
      <c r="B26" s="59" t="s">
        <v>683</v>
      </c>
      <c r="C26" s="59" t="s">
        <v>684</v>
      </c>
    </row>
    <row r="27" spans="1:4" x14ac:dyDescent="0.2">
      <c r="A27" s="60">
        <f t="shared" si="0"/>
        <v>24</v>
      </c>
      <c r="B27" s="59" t="s">
        <v>13</v>
      </c>
    </row>
    <row r="28" spans="1:4" x14ac:dyDescent="0.2">
      <c r="A28" s="60">
        <f t="shared" si="0"/>
        <v>25</v>
      </c>
      <c r="B28" s="59" t="s">
        <v>16</v>
      </c>
    </row>
    <row r="29" spans="1:4" x14ac:dyDescent="0.2">
      <c r="A29" s="60">
        <f t="shared" si="0"/>
        <v>26</v>
      </c>
      <c r="B29" s="59" t="s">
        <v>776</v>
      </c>
    </row>
    <row r="30" spans="1:4" x14ac:dyDescent="0.2">
      <c r="A30" s="60">
        <f t="shared" si="0"/>
        <v>27</v>
      </c>
      <c r="B30" s="59" t="s">
        <v>111</v>
      </c>
    </row>
    <row r="31" spans="1:4" x14ac:dyDescent="0.2">
      <c r="A31" s="60">
        <f t="shared" si="0"/>
        <v>28</v>
      </c>
      <c r="B31" s="59" t="s">
        <v>64</v>
      </c>
    </row>
    <row r="32" spans="1:4" x14ac:dyDescent="0.2">
      <c r="A32" s="60">
        <f t="shared" si="0"/>
        <v>29</v>
      </c>
      <c r="B32" s="59" t="s">
        <v>3541</v>
      </c>
    </row>
    <row r="33" spans="1:3" x14ac:dyDescent="0.2">
      <c r="A33" s="60">
        <f t="shared" si="0"/>
        <v>30</v>
      </c>
      <c r="B33" s="59" t="s">
        <v>27</v>
      </c>
    </row>
    <row r="34" spans="1:3" x14ac:dyDescent="0.2">
      <c r="A34" s="60">
        <f t="shared" si="0"/>
        <v>31</v>
      </c>
      <c r="B34" s="59" t="s">
        <v>22</v>
      </c>
    </row>
    <row r="35" spans="1:3" x14ac:dyDescent="0.2">
      <c r="A35" s="60">
        <f t="shared" si="0"/>
        <v>32</v>
      </c>
      <c r="B35" s="59" t="s">
        <v>772</v>
      </c>
    </row>
    <row r="36" spans="1:3" x14ac:dyDescent="0.2">
      <c r="A36" s="60">
        <f t="shared" si="0"/>
        <v>33</v>
      </c>
      <c r="B36" s="59" t="s">
        <v>3542</v>
      </c>
    </row>
    <row r="37" spans="1:3" x14ac:dyDescent="0.2">
      <c r="A37" s="60">
        <f t="shared" si="0"/>
        <v>34</v>
      </c>
      <c r="B37" s="59" t="s">
        <v>959</v>
      </c>
    </row>
    <row r="38" spans="1:3" x14ac:dyDescent="0.2">
      <c r="A38" s="60">
        <f t="shared" si="0"/>
        <v>35</v>
      </c>
      <c r="B38" s="59" t="s">
        <v>3543</v>
      </c>
    </row>
    <row r="39" spans="1:3" x14ac:dyDescent="0.2">
      <c r="A39" s="60">
        <f t="shared" si="0"/>
        <v>36</v>
      </c>
      <c r="B39" s="59" t="s">
        <v>61</v>
      </c>
    </row>
    <row r="40" spans="1:3" x14ac:dyDescent="0.2">
      <c r="A40" s="60">
        <f t="shared" si="0"/>
        <v>37</v>
      </c>
      <c r="B40" s="59" t="s">
        <v>130</v>
      </c>
    </row>
    <row r="41" spans="1:3" x14ac:dyDescent="0.2">
      <c r="A41" s="60">
        <f t="shared" si="0"/>
        <v>38</v>
      </c>
      <c r="B41" s="59" t="s">
        <v>10</v>
      </c>
    </row>
    <row r="42" spans="1:3" x14ac:dyDescent="0.2">
      <c r="A42" s="60">
        <f t="shared" si="0"/>
        <v>39</v>
      </c>
      <c r="B42" s="61" t="s">
        <v>3166</v>
      </c>
      <c r="C42" s="62" t="s">
        <v>3167</v>
      </c>
    </row>
    <row r="43" spans="1:3" x14ac:dyDescent="0.2">
      <c r="A43" s="60">
        <f t="shared" si="0"/>
        <v>40</v>
      </c>
      <c r="B43" s="61" t="s">
        <v>3168</v>
      </c>
      <c r="C43" s="62" t="s">
        <v>499</v>
      </c>
    </row>
    <row r="44" spans="1:3" x14ac:dyDescent="0.2">
      <c r="A44" s="60">
        <f t="shared" si="0"/>
        <v>41</v>
      </c>
      <c r="B44" s="61" t="s">
        <v>3169</v>
      </c>
      <c r="C44" s="62" t="s">
        <v>3170</v>
      </c>
    </row>
    <row r="45" spans="1:3" x14ac:dyDescent="0.2">
      <c r="A45" s="60">
        <f t="shared" si="0"/>
        <v>42</v>
      </c>
      <c r="B45" s="61" t="s">
        <v>113</v>
      </c>
      <c r="C45" s="62"/>
    </row>
    <row r="46" spans="1:3" x14ac:dyDescent="0.2">
      <c r="A46" s="60">
        <f t="shared" si="0"/>
        <v>43</v>
      </c>
      <c r="B46" s="61" t="s">
        <v>819</v>
      </c>
      <c r="C46" s="62"/>
    </row>
    <row r="47" spans="1:3" x14ac:dyDescent="0.2">
      <c r="A47" s="60">
        <f t="shared" si="0"/>
        <v>44</v>
      </c>
      <c r="B47" s="61" t="s">
        <v>3547</v>
      </c>
      <c r="C47" s="62"/>
    </row>
    <row r="48" spans="1:3" x14ac:dyDescent="0.2">
      <c r="A48" s="60">
        <f t="shared" si="0"/>
        <v>45</v>
      </c>
      <c r="B48" s="61" t="s">
        <v>3548</v>
      </c>
      <c r="C48" s="62"/>
    </row>
    <row r="49" spans="1:3" x14ac:dyDescent="0.2">
      <c r="A49" s="60">
        <f t="shared" si="0"/>
        <v>46</v>
      </c>
      <c r="B49" s="61" t="s">
        <v>2705</v>
      </c>
      <c r="C49" s="62"/>
    </row>
    <row r="50" spans="1:3" x14ac:dyDescent="0.2">
      <c r="A50" s="60">
        <f t="shared" si="0"/>
        <v>47</v>
      </c>
      <c r="B50" s="61" t="s">
        <v>3549</v>
      </c>
      <c r="C50" s="62"/>
    </row>
    <row r="51" spans="1:3" x14ac:dyDescent="0.2">
      <c r="A51" s="60">
        <f t="shared" si="0"/>
        <v>48</v>
      </c>
      <c r="B51" s="61" t="s">
        <v>1216</v>
      </c>
      <c r="C51" s="62"/>
    </row>
    <row r="52" spans="1:3" x14ac:dyDescent="0.2">
      <c r="A52" s="60">
        <f t="shared" si="0"/>
        <v>49</v>
      </c>
      <c r="B52" s="61" t="s">
        <v>1463</v>
      </c>
      <c r="C52" s="62"/>
    </row>
    <row r="53" spans="1:3" x14ac:dyDescent="0.2">
      <c r="A53" s="60">
        <f t="shared" si="0"/>
        <v>50</v>
      </c>
      <c r="B53" s="61" t="s">
        <v>3550</v>
      </c>
      <c r="C53" s="62"/>
    </row>
    <row r="54" spans="1:3" x14ac:dyDescent="0.2">
      <c r="A54" s="60">
        <f t="shared" si="0"/>
        <v>51</v>
      </c>
      <c r="B54" s="61" t="s">
        <v>465</v>
      </c>
      <c r="C54" s="62"/>
    </row>
    <row r="55" spans="1:3" x14ac:dyDescent="0.2">
      <c r="A55" s="60">
        <f t="shared" si="0"/>
        <v>52</v>
      </c>
      <c r="B55" s="61" t="s">
        <v>3551</v>
      </c>
      <c r="C55" s="62"/>
    </row>
    <row r="56" spans="1:3" x14ac:dyDescent="0.2">
      <c r="A56" s="60">
        <f t="shared" si="0"/>
        <v>53</v>
      </c>
      <c r="B56" s="61" t="s">
        <v>135</v>
      </c>
      <c r="C56" s="62"/>
    </row>
    <row r="57" spans="1:3" x14ac:dyDescent="0.2">
      <c r="A57" s="60">
        <f t="shared" si="0"/>
        <v>54</v>
      </c>
      <c r="B57" s="59" t="s">
        <v>268</v>
      </c>
    </row>
    <row r="59" spans="1:3" x14ac:dyDescent="0.2">
      <c r="A59" s="60">
        <v>1</v>
      </c>
      <c r="B59" s="16" t="s">
        <v>808</v>
      </c>
    </row>
    <row r="60" spans="1:3" x14ac:dyDescent="0.2">
      <c r="A60" s="60">
        <f t="shared" ref="A60:A123" si="1">1+A59</f>
        <v>2</v>
      </c>
      <c r="B60" s="59" t="s">
        <v>3157</v>
      </c>
      <c r="C60" s="62" t="s">
        <v>808</v>
      </c>
    </row>
    <row r="61" spans="1:3" x14ac:dyDescent="0.2">
      <c r="A61" s="60">
        <f t="shared" si="1"/>
        <v>3</v>
      </c>
      <c r="B61" s="59" t="s">
        <v>3158</v>
      </c>
      <c r="C61" s="62" t="s">
        <v>808</v>
      </c>
    </row>
    <row r="62" spans="1:3" x14ac:dyDescent="0.2">
      <c r="A62" s="60">
        <f t="shared" si="1"/>
        <v>4</v>
      </c>
      <c r="B62" s="59" t="s">
        <v>3159</v>
      </c>
      <c r="C62" s="62" t="s">
        <v>808</v>
      </c>
    </row>
    <row r="63" spans="1:3" x14ac:dyDescent="0.2">
      <c r="A63" s="60">
        <f t="shared" si="1"/>
        <v>5</v>
      </c>
      <c r="B63" s="61" t="s">
        <v>916</v>
      </c>
      <c r="C63" s="62" t="s">
        <v>808</v>
      </c>
    </row>
    <row r="64" spans="1:3" x14ac:dyDescent="0.2">
      <c r="A64" s="60">
        <f t="shared" si="1"/>
        <v>6</v>
      </c>
      <c r="B64" s="61" t="s">
        <v>888</v>
      </c>
      <c r="C64" s="62" t="s">
        <v>808</v>
      </c>
    </row>
    <row r="65" spans="1:4" x14ac:dyDescent="0.2">
      <c r="A65" s="60">
        <f t="shared" si="1"/>
        <v>7</v>
      </c>
      <c r="B65" s="61" t="s">
        <v>3164</v>
      </c>
      <c r="C65" s="62" t="s">
        <v>808</v>
      </c>
    </row>
    <row r="66" spans="1:4" x14ac:dyDescent="0.2">
      <c r="A66" s="60">
        <f t="shared" si="1"/>
        <v>8</v>
      </c>
      <c r="B66" s="61" t="s">
        <v>3165</v>
      </c>
      <c r="C66" s="62" t="s">
        <v>808</v>
      </c>
    </row>
    <row r="67" spans="1:4" x14ac:dyDescent="0.2">
      <c r="A67" s="60">
        <f t="shared" si="1"/>
        <v>9</v>
      </c>
      <c r="B67" s="61" t="s">
        <v>3171</v>
      </c>
      <c r="C67" s="62" t="s">
        <v>808</v>
      </c>
    </row>
    <row r="68" spans="1:4" x14ac:dyDescent="0.2">
      <c r="A68" s="60">
        <f t="shared" si="1"/>
        <v>10</v>
      </c>
      <c r="B68" s="61" t="s">
        <v>3172</v>
      </c>
      <c r="C68" s="62" t="s">
        <v>808</v>
      </c>
    </row>
    <row r="69" spans="1:4" x14ac:dyDescent="0.2">
      <c r="A69" s="60">
        <f t="shared" si="1"/>
        <v>11</v>
      </c>
      <c r="B69" s="61" t="s">
        <v>3173</v>
      </c>
      <c r="C69" s="62" t="s">
        <v>808</v>
      </c>
    </row>
    <row r="70" spans="1:4" x14ac:dyDescent="0.2">
      <c r="A70" s="60">
        <f t="shared" si="1"/>
        <v>12</v>
      </c>
      <c r="B70" s="61" t="s">
        <v>3174</v>
      </c>
      <c r="C70" s="62" t="s">
        <v>808</v>
      </c>
    </row>
    <row r="71" spans="1:4" x14ac:dyDescent="0.2">
      <c r="A71" s="60">
        <f t="shared" si="1"/>
        <v>13</v>
      </c>
      <c r="B71" s="61" t="s">
        <v>3544</v>
      </c>
      <c r="C71" s="62" t="s">
        <v>808</v>
      </c>
    </row>
    <row r="72" spans="1:4" x14ac:dyDescent="0.2">
      <c r="A72" s="60">
        <f t="shared" si="1"/>
        <v>14</v>
      </c>
      <c r="B72" s="61" t="s">
        <v>3545</v>
      </c>
      <c r="C72" s="62" t="s">
        <v>808</v>
      </c>
    </row>
    <row r="73" spans="1:4" x14ac:dyDescent="0.2">
      <c r="A73" s="60">
        <f t="shared" si="1"/>
        <v>15</v>
      </c>
      <c r="B73" s="61" t="s">
        <v>3175</v>
      </c>
      <c r="C73" s="62" t="s">
        <v>808</v>
      </c>
    </row>
    <row r="74" spans="1:4" x14ac:dyDescent="0.2">
      <c r="A74" s="60">
        <f t="shared" si="1"/>
        <v>16</v>
      </c>
      <c r="B74" s="61" t="s">
        <v>3176</v>
      </c>
      <c r="C74" s="62" t="s">
        <v>808</v>
      </c>
    </row>
    <row r="75" spans="1:4" x14ac:dyDescent="0.2">
      <c r="A75" s="60">
        <f t="shared" si="1"/>
        <v>17</v>
      </c>
      <c r="B75" s="61" t="s">
        <v>3177</v>
      </c>
      <c r="C75" s="62" t="s">
        <v>808</v>
      </c>
    </row>
    <row r="76" spans="1:4" x14ac:dyDescent="0.2">
      <c r="A76" s="60">
        <f t="shared" si="1"/>
        <v>18</v>
      </c>
      <c r="B76" s="61" t="s">
        <v>3178</v>
      </c>
      <c r="C76" s="62" t="s">
        <v>808</v>
      </c>
    </row>
    <row r="77" spans="1:4" x14ac:dyDescent="0.2">
      <c r="A77" s="60">
        <f t="shared" si="1"/>
        <v>19</v>
      </c>
      <c r="B77" s="61" t="s">
        <v>810</v>
      </c>
      <c r="C77" s="62" t="s">
        <v>808</v>
      </c>
    </row>
    <row r="78" spans="1:4" x14ac:dyDescent="0.2">
      <c r="A78" s="60">
        <f t="shared" si="1"/>
        <v>20</v>
      </c>
      <c r="B78" s="61" t="s">
        <v>3179</v>
      </c>
      <c r="C78" s="62" t="s">
        <v>1205</v>
      </c>
    </row>
    <row r="79" spans="1:4" x14ac:dyDescent="0.2">
      <c r="A79" s="60">
        <f t="shared" si="1"/>
        <v>21</v>
      </c>
      <c r="B79" s="61" t="s">
        <v>889</v>
      </c>
      <c r="C79" s="62" t="s">
        <v>808</v>
      </c>
      <c r="D79" s="67">
        <v>10000</v>
      </c>
    </row>
    <row r="80" spans="1:4" x14ac:dyDescent="0.2">
      <c r="A80" s="60">
        <f t="shared" si="1"/>
        <v>22</v>
      </c>
      <c r="B80" s="61" t="s">
        <v>3180</v>
      </c>
      <c r="C80" s="62" t="s">
        <v>808</v>
      </c>
    </row>
    <row r="81" spans="1:3" x14ac:dyDescent="0.2">
      <c r="A81" s="60">
        <f t="shared" si="1"/>
        <v>23</v>
      </c>
      <c r="B81" s="61" t="s">
        <v>3181</v>
      </c>
      <c r="C81" s="62" t="s">
        <v>808</v>
      </c>
    </row>
    <row r="82" spans="1:3" x14ac:dyDescent="0.2">
      <c r="A82" s="60">
        <f t="shared" si="1"/>
        <v>24</v>
      </c>
      <c r="B82" s="61" t="s">
        <v>3182</v>
      </c>
      <c r="C82" s="62" t="s">
        <v>808</v>
      </c>
    </row>
    <row r="83" spans="1:3" x14ac:dyDescent="0.2">
      <c r="A83" s="60">
        <f t="shared" si="1"/>
        <v>25</v>
      </c>
      <c r="B83" s="61" t="s">
        <v>3183</v>
      </c>
      <c r="C83" s="62" t="s">
        <v>808</v>
      </c>
    </row>
    <row r="84" spans="1:3" x14ac:dyDescent="0.2">
      <c r="A84" s="60">
        <f t="shared" si="1"/>
        <v>26</v>
      </c>
      <c r="B84" s="61" t="s">
        <v>3184</v>
      </c>
      <c r="C84" s="62" t="s">
        <v>808</v>
      </c>
    </row>
    <row r="85" spans="1:3" x14ac:dyDescent="0.2">
      <c r="A85" s="60">
        <f t="shared" si="1"/>
        <v>27</v>
      </c>
      <c r="B85" s="61" t="s">
        <v>3185</v>
      </c>
      <c r="C85" s="62" t="s">
        <v>808</v>
      </c>
    </row>
    <row r="86" spans="1:3" x14ac:dyDescent="0.2">
      <c r="A86" s="60">
        <f t="shared" si="1"/>
        <v>28</v>
      </c>
      <c r="B86" s="61" t="s">
        <v>3186</v>
      </c>
      <c r="C86" s="62" t="s">
        <v>808</v>
      </c>
    </row>
    <row r="87" spans="1:3" x14ac:dyDescent="0.2">
      <c r="A87" s="60">
        <f t="shared" si="1"/>
        <v>29</v>
      </c>
      <c r="B87" s="61" t="s">
        <v>3187</v>
      </c>
      <c r="C87" s="62" t="s">
        <v>808</v>
      </c>
    </row>
    <row r="88" spans="1:3" x14ac:dyDescent="0.2">
      <c r="A88" s="60">
        <f t="shared" si="1"/>
        <v>30</v>
      </c>
      <c r="B88" s="61" t="s">
        <v>3188</v>
      </c>
      <c r="C88" s="62" t="s">
        <v>808</v>
      </c>
    </row>
    <row r="89" spans="1:3" x14ac:dyDescent="0.2">
      <c r="A89" s="60">
        <f t="shared" si="1"/>
        <v>31</v>
      </c>
      <c r="B89" s="61" t="s">
        <v>3189</v>
      </c>
      <c r="C89" s="62" t="s">
        <v>808</v>
      </c>
    </row>
    <row r="90" spans="1:3" x14ac:dyDescent="0.2">
      <c r="A90" s="60">
        <f t="shared" si="1"/>
        <v>32</v>
      </c>
      <c r="B90" s="61" t="s">
        <v>3190</v>
      </c>
      <c r="C90" s="62" t="s">
        <v>808</v>
      </c>
    </row>
    <row r="91" spans="1:3" x14ac:dyDescent="0.2">
      <c r="A91" s="60">
        <f t="shared" si="1"/>
        <v>33</v>
      </c>
      <c r="B91" s="61" t="s">
        <v>3191</v>
      </c>
      <c r="C91" s="62" t="s">
        <v>808</v>
      </c>
    </row>
    <row r="92" spans="1:3" x14ac:dyDescent="0.2">
      <c r="A92" s="60">
        <f t="shared" si="1"/>
        <v>34</v>
      </c>
      <c r="B92" s="63" t="s">
        <v>3192</v>
      </c>
      <c r="C92" s="64" t="s">
        <v>808</v>
      </c>
    </row>
    <row r="93" spans="1:3" x14ac:dyDescent="0.2">
      <c r="A93" s="60">
        <f t="shared" si="1"/>
        <v>35</v>
      </c>
      <c r="B93" s="61" t="s">
        <v>3193</v>
      </c>
      <c r="C93" s="62" t="s">
        <v>808</v>
      </c>
    </row>
    <row r="94" spans="1:3" x14ac:dyDescent="0.2">
      <c r="A94" s="60">
        <f t="shared" si="1"/>
        <v>36</v>
      </c>
      <c r="B94" s="61" t="s">
        <v>3194</v>
      </c>
      <c r="C94" s="62" t="s">
        <v>808</v>
      </c>
    </row>
    <row r="95" spans="1:3" x14ac:dyDescent="0.2">
      <c r="A95" s="60">
        <f t="shared" si="1"/>
        <v>37</v>
      </c>
      <c r="B95" s="61" t="s">
        <v>3195</v>
      </c>
      <c r="C95" s="62" t="s">
        <v>808</v>
      </c>
    </row>
    <row r="96" spans="1:3" x14ac:dyDescent="0.2">
      <c r="A96" s="60">
        <f t="shared" si="1"/>
        <v>38</v>
      </c>
      <c r="B96" s="61" t="s">
        <v>3196</v>
      </c>
      <c r="C96" s="62" t="s">
        <v>808</v>
      </c>
    </row>
    <row r="97" spans="1:3" x14ac:dyDescent="0.2">
      <c r="A97" s="60">
        <f t="shared" si="1"/>
        <v>39</v>
      </c>
      <c r="B97" s="61" t="s">
        <v>3197</v>
      </c>
      <c r="C97" s="62" t="s">
        <v>808</v>
      </c>
    </row>
    <row r="98" spans="1:3" x14ac:dyDescent="0.2">
      <c r="A98" s="60">
        <f t="shared" si="1"/>
        <v>40</v>
      </c>
      <c r="B98" s="61" t="s">
        <v>3198</v>
      </c>
      <c r="C98" s="62" t="s">
        <v>808</v>
      </c>
    </row>
    <row r="99" spans="1:3" x14ac:dyDescent="0.2">
      <c r="A99" s="60">
        <f t="shared" si="1"/>
        <v>41</v>
      </c>
      <c r="B99" s="61" t="s">
        <v>3199</v>
      </c>
      <c r="C99" s="62" t="s">
        <v>808</v>
      </c>
    </row>
    <row r="100" spans="1:3" x14ac:dyDescent="0.2">
      <c r="A100" s="60">
        <f t="shared" si="1"/>
        <v>42</v>
      </c>
      <c r="B100" s="61" t="s">
        <v>3200</v>
      </c>
      <c r="C100" s="62" t="s">
        <v>808</v>
      </c>
    </row>
    <row r="101" spans="1:3" x14ac:dyDescent="0.2">
      <c r="A101" s="60">
        <f t="shared" si="1"/>
        <v>43</v>
      </c>
      <c r="B101" s="61" t="s">
        <v>3201</v>
      </c>
      <c r="C101" s="62" t="s">
        <v>808</v>
      </c>
    </row>
    <row r="102" spans="1:3" x14ac:dyDescent="0.2">
      <c r="A102" s="60">
        <f t="shared" si="1"/>
        <v>44</v>
      </c>
      <c r="B102" s="61" t="s">
        <v>3202</v>
      </c>
      <c r="C102" s="62" t="s">
        <v>808</v>
      </c>
    </row>
    <row r="103" spans="1:3" x14ac:dyDescent="0.2">
      <c r="A103" s="60">
        <f t="shared" si="1"/>
        <v>45</v>
      </c>
      <c r="B103" s="61" t="s">
        <v>3203</v>
      </c>
      <c r="C103" s="62" t="s">
        <v>808</v>
      </c>
    </row>
    <row r="104" spans="1:3" x14ac:dyDescent="0.2">
      <c r="A104" s="60">
        <f t="shared" si="1"/>
        <v>46</v>
      </c>
      <c r="B104" s="63" t="s">
        <v>3204</v>
      </c>
      <c r="C104" s="64" t="s">
        <v>808</v>
      </c>
    </row>
    <row r="105" spans="1:3" x14ac:dyDescent="0.2">
      <c r="A105" s="60">
        <f t="shared" si="1"/>
        <v>47</v>
      </c>
      <c r="B105" s="61" t="s">
        <v>3205</v>
      </c>
      <c r="C105" s="62" t="s">
        <v>808</v>
      </c>
    </row>
    <row r="106" spans="1:3" x14ac:dyDescent="0.2">
      <c r="A106" s="60">
        <f t="shared" si="1"/>
        <v>48</v>
      </c>
      <c r="B106" s="61" t="s">
        <v>3206</v>
      </c>
      <c r="C106" s="62" t="s">
        <v>808</v>
      </c>
    </row>
    <row r="107" spans="1:3" x14ac:dyDescent="0.2">
      <c r="A107" s="60">
        <f t="shared" si="1"/>
        <v>49</v>
      </c>
      <c r="B107" s="61" t="s">
        <v>3207</v>
      </c>
      <c r="C107" s="62" t="s">
        <v>808</v>
      </c>
    </row>
    <row r="108" spans="1:3" x14ac:dyDescent="0.2">
      <c r="A108" s="60">
        <f t="shared" si="1"/>
        <v>50</v>
      </c>
      <c r="B108" s="61" t="s">
        <v>3208</v>
      </c>
      <c r="C108" s="62" t="s">
        <v>808</v>
      </c>
    </row>
    <row r="109" spans="1:3" x14ac:dyDescent="0.2">
      <c r="A109" s="60">
        <f t="shared" si="1"/>
        <v>51</v>
      </c>
      <c r="B109" s="61" t="s">
        <v>3209</v>
      </c>
      <c r="C109" s="62" t="s">
        <v>808</v>
      </c>
    </row>
    <row r="110" spans="1:3" x14ac:dyDescent="0.2">
      <c r="A110" s="60">
        <f t="shared" si="1"/>
        <v>52</v>
      </c>
      <c r="B110" s="61" t="s">
        <v>3210</v>
      </c>
      <c r="C110" s="62" t="s">
        <v>808</v>
      </c>
    </row>
    <row r="111" spans="1:3" x14ac:dyDescent="0.2">
      <c r="A111" s="60">
        <f t="shared" si="1"/>
        <v>53</v>
      </c>
      <c r="B111" s="61" t="s">
        <v>3211</v>
      </c>
      <c r="C111" s="62" t="s">
        <v>808</v>
      </c>
    </row>
    <row r="112" spans="1:3" x14ac:dyDescent="0.2">
      <c r="A112" s="60">
        <f t="shared" si="1"/>
        <v>54</v>
      </c>
      <c r="B112" s="61" t="s">
        <v>3212</v>
      </c>
      <c r="C112" s="62" t="s">
        <v>808</v>
      </c>
    </row>
    <row r="113" spans="1:3" x14ac:dyDescent="0.2">
      <c r="A113" s="60">
        <f t="shared" si="1"/>
        <v>55</v>
      </c>
      <c r="B113" s="63" t="s">
        <v>3213</v>
      </c>
      <c r="C113" s="64" t="s">
        <v>808</v>
      </c>
    </row>
    <row r="114" spans="1:3" x14ac:dyDescent="0.2">
      <c r="A114" s="60">
        <f t="shared" si="1"/>
        <v>56</v>
      </c>
      <c r="B114" s="63" t="s">
        <v>3214</v>
      </c>
      <c r="C114" s="64" t="s">
        <v>808</v>
      </c>
    </row>
    <row r="115" spans="1:3" x14ac:dyDescent="0.2">
      <c r="A115" s="60">
        <f t="shared" si="1"/>
        <v>57</v>
      </c>
      <c r="B115" s="63" t="s">
        <v>3215</v>
      </c>
      <c r="C115" s="64" t="s">
        <v>808</v>
      </c>
    </row>
    <row r="116" spans="1:3" x14ac:dyDescent="0.2">
      <c r="A116" s="60">
        <f t="shared" si="1"/>
        <v>58</v>
      </c>
      <c r="B116" s="61" t="s">
        <v>3216</v>
      </c>
      <c r="C116" s="62" t="s">
        <v>808</v>
      </c>
    </row>
    <row r="117" spans="1:3" x14ac:dyDescent="0.2">
      <c r="A117" s="60">
        <f t="shared" si="1"/>
        <v>59</v>
      </c>
      <c r="B117" s="61" t="s">
        <v>3217</v>
      </c>
      <c r="C117" s="62" t="s">
        <v>808</v>
      </c>
    </row>
    <row r="118" spans="1:3" x14ac:dyDescent="0.2">
      <c r="A118" s="60">
        <f t="shared" si="1"/>
        <v>60</v>
      </c>
      <c r="B118" s="61" t="s">
        <v>3218</v>
      </c>
      <c r="C118" s="62" t="s">
        <v>808</v>
      </c>
    </row>
    <row r="119" spans="1:3" x14ac:dyDescent="0.2">
      <c r="A119" s="60">
        <f t="shared" si="1"/>
        <v>61</v>
      </c>
      <c r="B119" s="61" t="s">
        <v>3219</v>
      </c>
      <c r="C119" s="62" t="s">
        <v>808</v>
      </c>
    </row>
    <row r="120" spans="1:3" x14ac:dyDescent="0.2">
      <c r="A120" s="60">
        <f t="shared" si="1"/>
        <v>62</v>
      </c>
      <c r="B120" s="61" t="s">
        <v>3220</v>
      </c>
      <c r="C120" s="62" t="s">
        <v>808</v>
      </c>
    </row>
    <row r="121" spans="1:3" x14ac:dyDescent="0.2">
      <c r="A121" s="60">
        <f t="shared" si="1"/>
        <v>63</v>
      </c>
      <c r="B121" s="61" t="s">
        <v>3221</v>
      </c>
      <c r="C121" s="62" t="s">
        <v>808</v>
      </c>
    </row>
    <row r="122" spans="1:3" x14ac:dyDescent="0.2">
      <c r="A122" s="60">
        <f t="shared" si="1"/>
        <v>64</v>
      </c>
      <c r="B122" s="61" t="s">
        <v>3222</v>
      </c>
      <c r="C122" s="62" t="s">
        <v>808</v>
      </c>
    </row>
    <row r="123" spans="1:3" x14ac:dyDescent="0.2">
      <c r="A123" s="60">
        <f t="shared" si="1"/>
        <v>65</v>
      </c>
      <c r="B123" s="61" t="s">
        <v>3223</v>
      </c>
      <c r="C123" s="62" t="s">
        <v>808</v>
      </c>
    </row>
    <row r="124" spans="1:3" x14ac:dyDescent="0.2">
      <c r="A124" s="60">
        <f t="shared" ref="A124:A187" si="2">1+A123</f>
        <v>66</v>
      </c>
      <c r="B124" s="61" t="s">
        <v>3224</v>
      </c>
      <c r="C124" s="62" t="s">
        <v>808</v>
      </c>
    </row>
    <row r="125" spans="1:3" x14ac:dyDescent="0.2">
      <c r="A125" s="60">
        <f t="shared" si="2"/>
        <v>67</v>
      </c>
      <c r="B125" s="63" t="s">
        <v>3225</v>
      </c>
      <c r="C125" s="64" t="s">
        <v>808</v>
      </c>
    </row>
    <row r="126" spans="1:3" x14ac:dyDescent="0.2">
      <c r="A126" s="60">
        <f t="shared" si="2"/>
        <v>68</v>
      </c>
      <c r="B126" s="63" t="s">
        <v>3226</v>
      </c>
      <c r="C126" s="64" t="s">
        <v>808</v>
      </c>
    </row>
    <row r="127" spans="1:3" x14ac:dyDescent="0.2">
      <c r="A127" s="60">
        <f t="shared" si="2"/>
        <v>69</v>
      </c>
      <c r="B127" s="61" t="s">
        <v>3227</v>
      </c>
      <c r="C127" s="62" t="s">
        <v>808</v>
      </c>
    </row>
    <row r="128" spans="1:3" x14ac:dyDescent="0.2">
      <c r="A128" s="60">
        <f t="shared" si="2"/>
        <v>70</v>
      </c>
      <c r="B128" s="63" t="s">
        <v>3228</v>
      </c>
      <c r="C128" s="64" t="s">
        <v>808</v>
      </c>
    </row>
    <row r="129" spans="1:3" x14ac:dyDescent="0.2">
      <c r="A129" s="60">
        <f t="shared" si="2"/>
        <v>71</v>
      </c>
      <c r="B129" s="61" t="s">
        <v>3229</v>
      </c>
      <c r="C129" s="62" t="s">
        <v>808</v>
      </c>
    </row>
    <row r="130" spans="1:3" x14ac:dyDescent="0.2">
      <c r="A130" s="60">
        <f t="shared" si="2"/>
        <v>72</v>
      </c>
      <c r="B130" s="61" t="s">
        <v>3230</v>
      </c>
      <c r="C130" s="62" t="s">
        <v>808</v>
      </c>
    </row>
    <row r="131" spans="1:3" x14ac:dyDescent="0.2">
      <c r="A131" s="60">
        <f t="shared" si="2"/>
        <v>73</v>
      </c>
      <c r="B131" s="61" t="s">
        <v>3231</v>
      </c>
      <c r="C131" s="62" t="s">
        <v>808</v>
      </c>
    </row>
    <row r="132" spans="1:3" x14ac:dyDescent="0.2">
      <c r="A132" s="60">
        <f t="shared" si="2"/>
        <v>74</v>
      </c>
      <c r="B132" s="61" t="s">
        <v>3232</v>
      </c>
      <c r="C132" s="62" t="s">
        <v>808</v>
      </c>
    </row>
    <row r="133" spans="1:3" x14ac:dyDescent="0.2">
      <c r="A133" s="60">
        <f t="shared" si="2"/>
        <v>75</v>
      </c>
      <c r="B133" s="61" t="s">
        <v>3233</v>
      </c>
      <c r="C133" s="62" t="s">
        <v>808</v>
      </c>
    </row>
    <row r="134" spans="1:3" x14ac:dyDescent="0.2">
      <c r="A134" s="60">
        <f t="shared" si="2"/>
        <v>76</v>
      </c>
      <c r="B134" s="61" t="s">
        <v>3234</v>
      </c>
      <c r="C134" s="62" t="s">
        <v>808</v>
      </c>
    </row>
    <row r="135" spans="1:3" x14ac:dyDescent="0.2">
      <c r="A135" s="60">
        <f t="shared" si="2"/>
        <v>77</v>
      </c>
      <c r="B135" s="61" t="s">
        <v>3235</v>
      </c>
      <c r="C135" s="62" t="s">
        <v>808</v>
      </c>
    </row>
    <row r="136" spans="1:3" x14ac:dyDescent="0.2">
      <c r="A136" s="60">
        <f t="shared" si="2"/>
        <v>78</v>
      </c>
      <c r="B136" s="61" t="s">
        <v>3236</v>
      </c>
      <c r="C136" s="62" t="s">
        <v>808</v>
      </c>
    </row>
    <row r="137" spans="1:3" x14ac:dyDescent="0.2">
      <c r="A137" s="60">
        <f t="shared" si="2"/>
        <v>79</v>
      </c>
      <c r="B137" s="61" t="s">
        <v>3237</v>
      </c>
      <c r="C137" s="62" t="s">
        <v>808</v>
      </c>
    </row>
    <row r="138" spans="1:3" x14ac:dyDescent="0.2">
      <c r="A138" s="60">
        <f t="shared" si="2"/>
        <v>80</v>
      </c>
      <c r="B138" s="61" t="s">
        <v>3238</v>
      </c>
      <c r="C138" s="62" t="s">
        <v>808</v>
      </c>
    </row>
    <row r="139" spans="1:3" x14ac:dyDescent="0.2">
      <c r="A139" s="60">
        <f t="shared" si="2"/>
        <v>81</v>
      </c>
      <c r="B139" s="61" t="s">
        <v>3239</v>
      </c>
      <c r="C139" s="62" t="s">
        <v>808</v>
      </c>
    </row>
    <row r="140" spans="1:3" x14ac:dyDescent="0.2">
      <c r="A140" s="60">
        <f t="shared" si="2"/>
        <v>82</v>
      </c>
      <c r="B140" s="61" t="s">
        <v>3240</v>
      </c>
      <c r="C140" s="62" t="s">
        <v>808</v>
      </c>
    </row>
    <row r="141" spans="1:3" x14ac:dyDescent="0.2">
      <c r="A141" s="60">
        <f t="shared" si="2"/>
        <v>83</v>
      </c>
      <c r="B141" s="63" t="s">
        <v>3241</v>
      </c>
      <c r="C141" s="62" t="s">
        <v>808</v>
      </c>
    </row>
    <row r="142" spans="1:3" x14ac:dyDescent="0.2">
      <c r="A142" s="60">
        <f t="shared" si="2"/>
        <v>84</v>
      </c>
      <c r="B142" s="61" t="s">
        <v>3242</v>
      </c>
      <c r="C142" s="62" t="s">
        <v>808</v>
      </c>
    </row>
    <row r="143" spans="1:3" x14ac:dyDescent="0.2">
      <c r="A143" s="60">
        <f t="shared" si="2"/>
        <v>85</v>
      </c>
      <c r="B143" s="61" t="s">
        <v>3243</v>
      </c>
      <c r="C143" s="62" t="s">
        <v>808</v>
      </c>
    </row>
    <row r="144" spans="1:3" x14ac:dyDescent="0.2">
      <c r="A144" s="60">
        <f t="shared" si="2"/>
        <v>86</v>
      </c>
      <c r="B144" s="61" t="s">
        <v>3244</v>
      </c>
      <c r="C144" s="62" t="s">
        <v>808</v>
      </c>
    </row>
    <row r="145" spans="1:3" x14ac:dyDescent="0.2">
      <c r="A145" s="60">
        <f t="shared" si="2"/>
        <v>87</v>
      </c>
      <c r="B145" s="61" t="s">
        <v>3245</v>
      </c>
      <c r="C145" s="62" t="s">
        <v>808</v>
      </c>
    </row>
    <row r="146" spans="1:3" x14ac:dyDescent="0.2">
      <c r="A146" s="60">
        <f t="shared" si="2"/>
        <v>88</v>
      </c>
      <c r="B146" s="61" t="s">
        <v>3246</v>
      </c>
      <c r="C146" s="62" t="s">
        <v>808</v>
      </c>
    </row>
    <row r="147" spans="1:3" x14ac:dyDescent="0.2">
      <c r="A147" s="60">
        <f t="shared" si="2"/>
        <v>89</v>
      </c>
      <c r="B147" s="61" t="s">
        <v>3247</v>
      </c>
      <c r="C147" s="62" t="s">
        <v>808</v>
      </c>
    </row>
    <row r="148" spans="1:3" x14ac:dyDescent="0.2">
      <c r="A148" s="60">
        <f t="shared" si="2"/>
        <v>90</v>
      </c>
      <c r="B148" s="61" t="s">
        <v>3248</v>
      </c>
      <c r="C148" s="62" t="s">
        <v>808</v>
      </c>
    </row>
    <row r="149" spans="1:3" x14ac:dyDescent="0.2">
      <c r="A149" s="60">
        <f t="shared" si="2"/>
        <v>91</v>
      </c>
      <c r="B149" s="61" t="s">
        <v>3249</v>
      </c>
      <c r="C149" s="62" t="s">
        <v>808</v>
      </c>
    </row>
    <row r="150" spans="1:3" x14ac:dyDescent="0.2">
      <c r="A150" s="60">
        <f t="shared" si="2"/>
        <v>92</v>
      </c>
      <c r="B150" s="61" t="s">
        <v>3250</v>
      </c>
      <c r="C150" s="62" t="s">
        <v>808</v>
      </c>
    </row>
    <row r="151" spans="1:3" x14ac:dyDescent="0.2">
      <c r="A151" s="60">
        <f t="shared" si="2"/>
        <v>93</v>
      </c>
      <c r="B151" s="61" t="s">
        <v>3251</v>
      </c>
      <c r="C151" s="62" t="s">
        <v>808</v>
      </c>
    </row>
    <row r="152" spans="1:3" x14ac:dyDescent="0.2">
      <c r="A152" s="60">
        <f t="shared" si="2"/>
        <v>94</v>
      </c>
      <c r="B152" s="61" t="s">
        <v>3252</v>
      </c>
      <c r="C152" s="62" t="s">
        <v>808</v>
      </c>
    </row>
    <row r="153" spans="1:3" x14ac:dyDescent="0.2">
      <c r="A153" s="60">
        <f t="shared" si="2"/>
        <v>95</v>
      </c>
      <c r="B153" s="61" t="s">
        <v>3253</v>
      </c>
      <c r="C153" s="62" t="s">
        <v>808</v>
      </c>
    </row>
    <row r="154" spans="1:3" x14ac:dyDescent="0.2">
      <c r="A154" s="60">
        <f t="shared" si="2"/>
        <v>96</v>
      </c>
      <c r="B154" s="61" t="s">
        <v>3254</v>
      </c>
      <c r="C154" s="62" t="s">
        <v>808</v>
      </c>
    </row>
    <row r="155" spans="1:3" x14ac:dyDescent="0.2">
      <c r="A155" s="60">
        <f t="shared" si="2"/>
        <v>97</v>
      </c>
      <c r="B155" s="61" t="s">
        <v>3255</v>
      </c>
      <c r="C155" s="62" t="s">
        <v>808</v>
      </c>
    </row>
    <row r="156" spans="1:3" x14ac:dyDescent="0.2">
      <c r="A156" s="60">
        <f t="shared" si="2"/>
        <v>98</v>
      </c>
      <c r="B156" s="61" t="s">
        <v>3256</v>
      </c>
      <c r="C156" s="62" t="s">
        <v>808</v>
      </c>
    </row>
    <row r="157" spans="1:3" x14ac:dyDescent="0.2">
      <c r="A157" s="60">
        <f t="shared" si="2"/>
        <v>99</v>
      </c>
      <c r="B157" s="61" t="s">
        <v>3257</v>
      </c>
      <c r="C157" s="62" t="s">
        <v>808</v>
      </c>
    </row>
    <row r="158" spans="1:3" x14ac:dyDescent="0.2">
      <c r="A158" s="60">
        <f t="shared" si="2"/>
        <v>100</v>
      </c>
      <c r="B158" s="61" t="s">
        <v>3258</v>
      </c>
      <c r="C158" s="62" t="s">
        <v>808</v>
      </c>
    </row>
    <row r="159" spans="1:3" x14ac:dyDescent="0.2">
      <c r="A159" s="60">
        <f t="shared" si="2"/>
        <v>101</v>
      </c>
      <c r="B159" s="61" t="s">
        <v>3259</v>
      </c>
      <c r="C159" s="62" t="s">
        <v>808</v>
      </c>
    </row>
    <row r="160" spans="1:3" x14ac:dyDescent="0.2">
      <c r="A160" s="60">
        <f t="shared" si="2"/>
        <v>102</v>
      </c>
      <c r="B160" s="61" t="s">
        <v>3260</v>
      </c>
      <c r="C160" s="62" t="s">
        <v>808</v>
      </c>
    </row>
    <row r="161" spans="1:3" x14ac:dyDescent="0.2">
      <c r="A161" s="60">
        <f t="shared" si="2"/>
        <v>103</v>
      </c>
      <c r="B161" s="61" t="s">
        <v>3261</v>
      </c>
      <c r="C161" s="62" t="s">
        <v>808</v>
      </c>
    </row>
    <row r="162" spans="1:3" x14ac:dyDescent="0.2">
      <c r="A162" s="60">
        <f t="shared" si="2"/>
        <v>104</v>
      </c>
      <c r="B162" s="61" t="s">
        <v>3262</v>
      </c>
      <c r="C162" s="62" t="s">
        <v>808</v>
      </c>
    </row>
    <row r="163" spans="1:3" x14ac:dyDescent="0.2">
      <c r="A163" s="60">
        <f t="shared" si="2"/>
        <v>105</v>
      </c>
      <c r="B163" s="61" t="s">
        <v>3263</v>
      </c>
      <c r="C163" s="62" t="s">
        <v>808</v>
      </c>
    </row>
    <row r="164" spans="1:3" x14ac:dyDescent="0.2">
      <c r="A164" s="60">
        <f t="shared" si="2"/>
        <v>106</v>
      </c>
      <c r="B164" s="61" t="s">
        <v>3264</v>
      </c>
      <c r="C164" s="62" t="s">
        <v>808</v>
      </c>
    </row>
    <row r="165" spans="1:3" x14ac:dyDescent="0.2">
      <c r="A165" s="60">
        <f t="shared" si="2"/>
        <v>107</v>
      </c>
      <c r="B165" s="61" t="s">
        <v>3265</v>
      </c>
      <c r="C165" s="62" t="s">
        <v>808</v>
      </c>
    </row>
    <row r="166" spans="1:3" x14ac:dyDescent="0.2">
      <c r="A166" s="60">
        <f t="shared" si="2"/>
        <v>108</v>
      </c>
      <c r="B166" s="61" t="s">
        <v>3266</v>
      </c>
      <c r="C166" s="62" t="s">
        <v>808</v>
      </c>
    </row>
    <row r="167" spans="1:3" x14ac:dyDescent="0.2">
      <c r="A167" s="60">
        <f t="shared" si="2"/>
        <v>109</v>
      </c>
      <c r="B167" s="61" t="s">
        <v>3267</v>
      </c>
      <c r="C167" s="62" t="s">
        <v>808</v>
      </c>
    </row>
    <row r="168" spans="1:3" x14ac:dyDescent="0.2">
      <c r="A168" s="60">
        <f t="shared" si="2"/>
        <v>110</v>
      </c>
      <c r="B168" s="61" t="s">
        <v>3268</v>
      </c>
      <c r="C168" s="62" t="s">
        <v>808</v>
      </c>
    </row>
    <row r="169" spans="1:3" x14ac:dyDescent="0.2">
      <c r="A169" s="60">
        <f t="shared" si="2"/>
        <v>111</v>
      </c>
      <c r="B169" s="61" t="s">
        <v>3269</v>
      </c>
      <c r="C169" s="62" t="s">
        <v>808</v>
      </c>
    </row>
    <row r="170" spans="1:3" x14ac:dyDescent="0.2">
      <c r="A170" s="60">
        <f t="shared" si="2"/>
        <v>112</v>
      </c>
      <c r="B170" s="61" t="s">
        <v>3270</v>
      </c>
      <c r="C170" s="62" t="s">
        <v>808</v>
      </c>
    </row>
    <row r="171" spans="1:3" x14ac:dyDescent="0.2">
      <c r="A171" s="60">
        <f t="shared" si="2"/>
        <v>113</v>
      </c>
      <c r="B171" s="63" t="s">
        <v>3271</v>
      </c>
      <c r="C171" s="64" t="s">
        <v>808</v>
      </c>
    </row>
    <row r="172" spans="1:3" x14ac:dyDescent="0.2">
      <c r="A172" s="60">
        <f t="shared" si="2"/>
        <v>114</v>
      </c>
      <c r="B172" s="61" t="s">
        <v>3272</v>
      </c>
      <c r="C172" s="62" t="s">
        <v>808</v>
      </c>
    </row>
    <row r="173" spans="1:3" x14ac:dyDescent="0.2">
      <c r="A173" s="60">
        <f t="shared" si="2"/>
        <v>115</v>
      </c>
      <c r="B173" s="61" t="s">
        <v>3273</v>
      </c>
      <c r="C173" s="62" t="s">
        <v>808</v>
      </c>
    </row>
    <row r="174" spans="1:3" x14ac:dyDescent="0.2">
      <c r="A174" s="60">
        <f t="shared" si="2"/>
        <v>116</v>
      </c>
      <c r="B174" s="61" t="s">
        <v>3274</v>
      </c>
      <c r="C174" s="62" t="s">
        <v>808</v>
      </c>
    </row>
    <row r="175" spans="1:3" x14ac:dyDescent="0.2">
      <c r="A175" s="60">
        <f t="shared" si="2"/>
        <v>117</v>
      </c>
      <c r="B175" s="61" t="s">
        <v>3275</v>
      </c>
      <c r="C175" s="62" t="s">
        <v>808</v>
      </c>
    </row>
    <row r="176" spans="1:3" x14ac:dyDescent="0.2">
      <c r="A176" s="60">
        <f t="shared" si="2"/>
        <v>118</v>
      </c>
      <c r="B176" s="61" t="s">
        <v>3276</v>
      </c>
      <c r="C176" s="62" t="s">
        <v>808</v>
      </c>
    </row>
    <row r="177" spans="1:3" x14ac:dyDescent="0.2">
      <c r="A177" s="60">
        <f t="shared" si="2"/>
        <v>119</v>
      </c>
      <c r="B177" s="61" t="s">
        <v>3277</v>
      </c>
      <c r="C177" s="62" t="s">
        <v>808</v>
      </c>
    </row>
    <row r="178" spans="1:3" x14ac:dyDescent="0.2">
      <c r="A178" s="60">
        <f t="shared" si="2"/>
        <v>120</v>
      </c>
      <c r="B178" s="61" t="s">
        <v>3278</v>
      </c>
      <c r="C178" s="62" t="s">
        <v>808</v>
      </c>
    </row>
    <row r="179" spans="1:3" x14ac:dyDescent="0.2">
      <c r="A179" s="60">
        <f t="shared" si="2"/>
        <v>121</v>
      </c>
      <c r="B179" s="61" t="s">
        <v>3279</v>
      </c>
      <c r="C179" s="62" t="s">
        <v>808</v>
      </c>
    </row>
    <row r="180" spans="1:3" x14ac:dyDescent="0.2">
      <c r="A180" s="60">
        <f t="shared" si="2"/>
        <v>122</v>
      </c>
      <c r="B180" s="61" t="s">
        <v>3280</v>
      </c>
      <c r="C180" s="62" t="s">
        <v>808</v>
      </c>
    </row>
    <row r="181" spans="1:3" x14ac:dyDescent="0.2">
      <c r="A181" s="60">
        <f t="shared" si="2"/>
        <v>123</v>
      </c>
      <c r="B181" s="61" t="s">
        <v>3281</v>
      </c>
      <c r="C181" s="62" t="s">
        <v>808</v>
      </c>
    </row>
    <row r="182" spans="1:3" x14ac:dyDescent="0.2">
      <c r="A182" s="60">
        <f t="shared" si="2"/>
        <v>124</v>
      </c>
      <c r="B182" s="61" t="s">
        <v>3282</v>
      </c>
      <c r="C182" s="62" t="s">
        <v>808</v>
      </c>
    </row>
    <row r="183" spans="1:3" x14ac:dyDescent="0.2">
      <c r="A183" s="60">
        <f t="shared" si="2"/>
        <v>125</v>
      </c>
      <c r="B183" s="63" t="s">
        <v>3283</v>
      </c>
      <c r="C183" s="64" t="s">
        <v>808</v>
      </c>
    </row>
    <row r="184" spans="1:3" x14ac:dyDescent="0.2">
      <c r="A184" s="60">
        <f t="shared" si="2"/>
        <v>126</v>
      </c>
      <c r="B184" s="61" t="s">
        <v>3284</v>
      </c>
      <c r="C184" s="62" t="s">
        <v>808</v>
      </c>
    </row>
    <row r="185" spans="1:3" x14ac:dyDescent="0.2">
      <c r="A185" s="60">
        <f t="shared" si="2"/>
        <v>127</v>
      </c>
      <c r="B185" s="63" t="s">
        <v>3285</v>
      </c>
      <c r="C185" s="64" t="s">
        <v>808</v>
      </c>
    </row>
    <row r="186" spans="1:3" x14ac:dyDescent="0.2">
      <c r="A186" s="60">
        <f t="shared" si="2"/>
        <v>128</v>
      </c>
      <c r="B186" s="61" t="s">
        <v>3286</v>
      </c>
      <c r="C186" s="62" t="s">
        <v>808</v>
      </c>
    </row>
    <row r="187" spans="1:3" x14ac:dyDescent="0.2">
      <c r="A187" s="60">
        <f t="shared" si="2"/>
        <v>129</v>
      </c>
      <c r="B187" s="61" t="s">
        <v>3287</v>
      </c>
      <c r="C187" s="62" t="s">
        <v>808</v>
      </c>
    </row>
    <row r="188" spans="1:3" x14ac:dyDescent="0.2">
      <c r="A188" s="60">
        <f t="shared" ref="A188:A251" si="3">1+A187</f>
        <v>130</v>
      </c>
      <c r="B188" s="61" t="s">
        <v>3288</v>
      </c>
      <c r="C188" s="62" t="s">
        <v>808</v>
      </c>
    </row>
    <row r="189" spans="1:3" x14ac:dyDescent="0.2">
      <c r="A189" s="60">
        <f t="shared" si="3"/>
        <v>131</v>
      </c>
      <c r="B189" s="61" t="s">
        <v>3289</v>
      </c>
      <c r="C189" s="62" t="s">
        <v>808</v>
      </c>
    </row>
    <row r="190" spans="1:3" x14ac:dyDescent="0.2">
      <c r="A190" s="60">
        <f t="shared" si="3"/>
        <v>132</v>
      </c>
      <c r="B190" s="61" t="s">
        <v>3290</v>
      </c>
      <c r="C190" s="62" t="s">
        <v>808</v>
      </c>
    </row>
    <row r="191" spans="1:3" x14ac:dyDescent="0.2">
      <c r="A191" s="60">
        <f t="shared" si="3"/>
        <v>133</v>
      </c>
      <c r="B191" s="61" t="s">
        <v>3291</v>
      </c>
      <c r="C191" s="62" t="s">
        <v>808</v>
      </c>
    </row>
    <row r="192" spans="1:3" x14ac:dyDescent="0.2">
      <c r="A192" s="60">
        <f t="shared" si="3"/>
        <v>134</v>
      </c>
      <c r="B192" s="61" t="s">
        <v>3292</v>
      </c>
      <c r="C192" s="62" t="s">
        <v>808</v>
      </c>
    </row>
    <row r="193" spans="1:3" x14ac:dyDescent="0.2">
      <c r="A193" s="60">
        <f t="shared" si="3"/>
        <v>135</v>
      </c>
      <c r="B193" s="63" t="s">
        <v>3293</v>
      </c>
      <c r="C193" s="64" t="s">
        <v>808</v>
      </c>
    </row>
    <row r="194" spans="1:3" x14ac:dyDescent="0.2">
      <c r="A194" s="60">
        <f t="shared" si="3"/>
        <v>136</v>
      </c>
      <c r="B194" s="61" t="s">
        <v>3294</v>
      </c>
      <c r="C194" s="62" t="s">
        <v>808</v>
      </c>
    </row>
    <row r="195" spans="1:3" x14ac:dyDescent="0.2">
      <c r="A195" s="60">
        <f t="shared" si="3"/>
        <v>137</v>
      </c>
      <c r="B195" s="61" t="s">
        <v>3295</v>
      </c>
      <c r="C195" s="62" t="s">
        <v>808</v>
      </c>
    </row>
    <row r="196" spans="1:3" x14ac:dyDescent="0.2">
      <c r="A196" s="60">
        <f t="shared" si="3"/>
        <v>138</v>
      </c>
      <c r="B196" s="61" t="s">
        <v>3296</v>
      </c>
      <c r="C196" s="62" t="s">
        <v>808</v>
      </c>
    </row>
    <row r="197" spans="1:3" x14ac:dyDescent="0.2">
      <c r="A197" s="60">
        <f t="shared" si="3"/>
        <v>139</v>
      </c>
      <c r="B197" s="61" t="s">
        <v>3297</v>
      </c>
      <c r="C197" s="62" t="s">
        <v>808</v>
      </c>
    </row>
    <row r="198" spans="1:3" x14ac:dyDescent="0.2">
      <c r="A198" s="60">
        <f t="shared" si="3"/>
        <v>140</v>
      </c>
      <c r="B198" s="61" t="s">
        <v>3298</v>
      </c>
      <c r="C198" s="62" t="s">
        <v>808</v>
      </c>
    </row>
    <row r="199" spans="1:3" x14ac:dyDescent="0.2">
      <c r="A199" s="60">
        <f t="shared" si="3"/>
        <v>141</v>
      </c>
      <c r="B199" s="61" t="s">
        <v>3299</v>
      </c>
      <c r="C199" s="62" t="s">
        <v>808</v>
      </c>
    </row>
    <row r="200" spans="1:3" x14ac:dyDescent="0.2">
      <c r="A200" s="60">
        <f t="shared" si="3"/>
        <v>142</v>
      </c>
      <c r="B200" s="61" t="s">
        <v>3300</v>
      </c>
      <c r="C200" s="62" t="s">
        <v>808</v>
      </c>
    </row>
    <row r="201" spans="1:3" x14ac:dyDescent="0.2">
      <c r="A201" s="60">
        <f t="shared" si="3"/>
        <v>143</v>
      </c>
      <c r="B201" s="61" t="s">
        <v>3301</v>
      </c>
      <c r="C201" s="62" t="s">
        <v>808</v>
      </c>
    </row>
    <row r="202" spans="1:3" x14ac:dyDescent="0.2">
      <c r="A202" s="60">
        <f t="shared" si="3"/>
        <v>144</v>
      </c>
      <c r="B202" s="63" t="s">
        <v>3302</v>
      </c>
      <c r="C202" s="64" t="s">
        <v>808</v>
      </c>
    </row>
    <row r="203" spans="1:3" x14ac:dyDescent="0.2">
      <c r="A203" s="60">
        <f t="shared" si="3"/>
        <v>145</v>
      </c>
      <c r="B203" s="61" t="s">
        <v>3303</v>
      </c>
      <c r="C203" s="62" t="s">
        <v>808</v>
      </c>
    </row>
    <row r="204" spans="1:3" x14ac:dyDescent="0.2">
      <c r="A204" s="60">
        <f t="shared" si="3"/>
        <v>146</v>
      </c>
      <c r="B204" s="61" t="s">
        <v>3304</v>
      </c>
      <c r="C204" s="62" t="s">
        <v>808</v>
      </c>
    </row>
    <row r="205" spans="1:3" x14ac:dyDescent="0.2">
      <c r="A205" s="60">
        <f t="shared" si="3"/>
        <v>147</v>
      </c>
      <c r="B205" s="61" t="s">
        <v>3305</v>
      </c>
      <c r="C205" s="62" t="s">
        <v>808</v>
      </c>
    </row>
    <row r="206" spans="1:3" x14ac:dyDescent="0.2">
      <c r="A206" s="60">
        <f t="shared" si="3"/>
        <v>148</v>
      </c>
      <c r="B206" s="61" t="s">
        <v>3306</v>
      </c>
      <c r="C206" s="62" t="s">
        <v>808</v>
      </c>
    </row>
    <row r="207" spans="1:3" x14ac:dyDescent="0.2">
      <c r="A207" s="60">
        <f t="shared" si="3"/>
        <v>149</v>
      </c>
      <c r="B207" s="61" t="s">
        <v>3307</v>
      </c>
      <c r="C207" s="62" t="s">
        <v>808</v>
      </c>
    </row>
    <row r="208" spans="1:3" x14ac:dyDescent="0.2">
      <c r="A208" s="60">
        <f t="shared" si="3"/>
        <v>150</v>
      </c>
      <c r="B208" s="61" t="s">
        <v>3308</v>
      </c>
      <c r="C208" s="62" t="s">
        <v>808</v>
      </c>
    </row>
    <row r="209" spans="1:3" x14ac:dyDescent="0.2">
      <c r="A209" s="60">
        <f t="shared" si="3"/>
        <v>151</v>
      </c>
      <c r="B209" s="61" t="s">
        <v>3309</v>
      </c>
      <c r="C209" s="62" t="s">
        <v>808</v>
      </c>
    </row>
    <row r="210" spans="1:3" x14ac:dyDescent="0.2">
      <c r="A210" s="60">
        <f t="shared" si="3"/>
        <v>152</v>
      </c>
      <c r="B210" s="63" t="s">
        <v>3310</v>
      </c>
      <c r="C210" s="64" t="s">
        <v>808</v>
      </c>
    </row>
    <row r="211" spans="1:3" x14ac:dyDescent="0.2">
      <c r="A211" s="60">
        <f t="shared" si="3"/>
        <v>153</v>
      </c>
      <c r="B211" s="61" t="s">
        <v>3311</v>
      </c>
      <c r="C211" s="62" t="s">
        <v>808</v>
      </c>
    </row>
    <row r="212" spans="1:3" x14ac:dyDescent="0.2">
      <c r="A212" s="60">
        <f t="shared" si="3"/>
        <v>154</v>
      </c>
      <c r="B212" s="61" t="s">
        <v>3312</v>
      </c>
      <c r="C212" s="62" t="s">
        <v>808</v>
      </c>
    </row>
    <row r="213" spans="1:3" x14ac:dyDescent="0.2">
      <c r="A213" s="60">
        <f t="shared" si="3"/>
        <v>155</v>
      </c>
      <c r="B213" s="61" t="s">
        <v>3313</v>
      </c>
      <c r="C213" s="62" t="s">
        <v>808</v>
      </c>
    </row>
    <row r="214" spans="1:3" x14ac:dyDescent="0.2">
      <c r="A214" s="60">
        <f t="shared" si="3"/>
        <v>156</v>
      </c>
      <c r="B214" s="61" t="s">
        <v>3314</v>
      </c>
      <c r="C214" s="62" t="s">
        <v>808</v>
      </c>
    </row>
    <row r="215" spans="1:3" x14ac:dyDescent="0.2">
      <c r="A215" s="60">
        <f t="shared" si="3"/>
        <v>157</v>
      </c>
      <c r="B215" s="61" t="s">
        <v>3315</v>
      </c>
      <c r="C215" s="62" t="s">
        <v>808</v>
      </c>
    </row>
    <row r="216" spans="1:3" x14ac:dyDescent="0.2">
      <c r="A216" s="60">
        <f t="shared" si="3"/>
        <v>158</v>
      </c>
      <c r="B216" s="61" t="s">
        <v>3316</v>
      </c>
      <c r="C216" s="62" t="s">
        <v>808</v>
      </c>
    </row>
    <row r="217" spans="1:3" x14ac:dyDescent="0.2">
      <c r="A217" s="60">
        <f t="shared" si="3"/>
        <v>159</v>
      </c>
      <c r="B217" s="61" t="s">
        <v>3317</v>
      </c>
      <c r="C217" s="62" t="s">
        <v>808</v>
      </c>
    </row>
    <row r="218" spans="1:3" x14ac:dyDescent="0.2">
      <c r="A218" s="60">
        <f t="shared" si="3"/>
        <v>160</v>
      </c>
      <c r="B218" s="61" t="s">
        <v>3318</v>
      </c>
      <c r="C218" s="62" t="s">
        <v>808</v>
      </c>
    </row>
    <row r="219" spans="1:3" x14ac:dyDescent="0.2">
      <c r="A219" s="60">
        <f t="shared" si="3"/>
        <v>161</v>
      </c>
      <c r="B219" s="61" t="s">
        <v>3319</v>
      </c>
      <c r="C219" s="62" t="s">
        <v>808</v>
      </c>
    </row>
    <row r="220" spans="1:3" x14ac:dyDescent="0.2">
      <c r="A220" s="60">
        <f t="shared" si="3"/>
        <v>162</v>
      </c>
      <c r="B220" s="63" t="s">
        <v>3320</v>
      </c>
      <c r="C220" s="64" t="s">
        <v>808</v>
      </c>
    </row>
    <row r="221" spans="1:3" x14ac:dyDescent="0.2">
      <c r="A221" s="60">
        <f t="shared" si="3"/>
        <v>163</v>
      </c>
      <c r="B221" s="61" t="s">
        <v>3321</v>
      </c>
      <c r="C221" s="62" t="s">
        <v>808</v>
      </c>
    </row>
    <row r="222" spans="1:3" x14ac:dyDescent="0.2">
      <c r="A222" s="60">
        <f t="shared" si="3"/>
        <v>164</v>
      </c>
      <c r="B222" s="61" t="s">
        <v>3322</v>
      </c>
      <c r="C222" s="62" t="s">
        <v>808</v>
      </c>
    </row>
    <row r="223" spans="1:3" x14ac:dyDescent="0.2">
      <c r="A223" s="60">
        <f t="shared" si="3"/>
        <v>165</v>
      </c>
      <c r="B223" s="61" t="s">
        <v>3323</v>
      </c>
      <c r="C223" s="62" t="s">
        <v>808</v>
      </c>
    </row>
    <row r="224" spans="1:3" x14ac:dyDescent="0.2">
      <c r="A224" s="60">
        <f t="shared" si="3"/>
        <v>166</v>
      </c>
      <c r="B224" s="61" t="s">
        <v>3324</v>
      </c>
      <c r="C224" s="62" t="s">
        <v>808</v>
      </c>
    </row>
    <row r="225" spans="1:3" x14ac:dyDescent="0.2">
      <c r="A225" s="60">
        <f t="shared" si="3"/>
        <v>167</v>
      </c>
      <c r="B225" s="63" t="s">
        <v>3325</v>
      </c>
      <c r="C225" s="64" t="s">
        <v>808</v>
      </c>
    </row>
    <row r="226" spans="1:3" x14ac:dyDescent="0.2">
      <c r="A226" s="60">
        <f t="shared" si="3"/>
        <v>168</v>
      </c>
      <c r="B226" s="61" t="s">
        <v>3326</v>
      </c>
      <c r="C226" s="62" t="s">
        <v>808</v>
      </c>
    </row>
    <row r="227" spans="1:3" x14ac:dyDescent="0.2">
      <c r="A227" s="60">
        <f t="shared" si="3"/>
        <v>169</v>
      </c>
      <c r="B227" s="61" t="s">
        <v>3327</v>
      </c>
      <c r="C227" s="62" t="s">
        <v>808</v>
      </c>
    </row>
    <row r="228" spans="1:3" x14ac:dyDescent="0.2">
      <c r="A228" s="60">
        <f t="shared" si="3"/>
        <v>170</v>
      </c>
      <c r="B228" s="61" t="s">
        <v>3328</v>
      </c>
      <c r="C228" s="62" t="s">
        <v>808</v>
      </c>
    </row>
    <row r="229" spans="1:3" x14ac:dyDescent="0.2">
      <c r="A229" s="60">
        <f t="shared" si="3"/>
        <v>171</v>
      </c>
      <c r="B229" s="65" t="s">
        <v>3329</v>
      </c>
      <c r="C229" s="66" t="s">
        <v>808</v>
      </c>
    </row>
    <row r="230" spans="1:3" x14ac:dyDescent="0.2">
      <c r="A230" s="60">
        <f t="shared" si="3"/>
        <v>172</v>
      </c>
      <c r="B230" s="61" t="s">
        <v>3330</v>
      </c>
      <c r="C230" s="62" t="s">
        <v>808</v>
      </c>
    </row>
    <row r="231" spans="1:3" x14ac:dyDescent="0.2">
      <c r="A231" s="60">
        <f t="shared" si="3"/>
        <v>173</v>
      </c>
      <c r="B231" s="61" t="s">
        <v>3331</v>
      </c>
      <c r="C231" s="62" t="s">
        <v>808</v>
      </c>
    </row>
    <row r="232" spans="1:3" x14ac:dyDescent="0.2">
      <c r="A232" s="60">
        <f t="shared" si="3"/>
        <v>174</v>
      </c>
      <c r="B232" s="61" t="s">
        <v>3332</v>
      </c>
      <c r="C232" s="62" t="s">
        <v>808</v>
      </c>
    </row>
    <row r="233" spans="1:3" x14ac:dyDescent="0.2">
      <c r="A233" s="60">
        <f t="shared" si="3"/>
        <v>175</v>
      </c>
      <c r="B233" s="61" t="s">
        <v>3333</v>
      </c>
      <c r="C233" s="62" t="s">
        <v>808</v>
      </c>
    </row>
    <row r="234" spans="1:3" x14ac:dyDescent="0.2">
      <c r="A234" s="60">
        <f t="shared" si="3"/>
        <v>176</v>
      </c>
      <c r="B234" s="61" t="s">
        <v>3334</v>
      </c>
      <c r="C234" s="62" t="s">
        <v>808</v>
      </c>
    </row>
    <row r="235" spans="1:3" x14ac:dyDescent="0.2">
      <c r="A235" s="60">
        <f t="shared" si="3"/>
        <v>177</v>
      </c>
      <c r="B235" s="61" t="s">
        <v>3335</v>
      </c>
      <c r="C235" s="62" t="s">
        <v>808</v>
      </c>
    </row>
    <row r="236" spans="1:3" x14ac:dyDescent="0.2">
      <c r="A236" s="60">
        <f t="shared" si="3"/>
        <v>178</v>
      </c>
      <c r="B236" s="61" t="s">
        <v>3336</v>
      </c>
      <c r="C236" s="62" t="s">
        <v>808</v>
      </c>
    </row>
    <row r="237" spans="1:3" x14ac:dyDescent="0.2">
      <c r="A237" s="60">
        <f t="shared" si="3"/>
        <v>179</v>
      </c>
      <c r="B237" s="61" t="s">
        <v>3337</v>
      </c>
      <c r="C237" s="62" t="s">
        <v>808</v>
      </c>
    </row>
    <row r="238" spans="1:3" x14ac:dyDescent="0.2">
      <c r="A238" s="60">
        <f t="shared" si="3"/>
        <v>180</v>
      </c>
      <c r="B238" s="61" t="s">
        <v>3338</v>
      </c>
      <c r="C238" s="62" t="s">
        <v>808</v>
      </c>
    </row>
    <row r="239" spans="1:3" x14ac:dyDescent="0.2">
      <c r="A239" s="60">
        <f t="shared" si="3"/>
        <v>181</v>
      </c>
      <c r="B239" s="61" t="s">
        <v>3339</v>
      </c>
      <c r="C239" s="62" t="s">
        <v>808</v>
      </c>
    </row>
    <row r="240" spans="1:3" x14ac:dyDescent="0.2">
      <c r="A240" s="60">
        <f t="shared" si="3"/>
        <v>182</v>
      </c>
      <c r="B240" s="63" t="s">
        <v>3340</v>
      </c>
      <c r="C240" s="64" t="s">
        <v>808</v>
      </c>
    </row>
    <row r="241" spans="1:3" x14ac:dyDescent="0.2">
      <c r="A241" s="60">
        <f t="shared" si="3"/>
        <v>183</v>
      </c>
      <c r="B241" s="61" t="s">
        <v>3341</v>
      </c>
      <c r="C241" s="62" t="s">
        <v>808</v>
      </c>
    </row>
    <row r="242" spans="1:3" x14ac:dyDescent="0.2">
      <c r="A242" s="60">
        <f t="shared" si="3"/>
        <v>184</v>
      </c>
      <c r="B242" s="61" t="s">
        <v>3342</v>
      </c>
      <c r="C242" s="62" t="s">
        <v>808</v>
      </c>
    </row>
    <row r="243" spans="1:3" x14ac:dyDescent="0.2">
      <c r="A243" s="60">
        <f t="shared" si="3"/>
        <v>185</v>
      </c>
      <c r="B243" s="61" t="s">
        <v>3343</v>
      </c>
      <c r="C243" s="62" t="s">
        <v>808</v>
      </c>
    </row>
    <row r="244" spans="1:3" x14ac:dyDescent="0.2">
      <c r="A244" s="60">
        <f t="shared" si="3"/>
        <v>186</v>
      </c>
      <c r="B244" s="61" t="s">
        <v>3344</v>
      </c>
      <c r="C244" s="62" t="s">
        <v>808</v>
      </c>
    </row>
    <row r="245" spans="1:3" x14ac:dyDescent="0.2">
      <c r="A245" s="60">
        <f t="shared" si="3"/>
        <v>187</v>
      </c>
      <c r="B245" s="61" t="s">
        <v>3345</v>
      </c>
      <c r="C245" s="62" t="s">
        <v>808</v>
      </c>
    </row>
    <row r="246" spans="1:3" x14ac:dyDescent="0.2">
      <c r="A246" s="60">
        <f t="shared" si="3"/>
        <v>188</v>
      </c>
      <c r="B246" s="61" t="s">
        <v>3346</v>
      </c>
      <c r="C246" s="62" t="s">
        <v>808</v>
      </c>
    </row>
    <row r="247" spans="1:3" x14ac:dyDescent="0.2">
      <c r="A247" s="60">
        <f t="shared" si="3"/>
        <v>189</v>
      </c>
      <c r="B247" s="61" t="s">
        <v>3347</v>
      </c>
      <c r="C247" s="62" t="s">
        <v>808</v>
      </c>
    </row>
    <row r="248" spans="1:3" x14ac:dyDescent="0.2">
      <c r="A248" s="60">
        <f t="shared" si="3"/>
        <v>190</v>
      </c>
      <c r="B248" s="61" t="s">
        <v>3348</v>
      </c>
      <c r="C248" s="62" t="s">
        <v>808</v>
      </c>
    </row>
    <row r="249" spans="1:3" x14ac:dyDescent="0.2">
      <c r="A249" s="60">
        <f t="shared" si="3"/>
        <v>191</v>
      </c>
      <c r="B249" s="61" t="s">
        <v>3349</v>
      </c>
      <c r="C249" s="62" t="s">
        <v>808</v>
      </c>
    </row>
    <row r="250" spans="1:3" x14ac:dyDescent="0.2">
      <c r="A250" s="60">
        <f t="shared" si="3"/>
        <v>192</v>
      </c>
      <c r="B250" s="61" t="s">
        <v>3350</v>
      </c>
      <c r="C250" s="62" t="s">
        <v>808</v>
      </c>
    </row>
    <row r="251" spans="1:3" x14ac:dyDescent="0.2">
      <c r="A251" s="60">
        <f t="shared" si="3"/>
        <v>193</v>
      </c>
      <c r="B251" s="61" t="s">
        <v>3351</v>
      </c>
      <c r="C251" s="62" t="s">
        <v>808</v>
      </c>
    </row>
    <row r="252" spans="1:3" x14ac:dyDescent="0.2">
      <c r="A252" s="60">
        <f t="shared" ref="A252:A315" si="4">1+A251</f>
        <v>194</v>
      </c>
      <c r="B252" s="61" t="s">
        <v>3352</v>
      </c>
      <c r="C252" s="62" t="s">
        <v>808</v>
      </c>
    </row>
    <row r="253" spans="1:3" x14ac:dyDescent="0.2">
      <c r="A253" s="60">
        <f t="shared" si="4"/>
        <v>195</v>
      </c>
      <c r="B253" s="61" t="s">
        <v>3353</v>
      </c>
      <c r="C253" s="62" t="s">
        <v>808</v>
      </c>
    </row>
    <row r="254" spans="1:3" x14ac:dyDescent="0.2">
      <c r="A254" s="60">
        <f t="shared" si="4"/>
        <v>196</v>
      </c>
      <c r="B254" s="61" t="s">
        <v>3354</v>
      </c>
      <c r="C254" s="62" t="s">
        <v>808</v>
      </c>
    </row>
    <row r="255" spans="1:3" x14ac:dyDescent="0.2">
      <c r="A255" s="60">
        <f t="shared" si="4"/>
        <v>197</v>
      </c>
      <c r="B255" s="61" t="s">
        <v>3355</v>
      </c>
      <c r="C255" s="62" t="s">
        <v>808</v>
      </c>
    </row>
    <row r="256" spans="1:3" x14ac:dyDescent="0.2">
      <c r="A256" s="60">
        <f t="shared" si="4"/>
        <v>198</v>
      </c>
      <c r="B256" s="61" t="s">
        <v>3356</v>
      </c>
      <c r="C256" s="62" t="s">
        <v>808</v>
      </c>
    </row>
    <row r="257" spans="1:3" x14ac:dyDescent="0.2">
      <c r="A257" s="60">
        <f t="shared" si="4"/>
        <v>199</v>
      </c>
      <c r="B257" s="61" t="s">
        <v>3357</v>
      </c>
      <c r="C257" s="62" t="s">
        <v>808</v>
      </c>
    </row>
    <row r="258" spans="1:3" x14ac:dyDescent="0.2">
      <c r="A258" s="60">
        <f t="shared" si="4"/>
        <v>200</v>
      </c>
      <c r="B258" s="61" t="s">
        <v>3358</v>
      </c>
      <c r="C258" s="62" t="s">
        <v>808</v>
      </c>
    </row>
    <row r="259" spans="1:3" x14ac:dyDescent="0.2">
      <c r="A259" s="60">
        <f t="shared" si="4"/>
        <v>201</v>
      </c>
      <c r="B259" s="61" t="s">
        <v>3359</v>
      </c>
      <c r="C259" s="62" t="s">
        <v>808</v>
      </c>
    </row>
    <row r="260" spans="1:3" x14ac:dyDescent="0.2">
      <c r="A260" s="60">
        <f t="shared" si="4"/>
        <v>202</v>
      </c>
      <c r="B260" s="61" t="s">
        <v>3360</v>
      </c>
      <c r="C260" s="62" t="s">
        <v>808</v>
      </c>
    </row>
    <row r="261" spans="1:3" x14ac:dyDescent="0.2">
      <c r="A261" s="60">
        <f t="shared" si="4"/>
        <v>203</v>
      </c>
      <c r="B261" s="61" t="s">
        <v>3361</v>
      </c>
      <c r="C261" s="62" t="s">
        <v>808</v>
      </c>
    </row>
    <row r="262" spans="1:3" x14ac:dyDescent="0.2">
      <c r="A262" s="60">
        <f t="shared" si="4"/>
        <v>204</v>
      </c>
      <c r="B262" s="61" t="s">
        <v>3362</v>
      </c>
      <c r="C262" s="62" t="s">
        <v>808</v>
      </c>
    </row>
    <row r="263" spans="1:3" x14ac:dyDescent="0.2">
      <c r="A263" s="60">
        <f t="shared" si="4"/>
        <v>205</v>
      </c>
      <c r="B263" s="61" t="s">
        <v>3363</v>
      </c>
      <c r="C263" s="62" t="s">
        <v>808</v>
      </c>
    </row>
    <row r="264" spans="1:3" x14ac:dyDescent="0.2">
      <c r="A264" s="60">
        <f t="shared" si="4"/>
        <v>206</v>
      </c>
      <c r="B264" s="61" t="s">
        <v>3364</v>
      </c>
      <c r="C264" s="62" t="s">
        <v>808</v>
      </c>
    </row>
    <row r="265" spans="1:3" x14ac:dyDescent="0.2">
      <c r="A265" s="60">
        <f t="shared" si="4"/>
        <v>207</v>
      </c>
      <c r="B265" s="61" t="s">
        <v>3365</v>
      </c>
      <c r="C265" s="62" t="s">
        <v>808</v>
      </c>
    </row>
    <row r="266" spans="1:3" x14ac:dyDescent="0.2">
      <c r="A266" s="60">
        <f t="shared" si="4"/>
        <v>208</v>
      </c>
      <c r="B266" s="61" t="s">
        <v>3366</v>
      </c>
      <c r="C266" s="62" t="s">
        <v>808</v>
      </c>
    </row>
    <row r="267" spans="1:3" x14ac:dyDescent="0.2">
      <c r="A267" s="60">
        <f t="shared" si="4"/>
        <v>209</v>
      </c>
      <c r="B267" s="61" t="s">
        <v>3367</v>
      </c>
      <c r="C267" s="62" t="s">
        <v>808</v>
      </c>
    </row>
    <row r="268" spans="1:3" x14ac:dyDescent="0.2">
      <c r="A268" s="60">
        <f t="shared" si="4"/>
        <v>210</v>
      </c>
      <c r="B268" s="61" t="s">
        <v>3368</v>
      </c>
      <c r="C268" s="62" t="s">
        <v>808</v>
      </c>
    </row>
    <row r="269" spans="1:3" x14ac:dyDescent="0.2">
      <c r="A269" s="60">
        <f t="shared" si="4"/>
        <v>211</v>
      </c>
      <c r="B269" s="61" t="s">
        <v>3369</v>
      </c>
      <c r="C269" s="62" t="s">
        <v>808</v>
      </c>
    </row>
    <row r="270" spans="1:3" x14ac:dyDescent="0.2">
      <c r="A270" s="60">
        <f t="shared" si="4"/>
        <v>212</v>
      </c>
      <c r="B270" s="61" t="s">
        <v>3370</v>
      </c>
      <c r="C270" s="62" t="s">
        <v>808</v>
      </c>
    </row>
    <row r="271" spans="1:3" x14ac:dyDescent="0.2">
      <c r="A271" s="60">
        <f t="shared" si="4"/>
        <v>213</v>
      </c>
      <c r="B271" s="61" t="s">
        <v>3371</v>
      </c>
      <c r="C271" s="62" t="s">
        <v>808</v>
      </c>
    </row>
    <row r="272" spans="1:3" x14ac:dyDescent="0.2">
      <c r="A272" s="60">
        <f t="shared" si="4"/>
        <v>214</v>
      </c>
      <c r="B272" s="61" t="s">
        <v>3372</v>
      </c>
      <c r="C272" s="62" t="s">
        <v>808</v>
      </c>
    </row>
    <row r="273" spans="1:3" x14ac:dyDescent="0.2">
      <c r="A273" s="60">
        <f t="shared" si="4"/>
        <v>215</v>
      </c>
      <c r="B273" s="61" t="s">
        <v>3373</v>
      </c>
      <c r="C273" s="62" t="s">
        <v>808</v>
      </c>
    </row>
    <row r="274" spans="1:3" x14ac:dyDescent="0.2">
      <c r="A274" s="60">
        <f t="shared" si="4"/>
        <v>216</v>
      </c>
      <c r="B274" s="61" t="s">
        <v>3374</v>
      </c>
      <c r="C274" s="62" t="s">
        <v>808</v>
      </c>
    </row>
    <row r="275" spans="1:3" x14ac:dyDescent="0.2">
      <c r="A275" s="60">
        <f t="shared" si="4"/>
        <v>217</v>
      </c>
      <c r="B275" s="61" t="s">
        <v>3375</v>
      </c>
      <c r="C275" s="62" t="s">
        <v>808</v>
      </c>
    </row>
    <row r="276" spans="1:3" x14ac:dyDescent="0.2">
      <c r="A276" s="60">
        <f t="shared" si="4"/>
        <v>218</v>
      </c>
      <c r="B276" s="61" t="s">
        <v>3376</v>
      </c>
      <c r="C276" s="62" t="s">
        <v>808</v>
      </c>
    </row>
    <row r="277" spans="1:3" x14ac:dyDescent="0.2">
      <c r="A277" s="60">
        <f t="shared" si="4"/>
        <v>219</v>
      </c>
      <c r="B277" s="61" t="s">
        <v>3377</v>
      </c>
      <c r="C277" s="62" t="s">
        <v>808</v>
      </c>
    </row>
    <row r="278" spans="1:3" x14ac:dyDescent="0.2">
      <c r="A278" s="60">
        <f t="shared" si="4"/>
        <v>220</v>
      </c>
      <c r="B278" s="61" t="s">
        <v>3378</v>
      </c>
      <c r="C278" s="62" t="s">
        <v>808</v>
      </c>
    </row>
    <row r="279" spans="1:3" x14ac:dyDescent="0.2">
      <c r="A279" s="60">
        <f t="shared" si="4"/>
        <v>221</v>
      </c>
      <c r="B279" s="61" t="s">
        <v>3379</v>
      </c>
      <c r="C279" s="62" t="s">
        <v>808</v>
      </c>
    </row>
    <row r="280" spans="1:3" x14ac:dyDescent="0.2">
      <c r="A280" s="60">
        <f t="shared" si="4"/>
        <v>222</v>
      </c>
      <c r="B280" s="61" t="s">
        <v>3380</v>
      </c>
      <c r="C280" s="62" t="s">
        <v>808</v>
      </c>
    </row>
    <row r="281" spans="1:3" x14ac:dyDescent="0.2">
      <c r="A281" s="60">
        <f t="shared" si="4"/>
        <v>223</v>
      </c>
      <c r="B281" s="61" t="s">
        <v>3381</v>
      </c>
      <c r="C281" s="62" t="s">
        <v>808</v>
      </c>
    </row>
    <row r="282" spans="1:3" x14ac:dyDescent="0.2">
      <c r="A282" s="60">
        <f t="shared" si="4"/>
        <v>224</v>
      </c>
      <c r="B282" s="61" t="s">
        <v>3382</v>
      </c>
      <c r="C282" s="62" t="s">
        <v>808</v>
      </c>
    </row>
    <row r="283" spans="1:3" x14ac:dyDescent="0.2">
      <c r="A283" s="60">
        <f t="shared" si="4"/>
        <v>225</v>
      </c>
      <c r="B283" s="61" t="s">
        <v>3383</v>
      </c>
      <c r="C283" s="62" t="s">
        <v>808</v>
      </c>
    </row>
    <row r="284" spans="1:3" x14ac:dyDescent="0.2">
      <c r="A284" s="60">
        <f t="shared" si="4"/>
        <v>226</v>
      </c>
      <c r="B284" s="61" t="s">
        <v>3384</v>
      </c>
      <c r="C284" s="62" t="s">
        <v>808</v>
      </c>
    </row>
    <row r="285" spans="1:3" x14ac:dyDescent="0.2">
      <c r="A285" s="60">
        <f t="shared" si="4"/>
        <v>227</v>
      </c>
      <c r="B285" s="61" t="s">
        <v>3385</v>
      </c>
      <c r="C285" s="62" t="s">
        <v>808</v>
      </c>
    </row>
    <row r="286" spans="1:3" x14ac:dyDescent="0.2">
      <c r="A286" s="60">
        <f t="shared" si="4"/>
        <v>228</v>
      </c>
      <c r="B286" s="61" t="s">
        <v>3386</v>
      </c>
      <c r="C286" s="62" t="s">
        <v>808</v>
      </c>
    </row>
    <row r="287" spans="1:3" x14ac:dyDescent="0.2">
      <c r="A287" s="60">
        <f t="shared" si="4"/>
        <v>229</v>
      </c>
      <c r="B287" s="61" t="s">
        <v>3387</v>
      </c>
      <c r="C287" s="62" t="s">
        <v>808</v>
      </c>
    </row>
    <row r="288" spans="1:3" x14ac:dyDescent="0.2">
      <c r="A288" s="60">
        <f t="shared" si="4"/>
        <v>230</v>
      </c>
      <c r="B288" s="63" t="s">
        <v>3388</v>
      </c>
      <c r="C288" s="64" t="s">
        <v>808</v>
      </c>
    </row>
    <row r="289" spans="1:3" x14ac:dyDescent="0.2">
      <c r="A289" s="60">
        <f t="shared" si="4"/>
        <v>231</v>
      </c>
      <c r="B289" s="63" t="s">
        <v>3389</v>
      </c>
      <c r="C289" s="64" t="s">
        <v>808</v>
      </c>
    </row>
    <row r="290" spans="1:3" x14ac:dyDescent="0.2">
      <c r="A290" s="60">
        <f t="shared" si="4"/>
        <v>232</v>
      </c>
      <c r="B290" s="63" t="s">
        <v>3390</v>
      </c>
      <c r="C290" s="62" t="s">
        <v>808</v>
      </c>
    </row>
    <row r="291" spans="1:3" x14ac:dyDescent="0.2">
      <c r="A291" s="60">
        <f t="shared" si="4"/>
        <v>233</v>
      </c>
      <c r="B291" s="61" t="s">
        <v>3391</v>
      </c>
      <c r="C291" s="62" t="s">
        <v>808</v>
      </c>
    </row>
    <row r="292" spans="1:3" x14ac:dyDescent="0.2">
      <c r="A292" s="60">
        <f t="shared" si="4"/>
        <v>234</v>
      </c>
      <c r="B292" s="61" t="s">
        <v>3392</v>
      </c>
      <c r="C292" s="62" t="s">
        <v>808</v>
      </c>
    </row>
    <row r="293" spans="1:3" x14ac:dyDescent="0.2">
      <c r="A293" s="60">
        <f t="shared" si="4"/>
        <v>235</v>
      </c>
      <c r="B293" s="61" t="s">
        <v>3393</v>
      </c>
      <c r="C293" s="62" t="s">
        <v>808</v>
      </c>
    </row>
    <row r="294" spans="1:3" x14ac:dyDescent="0.2">
      <c r="A294" s="60">
        <f t="shared" si="4"/>
        <v>236</v>
      </c>
      <c r="B294" s="63" t="s">
        <v>3394</v>
      </c>
      <c r="C294" s="64" t="s">
        <v>808</v>
      </c>
    </row>
    <row r="295" spans="1:3" x14ac:dyDescent="0.2">
      <c r="A295" s="60">
        <f t="shared" si="4"/>
        <v>237</v>
      </c>
      <c r="B295" s="63" t="s">
        <v>3395</v>
      </c>
      <c r="C295" s="64" t="s">
        <v>808</v>
      </c>
    </row>
    <row r="296" spans="1:3" x14ac:dyDescent="0.2">
      <c r="A296" s="60">
        <f t="shared" si="4"/>
        <v>238</v>
      </c>
      <c r="B296" s="61" t="s">
        <v>3396</v>
      </c>
      <c r="C296" s="62" t="s">
        <v>808</v>
      </c>
    </row>
    <row r="297" spans="1:3" x14ac:dyDescent="0.2">
      <c r="A297" s="60">
        <f t="shared" si="4"/>
        <v>239</v>
      </c>
      <c r="B297" s="61" t="s">
        <v>3397</v>
      </c>
      <c r="C297" s="62" t="s">
        <v>808</v>
      </c>
    </row>
    <row r="298" spans="1:3" x14ac:dyDescent="0.2">
      <c r="A298" s="60">
        <f t="shared" si="4"/>
        <v>240</v>
      </c>
      <c r="B298" s="61" t="s">
        <v>3398</v>
      </c>
      <c r="C298" s="62" t="s">
        <v>808</v>
      </c>
    </row>
    <row r="299" spans="1:3" x14ac:dyDescent="0.2">
      <c r="A299" s="60">
        <f t="shared" si="4"/>
        <v>241</v>
      </c>
      <c r="B299" s="61" t="s">
        <v>3399</v>
      </c>
      <c r="C299" s="62" t="s">
        <v>808</v>
      </c>
    </row>
    <row r="300" spans="1:3" x14ac:dyDescent="0.2">
      <c r="A300" s="60">
        <f t="shared" si="4"/>
        <v>242</v>
      </c>
      <c r="B300" s="61" t="s">
        <v>3400</v>
      </c>
      <c r="C300" s="62" t="s">
        <v>808</v>
      </c>
    </row>
    <row r="301" spans="1:3" x14ac:dyDescent="0.2">
      <c r="A301" s="60">
        <f t="shared" si="4"/>
        <v>243</v>
      </c>
      <c r="B301" s="61" t="s">
        <v>3401</v>
      </c>
      <c r="C301" s="62" t="s">
        <v>808</v>
      </c>
    </row>
    <row r="302" spans="1:3" x14ac:dyDescent="0.2">
      <c r="A302" s="60">
        <f t="shared" si="4"/>
        <v>244</v>
      </c>
      <c r="B302" s="61" t="s">
        <v>3402</v>
      </c>
      <c r="C302" s="62" t="s">
        <v>808</v>
      </c>
    </row>
    <row r="303" spans="1:3" x14ac:dyDescent="0.2">
      <c r="A303" s="60">
        <f t="shared" si="4"/>
        <v>245</v>
      </c>
      <c r="B303" s="61" t="s">
        <v>3403</v>
      </c>
      <c r="C303" s="62" t="s">
        <v>808</v>
      </c>
    </row>
    <row r="304" spans="1:3" x14ac:dyDescent="0.2">
      <c r="A304" s="60">
        <f t="shared" si="4"/>
        <v>246</v>
      </c>
      <c r="B304" s="61" t="s">
        <v>3404</v>
      </c>
      <c r="C304" s="62" t="s">
        <v>808</v>
      </c>
    </row>
    <row r="305" spans="1:3" x14ac:dyDescent="0.2">
      <c r="A305" s="60">
        <f t="shared" si="4"/>
        <v>247</v>
      </c>
      <c r="B305" s="61" t="s">
        <v>3405</v>
      </c>
      <c r="C305" s="62" t="s">
        <v>808</v>
      </c>
    </row>
    <row r="306" spans="1:3" x14ac:dyDescent="0.2">
      <c r="A306" s="60">
        <f t="shared" si="4"/>
        <v>248</v>
      </c>
      <c r="B306" s="61" t="s">
        <v>3406</v>
      </c>
      <c r="C306" s="62" t="s">
        <v>808</v>
      </c>
    </row>
    <row r="307" spans="1:3" x14ac:dyDescent="0.2">
      <c r="A307" s="60">
        <f t="shared" si="4"/>
        <v>249</v>
      </c>
      <c r="B307" s="61" t="s">
        <v>3407</v>
      </c>
      <c r="C307" s="62" t="s">
        <v>808</v>
      </c>
    </row>
    <row r="308" spans="1:3" x14ac:dyDescent="0.2">
      <c r="A308" s="60">
        <f t="shared" si="4"/>
        <v>250</v>
      </c>
      <c r="B308" s="61" t="s">
        <v>3408</v>
      </c>
      <c r="C308" s="62" t="s">
        <v>808</v>
      </c>
    </row>
    <row r="309" spans="1:3" x14ac:dyDescent="0.2">
      <c r="A309" s="60">
        <f t="shared" si="4"/>
        <v>251</v>
      </c>
      <c r="B309" s="61" t="s">
        <v>3409</v>
      </c>
      <c r="C309" s="62" t="s">
        <v>808</v>
      </c>
    </row>
    <row r="310" spans="1:3" x14ac:dyDescent="0.2">
      <c r="A310" s="60">
        <f t="shared" si="4"/>
        <v>252</v>
      </c>
      <c r="B310" s="61" t="s">
        <v>3410</v>
      </c>
      <c r="C310" s="62" t="s">
        <v>808</v>
      </c>
    </row>
    <row r="311" spans="1:3" x14ac:dyDescent="0.2">
      <c r="A311" s="60">
        <f t="shared" si="4"/>
        <v>253</v>
      </c>
      <c r="B311" s="61" t="s">
        <v>3411</v>
      </c>
      <c r="C311" s="62" t="s">
        <v>808</v>
      </c>
    </row>
    <row r="312" spans="1:3" x14ac:dyDescent="0.2">
      <c r="A312" s="60">
        <f t="shared" si="4"/>
        <v>254</v>
      </c>
      <c r="B312" s="63" t="s">
        <v>3412</v>
      </c>
      <c r="C312" s="64" t="s">
        <v>808</v>
      </c>
    </row>
    <row r="313" spans="1:3" x14ac:dyDescent="0.2">
      <c r="A313" s="60">
        <f t="shared" si="4"/>
        <v>255</v>
      </c>
      <c r="B313" s="61" t="s">
        <v>3413</v>
      </c>
      <c r="C313" s="62" t="s">
        <v>808</v>
      </c>
    </row>
    <row r="314" spans="1:3" x14ac:dyDescent="0.2">
      <c r="A314" s="60">
        <f t="shared" si="4"/>
        <v>256</v>
      </c>
      <c r="B314" s="63" t="s">
        <v>3414</v>
      </c>
      <c r="C314" s="64" t="s">
        <v>808</v>
      </c>
    </row>
    <row r="315" spans="1:3" x14ac:dyDescent="0.2">
      <c r="A315" s="60">
        <f t="shared" si="4"/>
        <v>257</v>
      </c>
      <c r="B315" s="63" t="s">
        <v>3415</v>
      </c>
      <c r="C315" s="64" t="s">
        <v>808</v>
      </c>
    </row>
    <row r="316" spans="1:3" x14ac:dyDescent="0.2">
      <c r="A316" s="60">
        <f t="shared" ref="A316:A379" si="5">1+A315</f>
        <v>258</v>
      </c>
      <c r="B316" s="61" t="s">
        <v>3416</v>
      </c>
      <c r="C316" s="62" t="s">
        <v>808</v>
      </c>
    </row>
    <row r="317" spans="1:3" x14ac:dyDescent="0.2">
      <c r="A317" s="60">
        <f t="shared" si="5"/>
        <v>259</v>
      </c>
      <c r="B317" s="61" t="s">
        <v>3417</v>
      </c>
      <c r="C317" s="62" t="s">
        <v>808</v>
      </c>
    </row>
    <row r="318" spans="1:3" x14ac:dyDescent="0.2">
      <c r="A318" s="60">
        <f t="shared" si="5"/>
        <v>260</v>
      </c>
      <c r="B318" s="61" t="s">
        <v>3418</v>
      </c>
      <c r="C318" s="62" t="s">
        <v>808</v>
      </c>
    </row>
    <row r="319" spans="1:3" x14ac:dyDescent="0.2">
      <c r="A319" s="60">
        <f t="shared" si="5"/>
        <v>261</v>
      </c>
      <c r="B319" s="61" t="s">
        <v>3419</v>
      </c>
      <c r="C319" s="62" t="s">
        <v>808</v>
      </c>
    </row>
    <row r="320" spans="1:3" x14ac:dyDescent="0.2">
      <c r="A320" s="60">
        <f t="shared" si="5"/>
        <v>262</v>
      </c>
      <c r="B320" s="61" t="s">
        <v>3420</v>
      </c>
      <c r="C320" s="62" t="s">
        <v>808</v>
      </c>
    </row>
    <row r="321" spans="1:3" x14ac:dyDescent="0.2">
      <c r="A321" s="60">
        <f t="shared" si="5"/>
        <v>263</v>
      </c>
      <c r="B321" s="61" t="s">
        <v>3421</v>
      </c>
      <c r="C321" s="62" t="s">
        <v>808</v>
      </c>
    </row>
    <row r="322" spans="1:3" x14ac:dyDescent="0.2">
      <c r="A322" s="60">
        <f t="shared" si="5"/>
        <v>264</v>
      </c>
      <c r="B322" s="61" t="s">
        <v>3422</v>
      </c>
      <c r="C322" s="62" t="s">
        <v>808</v>
      </c>
    </row>
    <row r="323" spans="1:3" x14ac:dyDescent="0.2">
      <c r="A323" s="60">
        <f t="shared" si="5"/>
        <v>265</v>
      </c>
      <c r="B323" s="61" t="s">
        <v>3423</v>
      </c>
      <c r="C323" s="62" t="s">
        <v>808</v>
      </c>
    </row>
    <row r="324" spans="1:3" x14ac:dyDescent="0.2">
      <c r="A324" s="60">
        <f t="shared" si="5"/>
        <v>266</v>
      </c>
      <c r="B324" s="63" t="s">
        <v>3424</v>
      </c>
      <c r="C324" s="64" t="s">
        <v>808</v>
      </c>
    </row>
    <row r="325" spans="1:3" x14ac:dyDescent="0.2">
      <c r="A325" s="60">
        <f t="shared" si="5"/>
        <v>267</v>
      </c>
      <c r="B325" s="61" t="s">
        <v>3425</v>
      </c>
      <c r="C325" s="62" t="s">
        <v>808</v>
      </c>
    </row>
    <row r="326" spans="1:3" x14ac:dyDescent="0.2">
      <c r="A326" s="60">
        <f t="shared" si="5"/>
        <v>268</v>
      </c>
      <c r="B326" s="61" t="s">
        <v>3426</v>
      </c>
      <c r="C326" s="62" t="s">
        <v>808</v>
      </c>
    </row>
    <row r="327" spans="1:3" x14ac:dyDescent="0.2">
      <c r="A327" s="60">
        <f t="shared" si="5"/>
        <v>269</v>
      </c>
      <c r="B327" s="61" t="s">
        <v>3427</v>
      </c>
      <c r="C327" s="62" t="s">
        <v>808</v>
      </c>
    </row>
    <row r="328" spans="1:3" x14ac:dyDescent="0.2">
      <c r="A328" s="60">
        <f t="shared" si="5"/>
        <v>270</v>
      </c>
      <c r="B328" s="61" t="s">
        <v>3428</v>
      </c>
      <c r="C328" s="62" t="s">
        <v>808</v>
      </c>
    </row>
    <row r="329" spans="1:3" x14ac:dyDescent="0.2">
      <c r="A329" s="60">
        <f t="shared" si="5"/>
        <v>271</v>
      </c>
      <c r="B329" s="61" t="s">
        <v>3429</v>
      </c>
      <c r="C329" s="62" t="s">
        <v>808</v>
      </c>
    </row>
    <row r="330" spans="1:3" x14ac:dyDescent="0.2">
      <c r="A330" s="60">
        <f t="shared" si="5"/>
        <v>272</v>
      </c>
      <c r="B330" s="61" t="s">
        <v>3430</v>
      </c>
      <c r="C330" s="62" t="s">
        <v>808</v>
      </c>
    </row>
    <row r="331" spans="1:3" x14ac:dyDescent="0.2">
      <c r="A331" s="60">
        <f t="shared" si="5"/>
        <v>273</v>
      </c>
      <c r="B331" s="61" t="s">
        <v>3431</v>
      </c>
      <c r="C331" s="62" t="s">
        <v>808</v>
      </c>
    </row>
    <row r="332" spans="1:3" x14ac:dyDescent="0.2">
      <c r="A332" s="60">
        <f t="shared" si="5"/>
        <v>274</v>
      </c>
      <c r="B332" s="61" t="s">
        <v>3432</v>
      </c>
      <c r="C332" s="62" t="s">
        <v>808</v>
      </c>
    </row>
    <row r="333" spans="1:3" x14ac:dyDescent="0.2">
      <c r="A333" s="60">
        <f t="shared" si="5"/>
        <v>275</v>
      </c>
      <c r="B333" s="61" t="s">
        <v>3433</v>
      </c>
      <c r="C333" s="62" t="s">
        <v>808</v>
      </c>
    </row>
    <row r="334" spans="1:3" x14ac:dyDescent="0.2">
      <c r="A334" s="60">
        <f t="shared" si="5"/>
        <v>276</v>
      </c>
      <c r="B334" s="61" t="s">
        <v>3434</v>
      </c>
      <c r="C334" s="62" t="s">
        <v>808</v>
      </c>
    </row>
    <row r="335" spans="1:3" x14ac:dyDescent="0.2">
      <c r="A335" s="60">
        <f t="shared" si="5"/>
        <v>277</v>
      </c>
      <c r="B335" s="61" t="s">
        <v>3435</v>
      </c>
      <c r="C335" s="62" t="s">
        <v>808</v>
      </c>
    </row>
    <row r="336" spans="1:3" x14ac:dyDescent="0.2">
      <c r="A336" s="60">
        <f t="shared" si="5"/>
        <v>278</v>
      </c>
      <c r="B336" s="61" t="s">
        <v>3436</v>
      </c>
      <c r="C336" s="62" t="s">
        <v>808</v>
      </c>
    </row>
    <row r="337" spans="1:3" x14ac:dyDescent="0.2">
      <c r="A337" s="60">
        <f t="shared" si="5"/>
        <v>279</v>
      </c>
      <c r="B337" s="61" t="s">
        <v>3437</v>
      </c>
      <c r="C337" s="62" t="s">
        <v>808</v>
      </c>
    </row>
    <row r="338" spans="1:3" x14ac:dyDescent="0.2">
      <c r="A338" s="60">
        <f t="shared" si="5"/>
        <v>280</v>
      </c>
      <c r="B338" s="63" t="s">
        <v>3438</v>
      </c>
      <c r="C338" s="64" t="s">
        <v>808</v>
      </c>
    </row>
    <row r="339" spans="1:3" x14ac:dyDescent="0.2">
      <c r="A339" s="60">
        <f t="shared" si="5"/>
        <v>281</v>
      </c>
      <c r="B339" s="61" t="s">
        <v>3439</v>
      </c>
      <c r="C339" s="62" t="s">
        <v>808</v>
      </c>
    </row>
    <row r="340" spans="1:3" x14ac:dyDescent="0.2">
      <c r="A340" s="60">
        <f t="shared" si="5"/>
        <v>282</v>
      </c>
      <c r="B340" s="61" t="s">
        <v>3440</v>
      </c>
      <c r="C340" s="62" t="s">
        <v>808</v>
      </c>
    </row>
    <row r="341" spans="1:3" x14ac:dyDescent="0.2">
      <c r="A341" s="60">
        <f t="shared" si="5"/>
        <v>283</v>
      </c>
      <c r="B341" s="61" t="s">
        <v>3441</v>
      </c>
      <c r="C341" s="62" t="s">
        <v>808</v>
      </c>
    </row>
    <row r="342" spans="1:3" x14ac:dyDescent="0.2">
      <c r="A342" s="60">
        <f t="shared" si="5"/>
        <v>284</v>
      </c>
      <c r="B342" s="61" t="s">
        <v>3442</v>
      </c>
      <c r="C342" s="62" t="s">
        <v>808</v>
      </c>
    </row>
    <row r="343" spans="1:3" x14ac:dyDescent="0.2">
      <c r="A343" s="60">
        <f t="shared" si="5"/>
        <v>285</v>
      </c>
      <c r="B343" s="61" t="s">
        <v>3443</v>
      </c>
      <c r="C343" s="62" t="s">
        <v>808</v>
      </c>
    </row>
    <row r="344" spans="1:3" x14ac:dyDescent="0.2">
      <c r="A344" s="60">
        <f t="shared" si="5"/>
        <v>286</v>
      </c>
      <c r="B344" s="61" t="s">
        <v>3444</v>
      </c>
      <c r="C344" s="62" t="s">
        <v>808</v>
      </c>
    </row>
    <row r="345" spans="1:3" x14ac:dyDescent="0.2">
      <c r="A345" s="60">
        <f t="shared" si="5"/>
        <v>287</v>
      </c>
      <c r="B345" s="61" t="s">
        <v>3445</v>
      </c>
      <c r="C345" s="62" t="s">
        <v>808</v>
      </c>
    </row>
    <row r="346" spans="1:3" x14ac:dyDescent="0.2">
      <c r="A346" s="60">
        <f t="shared" si="5"/>
        <v>288</v>
      </c>
      <c r="B346" s="63" t="s">
        <v>3446</v>
      </c>
      <c r="C346" s="64" t="s">
        <v>808</v>
      </c>
    </row>
    <row r="347" spans="1:3" x14ac:dyDescent="0.2">
      <c r="A347" s="60">
        <f t="shared" si="5"/>
        <v>289</v>
      </c>
      <c r="B347" s="61" t="s">
        <v>3447</v>
      </c>
      <c r="C347" s="62" t="s">
        <v>808</v>
      </c>
    </row>
    <row r="348" spans="1:3" x14ac:dyDescent="0.2">
      <c r="A348" s="60">
        <f t="shared" si="5"/>
        <v>290</v>
      </c>
      <c r="B348" s="61" t="s">
        <v>3448</v>
      </c>
      <c r="C348" s="62" t="s">
        <v>808</v>
      </c>
    </row>
    <row r="349" spans="1:3" x14ac:dyDescent="0.2">
      <c r="A349" s="60">
        <f t="shared" si="5"/>
        <v>291</v>
      </c>
      <c r="B349" s="61" t="s">
        <v>3449</v>
      </c>
      <c r="C349" s="62" t="s">
        <v>808</v>
      </c>
    </row>
    <row r="350" spans="1:3" x14ac:dyDescent="0.2">
      <c r="A350" s="60">
        <f t="shared" si="5"/>
        <v>292</v>
      </c>
      <c r="B350" s="61" t="s">
        <v>3450</v>
      </c>
      <c r="C350" s="62" t="s">
        <v>808</v>
      </c>
    </row>
    <row r="351" spans="1:3" x14ac:dyDescent="0.2">
      <c r="A351" s="60">
        <f t="shared" si="5"/>
        <v>293</v>
      </c>
      <c r="B351" s="61" t="s">
        <v>3451</v>
      </c>
      <c r="C351" s="62" t="s">
        <v>808</v>
      </c>
    </row>
    <row r="352" spans="1:3" x14ac:dyDescent="0.2">
      <c r="A352" s="60">
        <f t="shared" si="5"/>
        <v>294</v>
      </c>
      <c r="B352" s="61" t="s">
        <v>3452</v>
      </c>
      <c r="C352" s="62" t="s">
        <v>808</v>
      </c>
    </row>
    <row r="353" spans="1:3" x14ac:dyDescent="0.2">
      <c r="A353" s="60">
        <f t="shared" si="5"/>
        <v>295</v>
      </c>
      <c r="B353" s="61" t="s">
        <v>3453</v>
      </c>
      <c r="C353" s="62" t="s">
        <v>808</v>
      </c>
    </row>
    <row r="354" spans="1:3" x14ac:dyDescent="0.2">
      <c r="A354" s="60">
        <f t="shared" si="5"/>
        <v>296</v>
      </c>
      <c r="B354" s="61" t="s">
        <v>3454</v>
      </c>
      <c r="C354" s="62" t="s">
        <v>808</v>
      </c>
    </row>
    <row r="355" spans="1:3" x14ac:dyDescent="0.2">
      <c r="A355" s="60">
        <f t="shared" si="5"/>
        <v>297</v>
      </c>
      <c r="B355" s="61" t="s">
        <v>3455</v>
      </c>
      <c r="C355" s="62" t="s">
        <v>808</v>
      </c>
    </row>
    <row r="356" spans="1:3" x14ac:dyDescent="0.2">
      <c r="A356" s="60">
        <f t="shared" si="5"/>
        <v>298</v>
      </c>
      <c r="B356" s="61" t="s">
        <v>3456</v>
      </c>
      <c r="C356" s="62" t="s">
        <v>808</v>
      </c>
    </row>
    <row r="357" spans="1:3" x14ac:dyDescent="0.2">
      <c r="A357" s="60">
        <f t="shared" si="5"/>
        <v>299</v>
      </c>
      <c r="B357" s="61" t="s">
        <v>3457</v>
      </c>
      <c r="C357" s="62" t="s">
        <v>808</v>
      </c>
    </row>
    <row r="358" spans="1:3" x14ac:dyDescent="0.2">
      <c r="A358" s="60">
        <f t="shared" si="5"/>
        <v>300</v>
      </c>
      <c r="B358" s="61" t="s">
        <v>3458</v>
      </c>
      <c r="C358" s="62" t="s">
        <v>808</v>
      </c>
    </row>
    <row r="359" spans="1:3" x14ac:dyDescent="0.2">
      <c r="A359" s="60">
        <f t="shared" si="5"/>
        <v>301</v>
      </c>
      <c r="B359" s="61" t="s">
        <v>3459</v>
      </c>
      <c r="C359" s="62" t="s">
        <v>808</v>
      </c>
    </row>
    <row r="360" spans="1:3" x14ac:dyDescent="0.2">
      <c r="A360" s="60">
        <f t="shared" si="5"/>
        <v>302</v>
      </c>
      <c r="B360" s="61" t="s">
        <v>3460</v>
      </c>
      <c r="C360" s="62" t="s">
        <v>808</v>
      </c>
    </row>
    <row r="361" spans="1:3" x14ac:dyDescent="0.2">
      <c r="A361" s="60">
        <f t="shared" si="5"/>
        <v>303</v>
      </c>
      <c r="B361" s="61" t="s">
        <v>3461</v>
      </c>
      <c r="C361" s="62" t="s">
        <v>808</v>
      </c>
    </row>
    <row r="362" spans="1:3" x14ac:dyDescent="0.2">
      <c r="A362" s="60">
        <f t="shared" si="5"/>
        <v>304</v>
      </c>
      <c r="B362" s="61" t="s">
        <v>3462</v>
      </c>
      <c r="C362" s="62" t="s">
        <v>808</v>
      </c>
    </row>
    <row r="363" spans="1:3" x14ac:dyDescent="0.2">
      <c r="A363" s="60">
        <f t="shared" si="5"/>
        <v>305</v>
      </c>
      <c r="B363" s="61" t="s">
        <v>3463</v>
      </c>
      <c r="C363" s="62" t="s">
        <v>808</v>
      </c>
    </row>
    <row r="364" spans="1:3" x14ac:dyDescent="0.2">
      <c r="A364" s="60">
        <f t="shared" si="5"/>
        <v>306</v>
      </c>
      <c r="B364" s="61" t="s">
        <v>3464</v>
      </c>
      <c r="C364" s="62" t="s">
        <v>808</v>
      </c>
    </row>
    <row r="365" spans="1:3" x14ac:dyDescent="0.2">
      <c r="A365" s="60">
        <f t="shared" si="5"/>
        <v>307</v>
      </c>
      <c r="B365" s="61" t="s">
        <v>3465</v>
      </c>
      <c r="C365" s="62" t="s">
        <v>808</v>
      </c>
    </row>
    <row r="366" spans="1:3" x14ac:dyDescent="0.2">
      <c r="A366" s="60">
        <f t="shared" si="5"/>
        <v>308</v>
      </c>
      <c r="B366" s="61" t="s">
        <v>3466</v>
      </c>
      <c r="C366" s="62" t="s">
        <v>808</v>
      </c>
    </row>
    <row r="367" spans="1:3" x14ac:dyDescent="0.2">
      <c r="A367" s="60">
        <f t="shared" si="5"/>
        <v>309</v>
      </c>
      <c r="B367" s="61" t="s">
        <v>3467</v>
      </c>
      <c r="C367" s="62" t="s">
        <v>808</v>
      </c>
    </row>
    <row r="368" spans="1:3" x14ac:dyDescent="0.2">
      <c r="A368" s="60">
        <f t="shared" si="5"/>
        <v>310</v>
      </c>
      <c r="B368" s="61" t="s">
        <v>3468</v>
      </c>
      <c r="C368" s="62" t="s">
        <v>808</v>
      </c>
    </row>
    <row r="369" spans="1:3" x14ac:dyDescent="0.2">
      <c r="A369" s="60">
        <f t="shared" si="5"/>
        <v>311</v>
      </c>
      <c r="B369" s="61" t="s">
        <v>3469</v>
      </c>
      <c r="C369" s="62" t="s">
        <v>808</v>
      </c>
    </row>
    <row r="370" spans="1:3" x14ac:dyDescent="0.2">
      <c r="A370" s="60">
        <f t="shared" si="5"/>
        <v>312</v>
      </c>
      <c r="B370" s="61" t="s">
        <v>3470</v>
      </c>
      <c r="C370" s="62" t="s">
        <v>808</v>
      </c>
    </row>
    <row r="371" spans="1:3" x14ac:dyDescent="0.2">
      <c r="A371" s="60">
        <f t="shared" si="5"/>
        <v>313</v>
      </c>
      <c r="B371" s="61" t="s">
        <v>3471</v>
      </c>
      <c r="C371" s="62" t="s">
        <v>808</v>
      </c>
    </row>
    <row r="372" spans="1:3" x14ac:dyDescent="0.2">
      <c r="A372" s="60">
        <f t="shared" si="5"/>
        <v>314</v>
      </c>
      <c r="B372" s="61" t="s">
        <v>3472</v>
      </c>
      <c r="C372" s="62" t="s">
        <v>808</v>
      </c>
    </row>
    <row r="373" spans="1:3" x14ac:dyDescent="0.2">
      <c r="A373" s="60">
        <f t="shared" si="5"/>
        <v>315</v>
      </c>
      <c r="B373" s="61" t="s">
        <v>3473</v>
      </c>
      <c r="C373" s="62" t="s">
        <v>808</v>
      </c>
    </row>
    <row r="374" spans="1:3" x14ac:dyDescent="0.2">
      <c r="A374" s="60">
        <f t="shared" si="5"/>
        <v>316</v>
      </c>
      <c r="B374" s="61" t="s">
        <v>3474</v>
      </c>
      <c r="C374" s="62" t="s">
        <v>808</v>
      </c>
    </row>
    <row r="375" spans="1:3" x14ac:dyDescent="0.2">
      <c r="A375" s="60">
        <f t="shared" si="5"/>
        <v>317</v>
      </c>
      <c r="B375" s="61" t="s">
        <v>3475</v>
      </c>
      <c r="C375" s="62" t="s">
        <v>808</v>
      </c>
    </row>
    <row r="376" spans="1:3" x14ac:dyDescent="0.2">
      <c r="A376" s="60">
        <f t="shared" si="5"/>
        <v>318</v>
      </c>
      <c r="B376" s="61" t="s">
        <v>3476</v>
      </c>
      <c r="C376" s="62" t="s">
        <v>808</v>
      </c>
    </row>
    <row r="377" spans="1:3" x14ac:dyDescent="0.2">
      <c r="A377" s="60">
        <f t="shared" si="5"/>
        <v>319</v>
      </c>
      <c r="B377" s="61" t="s">
        <v>3477</v>
      </c>
      <c r="C377" s="62" t="s">
        <v>808</v>
      </c>
    </row>
    <row r="378" spans="1:3" x14ac:dyDescent="0.2">
      <c r="A378" s="60">
        <f t="shared" si="5"/>
        <v>320</v>
      </c>
      <c r="B378" s="61" t="s">
        <v>3478</v>
      </c>
      <c r="C378" s="62" t="s">
        <v>808</v>
      </c>
    </row>
    <row r="379" spans="1:3" x14ac:dyDescent="0.2">
      <c r="A379" s="60">
        <f t="shared" si="5"/>
        <v>321</v>
      </c>
      <c r="B379" s="61" t="s">
        <v>3479</v>
      </c>
      <c r="C379" s="62" t="s">
        <v>808</v>
      </c>
    </row>
    <row r="380" spans="1:3" x14ac:dyDescent="0.2">
      <c r="A380" s="60">
        <f t="shared" ref="A380:A425" si="6">1+A379</f>
        <v>322</v>
      </c>
      <c r="B380" s="61" t="s">
        <v>3480</v>
      </c>
      <c r="C380" s="62" t="s">
        <v>808</v>
      </c>
    </row>
    <row r="381" spans="1:3" x14ac:dyDescent="0.2">
      <c r="A381" s="60">
        <f t="shared" si="6"/>
        <v>323</v>
      </c>
      <c r="B381" s="61" t="s">
        <v>3481</v>
      </c>
      <c r="C381" s="62" t="s">
        <v>808</v>
      </c>
    </row>
    <row r="382" spans="1:3" x14ac:dyDescent="0.2">
      <c r="A382" s="60">
        <f t="shared" si="6"/>
        <v>324</v>
      </c>
      <c r="B382" s="61" t="s">
        <v>3482</v>
      </c>
      <c r="C382" s="62" t="s">
        <v>808</v>
      </c>
    </row>
    <row r="383" spans="1:3" x14ac:dyDescent="0.2">
      <c r="A383" s="60">
        <f t="shared" si="6"/>
        <v>325</v>
      </c>
      <c r="B383" s="61" t="s">
        <v>3483</v>
      </c>
      <c r="C383" s="62" t="s">
        <v>808</v>
      </c>
    </row>
    <row r="384" spans="1:3" x14ac:dyDescent="0.2">
      <c r="A384" s="60">
        <f t="shared" si="6"/>
        <v>326</v>
      </c>
      <c r="B384" s="61" t="s">
        <v>3484</v>
      </c>
      <c r="C384" s="62" t="s">
        <v>808</v>
      </c>
    </row>
    <row r="385" spans="1:3" x14ac:dyDescent="0.2">
      <c r="A385" s="60">
        <f t="shared" si="6"/>
        <v>327</v>
      </c>
      <c r="B385" s="61" t="s">
        <v>3485</v>
      </c>
      <c r="C385" s="62" t="s">
        <v>808</v>
      </c>
    </row>
    <row r="386" spans="1:3" x14ac:dyDescent="0.2">
      <c r="A386" s="60">
        <f t="shared" si="6"/>
        <v>328</v>
      </c>
      <c r="B386" s="61" t="s">
        <v>3486</v>
      </c>
      <c r="C386" s="62" t="s">
        <v>808</v>
      </c>
    </row>
    <row r="387" spans="1:3" x14ac:dyDescent="0.2">
      <c r="A387" s="60">
        <f t="shared" si="6"/>
        <v>329</v>
      </c>
      <c r="B387" s="61" t="s">
        <v>3487</v>
      </c>
      <c r="C387" s="62" t="s">
        <v>808</v>
      </c>
    </row>
    <row r="388" spans="1:3" x14ac:dyDescent="0.2">
      <c r="A388" s="60">
        <f t="shared" si="6"/>
        <v>330</v>
      </c>
      <c r="B388" s="61" t="s">
        <v>3488</v>
      </c>
      <c r="C388" s="62" t="s">
        <v>808</v>
      </c>
    </row>
    <row r="389" spans="1:3" x14ac:dyDescent="0.2">
      <c r="A389" s="60">
        <f t="shared" si="6"/>
        <v>331</v>
      </c>
      <c r="B389" s="61" t="s">
        <v>3489</v>
      </c>
      <c r="C389" s="62" t="s">
        <v>808</v>
      </c>
    </row>
    <row r="390" spans="1:3" x14ac:dyDescent="0.2">
      <c r="A390" s="60">
        <f t="shared" si="6"/>
        <v>332</v>
      </c>
      <c r="B390" s="61" t="s">
        <v>3490</v>
      </c>
      <c r="C390" s="62" t="s">
        <v>808</v>
      </c>
    </row>
    <row r="391" spans="1:3" x14ac:dyDescent="0.2">
      <c r="A391" s="60">
        <f t="shared" si="6"/>
        <v>333</v>
      </c>
      <c r="B391" s="61" t="s">
        <v>3491</v>
      </c>
      <c r="C391" s="62" t="s">
        <v>808</v>
      </c>
    </row>
    <row r="392" spans="1:3" x14ac:dyDescent="0.2">
      <c r="A392" s="60">
        <f t="shared" si="6"/>
        <v>334</v>
      </c>
      <c r="B392" s="61" t="s">
        <v>3492</v>
      </c>
      <c r="C392" s="62" t="s">
        <v>808</v>
      </c>
    </row>
    <row r="393" spans="1:3" x14ac:dyDescent="0.2">
      <c r="A393" s="60">
        <f t="shared" si="6"/>
        <v>335</v>
      </c>
      <c r="B393" s="61" t="s">
        <v>3493</v>
      </c>
      <c r="C393" s="62" t="s">
        <v>808</v>
      </c>
    </row>
    <row r="394" spans="1:3" x14ac:dyDescent="0.2">
      <c r="A394" s="60">
        <f t="shared" si="6"/>
        <v>336</v>
      </c>
      <c r="B394" s="61" t="s">
        <v>3494</v>
      </c>
      <c r="C394" s="62" t="s">
        <v>808</v>
      </c>
    </row>
    <row r="395" spans="1:3" x14ac:dyDescent="0.2">
      <c r="A395" s="60">
        <f t="shared" si="6"/>
        <v>337</v>
      </c>
      <c r="B395" s="61" t="s">
        <v>3495</v>
      </c>
      <c r="C395" s="62" t="s">
        <v>808</v>
      </c>
    </row>
    <row r="396" spans="1:3" x14ac:dyDescent="0.2">
      <c r="A396" s="60">
        <f t="shared" si="6"/>
        <v>338</v>
      </c>
      <c r="B396" s="61" t="s">
        <v>3496</v>
      </c>
      <c r="C396" s="62" t="s">
        <v>808</v>
      </c>
    </row>
    <row r="397" spans="1:3" x14ac:dyDescent="0.2">
      <c r="A397" s="60">
        <f t="shared" si="6"/>
        <v>339</v>
      </c>
      <c r="B397" s="61" t="s">
        <v>3497</v>
      </c>
      <c r="C397" s="62" t="s">
        <v>808</v>
      </c>
    </row>
    <row r="398" spans="1:3" x14ac:dyDescent="0.2">
      <c r="A398" s="60">
        <f t="shared" si="6"/>
        <v>340</v>
      </c>
      <c r="B398" s="61" t="s">
        <v>3498</v>
      </c>
      <c r="C398" s="62" t="s">
        <v>808</v>
      </c>
    </row>
    <row r="399" spans="1:3" x14ac:dyDescent="0.2">
      <c r="A399" s="60">
        <f t="shared" si="6"/>
        <v>341</v>
      </c>
      <c r="B399" s="61" t="s">
        <v>3499</v>
      </c>
      <c r="C399" s="62" t="s">
        <v>808</v>
      </c>
    </row>
    <row r="400" spans="1:3" x14ac:dyDescent="0.2">
      <c r="A400" s="60">
        <f t="shared" si="6"/>
        <v>342</v>
      </c>
      <c r="B400" s="61" t="s">
        <v>3500</v>
      </c>
      <c r="C400" s="62" t="s">
        <v>808</v>
      </c>
    </row>
    <row r="401" spans="1:3" x14ac:dyDescent="0.2">
      <c r="A401" s="60">
        <f t="shared" si="6"/>
        <v>343</v>
      </c>
      <c r="B401" s="61" t="s">
        <v>3501</v>
      </c>
      <c r="C401" s="62" t="s">
        <v>808</v>
      </c>
    </row>
    <row r="402" spans="1:3" x14ac:dyDescent="0.2">
      <c r="A402" s="60">
        <f t="shared" si="6"/>
        <v>344</v>
      </c>
      <c r="B402" s="61" t="s">
        <v>3502</v>
      </c>
      <c r="C402" s="62" t="s">
        <v>808</v>
      </c>
    </row>
    <row r="403" spans="1:3" x14ac:dyDescent="0.2">
      <c r="A403" s="60">
        <f t="shared" si="6"/>
        <v>345</v>
      </c>
      <c r="B403" s="61" t="s">
        <v>3503</v>
      </c>
      <c r="C403" s="62" t="s">
        <v>808</v>
      </c>
    </row>
    <row r="404" spans="1:3" x14ac:dyDescent="0.2">
      <c r="A404" s="60">
        <f t="shared" si="6"/>
        <v>346</v>
      </c>
      <c r="B404" s="61" t="s">
        <v>3504</v>
      </c>
      <c r="C404" s="62" t="s">
        <v>808</v>
      </c>
    </row>
    <row r="405" spans="1:3" x14ac:dyDescent="0.2">
      <c r="A405" s="60">
        <f t="shared" si="6"/>
        <v>347</v>
      </c>
      <c r="B405" s="61" t="s">
        <v>3505</v>
      </c>
      <c r="C405" s="62" t="s">
        <v>808</v>
      </c>
    </row>
    <row r="406" spans="1:3" x14ac:dyDescent="0.2">
      <c r="A406" s="60">
        <f t="shared" si="6"/>
        <v>348</v>
      </c>
      <c r="B406" s="61" t="s">
        <v>3506</v>
      </c>
      <c r="C406" s="62" t="s">
        <v>808</v>
      </c>
    </row>
    <row r="407" spans="1:3" x14ac:dyDescent="0.2">
      <c r="A407" s="60">
        <f t="shared" si="6"/>
        <v>349</v>
      </c>
      <c r="B407" s="61" t="s">
        <v>3507</v>
      </c>
      <c r="C407" s="62" t="s">
        <v>808</v>
      </c>
    </row>
    <row r="408" spans="1:3" x14ac:dyDescent="0.2">
      <c r="A408" s="60">
        <f t="shared" si="6"/>
        <v>350</v>
      </c>
      <c r="B408" s="61" t="s">
        <v>3508</v>
      </c>
      <c r="C408" s="62" t="s">
        <v>808</v>
      </c>
    </row>
    <row r="409" spans="1:3" x14ac:dyDescent="0.2">
      <c r="A409" s="60">
        <f t="shared" si="6"/>
        <v>351</v>
      </c>
      <c r="B409" s="61" t="s">
        <v>3509</v>
      </c>
      <c r="C409" s="62" t="s">
        <v>808</v>
      </c>
    </row>
    <row r="410" spans="1:3" x14ac:dyDescent="0.2">
      <c r="A410" s="60">
        <f t="shared" si="6"/>
        <v>352</v>
      </c>
      <c r="B410" s="61" t="s">
        <v>3510</v>
      </c>
      <c r="C410" s="62" t="s">
        <v>808</v>
      </c>
    </row>
    <row r="411" spans="1:3" x14ac:dyDescent="0.2">
      <c r="A411" s="60">
        <f t="shared" si="6"/>
        <v>353</v>
      </c>
      <c r="B411" s="61" t="s">
        <v>3511</v>
      </c>
      <c r="C411" s="62" t="s">
        <v>808</v>
      </c>
    </row>
    <row r="412" spans="1:3" x14ac:dyDescent="0.2">
      <c r="A412" s="60">
        <f t="shared" si="6"/>
        <v>354</v>
      </c>
      <c r="B412" s="61" t="s">
        <v>3512</v>
      </c>
      <c r="C412" s="62" t="s">
        <v>808</v>
      </c>
    </row>
    <row r="413" spans="1:3" x14ac:dyDescent="0.2">
      <c r="A413" s="60">
        <f t="shared" si="6"/>
        <v>355</v>
      </c>
      <c r="B413" s="61" t="s">
        <v>3513</v>
      </c>
      <c r="C413" s="62" t="s">
        <v>808</v>
      </c>
    </row>
    <row r="414" spans="1:3" x14ac:dyDescent="0.2">
      <c r="A414" s="60">
        <f t="shared" si="6"/>
        <v>356</v>
      </c>
      <c r="B414" s="61" t="s">
        <v>3514</v>
      </c>
      <c r="C414" s="62" t="s">
        <v>808</v>
      </c>
    </row>
    <row r="415" spans="1:3" x14ac:dyDescent="0.2">
      <c r="A415" s="60">
        <f t="shared" si="6"/>
        <v>357</v>
      </c>
      <c r="B415" s="61" t="s">
        <v>3515</v>
      </c>
      <c r="C415" s="62" t="s">
        <v>808</v>
      </c>
    </row>
    <row r="416" spans="1:3" x14ac:dyDescent="0.2">
      <c r="A416" s="60">
        <f t="shared" si="6"/>
        <v>358</v>
      </c>
      <c r="B416" s="61" t="s">
        <v>3516</v>
      </c>
      <c r="C416" s="62" t="s">
        <v>808</v>
      </c>
    </row>
    <row r="417" spans="1:3" x14ac:dyDescent="0.2">
      <c r="A417" s="60">
        <f t="shared" si="6"/>
        <v>359</v>
      </c>
      <c r="B417" s="61" t="s">
        <v>3517</v>
      </c>
      <c r="C417" s="62" t="s">
        <v>808</v>
      </c>
    </row>
    <row r="418" spans="1:3" x14ac:dyDescent="0.2">
      <c r="A418" s="60">
        <f t="shared" si="6"/>
        <v>360</v>
      </c>
      <c r="B418" s="61" t="s">
        <v>3518</v>
      </c>
      <c r="C418" s="62" t="s">
        <v>808</v>
      </c>
    </row>
    <row r="419" spans="1:3" x14ac:dyDescent="0.2">
      <c r="A419" s="60">
        <f t="shared" si="6"/>
        <v>361</v>
      </c>
      <c r="B419" s="61" t="s">
        <v>3519</v>
      </c>
      <c r="C419" s="62" t="s">
        <v>808</v>
      </c>
    </row>
    <row r="420" spans="1:3" x14ac:dyDescent="0.2">
      <c r="A420" s="60">
        <f t="shared" si="6"/>
        <v>362</v>
      </c>
      <c r="B420" s="61" t="s">
        <v>3520</v>
      </c>
      <c r="C420" s="62" t="s">
        <v>808</v>
      </c>
    </row>
    <row r="421" spans="1:3" x14ac:dyDescent="0.2">
      <c r="A421" s="60">
        <f t="shared" si="6"/>
        <v>363</v>
      </c>
      <c r="B421" s="61" t="s">
        <v>3521</v>
      </c>
      <c r="C421" s="62" t="s">
        <v>808</v>
      </c>
    </row>
    <row r="422" spans="1:3" x14ac:dyDescent="0.2">
      <c r="A422" s="60">
        <f t="shared" si="6"/>
        <v>364</v>
      </c>
      <c r="B422" s="61" t="s">
        <v>3522</v>
      </c>
      <c r="C422" s="62" t="s">
        <v>808</v>
      </c>
    </row>
    <row r="423" spans="1:3" x14ac:dyDescent="0.2">
      <c r="A423" s="60">
        <f t="shared" si="6"/>
        <v>365</v>
      </c>
      <c r="B423" s="61" t="s">
        <v>3523</v>
      </c>
      <c r="C423" s="62" t="s">
        <v>808</v>
      </c>
    </row>
    <row r="424" spans="1:3" x14ac:dyDescent="0.2">
      <c r="A424" s="60">
        <f t="shared" si="6"/>
        <v>366</v>
      </c>
      <c r="B424" s="61" t="s">
        <v>3524</v>
      </c>
      <c r="C424" s="62" t="s">
        <v>808</v>
      </c>
    </row>
    <row r="425" spans="1:3" x14ac:dyDescent="0.2">
      <c r="A425" s="60">
        <f t="shared" si="6"/>
        <v>367</v>
      </c>
      <c r="B425" s="59" t="s">
        <v>3552</v>
      </c>
    </row>
    <row r="426" spans="1:3" x14ac:dyDescent="0.2">
      <c r="B426" s="59" t="s">
        <v>3553</v>
      </c>
    </row>
    <row r="427" spans="1:3" x14ac:dyDescent="0.2">
      <c r="B427" s="59" t="s">
        <v>3554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3154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52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52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52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52" t="s">
        <v>60</v>
      </c>
      <c r="D7" s="52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52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52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52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52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52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52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52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52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52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52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52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52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52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52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52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50" t="s">
        <v>3153</v>
      </c>
      <c r="D41" s="50" t="s">
        <v>45</v>
      </c>
      <c r="E41" s="14">
        <f>+[84]Main!$L$2</f>
        <v>311.07</v>
      </c>
      <c r="F41" s="14">
        <f>+[84]Main!$L$4</f>
        <v>66951.596099999995</v>
      </c>
      <c r="G41" s="14">
        <f>+[84]Main!$L$6-[84]Main!$L$5</f>
        <v>-1108.2370000000001</v>
      </c>
      <c r="H41" s="14">
        <f>+F41+G41</f>
        <v>65843.359100000001</v>
      </c>
      <c r="I41" s="56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+[85]Main!$I$2</f>
        <v>251.74</v>
      </c>
      <c r="F4" s="14">
        <f>+[85]Main!$I$4</f>
        <v>283312.98862612003</v>
      </c>
      <c r="G4" s="14">
        <f>+[85]Main!$I$6-[85]Main!$I$5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+[86]Main!$J$2</f>
        <v>334.9</v>
      </c>
      <c r="F4" s="14">
        <f>+[86]Main!$J$4</f>
        <v>622169.62413309992</v>
      </c>
      <c r="G4" s="14">
        <f>+[86]Main!$J$6-[86]Main!$J$5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+[87]Main!$I$2</f>
        <v>519.49</v>
      </c>
      <c r="F5" s="14">
        <f>+[87]Main!$I$4</f>
        <v>473623.45178194001</v>
      </c>
      <c r="G5" s="14">
        <f>+[87]Main!$I$6-[87]Main!$I$5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+[28]Main!$I$2</f>
        <v>670.1</v>
      </c>
      <c r="F6" s="14">
        <f>+[28]Main!$I$4</f>
        <v>186827.23050000001</v>
      </c>
      <c r="G6" s="14">
        <f>+[28]Main!$I$6-[28]Main!$I$5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+[88]Main!$J$2</f>
        <v>494.32</v>
      </c>
      <c r="F7" s="14">
        <f>+[88]Main!$J$4</f>
        <v>151607.94399999999</v>
      </c>
      <c r="G7" s="14">
        <f>+[88]Main!$J$6-[88]Main!$J$5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+[42]Main!$I$2</f>
        <v>62.5</v>
      </c>
      <c r="F8" s="14">
        <f>+[42]Main!$I$4</f>
        <v>33615.742937499999</v>
      </c>
      <c r="G8" s="14">
        <f>+[42]Main!$I$6-[42]Main!$I$5</f>
        <v>29131</v>
      </c>
      <c r="H8" s="14">
        <f t="shared" si="0"/>
        <v>62746.742937499999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+[37]Main!$I$2</f>
        <v>284.85000000000002</v>
      </c>
      <c r="F9" s="14">
        <f>+[37]Main!$I$4</f>
        <v>115897.17387105002</v>
      </c>
      <c r="G9" s="14">
        <f>+[37]Main!$I$6-[37]Main!$I$5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+[89]Main!$I$2</f>
        <v>185.7</v>
      </c>
      <c r="F10" s="14">
        <f>+[89]Main!$I$4</f>
        <v>106522.39852469999</v>
      </c>
      <c r="G10" s="14">
        <f>+[89]Main!$I$6-[89]Main!$I$5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+[63]Main!$H$2</f>
        <v>276.01</v>
      </c>
      <c r="F11" s="14">
        <f>+[63]Main!$H$4</f>
        <v>69099.22577243</v>
      </c>
      <c r="G11" s="14">
        <f>+[63]Main!$H$6-[63]Main!$H$5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+[61]Main!$J$2</f>
        <v>117.07</v>
      </c>
      <c r="F12" s="14">
        <f>+[61]Main!$J$4</f>
        <v>104037.19313750998</v>
      </c>
      <c r="G12" s="14">
        <f>+[61]Main!$J$6-[61]Main!$J$5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+[49]Main!$I$2</f>
        <v>45.76</v>
      </c>
      <c r="F13" s="14">
        <f>+[49]Main!$I$4</f>
        <v>40365.147359679999</v>
      </c>
      <c r="G13" s="14">
        <f>+[49]Main!$I$6-[49]Main!$I$5</f>
        <v>67</v>
      </c>
      <c r="H13" s="14">
        <f t="shared" si="0"/>
        <v>40432.147359679999</v>
      </c>
      <c r="I13" s="42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+[90]Main!$I$2</f>
        <v>86.25</v>
      </c>
      <c r="F14" s="14">
        <f>+[90]Main!$I$4</f>
        <v>49517.989724999999</v>
      </c>
      <c r="G14" s="14">
        <f>+[90]Main!$I$6-[90]Main!$I$5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+[91]Main!$I$2</f>
        <v>220.4</v>
      </c>
      <c r="F15" s="14">
        <f>+[91]Main!$I$4</f>
        <v>45785.921346000003</v>
      </c>
      <c r="G15" s="14">
        <f>+[91]Main!$I$6-[91]Main!$I$5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+[92]Main!$J$2</f>
        <v>544.77</v>
      </c>
      <c r="F16" s="14">
        <f>+[92]Main!$J$4</f>
        <v>42149.669331149998</v>
      </c>
      <c r="G16" s="14">
        <f>+[92]Main!$J$6-[92]Main!$J$5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+[64]Main!$J$2</f>
        <v>53.86</v>
      </c>
      <c r="F17" s="14">
        <f>+[64]Main!$J$4</f>
        <v>33365.192799999997</v>
      </c>
      <c r="G17" s="14">
        <f>+[64]Main!$J$6-[64]Main!$J$5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+[93]Main!$J$2</f>
        <v>208.42</v>
      </c>
      <c r="F20" s="14">
        <f>+[93]Main!$J$4</f>
        <v>22709.220190600001</v>
      </c>
      <c r="G20" s="14">
        <f>+[93]Main!$J$6-[93]Main!$J$5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+[58]Main!$I$2</f>
        <v>1790.2</v>
      </c>
      <c r="F23" s="14">
        <f>+[58]Main!$I$4</f>
        <v>43576.493437999998</v>
      </c>
      <c r="G23" s="14">
        <f>+[58]Main!$I$6-[58]Main!$I$5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+[94]Main!$K$2</f>
        <v>39.04</v>
      </c>
      <c r="F50" s="14">
        <f>+[94]Main!$K$4</f>
        <v>14227.016843519999</v>
      </c>
      <c r="G50" s="14">
        <f>+[94]Main!$K$6-[94]Main!$K$5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+[95]Main!$H$2</f>
        <v>34.51</v>
      </c>
      <c r="F52" s="14">
        <f>+[95]Main!$H$4</f>
        <v>5275.3449914199991</v>
      </c>
      <c r="G52" s="14">
        <f>+[95]Main!$H$6-[95]Main!$H$5</f>
        <v>1242.8240000000001</v>
      </c>
      <c r="H52" s="14">
        <f>+F52+G52</f>
        <v>6518.1689914199997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+[77]Main!$I$2</f>
        <v>65.7</v>
      </c>
      <c r="F54" s="14">
        <f>+[77]Main!$I$4</f>
        <v>7075.3846356000004</v>
      </c>
      <c r="G54" s="14">
        <f>+[77]Main!$I$6-[77]Main!$I$5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7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 t="s">
        <v>25</v>
      </c>
      <c r="C9" s="4" t="s">
        <v>25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2608</v>
      </c>
      <c r="C10" s="4" t="s">
        <v>34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216</v>
      </c>
      <c r="C11" s="4" t="s">
        <v>265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 t="s">
        <v>9</v>
      </c>
      <c r="C14" s="4" t="s">
        <v>811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6</v>
      </c>
      <c r="C15" s="4" t="s">
        <v>31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2609</v>
      </c>
      <c r="C16" s="4" t="s">
        <v>2610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 t="s">
        <v>808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2611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2612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2613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2614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2615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1" t="s">
        <v>2616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 t="s">
        <v>2617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2618</v>
      </c>
      <c r="C27" s="4" t="s">
        <v>2619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2620</v>
      </c>
      <c r="C28" s="4" t="s">
        <v>2621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2622</v>
      </c>
      <c r="C29" s="4" t="s">
        <v>2623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2624</v>
      </c>
      <c r="C30" s="4" t="s">
        <v>2625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2626</v>
      </c>
      <c r="C31" s="4" t="s">
        <v>2627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2628</v>
      </c>
      <c r="C32" s="4" t="s">
        <v>2629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2630</v>
      </c>
      <c r="C33" s="4" t="s">
        <v>2631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2632</v>
      </c>
      <c r="C34" s="4" t="s">
        <v>2633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2634</v>
      </c>
      <c r="C35" s="4" t="s">
        <v>2635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2636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2637</v>
      </c>
      <c r="C37" s="4" t="s">
        <v>2638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2639</v>
      </c>
      <c r="C38" s="4" t="s">
        <v>2640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2641</v>
      </c>
      <c r="C39" s="4" t="s">
        <v>2638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2642</v>
      </c>
      <c r="C40" s="4" t="s">
        <v>2643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2644</v>
      </c>
      <c r="C41" s="4" t="s">
        <v>2645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2646</v>
      </c>
      <c r="C42" s="4" t="s">
        <v>2647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2648</v>
      </c>
      <c r="C43" s="4" t="s">
        <v>2640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 t="s">
        <v>2649</v>
      </c>
      <c r="C45" s="4" t="s">
        <v>2650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2651</v>
      </c>
      <c r="C46" s="4" t="s">
        <v>2652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2653</v>
      </c>
      <c r="C47" s="4" t="s">
        <v>2654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2655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2656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2657</v>
      </c>
      <c r="C50" s="4" t="s">
        <v>2658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2659</v>
      </c>
      <c r="C51" s="4" t="s">
        <v>2660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2661</v>
      </c>
      <c r="C52" s="4" t="s">
        <v>2662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2664</v>
      </c>
      <c r="C54" s="4" t="s">
        <v>2665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2666</v>
      </c>
      <c r="C55" s="4" t="s">
        <v>2667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2668</v>
      </c>
      <c r="C56" s="4" t="s">
        <v>2669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2670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2671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2" t="s">
        <v>2672</v>
      </c>
      <c r="C59" s="2" t="s">
        <v>2673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4" t="s">
        <v>2674</v>
      </c>
      <c r="C60" s="4" t="s">
        <v>2675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2676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2677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2678</v>
      </c>
      <c r="C63" s="4" t="s">
        <v>2679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2680</v>
      </c>
      <c r="C64" s="4" t="s">
        <v>2681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2682</v>
      </c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2683</v>
      </c>
      <c r="C66" s="4" t="s">
        <v>2684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2685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2" t="s">
        <v>2686</v>
      </c>
      <c r="C68" s="2" t="s">
        <v>2687</v>
      </c>
      <c r="D68" s="2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4" t="s">
        <v>2688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2689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2690</v>
      </c>
      <c r="C71" s="4" t="s">
        <v>2691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2692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2693</v>
      </c>
      <c r="C73" s="4" t="s">
        <v>2694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2695</v>
      </c>
      <c r="C74" s="4" t="s">
        <v>2696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2697</v>
      </c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3" t="s">
        <v>2698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4" t="s">
        <v>2699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3" t="s">
        <v>2700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3" t="s">
        <v>2701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3" t="s">
        <v>2702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+[96]Main!$I$2</f>
        <v>38.35</v>
      </c>
      <c r="F14" s="14">
        <f>+[96]Main!$I$4</f>
        <v>9227.8593374500015</v>
      </c>
      <c r="G14" s="14">
        <f>+[96]Main!$I$6-[96]Main!$I$5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+[79]Main!$J$3</f>
        <v>15.92</v>
      </c>
      <c r="F18" s="14">
        <f>+[79]Main!$J$5</f>
        <v>3056.2842516800001</v>
      </c>
      <c r="G18" s="14">
        <f>+([79]Main!$J$7-[79]Main!$J$6)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C2" sqref="C2"/>
    </sheetView>
  </sheetViews>
  <sheetFormatPr defaultRowHeight="12.75" x14ac:dyDescent="0.2"/>
  <cols>
    <col min="1" max="1" width="5" style="59" bestFit="1" customWidth="1"/>
    <col min="2" max="16384" width="9.140625" style="59"/>
  </cols>
  <sheetData>
    <row r="1" spans="1:16" x14ac:dyDescent="0.2">
      <c r="A1" s="58" t="s">
        <v>958</v>
      </c>
    </row>
    <row r="2" spans="1:16" x14ac:dyDescent="0.2">
      <c r="A2" s="68"/>
      <c r="B2" s="68"/>
      <c r="C2" s="68" t="s">
        <v>3161</v>
      </c>
      <c r="D2" s="68"/>
      <c r="E2" s="68" t="s">
        <v>3162</v>
      </c>
      <c r="F2" s="68"/>
      <c r="H2" s="68"/>
      <c r="J2" s="68" t="s">
        <v>3527</v>
      </c>
      <c r="N2" s="68" t="s">
        <v>2597</v>
      </c>
      <c r="O2" s="68"/>
      <c r="P2" s="68" t="s">
        <v>2617</v>
      </c>
    </row>
    <row r="3" spans="1:16" x14ac:dyDescent="0.2">
      <c r="A3" s="68"/>
      <c r="B3" s="68"/>
      <c r="C3" s="58" t="s">
        <v>3160</v>
      </c>
      <c r="D3" s="68"/>
      <c r="E3" s="68" t="s">
        <v>3525</v>
      </c>
      <c r="F3" s="68"/>
      <c r="G3" s="68"/>
      <c r="H3" s="68"/>
      <c r="I3" s="68"/>
      <c r="J3" s="68" t="s">
        <v>3528</v>
      </c>
      <c r="K3" s="68"/>
      <c r="L3" s="68"/>
    </row>
    <row r="4" spans="1:16" x14ac:dyDescent="0.2">
      <c r="A4" s="68"/>
      <c r="B4" s="68"/>
      <c r="C4" s="68"/>
      <c r="D4" s="68"/>
      <c r="E4" s="68" t="s">
        <v>3526</v>
      </c>
      <c r="F4" s="68"/>
      <c r="G4" s="68"/>
      <c r="H4" s="68"/>
      <c r="I4" s="68"/>
      <c r="J4" s="68"/>
      <c r="K4" s="68"/>
      <c r="L4" s="68"/>
    </row>
    <row r="5" spans="1:16" x14ac:dyDescent="0.2">
      <c r="A5" s="68"/>
      <c r="B5" s="68"/>
      <c r="C5" s="68"/>
      <c r="D5" s="68"/>
      <c r="E5" s="68"/>
      <c r="F5" s="68"/>
      <c r="G5" s="68"/>
      <c r="H5" s="68"/>
      <c r="I5" s="68"/>
      <c r="J5" s="68"/>
      <c r="K5" s="68"/>
      <c r="L5" s="68"/>
    </row>
    <row r="6" spans="1:16" x14ac:dyDescent="0.2">
      <c r="A6" s="68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</row>
    <row r="7" spans="1:16" x14ac:dyDescent="0.2">
      <c r="A7" s="68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</row>
    <row r="8" spans="1:16" x14ac:dyDescent="0.2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</row>
    <row r="9" spans="1:16" x14ac:dyDescent="0.2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</row>
    <row r="10" spans="1:16" x14ac:dyDescent="0.2">
      <c r="A10" s="68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</row>
    <row r="11" spans="1:16" x14ac:dyDescent="0.2">
      <c r="A11" s="68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</row>
    <row r="12" spans="1:16" x14ac:dyDescent="0.2">
      <c r="A12" s="68"/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</row>
    <row r="13" spans="1:16" x14ac:dyDescent="0.2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</row>
    <row r="14" spans="1:16" x14ac:dyDescent="0.2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</row>
    <row r="15" spans="1:16" x14ac:dyDescent="0.2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</row>
    <row r="16" spans="1:16" x14ac:dyDescent="0.2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</row>
    <row r="17" spans="1:12" x14ac:dyDescent="0.2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</row>
    <row r="18" spans="1:12" x14ac:dyDescent="0.2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</row>
    <row r="19" spans="1:12" x14ac:dyDescent="0.2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</row>
    <row r="20" spans="1:12" x14ac:dyDescent="0.2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</row>
    <row r="21" spans="1:12" x14ac:dyDescent="0.2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</row>
    <row r="22" spans="1:12" x14ac:dyDescent="0.2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</row>
    <row r="23" spans="1:12" x14ac:dyDescent="0.2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</row>
    <row r="24" spans="1:12" x14ac:dyDescent="0.2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</row>
    <row r="25" spans="1:12" x14ac:dyDescent="0.2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</row>
    <row r="26" spans="1:12" x14ac:dyDescent="0.2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</row>
    <row r="27" spans="1:12" x14ac:dyDescent="0.2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</row>
    <row r="28" spans="1:12" x14ac:dyDescent="0.2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</row>
    <row r="29" spans="1:12" x14ac:dyDescent="0.2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</row>
    <row r="30" spans="1:12" x14ac:dyDescent="0.2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</row>
    <row r="31" spans="1:12" x14ac:dyDescent="0.2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</row>
    <row r="32" spans="1:12" x14ac:dyDescent="0.2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</row>
    <row r="33" spans="1:12" x14ac:dyDescent="0.2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</row>
    <row r="34" spans="1:12" x14ac:dyDescent="0.2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</row>
    <row r="35" spans="1:12" x14ac:dyDescent="0.2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</row>
    <row r="36" spans="1:12" x14ac:dyDescent="0.2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</row>
    <row r="37" spans="1:12" x14ac:dyDescent="0.2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</row>
    <row r="38" spans="1:12" x14ac:dyDescent="0.2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</row>
    <row r="39" spans="1:12" x14ac:dyDescent="0.2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</row>
    <row r="40" spans="1:12" x14ac:dyDescent="0.2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</row>
    <row r="41" spans="1:12" x14ac:dyDescent="0.2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</row>
    <row r="42" spans="1:12" x14ac:dyDescent="0.2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</row>
    <row r="43" spans="1:12" x14ac:dyDescent="0.2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</row>
    <row r="44" spans="1:12" x14ac:dyDescent="0.2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</row>
    <row r="45" spans="1:12" x14ac:dyDescent="0.2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</row>
    <row r="46" spans="1:12" x14ac:dyDescent="0.2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</row>
    <row r="47" spans="1:12" x14ac:dyDescent="0.2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</row>
    <row r="48" spans="1:12" x14ac:dyDescent="0.2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</row>
    <row r="49" spans="1:12" x14ac:dyDescent="0.2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</row>
    <row r="50" spans="1:12" x14ac:dyDescent="0.2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</row>
    <row r="51" spans="1:12" x14ac:dyDescent="0.2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</row>
    <row r="52" spans="1:12" x14ac:dyDescent="0.2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</row>
    <row r="53" spans="1:12" x14ac:dyDescent="0.2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</row>
    <row r="54" spans="1:12" x14ac:dyDescent="0.2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</row>
    <row r="55" spans="1:12" x14ac:dyDescent="0.2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</row>
    <row r="56" spans="1:12" x14ac:dyDescent="0.2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</row>
    <row r="57" spans="1:12" x14ac:dyDescent="0.2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</row>
    <row r="58" spans="1:12" x14ac:dyDescent="0.2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</row>
    <row r="59" spans="1:12" x14ac:dyDescent="0.2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</row>
    <row r="60" spans="1:12" x14ac:dyDescent="0.2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</row>
    <row r="61" spans="1:12" x14ac:dyDescent="0.2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</row>
    <row r="62" spans="1:12" x14ac:dyDescent="0.2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</row>
    <row r="63" spans="1:12" x14ac:dyDescent="0.2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</row>
    <row r="64" spans="1:12" x14ac:dyDescent="0.2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</row>
    <row r="65" spans="1:12" x14ac:dyDescent="0.2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</row>
    <row r="66" spans="1:12" x14ac:dyDescent="0.2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</row>
    <row r="67" spans="1:12" x14ac:dyDescent="0.2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</row>
    <row r="68" spans="1:12" x14ac:dyDescent="0.2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</row>
    <row r="69" spans="1:12" x14ac:dyDescent="0.2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</row>
    <row r="70" spans="1:12" x14ac:dyDescent="0.2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</row>
    <row r="71" spans="1:12" x14ac:dyDescent="0.2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</row>
    <row r="72" spans="1:12" x14ac:dyDescent="0.2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</row>
    <row r="73" spans="1:12" x14ac:dyDescent="0.2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</row>
    <row r="74" spans="1:12" x14ac:dyDescent="0.2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</row>
    <row r="75" spans="1:12" x14ac:dyDescent="0.2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</row>
    <row r="76" spans="1:12" x14ac:dyDescent="0.2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</row>
    <row r="77" spans="1:12" x14ac:dyDescent="0.2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</row>
    <row r="78" spans="1:12" x14ac:dyDescent="0.2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</row>
    <row r="79" spans="1:12" x14ac:dyDescent="0.2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</row>
    <row r="80" spans="1:12" x14ac:dyDescent="0.2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</row>
    <row r="81" spans="1:12" x14ac:dyDescent="0.2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</row>
    <row r="82" spans="1:12" x14ac:dyDescent="0.2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</row>
    <row r="83" spans="1:12" x14ac:dyDescent="0.2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</row>
    <row r="84" spans="1:12" x14ac:dyDescent="0.2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</row>
    <row r="85" spans="1:12" x14ac:dyDescent="0.2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</row>
    <row r="86" spans="1:12" x14ac:dyDescent="0.2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</row>
    <row r="87" spans="1:12" x14ac:dyDescent="0.2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</row>
    <row r="88" spans="1:12" x14ac:dyDescent="0.2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</row>
    <row r="89" spans="1:12" x14ac:dyDescent="0.2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</row>
    <row r="90" spans="1:12" x14ac:dyDescent="0.2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</row>
    <row r="91" spans="1:12" x14ac:dyDescent="0.2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</row>
    <row r="92" spans="1:12" x14ac:dyDescent="0.2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</row>
    <row r="93" spans="1:12" x14ac:dyDescent="0.2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</row>
    <row r="94" spans="1:12" x14ac:dyDescent="0.2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</row>
    <row r="95" spans="1:12" x14ac:dyDescent="0.2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</row>
    <row r="96" spans="1:12" x14ac:dyDescent="0.2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</row>
    <row r="97" spans="1:12" x14ac:dyDescent="0.2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</row>
    <row r="98" spans="1:12" x14ac:dyDescent="0.2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</row>
    <row r="99" spans="1:12" x14ac:dyDescent="0.2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</row>
    <row r="100" spans="1:12" x14ac:dyDescent="0.2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</row>
    <row r="101" spans="1:12" x14ac:dyDescent="0.2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</row>
    <row r="102" spans="1:12" x14ac:dyDescent="0.2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</row>
    <row r="103" spans="1:12" x14ac:dyDescent="0.2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</row>
    <row r="104" spans="1:12" x14ac:dyDescent="0.2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</row>
    <row r="105" spans="1:12" x14ac:dyDescent="0.2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</row>
    <row r="106" spans="1:12" x14ac:dyDescent="0.2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</row>
    <row r="107" spans="1:12" x14ac:dyDescent="0.2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</row>
    <row r="108" spans="1:12" x14ac:dyDescent="0.2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</row>
    <row r="109" spans="1:12" x14ac:dyDescent="0.2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</row>
    <row r="110" spans="1:12" x14ac:dyDescent="0.2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</row>
    <row r="111" spans="1:12" x14ac:dyDescent="0.2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</row>
    <row r="112" spans="1:12" x14ac:dyDescent="0.2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</row>
    <row r="113" spans="1:12" x14ac:dyDescent="0.2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</row>
    <row r="114" spans="1:12" x14ac:dyDescent="0.2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</row>
    <row r="115" spans="1:12" x14ac:dyDescent="0.2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</row>
    <row r="116" spans="1:12" x14ac:dyDescent="0.2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</row>
    <row r="117" spans="1:12" x14ac:dyDescent="0.2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</row>
    <row r="118" spans="1:12" x14ac:dyDescent="0.2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59" customWidth="1"/>
    <col min="2" max="2" width="15.28515625" style="59" customWidth="1"/>
    <col min="3" max="16384" width="9.140625" style="59"/>
  </cols>
  <sheetData>
    <row r="2" spans="2:3" x14ac:dyDescent="0.2">
      <c r="B2" s="59" t="s">
        <v>434</v>
      </c>
      <c r="C2" s="59">
        <v>0.03</v>
      </c>
    </row>
    <row r="3" spans="2:3" x14ac:dyDescent="0.2">
      <c r="B3" s="59" t="s">
        <v>435</v>
      </c>
      <c r="C3" s="59">
        <v>0.14000000000000001</v>
      </c>
    </row>
    <row r="4" spans="2:3" x14ac:dyDescent="0.2">
      <c r="B4" s="59" t="s">
        <v>436</v>
      </c>
      <c r="C4" s="59">
        <v>1.02</v>
      </c>
    </row>
    <row r="5" spans="2:3" x14ac:dyDescent="0.2">
      <c r="B5" s="59" t="s">
        <v>437</v>
      </c>
      <c r="C5" s="59">
        <v>6.8000000000000005E-4</v>
      </c>
    </row>
    <row r="6" spans="2:3" x14ac:dyDescent="0.2">
      <c r="B6" s="59" t="s">
        <v>439</v>
      </c>
      <c r="C6" s="59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2026-05-17T11:48:58Z</dcterms:modified>
</cp:coreProperties>
</file>