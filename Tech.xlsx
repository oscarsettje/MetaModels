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A93E22E-A483-41BB-B4A1-BFB1A49C70CD}" xr6:coauthVersionLast="47" xr6:coauthVersionMax="47" xr10:uidLastSave="{00000000-0000-0000-0000-000000000000}"/>
  <bookViews>
    <workbookView xWindow="225" yWindow="234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F1103" i="1"/>
  <c r="E1103" i="1"/>
  <c r="H1103" i="1" l="1"/>
  <c r="G1104" i="1"/>
  <c r="F1104" i="1"/>
  <c r="E1104" i="1"/>
  <c r="A1106" i="1"/>
  <c r="A1107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H1104" i="1" l="1"/>
  <c r="G10" i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<sst xmlns="http://schemas.openxmlformats.org/spreadsheetml/2006/main" count="5937" uniqueCount="3563">
  <si>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</si>
  <si>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</si>
  <si>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</si>
  <si>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</si>
  <si>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</si>
  <si>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</si>
  <si>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</si>
  <si>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</si>
  <si>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</si>
  <si>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</si>
  <si>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</si>
  <si>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</si>
  <si>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</si>
  <si>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</si>
  <si>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</si>
  <si>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</si>
  <si>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</si>
  <si>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</si>
  <si>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</si>
  <si>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</si>
  <si>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</si>
  <si>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</si>
  <si>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</si>
  <si>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</si>
  <si>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</si>
  <si>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</si>
  <si>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</si>
  <si>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</si>
  <si>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</si>
  <si>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</si>
  <si>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</si>
  <si>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</si>
  <si>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</si>
  <si>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</si>
  <si>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</si>
  <si>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</si>
  <si>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</si>
  <si>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</si>
  <si>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</si>
  <si>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</si>
  <si>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</si>
  <si>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</si>
  <si>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</si>
  <si>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</si>
  <si>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</si>
  <si>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</si>
  <si>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</si>
  <si>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</si>
  <si>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</si>
  <si>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</si>
  <si>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</si>
  <si>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</si>
  <si>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</si>
  <si>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</si>
  <si>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</si>
  <si>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</si>
  <si>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</si>
  <si>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</si>
  <si>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</si>
  <si>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</si>
  <si>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</si>
  <si>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</si>
  <si>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</si>
  <si>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</si>
  <si>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</si>
  <si>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</si>
  <si>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</si>
  <si>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</si>
  <si>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</si>
  <si>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</si>
  <si>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</si>
  <si>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</si>
  <si>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</si>
  <si>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</si>
  <si>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</si>
  <si>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</si>
  <si>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</si>
  <si>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</si>
  <si>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</si>
  <si>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</si>
  <si>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</si>
  <si>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</si>
  <si>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</si>
  <si>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</si>
  <si>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</si>
  <si>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</si>
  <si>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</si>
  <si>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</si>
  <si>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</si>
  <si>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</si>
  <si>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</si>
  <si>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</si>
  <si>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</si>
  <si>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</si>
  <si>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</si>
  <si>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</si>
  <si>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</si>
  <si>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</si>
  <si>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</si>
  <si>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</si>
  <si>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</si>
  <si>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</si>
  <si>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</si>
  <si>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</si>
  <si>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</si>
  <si>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</si>
  <si>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</si>
  <si>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</si>
  <si>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</si>
  <si>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</si>
  <si>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</si>
  <si>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</si>
  <si>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</si>
  <si>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</si>
  <si>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</si>
  <si>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</si>
  <si>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</si>
  <si>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</si>
  <si>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</si>
  <si>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</si>
  <si>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</si>
  <si>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</si>
  <si>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</si>
  <si>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</si>
  <si>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</si>
  <si>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</si>
  <si>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</si>
  <si>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</si>
  <si>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</si>
  <si>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</si>
  <si>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</si>
  <si>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</si>
  <si>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</si>
  <si>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</si>
  <si>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</si>
  <si>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</si>
  <si>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</si>
  <si>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</si>
  <si>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</si>
  <si>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</si>
  <si>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</si>
  <si>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</si>
  <si>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</si>
  <si>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</si>
  <si>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</si>
  <si>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</si>
  <si>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</si>
  <si>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</si>
  <si>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</si>
  <si>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</si>
  <si>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</si>
  <si>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</si>
  <si>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</si>
  <si>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</si>
  <si>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</si>
  <si>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</si>
  <si>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</si>
  <si>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</si>
  <si>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</si>
  <si>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</si>
  <si>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</si>
  <si>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</si>
  <si>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</si>
  <si>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</si>
  <si>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</si>
  <si>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</si>
  <si>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</si>
  <si>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</si>
  <si>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</si>
  <si>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</si>
  <si>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</si>
  <si>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</si>
  <si>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</si>
  <si>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</si>
  <si>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</si>
  <si>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</si>
  <si>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</si>
  <si>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</si>
  <si>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</si>
  <si>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</si>
  <si>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</si>
  <si>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</si>
  <si>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</si>
  <si>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</si>
  <si>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</si>
  <si>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</si>
  <si>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</si>
  <si>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</si>
  <si>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</si>
  <si>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</si>
  <si>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</si>
  <si>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</si>
  <si>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</si>
  <si>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</si>
  <si>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</si>
  <si>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</si>
  <si>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</si>
  <si>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</si>
  <si>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</si>
  <si>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</si>
  <si>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</si>
  <si>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</si>
  <si>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</si>
  <si>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</si>
  <si>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</si>
  <si>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</si>
  <si>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</si>
  <si>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</si>
  <si>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</si>
  <si>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</si>
  <si>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</si>
  <si>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</si>
  <si>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</si>
  <si>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</si>
  <si>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</si>
  <si>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</si>
  <si>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</si>
  <si>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</si>
  <si>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</si>
  <si>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</si>
  <si>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</si>
  <si>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</si>
  <si>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</si>
  <si>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</si>
  <si>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</si>
  <si>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</si>
  <si>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</si>
  <si>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</si>
  <si>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</si>
  <si>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</si>
  <si>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</si>
  <si>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</si>
  <si>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</si>
  <si>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</si>
  <si>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</si>
  <si>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</si>
  <si>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</si>
  <si>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</si>
  <si>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</si>
  <si>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</si>
  <si>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</si>
  <si>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</si>
  <si>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</si>
  <si>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</si>
  <si>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</si>
  <si>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</si>
  <si>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</si>
  <si>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</si>
  <si>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</si>
  <si>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</si>
  <si>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</si>
  <si>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</si>
  <si>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</si>
  <si>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</si>
  <si>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</si>
  <si>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</si>
  <si>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</si>
  <si>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</si>
  <si>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</si>
  <si>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</si>
  <si>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</si>
  <si>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</si>
  <si>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</si>
  <si>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</si>
  <si>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</si>
  <si>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</si>
  <si>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</si>
  <si>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</si>
  <si>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</si>
  <si>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</si>
  <si>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</si>
  <si>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</si>
  <si>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</si>
  <si>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</si>
  <si>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</si>
  <si>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</si>
  <si>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</si>
  <si>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</si>
  <si>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</si>
  <si>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</si>
  <si>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</si>
  <si>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</si>
  <si>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</si>
  <si>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</si>
  <si>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</si>
  <si>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</si>
  <si>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</si>
  <si>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</si>
  <si>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</si>
  <si>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</si>
  <si>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</si>
  <si>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</si>
  <si>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</si>
  <si>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</si>
  <si>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</si>
  <si>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</si>
  <si>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</si>
  <si>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</si>
  <si>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</si>
  <si>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</si>
  <si>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</si>
  <si>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</si>
  <si>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</si>
  <si>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</si>
  <si>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</si>
  <si>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</si>
  <si>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</si>
  <si>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</si>
  <si>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</si>
  <si>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</si>
  <si>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</si>
  <si>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</si>
  <si>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</si>
  <si>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</si>
  <si>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</si>
  <si>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</si>
  <si>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</si>
  <si>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</si>
  <si>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</si>
  <si>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</si>
  <si>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</si>
  <si>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</si>
  <si>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</si>
  <si>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</si>
  <si>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</si>
  <si>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</si>
  <si>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</si>
  <si>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</si>
  <si>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</si>
  <si>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</si>
  <si>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</si>
  <si>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</si>
  <si>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</si>
  <si>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</si>
  <si>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</si>
  <si>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</si>
  <si>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</si>
  <si>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</si>
  <si>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</si>
  <si>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</si>
  <si>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</si>
  <si>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</si>
  <si>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</si>
  <si>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</si>
  <si>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</si>
  <si>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</si>
  <si>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</si>
  <si>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</si>
  <si>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</si>
  <si>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</si>
  <si>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</si>
  <si>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</si>
  <si>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</si>
  <si>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</si>
  <si>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</si>
  <si>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</si>
  <si>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</si>
  <si>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</si>
  <si>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</si>
  <si>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</si>
  <si>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</si>
  <si>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</si>
  <si>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</si>
  <si>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</si>
  <si>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</si>
  <si>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</si>
  <si>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</si>
  <si>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</si>
  <si>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</si>
  <si>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</si>
  <si>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</si>
  <si>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</si>
  <si>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</si>
  <si>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</si>
  <si>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</si>
  <si>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</si>
  <si>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</si>
  <si>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</si>
  <si>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</si>
  <si>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</si>
  <si>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</si>
  <si>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</si>
  <si>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</si>
  <si>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</si>
  <si>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</si>
  <si>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</si>
  <si>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</si>
  <si>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</si>
  <si>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</si>
  <si>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</si>
  <si>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</si>
  <si>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</si>
  <si>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</si>
  <si>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</si>
  <si>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</si>
  <si>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</si>
  <si>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</si>
  <si>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</si>
  <si>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</si>
  <si>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</si>
  <si>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</si>
  <si>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</si>
  <si>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</si>
  <si>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</si>
  <si>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</si>
  <si>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</si>
  <si>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</si>
  <si>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</si>
  <si>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</si>
  <si>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</si>
  <si>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</si>
  <si>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</si>
  <si>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</si>
  <si>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</si>
  <si>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</si>
  <si>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</si>
  <si>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</si>
  <si>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</si>
  <si>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</si>
  <si>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</si>
  <si>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</si>
  <si>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</si>
  <si>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</si>
  <si>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</si>
  <si>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</si>
  <si>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</si>
  <si>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</si>
  <si>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</si>
  <si>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</si>
  <si>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</si>
  <si>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</si>
  <si>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</si>
  <si>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</si>
  <si>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</si>
  <si>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</si>
  <si>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</si>
  <si>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</si>
  <si>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</si>
  <si>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</si>
  <si>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</si>
  <si>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</si>
  <si>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</si>
  <si>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</si>
  <si>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</si>
  <si>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</si>
  <si>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</si>
  <si>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</si>
  <si>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</si>
  <si>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</si>
  <si>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</si>
  <si>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</si>
  <si>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</si>
  <si>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</si>
  <si>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</si>
  <si>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</si>
  <si>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</si>
  <si>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</si>
  <si>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</si>
  <si>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</si>
  <si>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</si>
  <si>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</si>
  <si>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</si>
  <si>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</si>
  <si>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</si>
  <si>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</si>
  <si>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</si>
  <si>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</si>
  <si>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</si>
  <si>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</si>
  <si>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</si>
  <si>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</si>
  <si>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</si>
  <si>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</si>
  <si>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</si>
  <si>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</si>
  <si>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</si>
  <si>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</si>
  <si>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</si>
  <si>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</si>
  <si>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</si>
  <si>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</si>
  <si>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</si>
  <si>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</si>
  <si>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</si>
  <si>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</si>
  <si>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</si>
  <si>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</si>
  <si>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</si>
  <si>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</si>
  <si>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</si>
  <si>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</si>
  <si>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</si>
  <si>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</si>
  <si>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</si>
  <si>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</si>
  <si>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</si>
  <si>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</si>
  <si>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</si>
  <si>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</si>
  <si>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</si>
  <si>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</si>
  <si>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</si>
  <si>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</si>
  <si>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</si>
  <si>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</si>
  <si>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</si>
  <si>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</si>
  <si>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</si>
  <si>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</si>
  <si>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</si>
  <si>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</si>
  <si>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</si>
  <si>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</si>
  <si>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</si>
  <si>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</si>
  <si>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</si>
  <si>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</si>
  <si>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</si>
  <si>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</si>
  <si>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</si>
  <si>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</si>
  <si>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</si>
  <si>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</si>
  <si>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</si>
  <si>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</si>
  <si>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</si>
  <si>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</si>
  <si>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</si>
  <si>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</si>
  <si>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</si>
  <si>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</si>
  <si>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</si>
  <si>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</si>
  <si>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</si>
  <si>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</si>
  <si>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</si>
  <si>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</si>
  <si>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</si>
  <si>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</si>
  <si>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</si>
  <si>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</si>
  <si>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</si>
  <si>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</si>
  <si>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</si>
  <si>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</si>
  <si>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</si>
  <si>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</si>
  <si>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</si>
  <si>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</si>
  <si>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</si>
  <si>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</si>
  <si>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</si>
  <si>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</si>
  <si>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</si>
  <si>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</si>
  <si>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</si>
  <si>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</si>
  <si>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</si>
  <si>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</si>
  <si>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</si>
  <si>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</si>
  <si>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</si>
  <si>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</si>
  <si>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</si>
  <si>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</si>
  <si>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</si>
  <si>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</si>
  <si>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</si>
  <si>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</si>
  <si>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</si>
  <si>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</si>
  <si>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</si>
  <si>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</si>
  <si>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</si>
  <si>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</si>
  <si>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</si>
  <si>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</si>
  <si>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</si>
  <si>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</si>
  <si>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</si>
  <si>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</si>
  <si>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</si>
  <si>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</si>
  <si>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</si>
  <si>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</si>
  <si>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</si>
  <si>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</si>
  <si>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</si>
  <si>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</si>
  <si>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</si>
  <si>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</si>
  <si>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</si>
  <si>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</si>
  <si>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</si>
  <si>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</si>
  <si>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</si>
  <si>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</si>
  <si>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</si>
  <si>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</si>
  <si>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</si>
  <si>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</si>
  <si>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</si>
  <si>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</si>
  <si>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</si>
  <si>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</si>
  <si>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</si>
  <si>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</si>
  <si>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</si>
  <si>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</si>
  <si>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</si>
  <si>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</si>
  <si>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</si>
  <si>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</si>
  <si>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</si>
  <si>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</si>
  <si>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</si>
  <si>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</si>
  <si>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</si>
  <si>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</si>
  <si>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</si>
  <si>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</si>
  <si>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</si>
  <si>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</si>
  <si>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</si>
  <si>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</si>
  <si>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</si>
  <si>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</si>
  <si>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</si>
  <si>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</si>
  <si>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</si>
  <si>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</si>
  <si>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</si>
  <si>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</si>
  <si>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</si>
  <si>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</si>
  <si>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</si>
  <si>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</si>
  <si>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</si>
  <si>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</si>
  <si>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</si>
  <si>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</si>
  <si>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</si>
  <si>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</si>
  <si>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</si>
  <si>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</si>
  <si>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</si>
  <si>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</si>
  <si>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</si>
  <si>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</si>
  <si>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</si>
  <si>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</si>
  <si>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</si>
  <si>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</si>
  <si>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</si>
  <si>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</si>
  <si>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</si>
  <si>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</si>
  <si>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</si>
  <si>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</si>
  <si>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</si>
  <si>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</si>
  <si>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</si>
  <si>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</si>
  <si>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</si>
  <si>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</si>
  <si>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</si>
  <si>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</si>
  <si>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</si>
  <si>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</si>
  <si>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</si>
  <si>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</si>
  <si>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</si>
  <si>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</si>
  <si>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</si>
  <si>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</si>
  <si>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</si>
  <si>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</si>
  <si>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</si>
  <si>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</si>
  <si>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</si>
  <si>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</si>
  <si>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</si>
  <si>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</si>
  <si>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</si>
  <si>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</si>
  <si>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</si>
  <si>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</si>
  <si>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</si>
  <si>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</si>
  <si>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</si>
  <si>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</si>
  <si>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</si>
  <si>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</si>
  <si>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</si>
  <si>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</si>
  <si>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</si>
  <si>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</si>
  <si>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</si>
  <si>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</si>
  <si>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</si>
  <si>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</si>
  <si>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</si>
  <si>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</si>
  <si>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</si>
  <si>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</si>
  <si>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</si>
  <si>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</si>
  <si>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</si>
  <si>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</si>
  <si>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</si>
  <si>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</si>
  <si>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</si>
  <si>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</si>
  <si>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</si>
  <si>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</si>
  <si>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</si>
  <si>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</si>
  <si>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</si>
  <si>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</si>
  <si>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</si>
  <si>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</si>
  <si>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</si>
  <si>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</si>
  <si>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</si>
  <si>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</si>
  <si>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</si>
  <si>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</si>
  <si>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</si>
  <si>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</si>
  <si>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</si>
  <si>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</si>
  <si>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</si>
  <si>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</si>
  <si>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</si>
  <si>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</si>
  <si>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</si>
  <si>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</si>
  <si>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</si>
  <si>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</si>
  <si>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</si>
  <si>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</si>
  <si>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</si>
  <si>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</si>
  <si>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</si>
  <si>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</si>
  <si>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</si>
  <si>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</si>
  <si>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</si>
  <si>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</si>
  <si>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</si>
  <si>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</si>
  <si>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</si>
  <si>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</si>
  <si>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</si>
  <si>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</si>
  <si>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</si>
  <si>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</si>
  <si>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</si>
  <si>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</si>
  <si>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</si>
  <si>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</si>
  <si>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</si>
  <si>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</si>
  <si>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</si>
  <si>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</si>
  <si>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</si>
  <si>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</si>
  <si>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</si>
  <si>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</si>
  <si>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</si>
  <si>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</si>
  <si>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</si>
  <si>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</si>
  <si>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</si>
  <si>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</si>
  <si>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</si>
  <si>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</si>
  <si>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</si>
  <si>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</si>
  <si>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</si>
  <si>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</si>
  <si>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</si>
  <si>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</si>
  <si>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</si>
  <si>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</si>
  <si>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</si>
  <si>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</si>
  <si>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</si>
  <si>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</si>
  <si>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</si>
  <si>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</si>
  <si>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</si>
  <si>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</si>
  <si>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</si>
  <si>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</si>
  <si>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</si>
  <si>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</si>
  <si>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</si>
  <si>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</si>
  <si>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</si>
  <si>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</si>
  <si>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</si>
  <si>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</si>
  <si>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</si>
  <si>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</si>
  <si>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</si>
  <si>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</si>
  <si>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</si>
  <si>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</si>
  <si>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</si>
  <si>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</si>
  <si>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</si>
  <si>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</si>
  <si>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</si>
  <si>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</si>
  <si>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</si>
  <si>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</si>
  <si>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</si>
  <si>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</si>
  <si>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</si>
  <si>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</si>
  <si>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</si>
  <si>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</si>
  <si>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</si>
  <si>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</si>
  <si>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</si>
  <si>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</si>
  <si>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</si>
  <si>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</si>
  <si>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</si>
  <si>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</si>
  <si>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</si>
  <si>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</si>
  <si>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</si>
  <si>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</si>
  <si>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</si>
  <si>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</si>
  <si>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</si>
  <si>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</si>
  <si>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</si>
  <si>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</si>
  <si>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</si>
  <si>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</si>
  <si>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</si>
  <si>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</si>
  <si>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</si>
  <si>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</si>
  <si>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</si>
  <si>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</si>
  <si>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</si>
  <si>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</si>
  <si>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</si>
  <si>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</si>
  <si>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</si>
  <si>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</si>
  <si>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</si>
  <si>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</si>
  <si>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</si>
  <si>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</si>
  <si>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</si>
  <si>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</si>
  <si>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</si>
  <si>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</si>
  <si>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</si>
  <si>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</si>
  <si>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</si>
  <si>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</si>
  <si>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</si>
  <si>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</si>
  <si>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</si>
  <si>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</si>
  <si>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</si>
  <si>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</si>
  <si>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</si>
  <si>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</si>
  <si>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</si>
  <si>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</si>
  <si>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</si>
  <si>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</si>
  <si>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</si>
  <si>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</si>
  <si>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</si>
  <si>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</si>
  <si>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</si>
  <si>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</si>
  <si>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</si>
  <si>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</si>
  <si>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</si>
  <si>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</si>
  <si>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</si>
  <si>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</si>
  <si>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</si>
  <si>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</si>
  <si>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</si>
  <si>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</si>
  <si>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</si>
  <si>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</si>
  <si>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</si>
  <si>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</si>
  <si>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</si>
  <si>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</si>
  <si>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</si>
  <si>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</si>
  <si>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</si>
  <si>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</si>
  <si>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</si>
  <si>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</si>
  <si>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</si>
  <si>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</si>
  <si>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</si>
  <si>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</si>
  <si>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</si>
  <si>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</si>
  <si>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</si>
  <si>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</si>
  <si>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</si>
  <si>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</si>
  <si>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</si>
  <si>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</si>
  <si>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</si>
  <si>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</si>
  <si>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</si>
  <si>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</si>
  <si>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</si>
  <si>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</si>
  <si>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</si>
  <si>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</si>
  <si>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</si>
  <si>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</si>
  <si>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</si>
  <si>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</si>
  <si>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</si>
  <si>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</si>
  <si>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</si>
  <si>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</si>
  <si>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</si>
  <si>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</si>
  <si>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</si>
  <si>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</si>
  <si>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</si>
  <si>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</si>
  <si>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</si>
  <si>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</si>
  <si>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</si>
  <si>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</si>
  <si>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</si>
  <si>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</si>
  <si>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</si>
  <si>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</si>
  <si>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</si>
  <si>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</si>
  <si>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</si>
  <si>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</si>
  <si>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</si>
  <si>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</si>
  <si>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</si>
  <si>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</si>
  <si>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</si>
  <si>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</si>
  <si>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</si>
  <si>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</si>
  <si>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</si>
  <si>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</si>
  <si>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</si>
  <si>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</si>
  <si>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</si>
  <si>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</si>
  <si>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</si>
  <si>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</si>
  <si>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</si>
  <si>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</si>
  <si>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</si>
  <si>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</si>
  <si>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</si>
  <si>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</si>
  <si>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</si>
  <si>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</si>
  <si>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</si>
  <si>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</si>
  <si>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</si>
  <si>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</si>
  <si>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</si>
  <si>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</si>
  <si>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</si>
  <si>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</si>
  <si>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</si>
  <si>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</si>
  <si>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</si>
  <si>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</si>
  <si>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</si>
  <si>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</si>
  <si>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</si>
  <si>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</si>
  <si>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</si>
  <si>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</si>
  <si>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</si>
  <si>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</si>
  <si>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</si>
  <si>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</si>
  <si>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</si>
  <si>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</si>
  <si>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</si>
  <si>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</si>
  <si>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</si>
  <si>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</si>
  <si>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</si>
  <si>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</si>
  <si>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</si>
  <si>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</si>
  <si>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</si>
  <si>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</si>
  <si>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</si>
  <si>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</si>
  <si>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</si>
  <si>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</si>
  <si>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</si>
  <si>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</si>
  <si>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</si>
  <si>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</si>
  <si>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</si>
  <si>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</si>
  <si>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</si>
  <si>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</si>
  <si>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</si>
  <si>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</si>
  <si>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</si>
  <si>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</si>
  <si>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</si>
  <si>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</si>
  <si>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</si>
  <si>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</si>
  <si>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</si>
  <si>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</si>
  <si>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</si>
  <si>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</si>
  <si>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</si>
  <si>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</si>
  <si>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</si>
  <si>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</si>
  <si>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</si>
  <si>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</si>
  <si>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</si>
  <si>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</si>
  <si>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</si>
  <si>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</si>
  <si>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</si>
  <si>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</si>
  <si>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</si>
  <si>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</si>
  <si>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</si>
  <si>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</si>
  <si>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</si>
  <si>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</si>
  <si>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</si>
  <si>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</si>
  <si>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</si>
  <si>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</si>
  <si>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</si>
  <si>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</si>
  <si>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</si>
  <si>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</si>
  <si>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</si>
  <si>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</si>
  <si>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</si>
  <si>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</si>
  <si>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</si>
  <si>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</si>
  <si>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</si>
  <si>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</si>
  <si>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</si>
  <si>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</si>
  <si>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</si>
  <si>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</si>
  <si>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</si>
  <si>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</si>
  <si>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</si>
  <si>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</si>
  <si>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</si>
  <si>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</si>
  <si>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</si>
  <si>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</si>
  <si>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</si>
  <si>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</si>
  <si>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</si>
  <si>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</si>
  <si>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</si>
  <si>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</si>
  <si>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</si>
  <si>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</si>
  <si>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</si>
  <si>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</si>
  <si>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</si>
  <si>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</si>
  <si>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</si>
  <si>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</si>
  <si>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</si>
  <si>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</si>
  <si>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</si>
  <si>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</si>
  <si>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</si>
  <si>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</si>
  <si>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</si>
  <si>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</si>
  <si>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</si>
  <si>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</si>
  <si>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</si>
  <si>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</si>
  <si>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</si>
  <si>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</si>
  <si>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</si>
  <si>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</si>
  <si>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</si>
  <si>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</si>
  <si>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</si>
  <si>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</si>
  <si>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</si>
  <si>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</si>
  <si>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</si>
  <si>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</si>
  <si>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</si>
  <si>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</si>
  <si>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</si>
  <si>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</si>
  <si>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</si>
  <si>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</si>
  <si>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</si>
  <si>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</si>
  <si>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</si>
  <si>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</si>
  <si>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</si>
  <si>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</si>
  <si>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</si>
  <si>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</si>
  <si>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</si>
  <si>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</si>
  <si>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</si>
  <si>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</si>
  <si>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</si>
  <si>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</si>
  <si>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</si>
  <si>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</si>
  <si>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</si>
  <si>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</si>
  <si>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</si>
  <si>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</si>
  <si>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</si>
  <si>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</si>
  <si>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</si>
  <si>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</si>
  <si>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</si>
  <si>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</si>
  <si>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</si>
  <si>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</si>
  <si>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</si>
  <si>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</si>
  <si>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</si>
  <si>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</si>
  <si>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</si>
  <si>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</si>
  <si>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</si>
  <si>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</si>
  <si>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</si>
  <si>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</si>
  <si>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</si>
  <si>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</si>
  <si>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</si>
  <si>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</si>
  <si>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</si>
  <si>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</si>
  <si>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</si>
  <si>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</si>
  <si>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</si>
  <si>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</si>
  <si>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</si>
  <si>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</si>
  <si>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</si>
  <si>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</si>
  <si>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</si>
  <si>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</si>
  <si>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</si>
  <si>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</si>
  <si>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</si>
  <si>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</si>
  <si>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</si>
  <si>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</si>
  <si>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</si>
  <si>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</si>
  <si>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</si>
  <si>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</si>
  <si>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</si>
  <si>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</si>
  <si>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</si>
  <si>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</si>
  <si>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</si>
  <si>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</si>
  <si>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</si>
  <si>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</si>
  <si>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</si>
  <si>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</si>
  <si>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</si>
  <si>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</si>
  <si>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</si>
  <si>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</si>
  <si>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</si>
  <si>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</si>
  <si>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</si>
  <si>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</si>
  <si>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</si>
  <si>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</si>
  <si>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</si>
  <si>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</si>
  <si>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</si>
  <si>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</si>
  <si>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</si>
  <si>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</si>
  <si>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</si>
  <si>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</si>
  <si>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</si>
  <si>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</si>
  <si>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</si>
  <si>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</si>
  <si>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</si>
  <si>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</si>
  <si>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</si>
  <si>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</si>
  <si>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</si>
  <si>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</si>
  <si>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</si>
  <si>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</si>
  <si>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</si>
  <si>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</si>
  <si>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</si>
  <si>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</si>
  <si>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</si>
  <si>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</si>
  <si>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</si>
  <si>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</si>
  <si>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</si>
  <si>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</si>
  <si>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</si>
  <si>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</si>
  <si>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</si>
  <si>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</si>
  <si>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</si>
  <si>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</si>
  <si>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</si>
  <si>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</si>
  <si>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</si>
  <si>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</si>
  <si>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</si>
  <si>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</si>
  <si>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</si>
  <si>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</si>
  <si>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</si>
  <si>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</si>
  <si>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</si>
  <si>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</si>
  <si>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</si>
  <si>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</si>
  <si>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</si>
  <si>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</si>
  <si>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</si>
  <si>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</si>
  <si>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</si>
  <si>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</si>
  <si>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</si>
  <si>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</si>
  <si>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</si>
  <si>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</si>
  <si>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</si>
  <si>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</si>
  <si>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</si>
  <si>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</si>
  <si>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</si>
  <si>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</si>
  <si>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</si>
  <si>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</si>
  <si>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</si>
  <si>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</si>
  <si>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</si>
  <si>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</si>
  <si>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</si>
  <si>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</si>
  <si>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</si>
  <si>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</si>
  <si>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</si>
  <si>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</si>
  <si>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</si>
  <si>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</si>
  <si>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</si>
  <si>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</si>
  <si>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</si>
  <si>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</si>
  <si>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</si>
  <si>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</si>
  <si>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</si>
  <si>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</si>
  <si>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</si>
  <si>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</si>
  <si>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</si>
  <si>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</si>
  <si>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</si>
  <si>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</si>
  <si>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</si>
  <si>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</si>
  <si>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</si>
  <si>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</si>
  <si>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</si>
  <si>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</si>
  <si>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</si>
  <si>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</si>
  <si>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</si>
  <si>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</si>
  <si>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</si>
  <si>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</si>
  <si>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</si>
  <si>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</si>
  <si>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</si>
  <si>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</si>
  <si>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</si>
  <si>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</si>
  <si>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</si>
  <si>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</si>
  <si>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</si>
  <si>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</si>
  <si>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</si>
  <si>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</si>
  <si>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</si>
  <si>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</si>
  <si>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</si>
  <si>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</si>
  <si>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</si>
  <si>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</si>
  <si>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</si>
  <si>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</si>
  <si>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</si>
  <si>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</si>
  <si>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</si>
  <si>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</si>
  <si>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</si>
  <si>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</si>
  <si>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</si>
  <si>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</si>
  <si>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</si>
  <si>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</si>
  <si>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</si>
  <si>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</si>
  <si>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</si>
  <si>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</si>
  <si>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</si>
  <si>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</si>
  <si>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</si>
  <si>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</si>
  <si>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</si>
  <si>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</si>
  <si>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</si>
  <si>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</si>
  <si>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</si>
  <si>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</si>
  <si>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</si>
  <si>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</si>
  <si>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</si>
  <si>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</si>
  <si>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</si>
  <si>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</si>
  <si>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</si>
  <si>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</si>
  <si>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</si>
  <si>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</si>
  <si>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</si>
  <si>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</si>
  <si>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</si>
  <si>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</si>
  <si>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</si>
  <si>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</si>
  <si>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</si>
  <si>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</si>
  <si>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</si>
  <si>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</si>
  <si>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</si>
  <si>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</si>
  <si>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</si>
  <si>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</si>
  <si>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</si>
  <si>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</si>
  <si>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</si>
  <si>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</si>
  <si>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</si>
  <si>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</si>
  <si>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</si>
  <si>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</si>
  <si>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</si>
  <si>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</si>
  <si>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</si>
  <si>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</si>
  <si>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</si>
  <si>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</si>
  <si>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</si>
  <si>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</si>
  <si>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</si>
  <si>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</si>
  <si>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</si>
  <si>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</si>
  <si>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</si>
  <si>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</si>
  <si>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</si>
  <si>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</si>
  <si>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</si>
  <si>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</si>
  <si>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</si>
  <si>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</si>
  <si>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</si>
  <si>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</si>
  <si>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</si>
  <si>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</si>
  <si>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</si>
  <si>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</si>
  <si>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</si>
  <si>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</si>
  <si>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</si>
  <si>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</si>
  <si>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</si>
  <si>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</si>
  <si>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</si>
  <si>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</si>
  <si>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</si>
  <si>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</si>
  <si>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</si>
  <si>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</si>
  <si>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</si>
  <si>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</si>
  <si>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</si>
  <si>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</si>
  <si>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</si>
  <si>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</si>
  <si>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</si>
  <si>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</si>
  <si>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</si>
  <si>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</si>
  <si>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</si>
  <si>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</si>
  <si>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</si>
  <si>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</si>
  <si>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</si>
  <si>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</si>
  <si>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</si>
  <si>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</si>
  <si>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</si>
  <si>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</si>
  <si>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</si>
  <si>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</si>
  <si>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</si>
  <si>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</si>
  <si>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</si>
  <si>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</si>
  <si>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</si>
  <si>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</si>
  <si>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</si>
  <si>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</si>
  <si>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</si>
  <si>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</si>
  <si>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</si>
  <si>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</si>
  <si>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</si>
  <si>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</si>
  <si>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</si>
  <si>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</si>
  <si>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</si>
  <si>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</si>
  <si>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</si>
  <si>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</si>
  <si>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</si>
  <si>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</si>
  <si>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</si>
  <si>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</si>
  <si>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</si>
  <si>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</si>
  <si>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</si>
  <si>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</si>
  <si>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</si>
  <si>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</si>
  <si>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</si>
  <si>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</si>
  <si>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</si>
  <si>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</si>
  <si>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</si>
  <si>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</si>
  <si>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</si>
  <si>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</si>
  <si>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</si>
  <si>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</si>
  <si>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</si>
  <si>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</si>
  <si>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</si>
  <si>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</si>
  <si>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</si>
  <si>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</si>
  <si>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</si>
  <si>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</si>
  <si>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</si>
  <si>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</si>
  <si>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</si>
  <si>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</si>
  <si>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</si>
  <si>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</si>
  <si>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</si>
  <si>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</si>
  <si>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</si>
  <si>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</si>
  <si>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</si>
  <si>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</si>
  <si>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</si>
  <si>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</si>
  <si>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</si>
  <si>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</si>
  <si>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</si>
  <si>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</si>
  <si>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</si>
  <si>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</si>
  <si>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</si>
  <si>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</si>
  <si>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</si>
  <si>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</si>
  <si>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</si>
  <si>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</si>
  <si>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</si>
  <si>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</si>
  <si>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</si>
  <si>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</si>
  <si>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</si>
  <si>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</si>
  <si>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</si>
  <si>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</si>
  <si>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</si>
  <si>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</si>
  <si>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</si>
  <si>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</si>
  <si>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</si>
  <si>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</si>
  <si>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</si>
  <si>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</si>
  <si>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</si>
  <si>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</si>
  <si>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</si>
  <si>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</si>
  <si>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</si>
  <si>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</si>
  <si>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</si>
  <si>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</si>
  <si>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</si>
  <si>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</si>
  <si>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</si>
  <si>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</si>
  <si>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</si>
  <si>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</si>
  <si>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</si>
  <si>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</si>
  <si>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</si>
  <si>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</si>
  <si>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</si>
  <si>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</si>
  <si>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</si>
  <si>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</si>
  <si>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</si>
  <si>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</si>
  <si>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</si>
  <si>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</si>
  <si>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</si>
  <si>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</si>
  <si>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</si>
  <si>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</si>
  <si>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</si>
  <si>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</si>
  <si>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</si>
  <si>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</si>
  <si>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</si>
  <si>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</si>
  <si>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</si>
  <si>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</si>
  <si>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</si>
  <si>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</si>
  <si>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</si>
  <si>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</si>
  <si>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</si>
  <si>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</si>
  <si>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</si>
  <si>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</si>
  <si>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</si>
  <si>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</si>
  <si>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</si>
  <si>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</si>
  <si>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</si>
  <si>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</si>
  <si>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</si>
  <si>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</si>
  <si>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</si>
  <si>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</si>
  <si>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</si>
  <si>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</si>
  <si>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</si>
  <si>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</si>
  <si>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</si>
  <si>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</si>
  <si>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</si>
  <si>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</si>
  <si>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</si>
  <si>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</si>
  <si>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</si>
  <si>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</si>
  <si>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</si>
  <si>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</si>
  <si>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</si>
  <si>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</si>
  <si>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</si>
  <si>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</si>
  <si>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</si>
  <si>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</si>
  <si>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</si>
  <si>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</si>
  <si>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</si>
  <si>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</si>
  <si>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</si>
  <si>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</si>
  <si>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</si>
  <si>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</si>
  <si>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</si>
  <si>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</si>
  <si>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</si>
  <si>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</si>
  <si>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</si>
  <si>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</si>
  <si>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</si>
  <si>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</si>
  <si>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</si>
  <si>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</si>
  <si>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</si>
  <si>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</si>
  <si>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</si>
  <si>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</si>
  <si>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</si>
  <si>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</si>
  <si>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</si>
  <si>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</si>
  <si>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</si>
  <si>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</si>
  <si>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</si>
  <si>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</si>
  <si>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</si>
  <si>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</si>
  <si>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</si>
  <si>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</si>
  <si>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</si>
  <si>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</si>
  <si>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</si>
  <si>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</si>
  <si>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</si>
  <si>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</si>
  <si>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</si>
  <si>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</si>
  <si>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</si>
  <si>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</si>
  <si>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</si>
  <si>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</si>
  <si>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</si>
  <si>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</si>
  <si>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</si>
  <si>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</si>
  <si>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</si>
  <si>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</si>
  <si>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</si>
  <si>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</si>
  <si>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</si>
  <si>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</si>
  <si>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</si>
  <si>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</si>
  <si>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</si>
  <si>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</si>
  <si>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</si>
  <si>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</si>
  <si>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</si>
  <si>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</si>
  <si>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</si>
  <si>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</si>
  <si>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</si>
  <si>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</si>
  <si>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</si>
  <si>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</si>
  <si>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</si>
  <si>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</si>
  <si>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</si>
  <si>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</si>
  <si>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</si>
  <si>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</si>
  <si>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</si>
  <si>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</si>
  <si>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</si>
  <si>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</si>
  <si>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</si>
  <si>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</si>
  <si>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</si>
  <si>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</si>
  <si>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</si>
  <si>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</si>
  <si>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</si>
  <si>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</si>
  <si>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</si>
  <si>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</si>
  <si>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</si>
  <si>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</si>
  <si>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</si>
  <si>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</si>
  <si>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</si>
  <si>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</si>
  <si>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</si>
  <si>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</si>
  <si>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</si>
  <si>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</si>
  <si>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</si>
  <si>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</si>
  <si>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</si>
  <si>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</si>
  <si>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</si>
  <si>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</si>
  <si>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</si>
  <si>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</si>
  <si>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</si>
  <si>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</si>
  <si>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</si>
  <si>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</si>
  <si>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</si>
  <si>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</si>
  <si>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</si>
  <si>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</si>
  <si>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</si>
  <si>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</si>
  <si>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</si>
  <si>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</si>
  <si>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</si>
  <si>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</si>
  <si>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</si>
  <si>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</si>
  <si>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</si>
  <si>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</si>
  <si>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</si>
  <si>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</si>
  <si>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</si>
  <si>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</si>
  <si>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</si>
  <si>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</si>
  <si>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</si>
  <si>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</si>
  <si>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</si>
  <si>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</si>
  <si>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</si>
  <si>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</si>
  <si>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</si>
  <si>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</si>
  <si>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</si>
  <si>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</si>
  <si>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</si>
  <si>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</si>
  <si>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</si>
  <si>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</si>
  <si>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</si>
  <si>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</si>
  <si>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</si>
  <si>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</si>
  <si>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</si>
  <si>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</si>
  <si>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</si>
  <si>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</si>
  <si>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</si>
  <si>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</si>
  <si>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</si>
  <si>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</si>
  <si>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</si>
  <si>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</si>
  <si>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</si>
  <si>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</si>
  <si>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</si>
  <si>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</si>
  <si>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</si>
  <si>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</si>
  <si>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</si>
  <si>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</si>
  <si>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</si>
  <si>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</si>
  <si>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</si>
  <si>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</si>
  <si>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</si>
  <si>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</si>
  <si>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</si>
  <si>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</si>
  <si>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</si>
  <si>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</si>
  <si>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</si>
  <si>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</si>
  <si>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</si>
  <si>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</si>
  <si>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</si>
  <si>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</si>
  <si>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</si>
  <si>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</si>
  <si>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</si>
  <si>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</si>
  <si>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</si>
  <si>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</si>
  <si>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</si>
  <si>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</si>
  <si>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</si>
  <si>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</si>
  <si>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</si>
  <si>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</si>
  <si>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</si>
  <si>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</si>
  <si>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</si>
  <si>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</si>
  <si>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</si>
  <si>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</si>
  <si>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</si>
  <si>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</si>
  <si>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</si>
  <si>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</si>
  <si>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</si>
  <si>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</si>
  <si>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</si>
  <si>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</si>
  <si>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</si>
  <si>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</si>
  <si>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</si>
  <si>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</si>
  <si>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</si>
  <si>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</si>
  <si>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</si>
  <si>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</si>
  <si>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</si>
  <si>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</si>
  <si>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</si>
  <si>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</si>
  <si>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</si>
  <si>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</si>
  <si>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</si>
  <si>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</si>
  <si>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</si>
  <si>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</si>
  <si>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</si>
  <si>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</si>
  <si>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</si>
  <si>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</si>
  <si>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</si>
  <si>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</si>
  <si>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</si>
  <si>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</si>
  <si>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</si>
  <si>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</si>
  <si>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</si>
  <si>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</si>
  <si>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</si>
  <si>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</si>
  <si>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</si>
  <si>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</si>
  <si>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</si>
  <si>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</si>
  <si>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</si>
  <si>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</si>
  <si>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</si>
  <si>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</si>
  <si>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</si>
  <si>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</si>
  <si>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</si>
  <si>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</si>
  <si>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</si>
  <si>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</si>
  <si>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</si>
  <si>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</si>
  <si>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</si>
  <si>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</si>
  <si>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</si>
  <si>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</si>
  <si>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</si>
  <si>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</si>
  <si>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</si>
  <si>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</si>
  <si>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</si>
  <si>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</si>
  <si>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</si>
  <si>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</si>
  <si>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</si>
  <si>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</si>
  <si>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</si>
  <si>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</si>
  <si>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</si>
  <si>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</si>
  <si>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</si>
  <si>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</si>
  <si>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</si>
  <si>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</si>
  <si>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</si>
  <si>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</si>
  <si>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</si>
  <si>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</si>
  <si>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</si>
  <si>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</si>
  <si>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</si>
  <si>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</si>
  <si>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</si>
  <si>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</si>
  <si>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</si>
  <si>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</si>
  <si>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</si>
  <si>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</si>
  <si>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</si>
  <si>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</si>
  <si>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</si>
  <si>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</si>
  <si>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</si>
  <si>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</si>
  <si>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</si>
  <si>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</si>
  <si>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</si>
  <si>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</si>
  <si>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</si>
  <si>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</si>
  <si>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</si>
  <si>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</si>
  <si>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</si>
  <si>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</si>
  <si>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</si>
  <si>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</si>
  <si>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</si>
  <si>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</si>
  <si>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</si>
  <si>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</si>
  <si>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</si>
  <si>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</si>
  <si>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</si>
  <si>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</si>
  <si>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</si>
  <si>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</si>
  <si>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</si>
  <si>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</si>
  <si>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</si>
  <si>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</si>
  <si>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</si>
  <si>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</si>
  <si>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</si>
  <si>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</si>
  <si>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</si>
  <si>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</si>
  <si>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</si>
  <si>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</si>
  <si>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</si>
  <si>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</si>
  <si>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</si>
  <si>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</si>
  <si>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</si>
  <si>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</si>
  <si>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</si>
  <si>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</si>
  <si>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</si>
  <si>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</si>
  <si>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</si>
  <si>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</si>
  <si>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</si>
  <si>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</si>
  <si>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</si>
  <si>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</si>
  <si>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</si>
  <si>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</si>
  <si>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</si>
  <si>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</si>
  <si>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</si>
  <si>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</si>
  <si>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</si>
  <si>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</si>
  <si>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</si>
  <si>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</si>
  <si>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</si>
  <si>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</si>
  <si>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</si>
  <si>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</si>
  <si>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</si>
  <si>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</si>
  <si>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</si>
  <si>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</si>
  <si>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</si>
  <si>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</si>
  <si>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</si>
  <si>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</si>
  <si>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</si>
  <si>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</si>
  <si>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</si>
  <si>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</si>
  <si>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</si>
  <si>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</si>
  <si>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</si>
  <si>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</si>
  <si>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</si>
  <si>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</si>
  <si>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</si>
  <si>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</si>
  <si>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</si>
  <si>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</si>
  <si>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</si>
  <si>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</si>
  <si>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</si>
  <si>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</si>
  <si>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</si>
  <si>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</si>
  <si>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</si>
  <si>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</si>
  <si>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</si>
  <si>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</si>
  <si>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</si>
  <si>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</si>
  <si>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</si>
  <si>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</si>
  <si>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</si>
  <si>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</si>
  <si>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</si>
  <si>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</si>
  <si>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</si>
  <si>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</si>
  <si>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</si>
  <si>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</si>
  <si>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</si>
  <si>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</si>
  <si>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</si>
  <si>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</si>
  <si>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</si>
  <si>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</si>
  <si>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</si>
  <si>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</si>
  <si>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</si>
  <si>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</si>
  <si>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</si>
  <si>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</si>
  <si>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</si>
  <si>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</si>
  <si>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</si>
  <si>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</si>
  <si>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</si>
  <si>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</si>
  <si>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</si>
  <si>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</si>
  <si>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</si>
  <si>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</si>
  <si>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</si>
  <si>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</si>
  <si>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</si>
  <si>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</si>
  <si>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</si>
  <si>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</si>
  <si>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</si>
  <si>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</si>
  <si>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</si>
  <si>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</si>
  <si>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</si>
  <si>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</si>
  <si>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</si>
  <si>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</si>
  <si>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</si>
  <si>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</si>
  <si>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</si>
  <si>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</si>
  <si>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</si>
  <si>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</si>
  <si>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</si>
  <si>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</si>
  <si>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</si>
  <si>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</si>
  <si>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</si>
  <si>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</si>
  <si>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</si>
  <si>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</si>
  <si>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</si>
  <si>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</si>
  <si>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</si>
  <si>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</si>
  <si>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</si>
  <si>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</si>
  <si>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</si>
  <si>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</si>
  <si>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</si>
  <si>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</si>
  <si>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</si>
  <si>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</si>
  <si>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</si>
  <si>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</si>
  <si>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</si>
  <si>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</si>
  <si>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</si>
  <si>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</si>
  <si>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</si>
  <si>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</si>
  <si>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</si>
  <si>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</si>
  <si>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</si>
  <si>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</si>
  <si>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</si>
  <si>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</si>
  <si>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</si>
  <si>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</si>
  <si>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</si>
  <si>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</si>
  <si>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</si>
  <si>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</si>
  <si>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</si>
  <si>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</si>
  <si>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</si>
  <si>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</si>
  <si>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</si>
  <si>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</si>
  <si>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</si>
  <si>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</si>
  <si>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</si>
  <si>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</si>
  <si>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</si>
  <si>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</si>
  <si>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</si>
  <si>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</si>
  <si>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</si>
  <si>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</si>
  <si>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</si>
  <si>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</si>
  <si>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</si>
  <si>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</si>
  <si>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</si>
  <si>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</si>
  <si>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</si>
  <si>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</si>
  <si>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</si>
  <si>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</si>
  <si>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</si>
  <si>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</si>
  <si>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</si>
  <si>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</si>
  <si>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</si>
  <si>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</si>
  <si>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</si>
  <si>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</si>
  <si>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</si>
  <si>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</si>
  <si>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</si>
  <si>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</si>
  <si>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</si>
  <si>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</si>
  <si>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</si>
  <si>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</si>
  <si>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</si>
  <si>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</si>
  <si>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</si>
  <si>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</si>
  <si>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</si>
  <si>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</si>
  <si>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</si>
  <si>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</si>
  <si>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</si>
  <si>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</si>
  <si>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</si>
  <si>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</si>
  <si>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</si>
  <si>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</si>
  <si>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</si>
  <si>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</si>
  <si>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</si>
  <si>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</si>
  <si>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</si>
  <si>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</si>
  <si>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</si>
  <si>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</si>
  <si>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</si>
  <si>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</si>
  <si>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</si>
  <si>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</si>
  <si>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</si>
  <si>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</si>
  <si>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</si>
  <si>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</si>
  <si>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</si>
  <si>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</si>
  <si>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</si>
  <si>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</si>
  <si>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</si>
  <si>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</si>
  <si>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</si>
  <si>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</si>
  <si>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</si>
  <si>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</si>
  <si>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</si>
  <si>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</si>
  <si>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</si>
  <si>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</si>
  <si>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</si>
  <si>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</si>
  <si>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</si>
  <si>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</si>
  <si>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</si>
  <si>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</si>
  <si>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</si>
  <si>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</si>
  <si>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</si>
  <si>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</si>
  <si>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</si>
  <si>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</si>
  <si>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</si>
  <si>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</si>
  <si>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</si>
  <si>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</si>
  <si>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</si>
  <si>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</si>
  <si>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</si>
  <si>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</si>
  <si>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</si>
  <si>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</si>
  <si>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</si>
  <si>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</si>
  <si>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</si>
  <si>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</si>
  <si>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</si>
  <si>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</si>
  <si>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</si>
  <si>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</si>
  <si>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</si>
  <si>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</si>
  <si>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</si>
  <si>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</si>
  <si>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</si>
  <si>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</si>
  <si>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</si>
  <si>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</si>
  <si>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</si>
  <si>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</si>
  <si>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</si>
  <si>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</si>
  <si>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</si>
  <si>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</si>
  <si>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</si>
  <si>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</si>
  <si>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</si>
  <si>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</si>
  <si>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</si>
  <si>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</si>
  <si>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</si>
  <si>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</si>
  <si>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</si>
  <si>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</si>
  <si>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</si>
  <si>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</si>
  <si>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</si>
  <si>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</si>
  <si>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</si>
  <si>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</si>
  <si>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</si>
  <si>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</si>
  <si>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</si>
  <si>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</si>
  <si>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</si>
  <si>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</si>
  <si>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</si>
  <si>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</si>
  <si>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</si>
  <si>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</si>
  <si>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</si>
  <si>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</si>
  <si>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</si>
  <si>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</si>
  <si>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</si>
  <si>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</si>
  <si>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</si>
  <si>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</si>
  <si>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</si>
  <si>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</si>
  <si>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</si>
  <si>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</si>
  <si>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</si>
  <si>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</si>
  <si>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</si>
  <si>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</si>
  <si>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</si>
  <si>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</si>
  <si>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</si>
  <si>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</si>
  <si>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</si>
  <si>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</si>
  <si>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</si>
  <si>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</si>
  <si>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</si>
  <si>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</si>
  <si>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</si>
  <si>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</si>
  <si>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</si>
  <si>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</si>
  <si>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</si>
  <si>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</si>
  <si>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</si>
  <si>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</si>
  <si>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</si>
  <si>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</si>
  <si>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</si>
  <si>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</si>
  <si>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</si>
  <si>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</si>
  <si>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</si>
  <si>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</si>
  <si>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</si>
  <si>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</si>
  <si>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</si>
  <si>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</si>
  <si>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</si>
  <si>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</si>
  <si>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</si>
  <si>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</si>
  <si>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</si>
  <si>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</si>
  <si>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</si>
  <si>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</si>
  <si>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</si>
  <si>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</si>
  <si>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</si>
  <si>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</si>
  <si>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</si>
  <si>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</si>
  <si>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</si>
  <si>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</si>
  <si>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</si>
  <si>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</si>
  <si>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</si>
  <si>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</si>
  <si>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</si>
  <si>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</si>
  <si>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</si>
  <si>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</si>
  <si>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</si>
  <si>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</si>
  <si>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</si>
  <si>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</si>
  <si>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</si>
  <si>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</si>
  <si>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</si>
  <si>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</si>
  <si>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</si>
  <si>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</si>
  <si>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</si>
  <si>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</si>
  <si>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</si>
  <si>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</si>
  <si>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</si>
  <si>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</si>
  <si>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</si>
  <si>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</si>
  <si>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</si>
  <si>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</si>
  <si>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</si>
  <si>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</si>
  <si>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</si>
  <si>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</si>
  <si>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</si>
  <si>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</si>
  <si>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</si>
  <si>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</si>
  <si>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</si>
  <si>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</si>
  <si>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</si>
  <si>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</si>
  <si>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</si>
  <si>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</si>
  <si>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</si>
  <si>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</si>
  <si>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</si>
  <si>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</si>
  <si>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</si>
  <si>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</si>
  <si>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</si>
  <si>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</si>
  <si>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</si>
  <si>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</si>
  <si>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</si>
  <si>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</si>
  <si>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</si>
  <si>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</si>
  <si>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</si>
  <si>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</si>
  <si>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</si>
  <si>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</si>
  <si>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</si>
  <si>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</si>
  <si>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</si>
  <si>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</si>
  <si>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</si>
  <si>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</si>
  <si>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</si>
  <si>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</si>
  <si>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</si>
  <si>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</si>
  <si>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</si>
  <si>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</si>
  <si>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</si>
  <si>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</si>
  <si>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</si>
  <si>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</si>
  <si>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</si>
  <si>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</si>
  <si>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</si>
  <si>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</si>
  <si>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</si>
  <si>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</si>
  <si>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</si>
  <si>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</si>
  <si>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</si>
  <si>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</si>
  <si>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</si>
  <si>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</si>
  <si>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</si>
  <si>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</si>
  <si>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</si>
  <si>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</si>
  <si>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</si>
  <si>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</si>
  <si>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</si>
  <si>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</si>
  <si>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</si>
  <si>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</si>
  <si>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</si>
  <si>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</si>
  <si>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</si>
  <si>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</si>
  <si>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</si>
  <si>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</si>
  <si>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</si>
  <si>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</si>
  <si>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</si>
  <si>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</si>
  <si>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</si>
  <si>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</si>
  <si>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</si>
  <si>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</si>
  <si>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</si>
  <si>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</si>
  <si>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</si>
  <si>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</si>
  <si>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</si>
  <si>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</si>
  <si>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</si>
  <si>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</si>
  <si>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</si>
  <si>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</si>
  <si>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</si>
  <si>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</si>
  <si>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</si>
  <si>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</si>
  <si>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</si>
  <si>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</si>
  <si>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</si>
  <si>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</si>
  <si>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</si>
  <si>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</si>
  <si>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</si>
  <si>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</si>
  <si>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</si>
  <si>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</si>
  <si>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</si>
  <si>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</si>
  <si>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</si>
  <si>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</si>
  <si>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</si>
  <si>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</si>
  <si>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</si>
  <si>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</si>
  <si>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</si>
  <si>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</si>
  <si>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</si>
  <si>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</si>
  <si>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</si>
  <si>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</si>
  <si>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</si>
  <si>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</si>
  <si>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</si>
  <si>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</si>
  <si>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</si>
  <si>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</si>
  <si>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</si>
  <si>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</si>
  <si>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</si>
  <si>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</si>
  <si>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</si>
  <si>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</si>
  <si>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</si>
  <si>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</si>
  <si>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</si>
  <si>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</si>
  <si>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</si>
  <si>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</si>
  <si>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</si>
  <si>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</si>
  <si>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</si>
  <si>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</si>
  <si>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</si>
  <si>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</si>
  <si>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</si>
  <si>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</si>
  <si>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</si>
  <si>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</si>
  <si>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</si>
  <si>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</si>
  <si>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</si>
  <si>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</si>
  <si>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</si>
  <si>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</si>
  <si>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</si>
  <si>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</si>
  <si>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</si>
  <si>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</si>
  <si>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</si>
  <si>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</si>
  <si>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</si>
  <si>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</si>
  <si>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</si>
  <si>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</si>
  <si>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</si>
  <si>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</si>
  <si>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</si>
  <si>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</si>
  <si>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</si>
  <si>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</si>
  <si>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</si>
  <si>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</si>
  <si>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</si>
  <si>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</si>
  <si>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</si>
  <si>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</si>
  <si>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</si>
  <si>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</si>
  <si>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</si>
  <si>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</si>
  <si>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</si>
  <si>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</si>
  <si>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</si>
  <si>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</si>
  <si>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</si>
  <si>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</si>
  <si>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</si>
  <si>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</si>
  <si>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</si>
  <si>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</si>
  <si>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</si>
  <si>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</si>
  <si>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</si>
  <si>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</si>
  <si>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</si>
  <si>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</si>
  <si>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</si>
  <si>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</si>
  <si>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</si>
  <si>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</si>
  <si>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</si>
  <si>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</si>
  <si>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</si>
  <si>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</si>
  <si>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</si>
  <si>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</si>
  <si>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</si>
  <si>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</si>
  <si>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</si>
  <si>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</si>
  <si>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</si>
  <si>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</si>
  <si>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</si>
  <si>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</si>
  <si>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</si>
  <si>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</si>
  <si>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</si>
  <si>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</si>
  <si>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</si>
  <si>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</si>
  <si>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</si>
  <si>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</si>
  <si>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</si>
  <si>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</si>
  <si>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</si>
  <si>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</si>
  <si>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</si>
  <si>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</si>
  <si>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</si>
  <si>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</si>
  <si>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</si>
  <si>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</si>
  <si>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</si>
  <si>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</si>
  <si>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</si>
  <si>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</si>
  <si>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</si>
  <si>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</si>
  <si>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</si>
  <si>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</si>
  <si>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</si>
  <si>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</si>
  <si>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</si>
  <si>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</si>
  <si>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</si>
  <si>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</si>
  <si>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</si>
  <si>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</si>
  <si>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</si>
  <si>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</si>
  <si>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</si>
  <si>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</si>
  <si>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</si>
  <si>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</si>
  <si>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</si>
  <si>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</si>
  <si>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</si>
  <si>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</si>
  <si>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</si>
  <si>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</si>
  <si>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</si>
  <si>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</si>
  <si>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</si>
  <si>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</si>
  <si>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</si>
  <si>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</si>
  <si>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</si>
  <si>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</si>
  <si>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</si>
  <si>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</si>
  <si>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</si>
  <si>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</si>
  <si>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</si>
  <si>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</si>
  <si>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</si>
  <si>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</si>
  <si>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</si>
  <si>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</si>
  <si>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</si>
  <si>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</si>
  <si>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</si>
  <si>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</si>
  <si>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</si>
  <si>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</si>
  <si>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</si>
  <si>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</si>
  <si>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</si>
  <si>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</si>
  <si>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</si>
  <si>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</si>
  <si>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</si>
  <si>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</si>
  <si>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</si>
  <si>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</si>
  <si>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</si>
  <si>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</si>
  <si>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</si>
  <si>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</si>
  <si>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</si>
  <si>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</si>
  <si>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</si>
  <si>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</si>
  <si>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</si>
  <si>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</si>
  <si>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</si>
  <si>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</si>
  <si>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</si>
  <si>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</si>
  <si>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</si>
  <si>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</si>
  <si>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</si>
  <si>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</si>
  <si>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</si>
  <si>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</si>
  <si>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</si>
  <si>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</si>
  <si>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</si>
  <si>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</si>
  <si>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</si>
  <si>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</si>
  <si>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</si>
  <si>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</si>
  <si>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</si>
  <si>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</si>
  <si>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</si>
  <si>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</si>
  <si>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</si>
  <si>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</si>
  <si>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</si>
  <si>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</si>
  <si>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</si>
  <si>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</si>
  <si>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</si>
  <si>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</si>
  <si>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</si>
  <si>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</si>
  <si>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</si>
  <si>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</si>
  <si>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</si>
  <si>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</si>
  <si>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</si>
  <si>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</si>
  <si>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</si>
  <si>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</si>
  <si>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</si>
  <si>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</si>
  <si>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</si>
  <si>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</si>
  <si>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</si>
  <si>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</si>
  <si>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</si>
  <si>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</si>
  <si>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</si>
  <si>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</si>
  <si>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</si>
  <si>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</si>
  <si>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</si>
  <si>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</si>
  <si>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</si>
  <si>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</si>
  <si>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</si>
  <si>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</si>
  <si>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</si>
  <si>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</si>
  <si>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</si>
  <si>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</si>
  <si>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</si>
  <si>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</si>
  <si>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</si>
  <si>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</si>
  <si>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</si>
  <si>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</si>
  <si>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</si>
  <si>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</si>
  <si>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</si>
  <si>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</si>
  <si>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</si>
  <si>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</si>
  <si>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</si>
  <si>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</si>
  <si>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</si>
  <si>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</si>
  <si>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</si>
  <si>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</si>
  <si>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</si>
  <si>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</si>
  <si>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</si>
  <si>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</si>
  <si>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</si>
  <si>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</si>
  <si>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</si>
  <si>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</si>
  <si>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</si>
  <si>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</si>
  <si>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</si>
  <si>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</si>
  <si>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</si>
  <si>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</si>
  <si>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</si>
  <si>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</si>
  <si>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</si>
  <si>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</si>
  <si>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</si>
  <si>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</si>
  <si>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</si>
  <si>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</si>
  <si>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</si>
  <si>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</si>
  <si>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</si>
  <si>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</si>
  <si>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</si>
  <si>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</si>
  <si>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</si>
  <si>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</si>
  <si>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</si>
  <si>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</si>
  <si>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</si>
  <si>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</si>
  <si>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</si>
  <si>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</si>
  <si>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</si>
  <si>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</si>
  <si>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</si>
  <si>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</si>
  <si>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</si>
  <si>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</si>
  <si>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</si>
  <si>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</si>
  <si>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</si>
  <si>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</si>
  <si>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</si>
  <si>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</si>
  <si>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</si>
  <si>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</si>
  <si>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</si>
  <si>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</si>
  <si>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</si>
  <si>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</si>
  <si>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</si>
  <si>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</si>
  <si>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</si>
  <si>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</si>
  <si>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</si>
  <si>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</si>
  <si>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</si>
  <si>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</si>
  <si>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</si>
  <si>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</si>
  <si>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</si>
  <si>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</si>
  <si>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</si>
  <si>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</si>
  <si>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</si>
  <si>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</si>
  <si>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</si>
  <si>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</si>
  <si>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</si>
  <si>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</si>
  <si>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</si>
  <si>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</si>
  <si>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</si>
  <si>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</si>
  <si>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</si>
  <si>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</si>
  <si>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</si>
  <si>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</si>
  <si>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</si>
  <si>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</si>
  <si>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</si>
  <si>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</si>
  <si>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</si>
  <si>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</si>
  <si>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</si>
  <si>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</si>
  <si>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</si>
  <si>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</si>
  <si>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</si>
  <si>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</si>
  <si>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</si>
  <si>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</si>
  <si>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</si>
  <si>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</si>
  <si>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</si>
  <si>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</si>
  <si>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</si>
  <si>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</si>
  <si>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</si>
  <si>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</si>
  <si>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</si>
  <si>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</si>
  <si>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</si>
  <si>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</si>
  <si>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</si>
  <si>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</si>
  <si>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</si>
  <si>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</si>
  <si>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</si>
  <si>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</si>
  <si>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</si>
  <si>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</si>
  <si>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</si>
  <si>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</si>
  <si>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</si>
  <si>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</si>
  <si>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</si>
  <si>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</si>
  <si>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</si>
  <si>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</si>
  <si>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</si>
  <si>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</si>
  <si>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</si>
  <si>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</si>
  <si>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</si>
  <si>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</si>
  <si>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</si>
  <si>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</si>
  <si>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</si>
  <si>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</si>
  <si>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</si>
  <si>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</si>
  <si>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</si>
  <si>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</si>
  <si>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</si>
  <si>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</si>
  <si>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</si>
  <si>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</si>
  <si>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</si>
  <si>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</si>
  <si>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</si>
  <si>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</si>
  <si>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</si>
  <si>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</si>
  <si>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</si>
  <si>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</si>
  <si>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</si>
  <si>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</si>
  <si>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</si>
  <si>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</si>
  <si>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</si>
  <si>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</si>
  <si>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</si>
  <si>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</si>
  <si>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</si>
  <si>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</si>
  <si>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</si>
  <si>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</si>
  <si>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</si>
  <si>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</si>
  <si>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</si>
  <si>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</si>
  <si>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</si>
  <si>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</si>
  <si>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</si>
  <si>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</si>
  <si>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</si>
  <si>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</si>
  <si>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</si>
  <si>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</si>
  <si>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</si>
  <si>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</si>
  <si>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</si>
  <si>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</si>
  <si>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</si>
  <si>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</si>
  <si>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</si>
  <si>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</si>
  <si>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</si>
  <si>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</si>
  <si>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</si>
  <si>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</si>
  <si>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</si>
  <si>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</si>
  <si>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</si>
  <si>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</si>
  <si>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</si>
  <si>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</si>
  <si>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</si>
  <si>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</si>
  <si>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</si>
  <si>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</si>
  <si>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</si>
  <si>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</si>
  <si>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</si>
  <si>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</si>
  <si>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</si>
  <si>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</si>
  <si>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</si>
  <si>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</si>
  <si>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</si>
  <si>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</si>
  <si>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</si>
  <si>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</si>
  <si>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</si>
  <si>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</si>
  <si>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</si>
  <si>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</si>
  <si>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</si>
  <si>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</si>
  <si>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</si>
  <si>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</si>
  <si>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</si>
  <si>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</si>
  <si>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</si>
  <si>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</si>
  <si>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</si>
  <si>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</si>
  <si>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</si>
  <si>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</si>
  <si>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</si>
  <si>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</si>
  <si>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</si>
  <si>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</si>
  <si>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</si>
  <si>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</si>
  <si>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</si>
  <si>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</si>
  <si>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</si>
  <si>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</si>
  <si>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</si>
  <si>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</si>
  <si>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</si>
  <si>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</si>
  <si>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</si>
  <si>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</si>
  <si>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</si>
  <si>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</si>
  <si>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</si>
  <si>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</si>
  <si>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</si>
  <si>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</si>
  <si>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</si>
  <si>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</si>
  <si>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</si>
  <si>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</si>
  <si>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</si>
  <si>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</si>
  <si>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</si>
  <si>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</si>
  <si>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</si>
  <si>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</si>
  <si>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</si>
  <si>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</si>
  <si>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</si>
  <si>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</si>
  <si>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</si>
  <si>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</si>
  <si>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</si>
  <si>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</si>
  <si>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</si>
  <si>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</si>
  <si>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</si>
  <si>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</si>
  <si>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</si>
  <si>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</si>
  <si>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</si>
  <si>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</si>
  <si>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</si>
  <si>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</si>
  <si>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</si>
  <si>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</si>
  <si>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</si>
  <si>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</si>
  <si>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</si>
  <si>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</si>
  <si>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</si>
  <si>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</si>
  <si>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</si>
  <si>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</si>
  <si>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</si>
  <si>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</si>
  <si>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</si>
  <si>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</si>
  <si>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</si>
  <si>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</si>
  <si>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</si>
  <si>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</si>
  <si>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</si>
  <si>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</si>
  <si>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</si>
  <si>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</si>
  <si>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</si>
  <si>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</si>
  <si>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</si>
  <si>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</si>
  <si>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</si>
  <si>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</si>
  <si>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</si>
  <si>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</si>
  <si>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</si>
  <si>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</si>
  <si>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</si>
  <si>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</si>
  <si>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</si>
  <si>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</si>
  <si>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</si>
  <si>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</si>
  <si>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</si>
  <si>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</si>
  <si>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</si>
  <si>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</si>
  <si>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</si>
  <si>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</si>
  <si>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</si>
  <si>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</si>
  <si>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</si>
  <si>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</si>
  <si>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</si>
  <si>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</si>
  <si>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</si>
  <si>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</si>
  <si>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</si>
  <si>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</si>
  <si>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</si>
  <si>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</si>
  <si>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</si>
  <si>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</si>
  <si>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</si>
  <si>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</si>
  <si>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</si>
  <si>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</si>
  <si>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</si>
  <si>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</si>
  <si>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</si>
  <si>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</si>
  <si>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</si>
  <si>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</si>
  <si>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</si>
  <si>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</si>
  <si>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</si>
  <si>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</si>
  <si>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</si>
  <si>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</si>
  <si>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</si>
  <si>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</si>
  <si>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</si>
  <si>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</si>
  <si>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</si>
  <si>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</si>
  <si>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</si>
  <si>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</si>
  <si>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</si>
  <si>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</si>
  <si>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</si>
  <si>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</si>
  <si>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</si>
  <si>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</si>
  <si>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</si>
  <si>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</si>
  <si>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</si>
  <si>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</si>
  <si>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</si>
  <si>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</si>
  <si>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</si>
  <si>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</si>
  <si>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</si>
  <si>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</si>
  <si>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</si>
  <si>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</si>
  <si>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</si>
  <si>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</si>
  <si>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</si>
  <si>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</si>
  <si>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</si>
  <si>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</si>
  <si>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</si>
  <si>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</si>
  <si>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</si>
  <si>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</si>
  <si>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</si>
  <si>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</si>
  <si>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</si>
  <si>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</si>
  <si>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</si>
  <si>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</si>
  <si>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</si>
  <si>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</si>
  <si>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</si>
  <si>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</si>
  <si>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</si>
  <si>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</si>
  <si>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</si>
  <si>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</si>
  <si>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</si>
  <si>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</si>
  <si>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</si>
  <si>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</si>
  <si>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</si>
  <si>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</si>
  <si>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</si>
  <si>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</si>
  <si>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</si>
  <si>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</si>
  <si>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</si>
  <si>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</si>
  <si>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</si>
  <si>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</si>
  <si>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</si>
  <si>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</si>
  <si>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</si>
  <si>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</si>
  <si>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</si>
  <si>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</si>
  <si>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</si>
  <si>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</si>
  <si>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</si>
  <si>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</si>
  <si>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</si>
  <si>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</si>
  <si>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</si>
  <si>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</si>
  <si>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</si>
  <si>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</si>
  <si>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</si>
  <si>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</si>
  <si>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</si>
  <si>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</si>
  <si>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</si>
  <si>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</si>
  <si>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</si>
  <si>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</si>
  <si>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</si>
  <si>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</si>
  <si>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</si>
  <si>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</si>
  <si>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</si>
  <si>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</si>
  <si>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</si>
  <si>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</si>
  <si>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</si>
  <si>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</si>
  <si>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</si>
  <si>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</si>
  <si>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</si>
  <si>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</si>
  <si>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</si>
  <si>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</si>
  <si>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</si>
  <si>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</si>
  <si>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</si>
  <si>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</si>
  <si>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</si>
  <si>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</si>
  <si>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</si>
  <si>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</si>
  <si>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</si>
  <si>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</si>
  <si>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</si>
  <si>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</si>
  <si>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</si>
  <si>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</si>
  <si>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</si>
  <si>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</si>
  <si>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</si>
  <si>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</si>
  <si>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</si>
  <si>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</si>
  <si>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</si>
  <si>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</si>
  <si>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</si>
  <si>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</si>
  <si>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</si>
  <si>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</si>
  <si>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</si>
  <si>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</si>
  <si>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</si>
  <si>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</si>
  <si>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</si>
  <si>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</si>
  <si>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</si>
  <si>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</si>
  <si>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</si>
  <si>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</si>
  <si>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</si>
  <si>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</si>
  <si>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</si>
  <si>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</si>
  <si>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</si>
  <si>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</si>
  <si>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</si>
  <si>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</si>
  <si>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</si>
  <si>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</si>
  <si>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</si>
  <si>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</si>
  <si>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</si>
  <si>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</si>
  <si>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</si>
  <si>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</si>
  <si>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</si>
  <si>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</si>
  <si>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</si>
  <si>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</si>
  <si>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</si>
  <si>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</si>
  <si>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</si>
  <si>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</si>
  <si>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</si>
  <si>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</si>
  <si>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</si>
  <si>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</si>
  <si>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</si>
  <si>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</si>
  <si>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</si>
  <si>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</si>
  <si>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</si>
  <si>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</si>
  <si>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</si>
  <si>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</si>
  <si>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</si>
  <si>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</si>
  <si>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</si>
  <si>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</si>
  <si>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</si>
  <si>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</si>
  <si>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</si>
  <si>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</si>
  <si>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</si>
  <si>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</si>
  <si>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</si>
  <si>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</si>
  <si>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</si>
  <si>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</si>
  <si>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</si>
  <si>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</si>
  <si>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</si>
  <si>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</si>
  <si>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</si>
  <si>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</si>
  <si>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</si>
  <si>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</si>
  <si>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</si>
  <si>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</si>
  <si>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</si>
  <si>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</si>
  <si>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</si>
  <si>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</si>
  <si>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</si>
  <si>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</si>
  <si>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</si>
  <si>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</si>
  <si>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</si>
  <si>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</si>
  <si>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</si>
  <si>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</si>
  <si>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</si>
  <si>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</si>
  <si>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</si>
  <si>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</si>
  <si>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</si>
  <si>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</si>
  <si>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</si>
  <si>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</si>
  <si>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</si>
  <si>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</si>
  <si>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</si>
  <si>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</si>
  <si>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</si>
  <si>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</si>
  <si>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</si>
  <si>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</si>
  <si>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</si>
  <si>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</si>
  <si>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</si>
  <si>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</si>
  <si>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</si>
  <si>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</si>
  <si>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</si>
  <si>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</si>
  <si>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</si>
  <si>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</si>
  <si>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</si>
  <si>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</si>
  <si>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</si>
  <si>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</si>
  <si>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</si>
  <si>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</si>
  <si>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</si>
  <si>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</si>
  <si>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</si>
  <si>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</si>
  <si>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</si>
  <si>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</si>
  <si>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</si>
  <si>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</si>
  <si>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</si>
  <si>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</si>
  <si>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</si>
  <si>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</si>
  <si>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</si>
  <si>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</si>
  <si>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</si>
  <si>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</si>
  <si>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</si>
  <si>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</si>
  <si>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</si>
  <si>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</si>
  <si>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</si>
  <si>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</si>
  <si>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</si>
  <si>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</si>
  <si>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</si>
  <si>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</si>
  <si>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</si>
  <si>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</si>
  <si>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</si>
  <si>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</si>
  <si>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</si>
  <si>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</si>
  <si>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</si>
  <si>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</si>
  <si>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</si>
  <si>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</si>
  <si>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</si>
  <si>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</si>
  <si>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</si>
  <si>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</si>
  <si>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</si>
  <si>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</si>
  <si>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</si>
  <si>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</si>
  <si>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</si>
  <si>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</si>
  <si>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</si>
  <si>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</si>
  <si>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</si>
  <si>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</si>
  <si>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</si>
  <si>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</si>
  <si>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</si>
  <si>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</si>
  <si>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</si>
  <si>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</si>
  <si>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</si>
  <si>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</si>
  <si>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</si>
  <si>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</si>
  <si>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</si>
  <si>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</si>
  <si>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</si>
  <si>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</si>
  <si>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</si>
  <si>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</si>
  <si>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</si>
  <si>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</si>
  <si>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</si>
  <si>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</si>
  <si>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</si>
  <si>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</si>
  <si>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</si>
  <si>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</si>
  <si>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</si>
  <si>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</si>
  <si>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</si>
  <si>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</si>
  <si>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</si>
  <si>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</si>
  <si>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</si>
  <si>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</si>
  <si>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</si>
  <si>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</si>
  <si>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</si>
  <si>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</si>
  <si>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</si>
  <si>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</si>
  <si>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</si>
  <si>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</si>
  <si>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</si>
  <si>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</si>
  <si>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</si>
  <si>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</si>
  <si>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</si>
  <si>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</si>
  <si>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</si>
  <si>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</si>
  <si>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</si>
  <si>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</si>
  <si>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</si>
  <si>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</si>
  <si>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</si>
  <si>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</si>
  <si>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</si>
  <si>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</si>
  <si>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</si>
  <si>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</si>
  <si>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</si>
  <si>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</si>
  <si>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</si>
  <si>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</si>
  <si>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</si>
  <si>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</si>
  <si>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</si>
  <si>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</si>
  <si>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</si>
  <si>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</si>
  <si>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</si>
  <si>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</si>
  <si>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</si>
  <si>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</si>
  <si>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</si>
  <si>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</si>
  <si>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</si>
  <si>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</si>
  <si>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</si>
  <si>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</si>
  <si>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</si>
  <si>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</si>
  <si>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</si>
  <si>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</si>
  <si>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</si>
  <si>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</si>
  <si>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</si>
  <si>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</si>
  <si>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</si>
  <si>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</si>
  <si>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</si>
  <si>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</si>
  <si>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</si>
  <si>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</si>
  <si>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</si>
  <si>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</si>
  <si>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</si>
  <si>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</si>
  <si>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</si>
  <si>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</si>
  <si>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</si>
  <si>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</si>
  <si>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</si>
  <si>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</si>
  <si>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</si>
  <si>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</si>
  <si>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</si>
  <si>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</si>
  <si>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</si>
  <si>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</si>
  <si>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</si>
  <si>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</si>
  <si>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</si>
  <si>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</si>
  <si>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</si>
  <si>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</si>
  <si>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</si>
  <si>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</si>
  <si>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</si>
  <si>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</si>
  <si>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</si>
  <si>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</si>
  <si>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</si>
  <si>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</si>
  <si>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</si>
  <si>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</si>
  <si>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</si>
  <si>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</si>
  <si>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</si>
  <si>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</si>
  <si>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</si>
  <si>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</si>
  <si>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</si>
  <si>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</si>
  <si>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</si>
  <si>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</si>
  <si>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</si>
  <si>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</si>
  <si>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</si>
  <si>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</si>
  <si>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</si>
  <si>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</si>
  <si>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</si>
  <si>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</si>
  <si>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</si>
  <si>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</si>
  <si>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</si>
  <si>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</si>
  <si>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</si>
  <si>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</si>
  <si>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</si>
  <si>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</si>
  <si>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</si>
  <si>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</si>
  <si>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</si>
  <si>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</si>
  <si>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</si>
  <si>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</si>
  <si>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</si>
  <si>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</si>
  <si>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</si>
  <si>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</si>
  <si>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</si>
  <si>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</si>
  <si>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</si>
  <si>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</si>
  <si>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</si>
  <si>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</si>
  <si>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</si>
  <si>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</si>
  <si>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</si>
  <si>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</si>
  <si>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</si>
  <si>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</si>
  <si>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</si>
  <si>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</si>
  <si>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</si>
  <si>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</si>
  <si>
    <t>Bending Spoons</t>
  </si>
  <si>
    <t>FQ426</t>
  </si>
  <si>
    <t xml:space="preserve">Lime </t>
  </si>
  <si>
    <t>BSP</t>
  </si>
  <si>
    <t>ITA</t>
  </si>
  <si>
    <t>LIME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</si>
</sst>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2" fillId="0" borderId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4" applyNumberFormat="0" applyFill="0" applyAlignment="0" applyProtection="0"/>
    <xf numFmtId="0" fontId="48" fillId="0" borderId="5" applyNumberFormat="0" applyFill="0" applyAlignment="0" applyProtection="0"/>
    <xf numFmtId="0" fontId="49" fillId="0" borderId="6" applyNumberFormat="0" applyFill="0" applyAlignment="0" applyProtection="0"/>
    <xf numFmtId="0" fontId="49" fillId="0" borderId="0" applyNumberFormat="0" applyFill="0" applyBorder="0" applyAlignment="0" applyProtection="0"/>
    <xf numFmtId="0" fontId="50" fillId="3" borderId="0" applyNumberFormat="0" applyBorder="0" applyAlignment="0" applyProtection="0"/>
    <xf numFmtId="0" fontId="51" fillId="4" borderId="0" applyNumberFormat="0" applyBorder="0" applyAlignment="0" applyProtection="0"/>
    <xf numFmtId="0" fontId="52" fillId="5" borderId="0" applyNumberFormat="0" applyBorder="0" applyAlignment="0" applyProtection="0"/>
    <xf numFmtId="0" fontId="53" fillId="6" borderId="7" applyNumberFormat="0" applyAlignment="0" applyProtection="0"/>
    <xf numFmtId="0" fontId="54" fillId="7" borderId="8" applyNumberFormat="0" applyAlignment="0" applyProtection="0"/>
    <xf numFmtId="0" fontId="55" fillId="7" borderId="7" applyNumberFormat="0" applyAlignment="0" applyProtection="0"/>
    <xf numFmtId="0" fontId="56" fillId="0" borderId="9" applyNumberFormat="0" applyFill="0" applyAlignment="0" applyProtection="0"/>
    <xf numFmtId="0" fontId="57" fillId="8" borderId="10" applyNumberFormat="0" applyAlignment="0" applyProtection="0"/>
    <xf numFmtId="0" fontId="58" fillId="0" borderId="0" applyNumberFormat="0" applyFill="0" applyBorder="0" applyAlignment="0" applyProtection="0"/>
    <xf numFmtId="0" fontId="45" fillId="9" borderId="11" applyNumberFormat="0" applyFont="0" applyAlignment="0" applyProtection="0"/>
    <xf numFmtId="0" fontId="59" fillId="0" borderId="0" applyNumberFormat="0" applyFill="0" applyBorder="0" applyAlignment="0" applyProtection="0"/>
    <xf numFmtId="0" fontId="41" fillId="0" borderId="12" applyNumberFormat="0" applyFill="0" applyAlignment="0" applyProtection="0"/>
    <xf numFmtId="0" fontId="60" fillId="10" borderId="0" applyNumberFormat="0" applyBorder="0" applyAlignment="0" applyProtection="0"/>
    <xf numFmtId="0" fontId="45" fillId="11" borderId="0" applyNumberFormat="0" applyBorder="0" applyAlignment="0" applyProtection="0"/>
    <xf numFmtId="0" fontId="45" fillId="12" borderId="0" applyNumberFormat="0" applyBorder="0" applyAlignment="0" applyProtection="0"/>
    <xf numFmtId="0" fontId="45" fillId="13" borderId="0" applyNumberFormat="0" applyBorder="0" applyAlignment="0" applyProtection="0"/>
    <xf numFmtId="0" fontId="60" fillId="14" borderId="0" applyNumberFormat="0" applyBorder="0" applyAlignment="0" applyProtection="0"/>
    <xf numFmtId="0" fontId="45" fillId="15" borderId="0" applyNumberFormat="0" applyBorder="0" applyAlignment="0" applyProtection="0"/>
    <xf numFmtId="0" fontId="45" fillId="16" borderId="0" applyNumberFormat="0" applyBorder="0" applyAlignment="0" applyProtection="0"/>
    <xf numFmtId="0" fontId="45" fillId="17" borderId="0" applyNumberFormat="0" applyBorder="0" applyAlignment="0" applyProtection="0"/>
    <xf numFmtId="0" fontId="60" fillId="18" borderId="0" applyNumberFormat="0" applyBorder="0" applyAlignment="0" applyProtection="0"/>
    <xf numFmtId="0" fontId="45" fillId="19" borderId="0" applyNumberFormat="0" applyBorder="0" applyAlignment="0" applyProtection="0"/>
    <xf numFmtId="0" fontId="45" fillId="20" borderId="0" applyNumberFormat="0" applyBorder="0" applyAlignment="0" applyProtection="0"/>
    <xf numFmtId="0" fontId="45" fillId="21" borderId="0" applyNumberFormat="0" applyBorder="0" applyAlignment="0" applyProtection="0"/>
    <xf numFmtId="0" fontId="60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4" borderId="0" applyNumberFormat="0" applyBorder="0" applyAlignment="0" applyProtection="0"/>
    <xf numFmtId="0" fontId="45" fillId="25" borderId="0" applyNumberFormat="0" applyBorder="0" applyAlignment="0" applyProtection="0"/>
    <xf numFmtId="0" fontId="60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29" borderId="0" applyNumberFormat="0" applyBorder="0" applyAlignment="0" applyProtection="0"/>
    <xf numFmtId="0" fontId="60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3" borderId="0" applyNumberFormat="0" applyBorder="0" applyAlignment="0" applyProtection="0"/>
    <xf numFmtId="0" fontId="11" fillId="0" borderId="0"/>
    <xf numFmtId="0" fontId="45" fillId="0" borderId="0"/>
  </cellStyleXfs>
  <cellXfs count="75">
    <xf numFmtId="0" fontId="0" fillId="0" borderId="0" xfId="0"/>
    <xf numFmtId="0" fontId="42" fillId="0" borderId="0" xfId="0" applyFont="1"/>
    <xf numFmtId="0" fontId="43" fillId="0" borderId="0" xfId="0" applyFont="1"/>
    <xf numFmtId="0" fontId="44" fillId="0" borderId="0" xfId="0" applyFont="1"/>
    <xf numFmtId="0" fontId="40" fillId="0" borderId="0" xfId="0" applyFont="1"/>
    <xf numFmtId="0" fontId="40" fillId="0" borderId="0" xfId="0" applyFont="1" applyAlignment="1">
      <alignment horizontal="right"/>
    </xf>
    <xf numFmtId="0" fontId="61" fillId="0" borderId="0" xfId="0" applyFont="1"/>
    <xf numFmtId="0" fontId="43" fillId="2" borderId="1" xfId="0" applyFont="1" applyFill="1" applyBorder="1" applyAlignment="1">
      <alignment horizontal="center"/>
    </xf>
    <xf numFmtId="0" fontId="43" fillId="2" borderId="2" xfId="0" applyFont="1" applyFill="1" applyBorder="1"/>
    <xf numFmtId="0" fontId="43" fillId="2" borderId="2" xfId="0" applyFont="1" applyFill="1" applyBorder="1" applyAlignment="1">
      <alignment horizontal="center"/>
    </xf>
    <xf numFmtId="0" fontId="43" fillId="2" borderId="2" xfId="0" applyFont="1" applyFill="1" applyBorder="1" applyAlignment="1">
      <alignment horizontal="right"/>
    </xf>
    <xf numFmtId="0" fontId="40" fillId="2" borderId="3" xfId="0" applyFont="1" applyFill="1" applyBorder="1"/>
    <xf numFmtId="0" fontId="40" fillId="0" borderId="0" xfId="0" applyFont="1" applyAlignment="1">
      <alignment horizontal="center"/>
    </xf>
    <xf numFmtId="0" fontId="62" fillId="0" borderId="0" xfId="1"/>
    <xf numFmtId="164" fontId="40" fillId="0" borderId="0" xfId="0" applyNumberFormat="1" applyFont="1"/>
    <xf numFmtId="16" fontId="40" fillId="0" borderId="0" xfId="0" applyNumberFormat="1" applyFont="1"/>
    <xf numFmtId="0" fontId="63" fillId="0" borderId="0" xfId="0" applyFont="1"/>
    <xf numFmtId="0" fontId="40" fillId="0" borderId="0" xfId="0" quotePrefix="1" applyFont="1"/>
    <xf numFmtId="0" fontId="61" fillId="0" borderId="0" xfId="0" applyFont="1" applyAlignment="1">
      <alignment horizontal="right"/>
    </xf>
    <xf numFmtId="0" fontId="40" fillId="2" borderId="2" xfId="0" applyFont="1" applyFill="1" applyBorder="1"/>
    <xf numFmtId="0" fontId="43" fillId="2" borderId="3" xfId="0" applyFont="1" applyFill="1" applyBorder="1"/>
    <xf numFmtId="0" fontId="39" fillId="0" borderId="0" xfId="0" applyFont="1" applyAlignment="1">
      <alignment horizontal="right"/>
    </xf>
    <xf numFmtId="0" fontId="38" fillId="0" borderId="0" xfId="0" applyFont="1" applyAlignment="1">
      <alignment horizontal="right"/>
    </xf>
    <xf numFmtId="0" fontId="37" fillId="0" borderId="0" xfId="0" applyFont="1" applyAlignment="1">
      <alignment horizontal="right"/>
    </xf>
    <xf numFmtId="0" fontId="36" fillId="0" borderId="0" xfId="0" applyFont="1"/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164" fontId="31" fillId="0" borderId="0" xfId="0" applyNumberFormat="1" applyFont="1"/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/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0" fontId="15" fillId="0" borderId="0" xfId="0" applyFont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center"/>
    </xf>
    <xf numFmtId="0" fontId="9" fillId="0" borderId="0" xfId="44" applyFont="1"/>
    <xf numFmtId="0" fontId="9" fillId="0" borderId="0" xfId="44" applyFont="1" applyAlignment="1">
      <alignment horizontal="center"/>
    </xf>
    <xf numFmtId="0" fontId="43" fillId="0" borderId="0" xfId="44" applyFont="1"/>
    <xf numFmtId="0" fontId="43" fillId="0" borderId="0" xfId="44" applyFont="1" applyAlignment="1">
      <alignment horizontal="center"/>
    </xf>
    <xf numFmtId="0" fontId="64" fillId="0" borderId="0" xfId="44" applyFont="1"/>
    <xf numFmtId="0" fontId="64" fillId="0" borderId="0" xfId="44" applyFont="1" applyAlignment="1">
      <alignment horizontal="center"/>
    </xf>
    <xf numFmtId="3" fontId="9" fillId="0" borderId="0" xfId="44" applyNumberFormat="1" applyFont="1" applyAlignment="1">
      <alignment horizontal="right"/>
    </xf>
    <xf numFmtId="0" fontId="9" fillId="0" borderId="0" xfId="43" applyFont="1"/>
    <xf numFmtId="0" fontId="8" fillId="0" borderId="0" xfId="0" applyFont="1"/>
    <xf numFmtId="0" fontId="7" fillId="0" borderId="0" xfId="0" applyFont="1" applyAlignment="1">
      <alignment horizontal="right"/>
    </xf>
    <xf numFmtId="0" fontId="6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6" fontId="1" fillId="0" borderId="0" xfId="0" applyNumberFormat="1" applyFon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sharedStrings" Target="sharedStrings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113" Type="http://schemas.openxmlformats.org/officeDocument/2006/relationships/calcChain" Target="calcChain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externalLink" Target="externalLinks/externalLink9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theme" Target="theme/theme1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SP.xlsx" TargetMode="External"/><Relationship Id="rId2" Type="http://schemas.openxmlformats.org/officeDocument/2006/relationships/externalLinkPath" Target="file:///E:\1.Finance\Anaylsen\Models\BSP.xlsx" TargetMode="External"/><Relationship Id="rId1" Type="http://schemas.openxmlformats.org/officeDocument/2006/relationships/externalLinkPath" Target="/1.Finance/Anaylsen/Models/BSP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166.83</v>
          </cell>
        </row>
        <row r="4">
          <cell r="K4">
            <v>2302254</v>
          </cell>
        </row>
        <row r="5">
          <cell r="K5">
            <v>24747</v>
          </cell>
        </row>
        <row r="6">
          <cell r="K6">
            <v>22896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514.87</v>
          </cell>
        </row>
        <row r="4">
          <cell r="K4">
            <v>839547.35100192996</v>
          </cell>
        </row>
        <row r="5">
          <cell r="K5">
            <v>12337</v>
          </cell>
        </row>
        <row r="6">
          <cell r="K6">
            <v>3224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2290</v>
          </cell>
        </row>
        <row r="4">
          <cell r="H4">
            <v>59384280</v>
          </cell>
        </row>
        <row r="5">
          <cell r="H5">
            <v>3518013</v>
          </cell>
        </row>
        <row r="6">
          <cell r="H6">
            <v>982447</v>
          </cell>
        </row>
      </sheetData>
      <sheetData sheetId="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1537</v>
          </cell>
        </row>
        <row r="4">
          <cell r="H4">
            <v>590976.5</v>
          </cell>
        </row>
        <row r="5">
          <cell r="H5">
            <v>7581.5</v>
          </cell>
        </row>
        <row r="6">
          <cell r="H6">
            <v>1984.4</v>
          </cell>
        </row>
      </sheetData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204.45</v>
          </cell>
        </row>
        <row r="4">
          <cell r="L4">
            <v>46314.58332315</v>
          </cell>
        </row>
        <row r="5">
          <cell r="L5">
            <v>1716.0160000000001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35.5</v>
          </cell>
        </row>
        <row r="4">
          <cell r="J4">
            <v>22549.600000000002</v>
          </cell>
        </row>
        <row r="5">
          <cell r="J5">
            <v>629.94399999999996</v>
          </cell>
        </row>
        <row r="6">
          <cell r="J6">
            <v>2670.8819999999996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89" Type="http://schemas.openxmlformats.org/officeDocument/2006/relationships/hyperlink" Target="..\Models\BSP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6" activePane="bottomRight" state="frozen"/>
      <selection pane="topRight" activeCell="C1" sqref="C1"/>
      <selection pane="bottomLeft" activeCell="A3" sqref="A3"/>
      <selection pane="bottomRight" activeCell="I19" sqref="I19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6" t="s">
        <v>3554</v>
      </c>
      <c r="J4" s="15"/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50" t="s">
        <v>3153</v>
      </c>
      <c r="J5" s="15"/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7" si="0">F6+G6</f>
        <v>4156414.6097599994</v>
      </c>
      <c r="I6" s="51" t="s">
        <v>3154</v>
      </c>
      <c r="J6" s="15"/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372.9</v>
      </c>
      <c r="F7" s="14">
        <f>+[4]Main!$I$4</f>
        <v>4518056.3999999994</v>
      </c>
      <c r="G7" s="14">
        <f>+[4]Main!$I$6-[4]Main!$I$5</f>
        <v>-49339</v>
      </c>
      <c r="H7" s="14">
        <f t="shared" si="0"/>
        <v>4468717.3999999994</v>
      </c>
      <c r="I7" s="50" t="s">
        <v>3144</v>
      </c>
      <c r="J7" s="15"/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50" t="s">
        <v>3144</v>
      </c>
      <c r="J8" s="15"/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50" t="s">
        <v>3144</v>
      </c>
      <c r="J9" s="15"/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65" t="s">
        <v>3553</v>
      </c>
      <c r="D10" s="65" t="s">
        <v>45</v>
      </c>
      <c r="E10" s="14">
        <f>+[7]Main!$K$2</f>
        <v>166.83</v>
      </c>
      <c r="F10" s="14">
        <f>+[7]Main!$K$4</f>
        <v>2302254</v>
      </c>
      <c r="G10" s="14">
        <f>+[7]Main!$K$6-[7]Main!$K$5</f>
        <v>-1851</v>
      </c>
      <c r="H10" s="14">
        <f t="shared" si="0"/>
        <v>2300403</v>
      </c>
      <c r="I10" s="68" t="s">
        <v>3147</v>
      </c>
      <c r="J10" s="15"/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70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373.72</v>
      </c>
      <c r="F12" s="14">
        <f>+[9]Main!$K$4</f>
        <v>1403589.1250701202</v>
      </c>
      <c r="G12" s="14">
        <f>+[9]Main!$K$6-[9]Main!$K$5</f>
        <v>-35514</v>
      </c>
      <c r="H12" s="14">
        <f t="shared" si="0"/>
        <v>1368075.1250701202</v>
      </c>
      <c r="I12" s="48" t="s">
        <v>3144</v>
      </c>
      <c r="J12" s="15">
        <v>46225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385.02</v>
      </c>
      <c r="F13" s="14">
        <f>+[10]Main!$G$5</f>
        <v>1831763.5278339598</v>
      </c>
      <c r="G13" s="14">
        <f>+[10]Main!$G$7-[10]Main!$G$6</f>
        <v>45279</v>
      </c>
      <c r="H13" s="14">
        <f t="shared" si="0"/>
        <v>1877042.5278339598</v>
      </c>
      <c r="I13" s="69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514.87</v>
      </c>
      <c r="F14" s="14">
        <f>+[11]Main!$K$4</f>
        <v>839547.35100192996</v>
      </c>
      <c r="G14" s="14">
        <f>+[11]Main!$K$6-[11]Main!$K$5</f>
        <v>-9113</v>
      </c>
      <c r="H14" s="14">
        <f>F14+G14</f>
        <v>830434.35100192996</v>
      </c>
      <c r="I14" s="69" t="s">
        <v>3144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69" t="s">
        <v>3558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2290</v>
      </c>
      <c r="F16" s="14">
        <f>+[13]Main!$H$4*FX!C2</f>
        <v>1781528.4</v>
      </c>
      <c r="G16" s="14">
        <f>+([13]Main!$H$6-[13]Main!$H$5)*FX!C2</f>
        <v>-76066.98</v>
      </c>
      <c r="H16" s="14">
        <f t="shared" si="0"/>
        <v>1705461.42</v>
      </c>
      <c r="I16" s="73" t="s">
        <v>3154</v>
      </c>
      <c r="J16" s="15">
        <v>46310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4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1537</v>
      </c>
      <c r="F18" s="14">
        <f>+[15]Main!$H$4*FX!C4</f>
        <v>602796.03</v>
      </c>
      <c r="G18" s="14">
        <f>+([15]Main!$H$6-[15]Main!$H$5)*FX!C4</f>
        <v>-5709.0420000000004</v>
      </c>
      <c r="H18" s="14">
        <f t="shared" ref="H18:H22" si="3">F18+G18</f>
        <v>597086.98800000001</v>
      </c>
      <c r="I18" s="73" t="s">
        <v>3154</v>
      </c>
      <c r="J18" s="74">
        <v>46309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97.5</v>
      </c>
      <c r="F20" s="14">
        <f>+[17]Main!$I$5</f>
        <v>411721.73250000004</v>
      </c>
      <c r="G20" s="14">
        <f>+[17]Main!$I$7-[17]Main!$I$6</f>
        <v>2072.0659999999989</v>
      </c>
      <c r="H20" s="14">
        <f t="shared" si="3"/>
        <v>413793.79850000003</v>
      </c>
      <c r="I20" s="46" t="s">
        <v>3144</v>
      </c>
      <c r="J20" s="15"/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+[18]Main!$G$3</f>
        <v>133.06</v>
      </c>
      <c r="F21" s="14">
        <f>+[18]Main!$G$5</f>
        <v>318986.33165962005</v>
      </c>
      <c r="G21" s="14">
        <f>+[18]Main!$G$7-[18]Main!$G$6</f>
        <v>-8026.4130000000005</v>
      </c>
      <c r="H21" s="14">
        <f t="shared" si="3"/>
        <v>310959.91865962005</v>
      </c>
      <c r="I21" s="54" t="s">
        <v>3144</v>
      </c>
      <c r="J21" s="15"/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124.3</v>
      </c>
      <c r="F22" s="14">
        <f>+[19]Main!$J$5*FX!C3</f>
        <v>303765.83160000003</v>
      </c>
      <c r="G22" s="14">
        <f>+([19]Main!$J$7-[19]Main!$J$6)*FX!C3</f>
        <v>-41909.560000000005</v>
      </c>
      <c r="H22" s="14">
        <f t="shared" si="3"/>
        <v>261856.27160000004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258.2</v>
      </c>
      <c r="F28" s="14">
        <f>+[25]Main!$H$4</f>
        <v>240518.26828439999</v>
      </c>
      <c r="G28" s="14">
        <f>+[25]Main!$H$6-[25]Main!$H$5</f>
        <v>48717</v>
      </c>
      <c r="H28" s="14">
        <f t="shared" si="4"/>
        <v>289235.26828439999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5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3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4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55.6</v>
      </c>
      <c r="F49" s="14">
        <f>+[43]Main!$I$4</f>
        <v>29904.564917200001</v>
      </c>
      <c r="G49" s="14">
        <f>+[43]Main!$I$6-[43]Main!$I$5</f>
        <v>29131</v>
      </c>
      <c r="H49" s="14">
        <f t="shared" si="5"/>
        <v>59035.564917199998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54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45.76</v>
      </c>
      <c r="F59" s="14">
        <f>+[50]Main!$I$4</f>
        <v>40365.147359679999</v>
      </c>
      <c r="G59" s="14">
        <f>+[50]Main!$I$6-[50]Main!$I$5</f>
        <v>67</v>
      </c>
      <c r="H59" s="14">
        <f t="shared" si="6"/>
        <v>40432.147359679999</v>
      </c>
      <c r="I59" s="52" t="s">
        <v>3144</v>
      </c>
      <c r="J59" s="15"/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115.31</v>
      </c>
      <c r="F108" s="14">
        <f>+[68]Main!$H$4</f>
        <v>51658.880000000005</v>
      </c>
      <c r="G108" s="14">
        <f>+[68]Main!$H$6-[68]Main!$H$5</f>
        <v>3827</v>
      </c>
      <c r="H108" s="14">
        <f>+F108+G108</f>
        <v>55485.880000000005</v>
      </c>
      <c r="I108" s="42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5.75</v>
      </c>
      <c r="F156" s="14">
        <f>+[75]Main!$I$4</f>
        <v>9886.3120132500007</v>
      </c>
      <c r="G156" s="14">
        <f>+[75]Main!$I$6-[75]Main!$I$5</f>
        <v>544.51200000000017</v>
      </c>
      <c r="H156" s="14">
        <f>+F156+G156</f>
        <v>10430.824013250001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7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7" t="s">
        <v>3151</v>
      </c>
      <c r="D1103" s="47" t="s">
        <v>45</v>
      </c>
      <c r="E1103" s="4">
        <f>+[85]Main!$L$2</f>
        <v>204.45</v>
      </c>
      <c r="F1103" s="14">
        <f>+[85]Main!$L$4</f>
        <v>46314.58332315</v>
      </c>
      <c r="G1103" s="14">
        <f>+[85]Main!$L$6-[85]Main!$L$5</f>
        <v>-1716.0160000000001</v>
      </c>
      <c r="H1103" s="14">
        <f>+F1103+G1103</f>
        <v>44598.567323149997</v>
      </c>
      <c r="I1103" s="72" t="s">
        <v>3147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13" t="s">
        <v>3557</v>
      </c>
      <c r="C1104" s="71" t="s">
        <v>3560</v>
      </c>
      <c r="D1104" s="71" t="s">
        <v>3561</v>
      </c>
      <c r="E1104" s="4">
        <f>+[86]Main!$J$2</f>
        <v>35.5</v>
      </c>
      <c r="F1104" s="14">
        <f>+[86]Main!$J$4</f>
        <v>22549.600000000002</v>
      </c>
      <c r="G1104" s="14">
        <f>+[86]Main!$J$6-[86]Main!$J$5</f>
        <v>2040.9379999999996</v>
      </c>
      <c r="H1104" s="14">
        <f>+F1104+G1104</f>
        <v>24590.538</v>
      </c>
      <c r="I1104" s="72" t="s">
        <v>3147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71" t="s">
        <v>3559</v>
      </c>
      <c r="C1105" s="71" t="s">
        <v>3562</v>
      </c>
      <c r="D1105" s="71" t="s">
        <v>45</v>
      </c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12">
        <f t="shared" si="23"/>
        <v>1103</v>
      </c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12">
        <f t="shared" si="23"/>
        <v>1104</v>
      </c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  <hyperlink ref="B1104" r:id="rId89" xr:uid="{63599463-F68C-4CE4-AE26-A9201E3980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5" bestFit="1" customWidth="1"/>
    <col min="2" max="2" width="21.5703125" style="55" customWidth="1"/>
    <col min="3" max="16384" width="9.140625" style="55"/>
  </cols>
  <sheetData>
    <row r="1" spans="1:15" x14ac:dyDescent="0.2">
      <c r="A1" s="13" t="s">
        <v>958</v>
      </c>
    </row>
    <row r="2" spans="1:15" x14ac:dyDescent="0.2">
      <c r="A2" s="55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6">
        <v>1</v>
      </c>
      <c r="B4" s="57" t="s">
        <v>6</v>
      </c>
      <c r="C4" s="58" t="s">
        <v>31</v>
      </c>
    </row>
    <row r="5" spans="1:15" x14ac:dyDescent="0.2">
      <c r="A5" s="56">
        <f>1+A4</f>
        <v>2</v>
      </c>
      <c r="B5" s="57" t="s">
        <v>8</v>
      </c>
      <c r="C5" s="58" t="s">
        <v>428</v>
      </c>
    </row>
    <row r="6" spans="1:15" x14ac:dyDescent="0.2">
      <c r="A6" s="56">
        <f t="shared" ref="A6:A57" si="0">1+A5</f>
        <v>3</v>
      </c>
      <c r="B6" s="57" t="s">
        <v>2608</v>
      </c>
      <c r="C6" s="58" t="s">
        <v>34</v>
      </c>
    </row>
    <row r="7" spans="1:15" x14ac:dyDescent="0.2">
      <c r="A7" s="56">
        <f t="shared" si="0"/>
        <v>4</v>
      </c>
      <c r="B7" s="57" t="s">
        <v>3161</v>
      </c>
      <c r="C7" s="58" t="s">
        <v>811</v>
      </c>
    </row>
    <row r="8" spans="1:15" x14ac:dyDescent="0.2">
      <c r="A8" s="56">
        <f t="shared" si="0"/>
        <v>5</v>
      </c>
      <c r="B8" s="57" t="s">
        <v>11</v>
      </c>
      <c r="C8" s="58" t="s">
        <v>37</v>
      </c>
    </row>
    <row r="9" spans="1:15" x14ac:dyDescent="0.2">
      <c r="A9" s="56">
        <f t="shared" si="0"/>
        <v>6</v>
      </c>
      <c r="B9" s="57" t="s">
        <v>14</v>
      </c>
      <c r="C9" s="58" t="s">
        <v>36</v>
      </c>
    </row>
    <row r="10" spans="1:15" x14ac:dyDescent="0.2">
      <c r="A10" s="56">
        <f t="shared" si="0"/>
        <v>7</v>
      </c>
      <c r="B10" s="57" t="s">
        <v>115</v>
      </c>
      <c r="C10" s="58" t="s">
        <v>116</v>
      </c>
    </row>
    <row r="11" spans="1:15" x14ac:dyDescent="0.2">
      <c r="A11" s="56">
        <f t="shared" si="0"/>
        <v>8</v>
      </c>
      <c r="B11" s="57" t="s">
        <v>202</v>
      </c>
      <c r="C11" s="58" t="s">
        <v>203</v>
      </c>
    </row>
    <row r="12" spans="1:15" x14ac:dyDescent="0.2">
      <c r="A12" s="56">
        <f t="shared" si="0"/>
        <v>9</v>
      </c>
      <c r="B12" s="55" t="s">
        <v>15</v>
      </c>
      <c r="C12" s="56" t="s">
        <v>57</v>
      </c>
    </row>
    <row r="13" spans="1:15" x14ac:dyDescent="0.2">
      <c r="A13" s="56">
        <f t="shared" si="0"/>
        <v>10</v>
      </c>
      <c r="B13" s="55" t="s">
        <v>25</v>
      </c>
      <c r="C13" s="55" t="s">
        <v>25</v>
      </c>
    </row>
    <row r="14" spans="1:15" x14ac:dyDescent="0.2">
      <c r="A14" s="56">
        <f t="shared" si="0"/>
        <v>11</v>
      </c>
      <c r="B14" s="55" t="s">
        <v>3527</v>
      </c>
      <c r="C14" s="55" t="s">
        <v>3528</v>
      </c>
      <c r="D14" s="55" t="s">
        <v>768</v>
      </c>
    </row>
    <row r="15" spans="1:15" x14ac:dyDescent="0.2">
      <c r="A15" s="56">
        <f t="shared" si="0"/>
        <v>12</v>
      </c>
      <c r="B15" s="55" t="s">
        <v>18</v>
      </c>
      <c r="C15" s="55" t="s">
        <v>3529</v>
      </c>
    </row>
    <row r="16" spans="1:15" x14ac:dyDescent="0.2">
      <c r="A16" s="56">
        <f t="shared" si="0"/>
        <v>13</v>
      </c>
      <c r="B16" s="55" t="s">
        <v>3530</v>
      </c>
      <c r="C16" s="55" t="s">
        <v>2594</v>
      </c>
    </row>
    <row r="17" spans="1:4" x14ac:dyDescent="0.2">
      <c r="A17" s="56">
        <f t="shared" si="0"/>
        <v>14</v>
      </c>
      <c r="B17" s="55" t="s">
        <v>810</v>
      </c>
      <c r="C17" s="55" t="s">
        <v>3531</v>
      </c>
    </row>
    <row r="18" spans="1:4" x14ac:dyDescent="0.2">
      <c r="A18" s="56">
        <f t="shared" si="0"/>
        <v>15</v>
      </c>
      <c r="B18" s="55" t="s">
        <v>3532</v>
      </c>
      <c r="C18" s="55" t="s">
        <v>3533</v>
      </c>
    </row>
    <row r="19" spans="1:4" x14ac:dyDescent="0.2">
      <c r="A19" s="56">
        <f t="shared" si="0"/>
        <v>16</v>
      </c>
      <c r="B19" s="55" t="s">
        <v>340</v>
      </c>
      <c r="C19" s="55" t="s">
        <v>341</v>
      </c>
    </row>
    <row r="20" spans="1:4" x14ac:dyDescent="0.2">
      <c r="A20" s="56">
        <f t="shared" si="0"/>
        <v>17</v>
      </c>
      <c r="B20" s="55" t="s">
        <v>3534</v>
      </c>
      <c r="C20" s="55" t="s">
        <v>807</v>
      </c>
      <c r="D20" s="55" t="s">
        <v>3535</v>
      </c>
    </row>
    <row r="21" spans="1:4" x14ac:dyDescent="0.2">
      <c r="A21" s="56">
        <f t="shared" si="0"/>
        <v>18</v>
      </c>
      <c r="B21" s="55" t="s">
        <v>543</v>
      </c>
      <c r="C21" s="55" t="s">
        <v>544</v>
      </c>
    </row>
    <row r="22" spans="1:4" x14ac:dyDescent="0.2">
      <c r="A22" s="56">
        <f t="shared" si="0"/>
        <v>19</v>
      </c>
      <c r="B22" s="55" t="s">
        <v>873</v>
      </c>
      <c r="C22" s="55" t="s">
        <v>3544</v>
      </c>
      <c r="D22" s="55" t="s">
        <v>46</v>
      </c>
    </row>
    <row r="23" spans="1:4" x14ac:dyDescent="0.2">
      <c r="A23" s="56">
        <f t="shared" si="0"/>
        <v>20</v>
      </c>
      <c r="B23" s="55" t="s">
        <v>575</v>
      </c>
      <c r="C23" s="55" t="s">
        <v>576</v>
      </c>
    </row>
    <row r="24" spans="1:4" x14ac:dyDescent="0.2">
      <c r="A24" s="56">
        <f t="shared" si="0"/>
        <v>21</v>
      </c>
      <c r="B24" s="55" t="s">
        <v>3536</v>
      </c>
      <c r="C24" s="55" t="s">
        <v>656</v>
      </c>
      <c r="D24" s="55" t="s">
        <v>3537</v>
      </c>
    </row>
    <row r="25" spans="1:4" x14ac:dyDescent="0.2">
      <c r="A25" s="56">
        <f t="shared" si="0"/>
        <v>22</v>
      </c>
      <c r="B25" s="55" t="s">
        <v>3538</v>
      </c>
      <c r="C25" s="55" t="s">
        <v>872</v>
      </c>
    </row>
    <row r="26" spans="1:4" x14ac:dyDescent="0.2">
      <c r="A26" s="56">
        <f t="shared" si="0"/>
        <v>23</v>
      </c>
      <c r="B26" s="55" t="s">
        <v>683</v>
      </c>
      <c r="C26" s="55" t="s">
        <v>684</v>
      </c>
    </row>
    <row r="27" spans="1:4" x14ac:dyDescent="0.2">
      <c r="A27" s="56">
        <f t="shared" si="0"/>
        <v>24</v>
      </c>
      <c r="B27" s="55" t="s">
        <v>13</v>
      </c>
    </row>
    <row r="28" spans="1:4" x14ac:dyDescent="0.2">
      <c r="A28" s="56">
        <f t="shared" si="0"/>
        <v>25</v>
      </c>
      <c r="B28" s="55" t="s">
        <v>16</v>
      </c>
    </row>
    <row r="29" spans="1:4" x14ac:dyDescent="0.2">
      <c r="A29" s="56">
        <f t="shared" si="0"/>
        <v>26</v>
      </c>
      <c r="B29" s="55" t="s">
        <v>776</v>
      </c>
    </row>
    <row r="30" spans="1:4" x14ac:dyDescent="0.2">
      <c r="A30" s="56">
        <f t="shared" si="0"/>
        <v>27</v>
      </c>
      <c r="B30" s="55" t="s">
        <v>111</v>
      </c>
    </row>
    <row r="31" spans="1:4" x14ac:dyDescent="0.2">
      <c r="A31" s="56">
        <f t="shared" si="0"/>
        <v>28</v>
      </c>
      <c r="B31" s="55" t="s">
        <v>64</v>
      </c>
    </row>
    <row r="32" spans="1:4" x14ac:dyDescent="0.2">
      <c r="A32" s="56">
        <f t="shared" si="0"/>
        <v>29</v>
      </c>
      <c r="B32" s="55" t="s">
        <v>3539</v>
      </c>
    </row>
    <row r="33" spans="1:3" x14ac:dyDescent="0.2">
      <c r="A33" s="56">
        <f t="shared" si="0"/>
        <v>30</v>
      </c>
      <c r="B33" s="55" t="s">
        <v>27</v>
      </c>
    </row>
    <row r="34" spans="1:3" x14ac:dyDescent="0.2">
      <c r="A34" s="56">
        <f t="shared" si="0"/>
        <v>31</v>
      </c>
      <c r="B34" s="55" t="s">
        <v>22</v>
      </c>
    </row>
    <row r="35" spans="1:3" x14ac:dyDescent="0.2">
      <c r="A35" s="56">
        <f t="shared" si="0"/>
        <v>32</v>
      </c>
      <c r="B35" s="55" t="s">
        <v>772</v>
      </c>
    </row>
    <row r="36" spans="1:3" x14ac:dyDescent="0.2">
      <c r="A36" s="56">
        <f t="shared" si="0"/>
        <v>33</v>
      </c>
      <c r="B36" s="55" t="s">
        <v>3540</v>
      </c>
    </row>
    <row r="37" spans="1:3" x14ac:dyDescent="0.2">
      <c r="A37" s="56">
        <f t="shared" si="0"/>
        <v>34</v>
      </c>
      <c r="B37" s="55" t="s">
        <v>959</v>
      </c>
    </row>
    <row r="38" spans="1:3" x14ac:dyDescent="0.2">
      <c r="A38" s="56">
        <f t="shared" si="0"/>
        <v>35</v>
      </c>
      <c r="B38" s="55" t="s">
        <v>3541</v>
      </c>
    </row>
    <row r="39" spans="1:3" x14ac:dyDescent="0.2">
      <c r="A39" s="56">
        <f t="shared" si="0"/>
        <v>36</v>
      </c>
      <c r="B39" s="55" t="s">
        <v>61</v>
      </c>
    </row>
    <row r="40" spans="1:3" x14ac:dyDescent="0.2">
      <c r="A40" s="56">
        <f t="shared" si="0"/>
        <v>37</v>
      </c>
      <c r="B40" s="55" t="s">
        <v>130</v>
      </c>
    </row>
    <row r="41" spans="1:3" x14ac:dyDescent="0.2">
      <c r="A41" s="56">
        <f t="shared" si="0"/>
        <v>38</v>
      </c>
      <c r="B41" s="55" t="s">
        <v>10</v>
      </c>
    </row>
    <row r="42" spans="1:3" x14ac:dyDescent="0.2">
      <c r="A42" s="56">
        <f t="shared" si="0"/>
        <v>39</v>
      </c>
      <c r="B42" s="57" t="s">
        <v>3164</v>
      </c>
      <c r="C42" s="58" t="s">
        <v>3165</v>
      </c>
    </row>
    <row r="43" spans="1:3" x14ac:dyDescent="0.2">
      <c r="A43" s="56">
        <f t="shared" si="0"/>
        <v>40</v>
      </c>
      <c r="B43" s="57" t="s">
        <v>3166</v>
      </c>
      <c r="C43" s="58" t="s">
        <v>499</v>
      </c>
    </row>
    <row r="44" spans="1:3" x14ac:dyDescent="0.2">
      <c r="A44" s="56">
        <f t="shared" si="0"/>
        <v>41</v>
      </c>
      <c r="B44" s="57" t="s">
        <v>3167</v>
      </c>
      <c r="C44" s="58" t="s">
        <v>3168</v>
      </c>
    </row>
    <row r="45" spans="1:3" x14ac:dyDescent="0.2">
      <c r="A45" s="56">
        <f t="shared" si="0"/>
        <v>42</v>
      </c>
      <c r="B45" s="57" t="s">
        <v>113</v>
      </c>
      <c r="C45" s="58"/>
    </row>
    <row r="46" spans="1:3" x14ac:dyDescent="0.2">
      <c r="A46" s="56">
        <f t="shared" si="0"/>
        <v>43</v>
      </c>
      <c r="B46" s="57" t="s">
        <v>819</v>
      </c>
      <c r="C46" s="58"/>
    </row>
    <row r="47" spans="1:3" x14ac:dyDescent="0.2">
      <c r="A47" s="56">
        <f t="shared" si="0"/>
        <v>44</v>
      </c>
      <c r="B47" s="57" t="s">
        <v>3545</v>
      </c>
      <c r="C47" s="58"/>
    </row>
    <row r="48" spans="1:3" x14ac:dyDescent="0.2">
      <c r="A48" s="56">
        <f t="shared" si="0"/>
        <v>45</v>
      </c>
      <c r="B48" s="57" t="s">
        <v>3546</v>
      </c>
      <c r="C48" s="58"/>
    </row>
    <row r="49" spans="1:3" x14ac:dyDescent="0.2">
      <c r="A49" s="56">
        <f t="shared" si="0"/>
        <v>46</v>
      </c>
      <c r="B49" s="57" t="s">
        <v>2705</v>
      </c>
      <c r="C49" s="58"/>
    </row>
    <row r="50" spans="1:3" x14ac:dyDescent="0.2">
      <c r="A50" s="56">
        <f t="shared" si="0"/>
        <v>47</v>
      </c>
      <c r="B50" s="57" t="s">
        <v>3547</v>
      </c>
      <c r="C50" s="58"/>
    </row>
    <row r="51" spans="1:3" x14ac:dyDescent="0.2">
      <c r="A51" s="56">
        <f t="shared" si="0"/>
        <v>48</v>
      </c>
      <c r="B51" s="57" t="s">
        <v>1216</v>
      </c>
      <c r="C51" s="58"/>
    </row>
    <row r="52" spans="1:3" x14ac:dyDescent="0.2">
      <c r="A52" s="56">
        <f t="shared" si="0"/>
        <v>49</v>
      </c>
      <c r="B52" s="57" t="s">
        <v>1463</v>
      </c>
      <c r="C52" s="58"/>
    </row>
    <row r="53" spans="1:3" x14ac:dyDescent="0.2">
      <c r="A53" s="56">
        <f t="shared" si="0"/>
        <v>50</v>
      </c>
      <c r="B53" s="57" t="s">
        <v>3548</v>
      </c>
      <c r="C53" s="58"/>
    </row>
    <row r="54" spans="1:3" x14ac:dyDescent="0.2">
      <c r="A54" s="56">
        <f t="shared" si="0"/>
        <v>51</v>
      </c>
      <c r="B54" s="57" t="s">
        <v>465</v>
      </c>
      <c r="C54" s="58"/>
    </row>
    <row r="55" spans="1:3" x14ac:dyDescent="0.2">
      <c r="A55" s="56">
        <f t="shared" si="0"/>
        <v>52</v>
      </c>
      <c r="B55" s="57" t="s">
        <v>3549</v>
      </c>
      <c r="C55" s="58"/>
    </row>
    <row r="56" spans="1:3" x14ac:dyDescent="0.2">
      <c r="A56" s="56">
        <f t="shared" si="0"/>
        <v>53</v>
      </c>
      <c r="B56" s="57" t="s">
        <v>135</v>
      </c>
      <c r="C56" s="58"/>
    </row>
    <row r="57" spans="1:3" x14ac:dyDescent="0.2">
      <c r="A57" s="56">
        <f t="shared" si="0"/>
        <v>54</v>
      </c>
      <c r="B57" s="55" t="s">
        <v>268</v>
      </c>
    </row>
    <row r="59" spans="1:3" x14ac:dyDescent="0.2">
      <c r="A59" s="56">
        <v>1</v>
      </c>
      <c r="B59" s="16" t="s">
        <v>808</v>
      </c>
    </row>
    <row r="60" spans="1:3" x14ac:dyDescent="0.2">
      <c r="A60" s="56">
        <f t="shared" ref="A60:A123" si="1">1+A59</f>
        <v>2</v>
      </c>
      <c r="B60" s="55" t="s">
        <v>3155</v>
      </c>
      <c r="C60" s="58" t="s">
        <v>808</v>
      </c>
    </row>
    <row r="61" spans="1:3" x14ac:dyDescent="0.2">
      <c r="A61" s="56">
        <f t="shared" si="1"/>
        <v>3</v>
      </c>
      <c r="B61" s="55" t="s">
        <v>3156</v>
      </c>
      <c r="C61" s="58" t="s">
        <v>808</v>
      </c>
    </row>
    <row r="62" spans="1:3" x14ac:dyDescent="0.2">
      <c r="A62" s="56">
        <f t="shared" si="1"/>
        <v>4</v>
      </c>
      <c r="B62" s="55" t="s">
        <v>3157</v>
      </c>
      <c r="C62" s="58" t="s">
        <v>808</v>
      </c>
    </row>
    <row r="63" spans="1:3" x14ac:dyDescent="0.2">
      <c r="A63" s="56">
        <f t="shared" si="1"/>
        <v>5</v>
      </c>
      <c r="B63" s="57" t="s">
        <v>916</v>
      </c>
      <c r="C63" s="58" t="s">
        <v>808</v>
      </c>
    </row>
    <row r="64" spans="1:3" x14ac:dyDescent="0.2">
      <c r="A64" s="56">
        <f t="shared" si="1"/>
        <v>6</v>
      </c>
      <c r="B64" s="57" t="s">
        <v>888</v>
      </c>
      <c r="C64" s="58" t="s">
        <v>808</v>
      </c>
    </row>
    <row r="65" spans="1:4" x14ac:dyDescent="0.2">
      <c r="A65" s="56">
        <f t="shared" si="1"/>
        <v>7</v>
      </c>
      <c r="B65" s="57" t="s">
        <v>3162</v>
      </c>
      <c r="C65" s="58" t="s">
        <v>808</v>
      </c>
    </row>
    <row r="66" spans="1:4" x14ac:dyDescent="0.2">
      <c r="A66" s="56">
        <f t="shared" si="1"/>
        <v>8</v>
      </c>
      <c r="B66" s="57" t="s">
        <v>3163</v>
      </c>
      <c r="C66" s="58" t="s">
        <v>808</v>
      </c>
    </row>
    <row r="67" spans="1:4" x14ac:dyDescent="0.2">
      <c r="A67" s="56">
        <f t="shared" si="1"/>
        <v>9</v>
      </c>
      <c r="B67" s="57" t="s">
        <v>3169</v>
      </c>
      <c r="C67" s="58" t="s">
        <v>808</v>
      </c>
    </row>
    <row r="68" spans="1:4" x14ac:dyDescent="0.2">
      <c r="A68" s="56">
        <f t="shared" si="1"/>
        <v>10</v>
      </c>
      <c r="B68" s="57" t="s">
        <v>3170</v>
      </c>
      <c r="C68" s="58" t="s">
        <v>808</v>
      </c>
    </row>
    <row r="69" spans="1:4" x14ac:dyDescent="0.2">
      <c r="A69" s="56">
        <f t="shared" si="1"/>
        <v>11</v>
      </c>
      <c r="B69" s="57" t="s">
        <v>3171</v>
      </c>
      <c r="C69" s="58" t="s">
        <v>808</v>
      </c>
    </row>
    <row r="70" spans="1:4" x14ac:dyDescent="0.2">
      <c r="A70" s="56">
        <f t="shared" si="1"/>
        <v>12</v>
      </c>
      <c r="B70" s="57" t="s">
        <v>3172</v>
      </c>
      <c r="C70" s="58" t="s">
        <v>808</v>
      </c>
    </row>
    <row r="71" spans="1:4" x14ac:dyDescent="0.2">
      <c r="A71" s="56">
        <f t="shared" si="1"/>
        <v>13</v>
      </c>
      <c r="B71" s="57" t="s">
        <v>3542</v>
      </c>
      <c r="C71" s="58" t="s">
        <v>808</v>
      </c>
    </row>
    <row r="72" spans="1:4" x14ac:dyDescent="0.2">
      <c r="A72" s="56">
        <f t="shared" si="1"/>
        <v>14</v>
      </c>
      <c r="B72" s="57" t="s">
        <v>3543</v>
      </c>
      <c r="C72" s="58" t="s">
        <v>808</v>
      </c>
    </row>
    <row r="73" spans="1:4" x14ac:dyDescent="0.2">
      <c r="A73" s="56">
        <f t="shared" si="1"/>
        <v>15</v>
      </c>
      <c r="B73" s="57" t="s">
        <v>3173</v>
      </c>
      <c r="C73" s="58" t="s">
        <v>808</v>
      </c>
    </row>
    <row r="74" spans="1:4" x14ac:dyDescent="0.2">
      <c r="A74" s="56">
        <f t="shared" si="1"/>
        <v>16</v>
      </c>
      <c r="B74" s="57" t="s">
        <v>3174</v>
      </c>
      <c r="C74" s="58" t="s">
        <v>808</v>
      </c>
    </row>
    <row r="75" spans="1:4" x14ac:dyDescent="0.2">
      <c r="A75" s="56">
        <f t="shared" si="1"/>
        <v>17</v>
      </c>
      <c r="B75" s="57" t="s">
        <v>3175</v>
      </c>
      <c r="C75" s="58" t="s">
        <v>808</v>
      </c>
    </row>
    <row r="76" spans="1:4" x14ac:dyDescent="0.2">
      <c r="A76" s="56">
        <f t="shared" si="1"/>
        <v>18</v>
      </c>
      <c r="B76" s="57" t="s">
        <v>3176</v>
      </c>
      <c r="C76" s="58" t="s">
        <v>808</v>
      </c>
    </row>
    <row r="77" spans="1:4" x14ac:dyDescent="0.2">
      <c r="A77" s="56">
        <f t="shared" si="1"/>
        <v>19</v>
      </c>
      <c r="B77" s="57" t="s">
        <v>810</v>
      </c>
      <c r="C77" s="58" t="s">
        <v>808</v>
      </c>
    </row>
    <row r="78" spans="1:4" x14ac:dyDescent="0.2">
      <c r="A78" s="56">
        <f t="shared" si="1"/>
        <v>20</v>
      </c>
      <c r="B78" s="57" t="s">
        <v>3177</v>
      </c>
      <c r="C78" s="58" t="s">
        <v>1205</v>
      </c>
    </row>
    <row r="79" spans="1:4" x14ac:dyDescent="0.2">
      <c r="A79" s="56">
        <f t="shared" si="1"/>
        <v>21</v>
      </c>
      <c r="B79" s="57" t="s">
        <v>889</v>
      </c>
      <c r="C79" s="58" t="s">
        <v>808</v>
      </c>
      <c r="D79" s="63">
        <v>10000</v>
      </c>
    </row>
    <row r="80" spans="1:4" x14ac:dyDescent="0.2">
      <c r="A80" s="56">
        <f t="shared" si="1"/>
        <v>22</v>
      </c>
      <c r="B80" s="57" t="s">
        <v>3178</v>
      </c>
      <c r="C80" s="58" t="s">
        <v>808</v>
      </c>
    </row>
    <row r="81" spans="1:3" x14ac:dyDescent="0.2">
      <c r="A81" s="56">
        <f t="shared" si="1"/>
        <v>23</v>
      </c>
      <c r="B81" s="57" t="s">
        <v>3179</v>
      </c>
      <c r="C81" s="58" t="s">
        <v>808</v>
      </c>
    </row>
    <row r="82" spans="1:3" x14ac:dyDescent="0.2">
      <c r="A82" s="56">
        <f t="shared" si="1"/>
        <v>24</v>
      </c>
      <c r="B82" s="57" t="s">
        <v>3180</v>
      </c>
      <c r="C82" s="58" t="s">
        <v>808</v>
      </c>
    </row>
    <row r="83" spans="1:3" x14ac:dyDescent="0.2">
      <c r="A83" s="56">
        <f t="shared" si="1"/>
        <v>25</v>
      </c>
      <c r="B83" s="57" t="s">
        <v>3181</v>
      </c>
      <c r="C83" s="58" t="s">
        <v>808</v>
      </c>
    </row>
    <row r="84" spans="1:3" x14ac:dyDescent="0.2">
      <c r="A84" s="56">
        <f t="shared" si="1"/>
        <v>26</v>
      </c>
      <c r="B84" s="57" t="s">
        <v>3182</v>
      </c>
      <c r="C84" s="58" t="s">
        <v>808</v>
      </c>
    </row>
    <row r="85" spans="1:3" x14ac:dyDescent="0.2">
      <c r="A85" s="56">
        <f t="shared" si="1"/>
        <v>27</v>
      </c>
      <c r="B85" s="57" t="s">
        <v>3183</v>
      </c>
      <c r="C85" s="58" t="s">
        <v>808</v>
      </c>
    </row>
    <row r="86" spans="1:3" x14ac:dyDescent="0.2">
      <c r="A86" s="56">
        <f t="shared" si="1"/>
        <v>28</v>
      </c>
      <c r="B86" s="57" t="s">
        <v>3184</v>
      </c>
      <c r="C86" s="58" t="s">
        <v>808</v>
      </c>
    </row>
    <row r="87" spans="1:3" x14ac:dyDescent="0.2">
      <c r="A87" s="56">
        <f t="shared" si="1"/>
        <v>29</v>
      </c>
      <c r="B87" s="57" t="s">
        <v>3185</v>
      </c>
      <c r="C87" s="58" t="s">
        <v>808</v>
      </c>
    </row>
    <row r="88" spans="1:3" x14ac:dyDescent="0.2">
      <c r="A88" s="56">
        <f t="shared" si="1"/>
        <v>30</v>
      </c>
      <c r="B88" s="57" t="s">
        <v>3186</v>
      </c>
      <c r="C88" s="58" t="s">
        <v>808</v>
      </c>
    </row>
    <row r="89" spans="1:3" x14ac:dyDescent="0.2">
      <c r="A89" s="56">
        <f t="shared" si="1"/>
        <v>31</v>
      </c>
      <c r="B89" s="57" t="s">
        <v>3187</v>
      </c>
      <c r="C89" s="58" t="s">
        <v>808</v>
      </c>
    </row>
    <row r="90" spans="1:3" x14ac:dyDescent="0.2">
      <c r="A90" s="56">
        <f t="shared" si="1"/>
        <v>32</v>
      </c>
      <c r="B90" s="57" t="s">
        <v>3188</v>
      </c>
      <c r="C90" s="58" t="s">
        <v>808</v>
      </c>
    </row>
    <row r="91" spans="1:3" x14ac:dyDescent="0.2">
      <c r="A91" s="56">
        <f t="shared" si="1"/>
        <v>33</v>
      </c>
      <c r="B91" s="57" t="s">
        <v>3189</v>
      </c>
      <c r="C91" s="58" t="s">
        <v>808</v>
      </c>
    </row>
    <row r="92" spans="1:3" x14ac:dyDescent="0.2">
      <c r="A92" s="56">
        <f t="shared" si="1"/>
        <v>34</v>
      </c>
      <c r="B92" s="59" t="s">
        <v>3190</v>
      </c>
      <c r="C92" s="60" t="s">
        <v>808</v>
      </c>
    </row>
    <row r="93" spans="1:3" x14ac:dyDescent="0.2">
      <c r="A93" s="56">
        <f t="shared" si="1"/>
        <v>35</v>
      </c>
      <c r="B93" s="57" t="s">
        <v>3191</v>
      </c>
      <c r="C93" s="58" t="s">
        <v>808</v>
      </c>
    </row>
    <row r="94" spans="1:3" x14ac:dyDescent="0.2">
      <c r="A94" s="56">
        <f t="shared" si="1"/>
        <v>36</v>
      </c>
      <c r="B94" s="57" t="s">
        <v>3192</v>
      </c>
      <c r="C94" s="58" t="s">
        <v>808</v>
      </c>
    </row>
    <row r="95" spans="1:3" x14ac:dyDescent="0.2">
      <c r="A95" s="56">
        <f t="shared" si="1"/>
        <v>37</v>
      </c>
      <c r="B95" s="57" t="s">
        <v>3193</v>
      </c>
      <c r="C95" s="58" t="s">
        <v>808</v>
      </c>
    </row>
    <row r="96" spans="1:3" x14ac:dyDescent="0.2">
      <c r="A96" s="56">
        <f t="shared" si="1"/>
        <v>38</v>
      </c>
      <c r="B96" s="57" t="s">
        <v>3194</v>
      </c>
      <c r="C96" s="58" t="s">
        <v>808</v>
      </c>
    </row>
    <row r="97" spans="1:3" x14ac:dyDescent="0.2">
      <c r="A97" s="56">
        <f t="shared" si="1"/>
        <v>39</v>
      </c>
      <c r="B97" s="57" t="s">
        <v>3195</v>
      </c>
      <c r="C97" s="58" t="s">
        <v>808</v>
      </c>
    </row>
    <row r="98" spans="1:3" x14ac:dyDescent="0.2">
      <c r="A98" s="56">
        <f t="shared" si="1"/>
        <v>40</v>
      </c>
      <c r="B98" s="57" t="s">
        <v>3196</v>
      </c>
      <c r="C98" s="58" t="s">
        <v>808</v>
      </c>
    </row>
    <row r="99" spans="1:3" x14ac:dyDescent="0.2">
      <c r="A99" s="56">
        <f t="shared" si="1"/>
        <v>41</v>
      </c>
      <c r="B99" s="57" t="s">
        <v>3197</v>
      </c>
      <c r="C99" s="58" t="s">
        <v>808</v>
      </c>
    </row>
    <row r="100" spans="1:3" x14ac:dyDescent="0.2">
      <c r="A100" s="56">
        <f t="shared" si="1"/>
        <v>42</v>
      </c>
      <c r="B100" s="57" t="s">
        <v>3198</v>
      </c>
      <c r="C100" s="58" t="s">
        <v>808</v>
      </c>
    </row>
    <row r="101" spans="1:3" x14ac:dyDescent="0.2">
      <c r="A101" s="56">
        <f t="shared" si="1"/>
        <v>43</v>
      </c>
      <c r="B101" s="57" t="s">
        <v>3199</v>
      </c>
      <c r="C101" s="58" t="s">
        <v>808</v>
      </c>
    </row>
    <row r="102" spans="1:3" x14ac:dyDescent="0.2">
      <c r="A102" s="56">
        <f t="shared" si="1"/>
        <v>44</v>
      </c>
      <c r="B102" s="57" t="s">
        <v>3200</v>
      </c>
      <c r="C102" s="58" t="s">
        <v>808</v>
      </c>
    </row>
    <row r="103" spans="1:3" x14ac:dyDescent="0.2">
      <c r="A103" s="56">
        <f t="shared" si="1"/>
        <v>45</v>
      </c>
      <c r="B103" s="57" t="s">
        <v>3201</v>
      </c>
      <c r="C103" s="58" t="s">
        <v>808</v>
      </c>
    </row>
    <row r="104" spans="1:3" x14ac:dyDescent="0.2">
      <c r="A104" s="56">
        <f t="shared" si="1"/>
        <v>46</v>
      </c>
      <c r="B104" s="59" t="s">
        <v>3202</v>
      </c>
      <c r="C104" s="60" t="s">
        <v>808</v>
      </c>
    </row>
    <row r="105" spans="1:3" x14ac:dyDescent="0.2">
      <c r="A105" s="56">
        <f t="shared" si="1"/>
        <v>47</v>
      </c>
      <c r="B105" s="57" t="s">
        <v>3203</v>
      </c>
      <c r="C105" s="58" t="s">
        <v>808</v>
      </c>
    </row>
    <row r="106" spans="1:3" x14ac:dyDescent="0.2">
      <c r="A106" s="56">
        <f t="shared" si="1"/>
        <v>48</v>
      </c>
      <c r="B106" s="57" t="s">
        <v>3204</v>
      </c>
      <c r="C106" s="58" t="s">
        <v>808</v>
      </c>
    </row>
    <row r="107" spans="1:3" x14ac:dyDescent="0.2">
      <c r="A107" s="56">
        <f t="shared" si="1"/>
        <v>49</v>
      </c>
      <c r="B107" s="57" t="s">
        <v>3205</v>
      </c>
      <c r="C107" s="58" t="s">
        <v>808</v>
      </c>
    </row>
    <row r="108" spans="1:3" x14ac:dyDescent="0.2">
      <c r="A108" s="56">
        <f t="shared" si="1"/>
        <v>50</v>
      </c>
      <c r="B108" s="57" t="s">
        <v>3206</v>
      </c>
      <c r="C108" s="58" t="s">
        <v>808</v>
      </c>
    </row>
    <row r="109" spans="1:3" x14ac:dyDescent="0.2">
      <c r="A109" s="56">
        <f t="shared" si="1"/>
        <v>51</v>
      </c>
      <c r="B109" s="57" t="s">
        <v>3207</v>
      </c>
      <c r="C109" s="58" t="s">
        <v>808</v>
      </c>
    </row>
    <row r="110" spans="1:3" x14ac:dyDescent="0.2">
      <c r="A110" s="56">
        <f t="shared" si="1"/>
        <v>52</v>
      </c>
      <c r="B110" s="57" t="s">
        <v>3208</v>
      </c>
      <c r="C110" s="58" t="s">
        <v>808</v>
      </c>
    </row>
    <row r="111" spans="1:3" x14ac:dyDescent="0.2">
      <c r="A111" s="56">
        <f t="shared" si="1"/>
        <v>53</v>
      </c>
      <c r="B111" s="57" t="s">
        <v>3209</v>
      </c>
      <c r="C111" s="58" t="s">
        <v>808</v>
      </c>
    </row>
    <row r="112" spans="1:3" x14ac:dyDescent="0.2">
      <c r="A112" s="56">
        <f t="shared" si="1"/>
        <v>54</v>
      </c>
      <c r="B112" s="57" t="s">
        <v>3210</v>
      </c>
      <c r="C112" s="58" t="s">
        <v>808</v>
      </c>
    </row>
    <row r="113" spans="1:3" x14ac:dyDescent="0.2">
      <c r="A113" s="56">
        <f t="shared" si="1"/>
        <v>55</v>
      </c>
      <c r="B113" s="59" t="s">
        <v>3211</v>
      </c>
      <c r="C113" s="60" t="s">
        <v>808</v>
      </c>
    </row>
    <row r="114" spans="1:3" x14ac:dyDescent="0.2">
      <c r="A114" s="56">
        <f t="shared" si="1"/>
        <v>56</v>
      </c>
      <c r="B114" s="59" t="s">
        <v>3212</v>
      </c>
      <c r="C114" s="60" t="s">
        <v>808</v>
      </c>
    </row>
    <row r="115" spans="1:3" x14ac:dyDescent="0.2">
      <c r="A115" s="56">
        <f t="shared" si="1"/>
        <v>57</v>
      </c>
      <c r="B115" s="59" t="s">
        <v>3213</v>
      </c>
      <c r="C115" s="60" t="s">
        <v>808</v>
      </c>
    </row>
    <row r="116" spans="1:3" x14ac:dyDescent="0.2">
      <c r="A116" s="56">
        <f t="shared" si="1"/>
        <v>58</v>
      </c>
      <c r="B116" s="57" t="s">
        <v>3214</v>
      </c>
      <c r="C116" s="58" t="s">
        <v>808</v>
      </c>
    </row>
    <row r="117" spans="1:3" x14ac:dyDescent="0.2">
      <c r="A117" s="56">
        <f t="shared" si="1"/>
        <v>59</v>
      </c>
      <c r="B117" s="57" t="s">
        <v>3215</v>
      </c>
      <c r="C117" s="58" t="s">
        <v>808</v>
      </c>
    </row>
    <row r="118" spans="1:3" x14ac:dyDescent="0.2">
      <c r="A118" s="56">
        <f t="shared" si="1"/>
        <v>60</v>
      </c>
      <c r="B118" s="57" t="s">
        <v>3216</v>
      </c>
      <c r="C118" s="58" t="s">
        <v>808</v>
      </c>
    </row>
    <row r="119" spans="1:3" x14ac:dyDescent="0.2">
      <c r="A119" s="56">
        <f t="shared" si="1"/>
        <v>61</v>
      </c>
      <c r="B119" s="57" t="s">
        <v>3217</v>
      </c>
      <c r="C119" s="58" t="s">
        <v>808</v>
      </c>
    </row>
    <row r="120" spans="1:3" x14ac:dyDescent="0.2">
      <c r="A120" s="56">
        <f t="shared" si="1"/>
        <v>62</v>
      </c>
      <c r="B120" s="57" t="s">
        <v>3218</v>
      </c>
      <c r="C120" s="58" t="s">
        <v>808</v>
      </c>
    </row>
    <row r="121" spans="1:3" x14ac:dyDescent="0.2">
      <c r="A121" s="56">
        <f t="shared" si="1"/>
        <v>63</v>
      </c>
      <c r="B121" s="57" t="s">
        <v>3219</v>
      </c>
      <c r="C121" s="58" t="s">
        <v>808</v>
      </c>
    </row>
    <row r="122" spans="1:3" x14ac:dyDescent="0.2">
      <c r="A122" s="56">
        <f t="shared" si="1"/>
        <v>64</v>
      </c>
      <c r="B122" s="57" t="s">
        <v>3220</v>
      </c>
      <c r="C122" s="58" t="s">
        <v>808</v>
      </c>
    </row>
    <row r="123" spans="1:3" x14ac:dyDescent="0.2">
      <c r="A123" s="56">
        <f t="shared" si="1"/>
        <v>65</v>
      </c>
      <c r="B123" s="57" t="s">
        <v>3221</v>
      </c>
      <c r="C123" s="58" t="s">
        <v>808</v>
      </c>
    </row>
    <row r="124" spans="1:3" x14ac:dyDescent="0.2">
      <c r="A124" s="56">
        <f t="shared" ref="A124:A187" si="2">1+A123</f>
        <v>66</v>
      </c>
      <c r="B124" s="57" t="s">
        <v>3222</v>
      </c>
      <c r="C124" s="58" t="s">
        <v>808</v>
      </c>
    </row>
    <row r="125" spans="1:3" x14ac:dyDescent="0.2">
      <c r="A125" s="56">
        <f t="shared" si="2"/>
        <v>67</v>
      </c>
      <c r="B125" s="59" t="s">
        <v>3223</v>
      </c>
      <c r="C125" s="60" t="s">
        <v>808</v>
      </c>
    </row>
    <row r="126" spans="1:3" x14ac:dyDescent="0.2">
      <c r="A126" s="56">
        <f t="shared" si="2"/>
        <v>68</v>
      </c>
      <c r="B126" s="59" t="s">
        <v>3224</v>
      </c>
      <c r="C126" s="60" t="s">
        <v>808</v>
      </c>
    </row>
    <row r="127" spans="1:3" x14ac:dyDescent="0.2">
      <c r="A127" s="56">
        <f t="shared" si="2"/>
        <v>69</v>
      </c>
      <c r="B127" s="57" t="s">
        <v>3225</v>
      </c>
      <c r="C127" s="58" t="s">
        <v>808</v>
      </c>
    </row>
    <row r="128" spans="1:3" x14ac:dyDescent="0.2">
      <c r="A128" s="56">
        <f t="shared" si="2"/>
        <v>70</v>
      </c>
      <c r="B128" s="59" t="s">
        <v>3226</v>
      </c>
      <c r="C128" s="60" t="s">
        <v>808</v>
      </c>
    </row>
    <row r="129" spans="1:3" x14ac:dyDescent="0.2">
      <c r="A129" s="56">
        <f t="shared" si="2"/>
        <v>71</v>
      </c>
      <c r="B129" s="57" t="s">
        <v>3227</v>
      </c>
      <c r="C129" s="58" t="s">
        <v>808</v>
      </c>
    </row>
    <row r="130" spans="1:3" x14ac:dyDescent="0.2">
      <c r="A130" s="56">
        <f t="shared" si="2"/>
        <v>72</v>
      </c>
      <c r="B130" s="57" t="s">
        <v>3228</v>
      </c>
      <c r="C130" s="58" t="s">
        <v>808</v>
      </c>
    </row>
    <row r="131" spans="1:3" x14ac:dyDescent="0.2">
      <c r="A131" s="56">
        <f t="shared" si="2"/>
        <v>73</v>
      </c>
      <c r="B131" s="57" t="s">
        <v>3229</v>
      </c>
      <c r="C131" s="58" t="s">
        <v>808</v>
      </c>
    </row>
    <row r="132" spans="1:3" x14ac:dyDescent="0.2">
      <c r="A132" s="56">
        <f t="shared" si="2"/>
        <v>74</v>
      </c>
      <c r="B132" s="57" t="s">
        <v>3230</v>
      </c>
      <c r="C132" s="58" t="s">
        <v>808</v>
      </c>
    </row>
    <row r="133" spans="1:3" x14ac:dyDescent="0.2">
      <c r="A133" s="56">
        <f t="shared" si="2"/>
        <v>75</v>
      </c>
      <c r="B133" s="57" t="s">
        <v>3231</v>
      </c>
      <c r="C133" s="58" t="s">
        <v>808</v>
      </c>
    </row>
    <row r="134" spans="1:3" x14ac:dyDescent="0.2">
      <c r="A134" s="56">
        <f t="shared" si="2"/>
        <v>76</v>
      </c>
      <c r="B134" s="57" t="s">
        <v>3232</v>
      </c>
      <c r="C134" s="58" t="s">
        <v>808</v>
      </c>
    </row>
    <row r="135" spans="1:3" x14ac:dyDescent="0.2">
      <c r="A135" s="56">
        <f t="shared" si="2"/>
        <v>77</v>
      </c>
      <c r="B135" s="57" t="s">
        <v>3233</v>
      </c>
      <c r="C135" s="58" t="s">
        <v>808</v>
      </c>
    </row>
    <row r="136" spans="1:3" x14ac:dyDescent="0.2">
      <c r="A136" s="56">
        <f t="shared" si="2"/>
        <v>78</v>
      </c>
      <c r="B136" s="57" t="s">
        <v>3234</v>
      </c>
      <c r="C136" s="58" t="s">
        <v>808</v>
      </c>
    </row>
    <row r="137" spans="1:3" x14ac:dyDescent="0.2">
      <c r="A137" s="56">
        <f t="shared" si="2"/>
        <v>79</v>
      </c>
      <c r="B137" s="57" t="s">
        <v>3235</v>
      </c>
      <c r="C137" s="58" t="s">
        <v>808</v>
      </c>
    </row>
    <row r="138" spans="1:3" x14ac:dyDescent="0.2">
      <c r="A138" s="56">
        <f t="shared" si="2"/>
        <v>80</v>
      </c>
      <c r="B138" s="57" t="s">
        <v>3236</v>
      </c>
      <c r="C138" s="58" t="s">
        <v>808</v>
      </c>
    </row>
    <row r="139" spans="1:3" x14ac:dyDescent="0.2">
      <c r="A139" s="56">
        <f t="shared" si="2"/>
        <v>81</v>
      </c>
      <c r="B139" s="57" t="s">
        <v>3237</v>
      </c>
      <c r="C139" s="58" t="s">
        <v>808</v>
      </c>
    </row>
    <row r="140" spans="1:3" x14ac:dyDescent="0.2">
      <c r="A140" s="56">
        <f t="shared" si="2"/>
        <v>82</v>
      </c>
      <c r="B140" s="57" t="s">
        <v>3238</v>
      </c>
      <c r="C140" s="58" t="s">
        <v>808</v>
      </c>
    </row>
    <row r="141" spans="1:3" x14ac:dyDescent="0.2">
      <c r="A141" s="56">
        <f t="shared" si="2"/>
        <v>83</v>
      </c>
      <c r="B141" s="59" t="s">
        <v>3239</v>
      </c>
      <c r="C141" s="58" t="s">
        <v>808</v>
      </c>
    </row>
    <row r="142" spans="1:3" x14ac:dyDescent="0.2">
      <c r="A142" s="56">
        <f t="shared" si="2"/>
        <v>84</v>
      </c>
      <c r="B142" s="57" t="s">
        <v>3240</v>
      </c>
      <c r="C142" s="58" t="s">
        <v>808</v>
      </c>
    </row>
    <row r="143" spans="1:3" x14ac:dyDescent="0.2">
      <c r="A143" s="56">
        <f t="shared" si="2"/>
        <v>85</v>
      </c>
      <c r="B143" s="57" t="s">
        <v>3241</v>
      </c>
      <c r="C143" s="58" t="s">
        <v>808</v>
      </c>
    </row>
    <row r="144" spans="1:3" x14ac:dyDescent="0.2">
      <c r="A144" s="56">
        <f t="shared" si="2"/>
        <v>86</v>
      </c>
      <c r="B144" s="57" t="s">
        <v>3242</v>
      </c>
      <c r="C144" s="58" t="s">
        <v>808</v>
      </c>
    </row>
    <row r="145" spans="1:3" x14ac:dyDescent="0.2">
      <c r="A145" s="56">
        <f t="shared" si="2"/>
        <v>87</v>
      </c>
      <c r="B145" s="57" t="s">
        <v>3243</v>
      </c>
      <c r="C145" s="58" t="s">
        <v>808</v>
      </c>
    </row>
    <row r="146" spans="1:3" x14ac:dyDescent="0.2">
      <c r="A146" s="56">
        <f t="shared" si="2"/>
        <v>88</v>
      </c>
      <c r="B146" s="57" t="s">
        <v>3244</v>
      </c>
      <c r="C146" s="58" t="s">
        <v>808</v>
      </c>
    </row>
    <row r="147" spans="1:3" x14ac:dyDescent="0.2">
      <c r="A147" s="56">
        <f t="shared" si="2"/>
        <v>89</v>
      </c>
      <c r="B147" s="57" t="s">
        <v>3245</v>
      </c>
      <c r="C147" s="58" t="s">
        <v>808</v>
      </c>
    </row>
    <row r="148" spans="1:3" x14ac:dyDescent="0.2">
      <c r="A148" s="56">
        <f t="shared" si="2"/>
        <v>90</v>
      </c>
      <c r="B148" s="57" t="s">
        <v>3246</v>
      </c>
      <c r="C148" s="58" t="s">
        <v>808</v>
      </c>
    </row>
    <row r="149" spans="1:3" x14ac:dyDescent="0.2">
      <c r="A149" s="56">
        <f t="shared" si="2"/>
        <v>91</v>
      </c>
      <c r="B149" s="57" t="s">
        <v>3247</v>
      </c>
      <c r="C149" s="58" t="s">
        <v>808</v>
      </c>
    </row>
    <row r="150" spans="1:3" x14ac:dyDescent="0.2">
      <c r="A150" s="56">
        <f t="shared" si="2"/>
        <v>92</v>
      </c>
      <c r="B150" s="57" t="s">
        <v>3248</v>
      </c>
      <c r="C150" s="58" t="s">
        <v>808</v>
      </c>
    </row>
    <row r="151" spans="1:3" x14ac:dyDescent="0.2">
      <c r="A151" s="56">
        <f t="shared" si="2"/>
        <v>93</v>
      </c>
      <c r="B151" s="57" t="s">
        <v>3249</v>
      </c>
      <c r="C151" s="58" t="s">
        <v>808</v>
      </c>
    </row>
    <row r="152" spans="1:3" x14ac:dyDescent="0.2">
      <c r="A152" s="56">
        <f t="shared" si="2"/>
        <v>94</v>
      </c>
      <c r="B152" s="57" t="s">
        <v>3250</v>
      </c>
      <c r="C152" s="58" t="s">
        <v>808</v>
      </c>
    </row>
    <row r="153" spans="1:3" x14ac:dyDescent="0.2">
      <c r="A153" s="56">
        <f t="shared" si="2"/>
        <v>95</v>
      </c>
      <c r="B153" s="57" t="s">
        <v>3251</v>
      </c>
      <c r="C153" s="58" t="s">
        <v>808</v>
      </c>
    </row>
    <row r="154" spans="1:3" x14ac:dyDescent="0.2">
      <c r="A154" s="56">
        <f t="shared" si="2"/>
        <v>96</v>
      </c>
      <c r="B154" s="57" t="s">
        <v>3252</v>
      </c>
      <c r="C154" s="58" t="s">
        <v>808</v>
      </c>
    </row>
    <row r="155" spans="1:3" x14ac:dyDescent="0.2">
      <c r="A155" s="56">
        <f t="shared" si="2"/>
        <v>97</v>
      </c>
      <c r="B155" s="57" t="s">
        <v>3253</v>
      </c>
      <c r="C155" s="58" t="s">
        <v>808</v>
      </c>
    </row>
    <row r="156" spans="1:3" x14ac:dyDescent="0.2">
      <c r="A156" s="56">
        <f t="shared" si="2"/>
        <v>98</v>
      </c>
      <c r="B156" s="57" t="s">
        <v>3254</v>
      </c>
      <c r="C156" s="58" t="s">
        <v>808</v>
      </c>
    </row>
    <row r="157" spans="1:3" x14ac:dyDescent="0.2">
      <c r="A157" s="56">
        <f t="shared" si="2"/>
        <v>99</v>
      </c>
      <c r="B157" s="57" t="s">
        <v>3255</v>
      </c>
      <c r="C157" s="58" t="s">
        <v>808</v>
      </c>
    </row>
    <row r="158" spans="1:3" x14ac:dyDescent="0.2">
      <c r="A158" s="56">
        <f t="shared" si="2"/>
        <v>100</v>
      </c>
      <c r="B158" s="57" t="s">
        <v>3256</v>
      </c>
      <c r="C158" s="58" t="s">
        <v>808</v>
      </c>
    </row>
    <row r="159" spans="1:3" x14ac:dyDescent="0.2">
      <c r="A159" s="56">
        <f t="shared" si="2"/>
        <v>101</v>
      </c>
      <c r="B159" s="57" t="s">
        <v>3257</v>
      </c>
      <c r="C159" s="58" t="s">
        <v>808</v>
      </c>
    </row>
    <row r="160" spans="1:3" x14ac:dyDescent="0.2">
      <c r="A160" s="56">
        <f t="shared" si="2"/>
        <v>102</v>
      </c>
      <c r="B160" s="57" t="s">
        <v>3258</v>
      </c>
      <c r="C160" s="58" t="s">
        <v>808</v>
      </c>
    </row>
    <row r="161" spans="1:3" x14ac:dyDescent="0.2">
      <c r="A161" s="56">
        <f t="shared" si="2"/>
        <v>103</v>
      </c>
      <c r="B161" s="57" t="s">
        <v>3259</v>
      </c>
      <c r="C161" s="58" t="s">
        <v>808</v>
      </c>
    </row>
    <row r="162" spans="1:3" x14ac:dyDescent="0.2">
      <c r="A162" s="56">
        <f t="shared" si="2"/>
        <v>104</v>
      </c>
      <c r="B162" s="57" t="s">
        <v>3260</v>
      </c>
      <c r="C162" s="58" t="s">
        <v>808</v>
      </c>
    </row>
    <row r="163" spans="1:3" x14ac:dyDescent="0.2">
      <c r="A163" s="56">
        <f t="shared" si="2"/>
        <v>105</v>
      </c>
      <c r="B163" s="57" t="s">
        <v>3261</v>
      </c>
      <c r="C163" s="58" t="s">
        <v>808</v>
      </c>
    </row>
    <row r="164" spans="1:3" x14ac:dyDescent="0.2">
      <c r="A164" s="56">
        <f t="shared" si="2"/>
        <v>106</v>
      </c>
      <c r="B164" s="57" t="s">
        <v>3262</v>
      </c>
      <c r="C164" s="58" t="s">
        <v>808</v>
      </c>
    </row>
    <row r="165" spans="1:3" x14ac:dyDescent="0.2">
      <c r="A165" s="56">
        <f t="shared" si="2"/>
        <v>107</v>
      </c>
      <c r="B165" s="57" t="s">
        <v>3263</v>
      </c>
      <c r="C165" s="58" t="s">
        <v>808</v>
      </c>
    </row>
    <row r="166" spans="1:3" x14ac:dyDescent="0.2">
      <c r="A166" s="56">
        <f t="shared" si="2"/>
        <v>108</v>
      </c>
      <c r="B166" s="57" t="s">
        <v>3264</v>
      </c>
      <c r="C166" s="58" t="s">
        <v>808</v>
      </c>
    </row>
    <row r="167" spans="1:3" x14ac:dyDescent="0.2">
      <c r="A167" s="56">
        <f t="shared" si="2"/>
        <v>109</v>
      </c>
      <c r="B167" s="57" t="s">
        <v>3265</v>
      </c>
      <c r="C167" s="58" t="s">
        <v>808</v>
      </c>
    </row>
    <row r="168" spans="1:3" x14ac:dyDescent="0.2">
      <c r="A168" s="56">
        <f t="shared" si="2"/>
        <v>110</v>
      </c>
      <c r="B168" s="57" t="s">
        <v>3266</v>
      </c>
      <c r="C168" s="58" t="s">
        <v>808</v>
      </c>
    </row>
    <row r="169" spans="1:3" x14ac:dyDescent="0.2">
      <c r="A169" s="56">
        <f t="shared" si="2"/>
        <v>111</v>
      </c>
      <c r="B169" s="57" t="s">
        <v>3267</v>
      </c>
      <c r="C169" s="58" t="s">
        <v>808</v>
      </c>
    </row>
    <row r="170" spans="1:3" x14ac:dyDescent="0.2">
      <c r="A170" s="56">
        <f t="shared" si="2"/>
        <v>112</v>
      </c>
      <c r="B170" s="57" t="s">
        <v>3268</v>
      </c>
      <c r="C170" s="58" t="s">
        <v>808</v>
      </c>
    </row>
    <row r="171" spans="1:3" x14ac:dyDescent="0.2">
      <c r="A171" s="56">
        <f t="shared" si="2"/>
        <v>113</v>
      </c>
      <c r="B171" s="59" t="s">
        <v>3269</v>
      </c>
      <c r="C171" s="60" t="s">
        <v>808</v>
      </c>
    </row>
    <row r="172" spans="1:3" x14ac:dyDescent="0.2">
      <c r="A172" s="56">
        <f t="shared" si="2"/>
        <v>114</v>
      </c>
      <c r="B172" s="57" t="s">
        <v>3270</v>
      </c>
      <c r="C172" s="58" t="s">
        <v>808</v>
      </c>
    </row>
    <row r="173" spans="1:3" x14ac:dyDescent="0.2">
      <c r="A173" s="56">
        <f t="shared" si="2"/>
        <v>115</v>
      </c>
      <c r="B173" s="57" t="s">
        <v>3271</v>
      </c>
      <c r="C173" s="58" t="s">
        <v>808</v>
      </c>
    </row>
    <row r="174" spans="1:3" x14ac:dyDescent="0.2">
      <c r="A174" s="56">
        <f t="shared" si="2"/>
        <v>116</v>
      </c>
      <c r="B174" s="57" t="s">
        <v>3272</v>
      </c>
      <c r="C174" s="58" t="s">
        <v>808</v>
      </c>
    </row>
    <row r="175" spans="1:3" x14ac:dyDescent="0.2">
      <c r="A175" s="56">
        <f t="shared" si="2"/>
        <v>117</v>
      </c>
      <c r="B175" s="57" t="s">
        <v>3273</v>
      </c>
      <c r="C175" s="58" t="s">
        <v>808</v>
      </c>
    </row>
    <row r="176" spans="1:3" x14ac:dyDescent="0.2">
      <c r="A176" s="56">
        <f t="shared" si="2"/>
        <v>118</v>
      </c>
      <c r="B176" s="57" t="s">
        <v>3274</v>
      </c>
      <c r="C176" s="58" t="s">
        <v>808</v>
      </c>
    </row>
    <row r="177" spans="1:3" x14ac:dyDescent="0.2">
      <c r="A177" s="56">
        <f t="shared" si="2"/>
        <v>119</v>
      </c>
      <c r="B177" s="57" t="s">
        <v>3275</v>
      </c>
      <c r="C177" s="58" t="s">
        <v>808</v>
      </c>
    </row>
    <row r="178" spans="1:3" x14ac:dyDescent="0.2">
      <c r="A178" s="56">
        <f t="shared" si="2"/>
        <v>120</v>
      </c>
      <c r="B178" s="57" t="s">
        <v>3276</v>
      </c>
      <c r="C178" s="58" t="s">
        <v>808</v>
      </c>
    </row>
    <row r="179" spans="1:3" x14ac:dyDescent="0.2">
      <c r="A179" s="56">
        <f t="shared" si="2"/>
        <v>121</v>
      </c>
      <c r="B179" s="57" t="s">
        <v>3277</v>
      </c>
      <c r="C179" s="58" t="s">
        <v>808</v>
      </c>
    </row>
    <row r="180" spans="1:3" x14ac:dyDescent="0.2">
      <c r="A180" s="56">
        <f t="shared" si="2"/>
        <v>122</v>
      </c>
      <c r="B180" s="57" t="s">
        <v>3278</v>
      </c>
      <c r="C180" s="58" t="s">
        <v>808</v>
      </c>
    </row>
    <row r="181" spans="1:3" x14ac:dyDescent="0.2">
      <c r="A181" s="56">
        <f t="shared" si="2"/>
        <v>123</v>
      </c>
      <c r="B181" s="57" t="s">
        <v>3279</v>
      </c>
      <c r="C181" s="58" t="s">
        <v>808</v>
      </c>
    </row>
    <row r="182" spans="1:3" x14ac:dyDescent="0.2">
      <c r="A182" s="56">
        <f t="shared" si="2"/>
        <v>124</v>
      </c>
      <c r="B182" s="57" t="s">
        <v>3280</v>
      </c>
      <c r="C182" s="58" t="s">
        <v>808</v>
      </c>
    </row>
    <row r="183" spans="1:3" x14ac:dyDescent="0.2">
      <c r="A183" s="56">
        <f t="shared" si="2"/>
        <v>125</v>
      </c>
      <c r="B183" s="59" t="s">
        <v>3281</v>
      </c>
      <c r="C183" s="60" t="s">
        <v>808</v>
      </c>
    </row>
    <row r="184" spans="1:3" x14ac:dyDescent="0.2">
      <c r="A184" s="56">
        <f t="shared" si="2"/>
        <v>126</v>
      </c>
      <c r="B184" s="57" t="s">
        <v>3282</v>
      </c>
      <c r="C184" s="58" t="s">
        <v>808</v>
      </c>
    </row>
    <row r="185" spans="1:3" x14ac:dyDescent="0.2">
      <c r="A185" s="56">
        <f t="shared" si="2"/>
        <v>127</v>
      </c>
      <c r="B185" s="59" t="s">
        <v>3283</v>
      </c>
      <c r="C185" s="60" t="s">
        <v>808</v>
      </c>
    </row>
    <row r="186" spans="1:3" x14ac:dyDescent="0.2">
      <c r="A186" s="56">
        <f t="shared" si="2"/>
        <v>128</v>
      </c>
      <c r="B186" s="57" t="s">
        <v>3284</v>
      </c>
      <c r="C186" s="58" t="s">
        <v>808</v>
      </c>
    </row>
    <row r="187" spans="1:3" x14ac:dyDescent="0.2">
      <c r="A187" s="56">
        <f t="shared" si="2"/>
        <v>129</v>
      </c>
      <c r="B187" s="57" t="s">
        <v>3285</v>
      </c>
      <c r="C187" s="58" t="s">
        <v>808</v>
      </c>
    </row>
    <row r="188" spans="1:3" x14ac:dyDescent="0.2">
      <c r="A188" s="56">
        <f t="shared" ref="A188:A251" si="3">1+A187</f>
        <v>130</v>
      </c>
      <c r="B188" s="57" t="s">
        <v>3286</v>
      </c>
      <c r="C188" s="58" t="s">
        <v>808</v>
      </c>
    </row>
    <row r="189" spans="1:3" x14ac:dyDescent="0.2">
      <c r="A189" s="56">
        <f t="shared" si="3"/>
        <v>131</v>
      </c>
      <c r="B189" s="57" t="s">
        <v>3287</v>
      </c>
      <c r="C189" s="58" t="s">
        <v>808</v>
      </c>
    </row>
    <row r="190" spans="1:3" x14ac:dyDescent="0.2">
      <c r="A190" s="56">
        <f t="shared" si="3"/>
        <v>132</v>
      </c>
      <c r="B190" s="57" t="s">
        <v>3288</v>
      </c>
      <c r="C190" s="58" t="s">
        <v>808</v>
      </c>
    </row>
    <row r="191" spans="1:3" x14ac:dyDescent="0.2">
      <c r="A191" s="56">
        <f t="shared" si="3"/>
        <v>133</v>
      </c>
      <c r="B191" s="57" t="s">
        <v>3289</v>
      </c>
      <c r="C191" s="58" t="s">
        <v>808</v>
      </c>
    </row>
    <row r="192" spans="1:3" x14ac:dyDescent="0.2">
      <c r="A192" s="56">
        <f t="shared" si="3"/>
        <v>134</v>
      </c>
      <c r="B192" s="57" t="s">
        <v>3290</v>
      </c>
      <c r="C192" s="58" t="s">
        <v>808</v>
      </c>
    </row>
    <row r="193" spans="1:3" x14ac:dyDescent="0.2">
      <c r="A193" s="56">
        <f t="shared" si="3"/>
        <v>135</v>
      </c>
      <c r="B193" s="59" t="s">
        <v>3291</v>
      </c>
      <c r="C193" s="60" t="s">
        <v>808</v>
      </c>
    </row>
    <row r="194" spans="1:3" x14ac:dyDescent="0.2">
      <c r="A194" s="56">
        <f t="shared" si="3"/>
        <v>136</v>
      </c>
      <c r="B194" s="57" t="s">
        <v>3292</v>
      </c>
      <c r="C194" s="58" t="s">
        <v>808</v>
      </c>
    </row>
    <row r="195" spans="1:3" x14ac:dyDescent="0.2">
      <c r="A195" s="56">
        <f t="shared" si="3"/>
        <v>137</v>
      </c>
      <c r="B195" s="57" t="s">
        <v>3293</v>
      </c>
      <c r="C195" s="58" t="s">
        <v>808</v>
      </c>
    </row>
    <row r="196" spans="1:3" x14ac:dyDescent="0.2">
      <c r="A196" s="56">
        <f t="shared" si="3"/>
        <v>138</v>
      </c>
      <c r="B196" s="57" t="s">
        <v>3294</v>
      </c>
      <c r="C196" s="58" t="s">
        <v>808</v>
      </c>
    </row>
    <row r="197" spans="1:3" x14ac:dyDescent="0.2">
      <c r="A197" s="56">
        <f t="shared" si="3"/>
        <v>139</v>
      </c>
      <c r="B197" s="57" t="s">
        <v>3295</v>
      </c>
      <c r="C197" s="58" t="s">
        <v>808</v>
      </c>
    </row>
    <row r="198" spans="1:3" x14ac:dyDescent="0.2">
      <c r="A198" s="56">
        <f t="shared" si="3"/>
        <v>140</v>
      </c>
      <c r="B198" s="57" t="s">
        <v>3296</v>
      </c>
      <c r="C198" s="58" t="s">
        <v>808</v>
      </c>
    </row>
    <row r="199" spans="1:3" x14ac:dyDescent="0.2">
      <c r="A199" s="56">
        <f t="shared" si="3"/>
        <v>141</v>
      </c>
      <c r="B199" s="57" t="s">
        <v>3297</v>
      </c>
      <c r="C199" s="58" t="s">
        <v>808</v>
      </c>
    </row>
    <row r="200" spans="1:3" x14ac:dyDescent="0.2">
      <c r="A200" s="56">
        <f t="shared" si="3"/>
        <v>142</v>
      </c>
      <c r="B200" s="57" t="s">
        <v>3298</v>
      </c>
      <c r="C200" s="58" t="s">
        <v>808</v>
      </c>
    </row>
    <row r="201" spans="1:3" x14ac:dyDescent="0.2">
      <c r="A201" s="56">
        <f t="shared" si="3"/>
        <v>143</v>
      </c>
      <c r="B201" s="57" t="s">
        <v>3299</v>
      </c>
      <c r="C201" s="58" t="s">
        <v>808</v>
      </c>
    </row>
    <row r="202" spans="1:3" x14ac:dyDescent="0.2">
      <c r="A202" s="56">
        <f t="shared" si="3"/>
        <v>144</v>
      </c>
      <c r="B202" s="59" t="s">
        <v>3300</v>
      </c>
      <c r="C202" s="60" t="s">
        <v>808</v>
      </c>
    </row>
    <row r="203" spans="1:3" x14ac:dyDescent="0.2">
      <c r="A203" s="56">
        <f t="shared" si="3"/>
        <v>145</v>
      </c>
      <c r="B203" s="57" t="s">
        <v>3301</v>
      </c>
      <c r="C203" s="58" t="s">
        <v>808</v>
      </c>
    </row>
    <row r="204" spans="1:3" x14ac:dyDescent="0.2">
      <c r="A204" s="56">
        <f t="shared" si="3"/>
        <v>146</v>
      </c>
      <c r="B204" s="57" t="s">
        <v>3302</v>
      </c>
      <c r="C204" s="58" t="s">
        <v>808</v>
      </c>
    </row>
    <row r="205" spans="1:3" x14ac:dyDescent="0.2">
      <c r="A205" s="56">
        <f t="shared" si="3"/>
        <v>147</v>
      </c>
      <c r="B205" s="57" t="s">
        <v>3303</v>
      </c>
      <c r="C205" s="58" t="s">
        <v>808</v>
      </c>
    </row>
    <row r="206" spans="1:3" x14ac:dyDescent="0.2">
      <c r="A206" s="56">
        <f t="shared" si="3"/>
        <v>148</v>
      </c>
      <c r="B206" s="57" t="s">
        <v>3304</v>
      </c>
      <c r="C206" s="58" t="s">
        <v>808</v>
      </c>
    </row>
    <row r="207" spans="1:3" x14ac:dyDescent="0.2">
      <c r="A207" s="56">
        <f t="shared" si="3"/>
        <v>149</v>
      </c>
      <c r="B207" s="57" t="s">
        <v>3305</v>
      </c>
      <c r="C207" s="58" t="s">
        <v>808</v>
      </c>
    </row>
    <row r="208" spans="1:3" x14ac:dyDescent="0.2">
      <c r="A208" s="56">
        <f t="shared" si="3"/>
        <v>150</v>
      </c>
      <c r="B208" s="57" t="s">
        <v>3306</v>
      </c>
      <c r="C208" s="58" t="s">
        <v>808</v>
      </c>
    </row>
    <row r="209" spans="1:3" x14ac:dyDescent="0.2">
      <c r="A209" s="56">
        <f t="shared" si="3"/>
        <v>151</v>
      </c>
      <c r="B209" s="57" t="s">
        <v>3307</v>
      </c>
      <c r="C209" s="58" t="s">
        <v>808</v>
      </c>
    </row>
    <row r="210" spans="1:3" x14ac:dyDescent="0.2">
      <c r="A210" s="56">
        <f t="shared" si="3"/>
        <v>152</v>
      </c>
      <c r="B210" s="59" t="s">
        <v>3308</v>
      </c>
      <c r="C210" s="60" t="s">
        <v>808</v>
      </c>
    </row>
    <row r="211" spans="1:3" x14ac:dyDescent="0.2">
      <c r="A211" s="56">
        <f t="shared" si="3"/>
        <v>153</v>
      </c>
      <c r="B211" s="57" t="s">
        <v>3309</v>
      </c>
      <c r="C211" s="58" t="s">
        <v>808</v>
      </c>
    </row>
    <row r="212" spans="1:3" x14ac:dyDescent="0.2">
      <c r="A212" s="56">
        <f t="shared" si="3"/>
        <v>154</v>
      </c>
      <c r="B212" s="57" t="s">
        <v>3310</v>
      </c>
      <c r="C212" s="58" t="s">
        <v>808</v>
      </c>
    </row>
    <row r="213" spans="1:3" x14ac:dyDescent="0.2">
      <c r="A213" s="56">
        <f t="shared" si="3"/>
        <v>155</v>
      </c>
      <c r="B213" s="57" t="s">
        <v>3311</v>
      </c>
      <c r="C213" s="58" t="s">
        <v>808</v>
      </c>
    </row>
    <row r="214" spans="1:3" x14ac:dyDescent="0.2">
      <c r="A214" s="56">
        <f t="shared" si="3"/>
        <v>156</v>
      </c>
      <c r="B214" s="57" t="s">
        <v>3312</v>
      </c>
      <c r="C214" s="58" t="s">
        <v>808</v>
      </c>
    </row>
    <row r="215" spans="1:3" x14ac:dyDescent="0.2">
      <c r="A215" s="56">
        <f t="shared" si="3"/>
        <v>157</v>
      </c>
      <c r="B215" s="57" t="s">
        <v>3313</v>
      </c>
      <c r="C215" s="58" t="s">
        <v>808</v>
      </c>
    </row>
    <row r="216" spans="1:3" x14ac:dyDescent="0.2">
      <c r="A216" s="56">
        <f t="shared" si="3"/>
        <v>158</v>
      </c>
      <c r="B216" s="57" t="s">
        <v>3314</v>
      </c>
      <c r="C216" s="58" t="s">
        <v>808</v>
      </c>
    </row>
    <row r="217" spans="1:3" x14ac:dyDescent="0.2">
      <c r="A217" s="56">
        <f t="shared" si="3"/>
        <v>159</v>
      </c>
      <c r="B217" s="57" t="s">
        <v>3315</v>
      </c>
      <c r="C217" s="58" t="s">
        <v>808</v>
      </c>
    </row>
    <row r="218" spans="1:3" x14ac:dyDescent="0.2">
      <c r="A218" s="56">
        <f t="shared" si="3"/>
        <v>160</v>
      </c>
      <c r="B218" s="57" t="s">
        <v>3316</v>
      </c>
      <c r="C218" s="58" t="s">
        <v>808</v>
      </c>
    </row>
    <row r="219" spans="1:3" x14ac:dyDescent="0.2">
      <c r="A219" s="56">
        <f t="shared" si="3"/>
        <v>161</v>
      </c>
      <c r="B219" s="57" t="s">
        <v>3317</v>
      </c>
      <c r="C219" s="58" t="s">
        <v>808</v>
      </c>
    </row>
    <row r="220" spans="1:3" x14ac:dyDescent="0.2">
      <c r="A220" s="56">
        <f t="shared" si="3"/>
        <v>162</v>
      </c>
      <c r="B220" s="59" t="s">
        <v>3318</v>
      </c>
      <c r="C220" s="60" t="s">
        <v>808</v>
      </c>
    </row>
    <row r="221" spans="1:3" x14ac:dyDescent="0.2">
      <c r="A221" s="56">
        <f t="shared" si="3"/>
        <v>163</v>
      </c>
      <c r="B221" s="57" t="s">
        <v>3319</v>
      </c>
      <c r="C221" s="58" t="s">
        <v>808</v>
      </c>
    </row>
    <row r="222" spans="1:3" x14ac:dyDescent="0.2">
      <c r="A222" s="56">
        <f t="shared" si="3"/>
        <v>164</v>
      </c>
      <c r="B222" s="57" t="s">
        <v>3320</v>
      </c>
      <c r="C222" s="58" t="s">
        <v>808</v>
      </c>
    </row>
    <row r="223" spans="1:3" x14ac:dyDescent="0.2">
      <c r="A223" s="56">
        <f t="shared" si="3"/>
        <v>165</v>
      </c>
      <c r="B223" s="57" t="s">
        <v>3321</v>
      </c>
      <c r="C223" s="58" t="s">
        <v>808</v>
      </c>
    </row>
    <row r="224" spans="1:3" x14ac:dyDescent="0.2">
      <c r="A224" s="56">
        <f t="shared" si="3"/>
        <v>166</v>
      </c>
      <c r="B224" s="57" t="s">
        <v>3322</v>
      </c>
      <c r="C224" s="58" t="s">
        <v>808</v>
      </c>
    </row>
    <row r="225" spans="1:3" x14ac:dyDescent="0.2">
      <c r="A225" s="56">
        <f t="shared" si="3"/>
        <v>167</v>
      </c>
      <c r="B225" s="59" t="s">
        <v>3323</v>
      </c>
      <c r="C225" s="60" t="s">
        <v>808</v>
      </c>
    </row>
    <row r="226" spans="1:3" x14ac:dyDescent="0.2">
      <c r="A226" s="56">
        <f t="shared" si="3"/>
        <v>168</v>
      </c>
      <c r="B226" s="57" t="s">
        <v>3324</v>
      </c>
      <c r="C226" s="58" t="s">
        <v>808</v>
      </c>
    </row>
    <row r="227" spans="1:3" x14ac:dyDescent="0.2">
      <c r="A227" s="56">
        <f t="shared" si="3"/>
        <v>169</v>
      </c>
      <c r="B227" s="57" t="s">
        <v>3325</v>
      </c>
      <c r="C227" s="58" t="s">
        <v>808</v>
      </c>
    </row>
    <row r="228" spans="1:3" x14ac:dyDescent="0.2">
      <c r="A228" s="56">
        <f t="shared" si="3"/>
        <v>170</v>
      </c>
      <c r="B228" s="57" t="s">
        <v>3326</v>
      </c>
      <c r="C228" s="58" t="s">
        <v>808</v>
      </c>
    </row>
    <row r="229" spans="1:3" x14ac:dyDescent="0.2">
      <c r="A229" s="56">
        <f t="shared" si="3"/>
        <v>171</v>
      </c>
      <c r="B229" s="61" t="s">
        <v>3327</v>
      </c>
      <c r="C229" s="62" t="s">
        <v>808</v>
      </c>
    </row>
    <row r="230" spans="1:3" x14ac:dyDescent="0.2">
      <c r="A230" s="56">
        <f t="shared" si="3"/>
        <v>172</v>
      </c>
      <c r="B230" s="57" t="s">
        <v>3328</v>
      </c>
      <c r="C230" s="58" t="s">
        <v>808</v>
      </c>
    </row>
    <row r="231" spans="1:3" x14ac:dyDescent="0.2">
      <c r="A231" s="56">
        <f t="shared" si="3"/>
        <v>173</v>
      </c>
      <c r="B231" s="57" t="s">
        <v>3329</v>
      </c>
      <c r="C231" s="58" t="s">
        <v>808</v>
      </c>
    </row>
    <row r="232" spans="1:3" x14ac:dyDescent="0.2">
      <c r="A232" s="56">
        <f t="shared" si="3"/>
        <v>174</v>
      </c>
      <c r="B232" s="57" t="s">
        <v>3330</v>
      </c>
      <c r="C232" s="58" t="s">
        <v>808</v>
      </c>
    </row>
    <row r="233" spans="1:3" x14ac:dyDescent="0.2">
      <c r="A233" s="56">
        <f t="shared" si="3"/>
        <v>175</v>
      </c>
      <c r="B233" s="57" t="s">
        <v>3331</v>
      </c>
      <c r="C233" s="58" t="s">
        <v>808</v>
      </c>
    </row>
    <row r="234" spans="1:3" x14ac:dyDescent="0.2">
      <c r="A234" s="56">
        <f t="shared" si="3"/>
        <v>176</v>
      </c>
      <c r="B234" s="57" t="s">
        <v>3332</v>
      </c>
      <c r="C234" s="58" t="s">
        <v>808</v>
      </c>
    </row>
    <row r="235" spans="1:3" x14ac:dyDescent="0.2">
      <c r="A235" s="56">
        <f t="shared" si="3"/>
        <v>177</v>
      </c>
      <c r="B235" s="57" t="s">
        <v>3333</v>
      </c>
      <c r="C235" s="58" t="s">
        <v>808</v>
      </c>
    </row>
    <row r="236" spans="1:3" x14ac:dyDescent="0.2">
      <c r="A236" s="56">
        <f t="shared" si="3"/>
        <v>178</v>
      </c>
      <c r="B236" s="57" t="s">
        <v>3334</v>
      </c>
      <c r="C236" s="58" t="s">
        <v>808</v>
      </c>
    </row>
    <row r="237" spans="1:3" x14ac:dyDescent="0.2">
      <c r="A237" s="56">
        <f t="shared" si="3"/>
        <v>179</v>
      </c>
      <c r="B237" s="57" t="s">
        <v>3335</v>
      </c>
      <c r="C237" s="58" t="s">
        <v>808</v>
      </c>
    </row>
    <row r="238" spans="1:3" x14ac:dyDescent="0.2">
      <c r="A238" s="56">
        <f t="shared" si="3"/>
        <v>180</v>
      </c>
      <c r="B238" s="57" t="s">
        <v>3336</v>
      </c>
      <c r="C238" s="58" t="s">
        <v>808</v>
      </c>
    </row>
    <row r="239" spans="1:3" x14ac:dyDescent="0.2">
      <c r="A239" s="56">
        <f t="shared" si="3"/>
        <v>181</v>
      </c>
      <c r="B239" s="57" t="s">
        <v>3337</v>
      </c>
      <c r="C239" s="58" t="s">
        <v>808</v>
      </c>
    </row>
    <row r="240" spans="1:3" x14ac:dyDescent="0.2">
      <c r="A240" s="56">
        <f t="shared" si="3"/>
        <v>182</v>
      </c>
      <c r="B240" s="59" t="s">
        <v>3338</v>
      </c>
      <c r="C240" s="60" t="s">
        <v>808</v>
      </c>
    </row>
    <row r="241" spans="1:3" x14ac:dyDescent="0.2">
      <c r="A241" s="56">
        <f t="shared" si="3"/>
        <v>183</v>
      </c>
      <c r="B241" s="57" t="s">
        <v>3339</v>
      </c>
      <c r="C241" s="58" t="s">
        <v>808</v>
      </c>
    </row>
    <row r="242" spans="1:3" x14ac:dyDescent="0.2">
      <c r="A242" s="56">
        <f t="shared" si="3"/>
        <v>184</v>
      </c>
      <c r="B242" s="57" t="s">
        <v>3340</v>
      </c>
      <c r="C242" s="58" t="s">
        <v>808</v>
      </c>
    </row>
    <row r="243" spans="1:3" x14ac:dyDescent="0.2">
      <c r="A243" s="56">
        <f t="shared" si="3"/>
        <v>185</v>
      </c>
      <c r="B243" s="57" t="s">
        <v>3341</v>
      </c>
      <c r="C243" s="58" t="s">
        <v>808</v>
      </c>
    </row>
    <row r="244" spans="1:3" x14ac:dyDescent="0.2">
      <c r="A244" s="56">
        <f t="shared" si="3"/>
        <v>186</v>
      </c>
      <c r="B244" s="57" t="s">
        <v>3342</v>
      </c>
      <c r="C244" s="58" t="s">
        <v>808</v>
      </c>
    </row>
    <row r="245" spans="1:3" x14ac:dyDescent="0.2">
      <c r="A245" s="56">
        <f t="shared" si="3"/>
        <v>187</v>
      </c>
      <c r="B245" s="57" t="s">
        <v>3343</v>
      </c>
      <c r="C245" s="58" t="s">
        <v>808</v>
      </c>
    </row>
    <row r="246" spans="1:3" x14ac:dyDescent="0.2">
      <c r="A246" s="56">
        <f t="shared" si="3"/>
        <v>188</v>
      </c>
      <c r="B246" s="57" t="s">
        <v>3344</v>
      </c>
      <c r="C246" s="58" t="s">
        <v>808</v>
      </c>
    </row>
    <row r="247" spans="1:3" x14ac:dyDescent="0.2">
      <c r="A247" s="56">
        <f t="shared" si="3"/>
        <v>189</v>
      </c>
      <c r="B247" s="57" t="s">
        <v>3345</v>
      </c>
      <c r="C247" s="58" t="s">
        <v>808</v>
      </c>
    </row>
    <row r="248" spans="1:3" x14ac:dyDescent="0.2">
      <c r="A248" s="56">
        <f t="shared" si="3"/>
        <v>190</v>
      </c>
      <c r="B248" s="57" t="s">
        <v>3346</v>
      </c>
      <c r="C248" s="58" t="s">
        <v>808</v>
      </c>
    </row>
    <row r="249" spans="1:3" x14ac:dyDescent="0.2">
      <c r="A249" s="56">
        <f t="shared" si="3"/>
        <v>191</v>
      </c>
      <c r="B249" s="57" t="s">
        <v>3347</v>
      </c>
      <c r="C249" s="58" t="s">
        <v>808</v>
      </c>
    </row>
    <row r="250" spans="1:3" x14ac:dyDescent="0.2">
      <c r="A250" s="56">
        <f t="shared" si="3"/>
        <v>192</v>
      </c>
      <c r="B250" s="57" t="s">
        <v>3348</v>
      </c>
      <c r="C250" s="58" t="s">
        <v>808</v>
      </c>
    </row>
    <row r="251" spans="1:3" x14ac:dyDescent="0.2">
      <c r="A251" s="56">
        <f t="shared" si="3"/>
        <v>193</v>
      </c>
      <c r="B251" s="57" t="s">
        <v>3349</v>
      </c>
      <c r="C251" s="58" t="s">
        <v>808</v>
      </c>
    </row>
    <row r="252" spans="1:3" x14ac:dyDescent="0.2">
      <c r="A252" s="56">
        <f t="shared" ref="A252:A315" si="4">1+A251</f>
        <v>194</v>
      </c>
      <c r="B252" s="57" t="s">
        <v>3350</v>
      </c>
      <c r="C252" s="58" t="s">
        <v>808</v>
      </c>
    </row>
    <row r="253" spans="1:3" x14ac:dyDescent="0.2">
      <c r="A253" s="56">
        <f t="shared" si="4"/>
        <v>195</v>
      </c>
      <c r="B253" s="57" t="s">
        <v>3351</v>
      </c>
      <c r="C253" s="58" t="s">
        <v>808</v>
      </c>
    </row>
    <row r="254" spans="1:3" x14ac:dyDescent="0.2">
      <c r="A254" s="56">
        <f t="shared" si="4"/>
        <v>196</v>
      </c>
      <c r="B254" s="57" t="s">
        <v>3352</v>
      </c>
      <c r="C254" s="58" t="s">
        <v>808</v>
      </c>
    </row>
    <row r="255" spans="1:3" x14ac:dyDescent="0.2">
      <c r="A255" s="56">
        <f t="shared" si="4"/>
        <v>197</v>
      </c>
      <c r="B255" s="57" t="s">
        <v>3353</v>
      </c>
      <c r="C255" s="58" t="s">
        <v>808</v>
      </c>
    </row>
    <row r="256" spans="1:3" x14ac:dyDescent="0.2">
      <c r="A256" s="56">
        <f t="shared" si="4"/>
        <v>198</v>
      </c>
      <c r="B256" s="57" t="s">
        <v>3354</v>
      </c>
      <c r="C256" s="58" t="s">
        <v>808</v>
      </c>
    </row>
    <row r="257" spans="1:3" x14ac:dyDescent="0.2">
      <c r="A257" s="56">
        <f t="shared" si="4"/>
        <v>199</v>
      </c>
      <c r="B257" s="57" t="s">
        <v>3355</v>
      </c>
      <c r="C257" s="58" t="s">
        <v>808</v>
      </c>
    </row>
    <row r="258" spans="1:3" x14ac:dyDescent="0.2">
      <c r="A258" s="56">
        <f t="shared" si="4"/>
        <v>200</v>
      </c>
      <c r="B258" s="57" t="s">
        <v>3356</v>
      </c>
      <c r="C258" s="58" t="s">
        <v>808</v>
      </c>
    </row>
    <row r="259" spans="1:3" x14ac:dyDescent="0.2">
      <c r="A259" s="56">
        <f t="shared" si="4"/>
        <v>201</v>
      </c>
      <c r="B259" s="57" t="s">
        <v>3357</v>
      </c>
      <c r="C259" s="58" t="s">
        <v>808</v>
      </c>
    </row>
    <row r="260" spans="1:3" x14ac:dyDescent="0.2">
      <c r="A260" s="56">
        <f t="shared" si="4"/>
        <v>202</v>
      </c>
      <c r="B260" s="57" t="s">
        <v>3358</v>
      </c>
      <c r="C260" s="58" t="s">
        <v>808</v>
      </c>
    </row>
    <row r="261" spans="1:3" x14ac:dyDescent="0.2">
      <c r="A261" s="56">
        <f t="shared" si="4"/>
        <v>203</v>
      </c>
      <c r="B261" s="57" t="s">
        <v>3359</v>
      </c>
      <c r="C261" s="58" t="s">
        <v>808</v>
      </c>
    </row>
    <row r="262" spans="1:3" x14ac:dyDescent="0.2">
      <c r="A262" s="56">
        <f t="shared" si="4"/>
        <v>204</v>
      </c>
      <c r="B262" s="57" t="s">
        <v>3360</v>
      </c>
      <c r="C262" s="58" t="s">
        <v>808</v>
      </c>
    </row>
    <row r="263" spans="1:3" x14ac:dyDescent="0.2">
      <c r="A263" s="56">
        <f t="shared" si="4"/>
        <v>205</v>
      </c>
      <c r="B263" s="57" t="s">
        <v>3361</v>
      </c>
      <c r="C263" s="58" t="s">
        <v>808</v>
      </c>
    </row>
    <row r="264" spans="1:3" x14ac:dyDescent="0.2">
      <c r="A264" s="56">
        <f t="shared" si="4"/>
        <v>206</v>
      </c>
      <c r="B264" s="57" t="s">
        <v>3362</v>
      </c>
      <c r="C264" s="58" t="s">
        <v>808</v>
      </c>
    </row>
    <row r="265" spans="1:3" x14ac:dyDescent="0.2">
      <c r="A265" s="56">
        <f t="shared" si="4"/>
        <v>207</v>
      </c>
      <c r="B265" s="57" t="s">
        <v>3363</v>
      </c>
      <c r="C265" s="58" t="s">
        <v>808</v>
      </c>
    </row>
    <row r="266" spans="1:3" x14ac:dyDescent="0.2">
      <c r="A266" s="56">
        <f t="shared" si="4"/>
        <v>208</v>
      </c>
      <c r="B266" s="57" t="s">
        <v>3364</v>
      </c>
      <c r="C266" s="58" t="s">
        <v>808</v>
      </c>
    </row>
    <row r="267" spans="1:3" x14ac:dyDescent="0.2">
      <c r="A267" s="56">
        <f t="shared" si="4"/>
        <v>209</v>
      </c>
      <c r="B267" s="57" t="s">
        <v>3365</v>
      </c>
      <c r="C267" s="58" t="s">
        <v>808</v>
      </c>
    </row>
    <row r="268" spans="1:3" x14ac:dyDescent="0.2">
      <c r="A268" s="56">
        <f t="shared" si="4"/>
        <v>210</v>
      </c>
      <c r="B268" s="57" t="s">
        <v>3366</v>
      </c>
      <c r="C268" s="58" t="s">
        <v>808</v>
      </c>
    </row>
    <row r="269" spans="1:3" x14ac:dyDescent="0.2">
      <c r="A269" s="56">
        <f t="shared" si="4"/>
        <v>211</v>
      </c>
      <c r="B269" s="57" t="s">
        <v>3367</v>
      </c>
      <c r="C269" s="58" t="s">
        <v>808</v>
      </c>
    </row>
    <row r="270" spans="1:3" x14ac:dyDescent="0.2">
      <c r="A270" s="56">
        <f t="shared" si="4"/>
        <v>212</v>
      </c>
      <c r="B270" s="57" t="s">
        <v>3368</v>
      </c>
      <c r="C270" s="58" t="s">
        <v>808</v>
      </c>
    </row>
    <row r="271" spans="1:3" x14ac:dyDescent="0.2">
      <c r="A271" s="56">
        <f t="shared" si="4"/>
        <v>213</v>
      </c>
      <c r="B271" s="57" t="s">
        <v>3369</v>
      </c>
      <c r="C271" s="58" t="s">
        <v>808</v>
      </c>
    </row>
    <row r="272" spans="1:3" x14ac:dyDescent="0.2">
      <c r="A272" s="56">
        <f t="shared" si="4"/>
        <v>214</v>
      </c>
      <c r="B272" s="57" t="s">
        <v>3370</v>
      </c>
      <c r="C272" s="58" t="s">
        <v>808</v>
      </c>
    </row>
    <row r="273" spans="1:3" x14ac:dyDescent="0.2">
      <c r="A273" s="56">
        <f t="shared" si="4"/>
        <v>215</v>
      </c>
      <c r="B273" s="57" t="s">
        <v>3371</v>
      </c>
      <c r="C273" s="58" t="s">
        <v>808</v>
      </c>
    </row>
    <row r="274" spans="1:3" x14ac:dyDescent="0.2">
      <c r="A274" s="56">
        <f t="shared" si="4"/>
        <v>216</v>
      </c>
      <c r="B274" s="57" t="s">
        <v>3372</v>
      </c>
      <c r="C274" s="58" t="s">
        <v>808</v>
      </c>
    </row>
    <row r="275" spans="1:3" x14ac:dyDescent="0.2">
      <c r="A275" s="56">
        <f t="shared" si="4"/>
        <v>217</v>
      </c>
      <c r="B275" s="57" t="s">
        <v>3373</v>
      </c>
      <c r="C275" s="58" t="s">
        <v>808</v>
      </c>
    </row>
    <row r="276" spans="1:3" x14ac:dyDescent="0.2">
      <c r="A276" s="56">
        <f t="shared" si="4"/>
        <v>218</v>
      </c>
      <c r="B276" s="57" t="s">
        <v>3374</v>
      </c>
      <c r="C276" s="58" t="s">
        <v>808</v>
      </c>
    </row>
    <row r="277" spans="1:3" x14ac:dyDescent="0.2">
      <c r="A277" s="56">
        <f t="shared" si="4"/>
        <v>219</v>
      </c>
      <c r="B277" s="57" t="s">
        <v>3375</v>
      </c>
      <c r="C277" s="58" t="s">
        <v>808</v>
      </c>
    </row>
    <row r="278" spans="1:3" x14ac:dyDescent="0.2">
      <c r="A278" s="56">
        <f t="shared" si="4"/>
        <v>220</v>
      </c>
      <c r="B278" s="57" t="s">
        <v>3376</v>
      </c>
      <c r="C278" s="58" t="s">
        <v>808</v>
      </c>
    </row>
    <row r="279" spans="1:3" x14ac:dyDescent="0.2">
      <c r="A279" s="56">
        <f t="shared" si="4"/>
        <v>221</v>
      </c>
      <c r="B279" s="57" t="s">
        <v>3377</v>
      </c>
      <c r="C279" s="58" t="s">
        <v>808</v>
      </c>
    </row>
    <row r="280" spans="1:3" x14ac:dyDescent="0.2">
      <c r="A280" s="56">
        <f t="shared" si="4"/>
        <v>222</v>
      </c>
      <c r="B280" s="57" t="s">
        <v>3378</v>
      </c>
      <c r="C280" s="58" t="s">
        <v>808</v>
      </c>
    </row>
    <row r="281" spans="1:3" x14ac:dyDescent="0.2">
      <c r="A281" s="56">
        <f t="shared" si="4"/>
        <v>223</v>
      </c>
      <c r="B281" s="57" t="s">
        <v>3379</v>
      </c>
      <c r="C281" s="58" t="s">
        <v>808</v>
      </c>
    </row>
    <row r="282" spans="1:3" x14ac:dyDescent="0.2">
      <c r="A282" s="56">
        <f t="shared" si="4"/>
        <v>224</v>
      </c>
      <c r="B282" s="57" t="s">
        <v>3380</v>
      </c>
      <c r="C282" s="58" t="s">
        <v>808</v>
      </c>
    </row>
    <row r="283" spans="1:3" x14ac:dyDescent="0.2">
      <c r="A283" s="56">
        <f t="shared" si="4"/>
        <v>225</v>
      </c>
      <c r="B283" s="57" t="s">
        <v>3381</v>
      </c>
      <c r="C283" s="58" t="s">
        <v>808</v>
      </c>
    </row>
    <row r="284" spans="1:3" x14ac:dyDescent="0.2">
      <c r="A284" s="56">
        <f t="shared" si="4"/>
        <v>226</v>
      </c>
      <c r="B284" s="57" t="s">
        <v>3382</v>
      </c>
      <c r="C284" s="58" t="s">
        <v>808</v>
      </c>
    </row>
    <row r="285" spans="1:3" x14ac:dyDescent="0.2">
      <c r="A285" s="56">
        <f t="shared" si="4"/>
        <v>227</v>
      </c>
      <c r="B285" s="57" t="s">
        <v>3383</v>
      </c>
      <c r="C285" s="58" t="s">
        <v>808</v>
      </c>
    </row>
    <row r="286" spans="1:3" x14ac:dyDescent="0.2">
      <c r="A286" s="56">
        <f t="shared" si="4"/>
        <v>228</v>
      </c>
      <c r="B286" s="57" t="s">
        <v>3384</v>
      </c>
      <c r="C286" s="58" t="s">
        <v>808</v>
      </c>
    </row>
    <row r="287" spans="1:3" x14ac:dyDescent="0.2">
      <c r="A287" s="56">
        <f t="shared" si="4"/>
        <v>229</v>
      </c>
      <c r="B287" s="57" t="s">
        <v>3385</v>
      </c>
      <c r="C287" s="58" t="s">
        <v>808</v>
      </c>
    </row>
    <row r="288" spans="1:3" x14ac:dyDescent="0.2">
      <c r="A288" s="56">
        <f t="shared" si="4"/>
        <v>230</v>
      </c>
      <c r="B288" s="59" t="s">
        <v>3386</v>
      </c>
      <c r="C288" s="60" t="s">
        <v>808</v>
      </c>
    </row>
    <row r="289" spans="1:3" x14ac:dyDescent="0.2">
      <c r="A289" s="56">
        <f t="shared" si="4"/>
        <v>231</v>
      </c>
      <c r="B289" s="59" t="s">
        <v>3387</v>
      </c>
      <c r="C289" s="60" t="s">
        <v>808</v>
      </c>
    </row>
    <row r="290" spans="1:3" x14ac:dyDescent="0.2">
      <c r="A290" s="56">
        <f t="shared" si="4"/>
        <v>232</v>
      </c>
      <c r="B290" s="59" t="s">
        <v>3388</v>
      </c>
      <c r="C290" s="58" t="s">
        <v>808</v>
      </c>
    </row>
    <row r="291" spans="1:3" x14ac:dyDescent="0.2">
      <c r="A291" s="56">
        <f t="shared" si="4"/>
        <v>233</v>
      </c>
      <c r="B291" s="57" t="s">
        <v>3389</v>
      </c>
      <c r="C291" s="58" t="s">
        <v>808</v>
      </c>
    </row>
    <row r="292" spans="1:3" x14ac:dyDescent="0.2">
      <c r="A292" s="56">
        <f t="shared" si="4"/>
        <v>234</v>
      </c>
      <c r="B292" s="57" t="s">
        <v>3390</v>
      </c>
      <c r="C292" s="58" t="s">
        <v>808</v>
      </c>
    </row>
    <row r="293" spans="1:3" x14ac:dyDescent="0.2">
      <c r="A293" s="56">
        <f t="shared" si="4"/>
        <v>235</v>
      </c>
      <c r="B293" s="57" t="s">
        <v>3391</v>
      </c>
      <c r="C293" s="58" t="s">
        <v>808</v>
      </c>
    </row>
    <row r="294" spans="1:3" x14ac:dyDescent="0.2">
      <c r="A294" s="56">
        <f t="shared" si="4"/>
        <v>236</v>
      </c>
      <c r="B294" s="59" t="s">
        <v>3392</v>
      </c>
      <c r="C294" s="60" t="s">
        <v>808</v>
      </c>
    </row>
    <row r="295" spans="1:3" x14ac:dyDescent="0.2">
      <c r="A295" s="56">
        <f t="shared" si="4"/>
        <v>237</v>
      </c>
      <c r="B295" s="59" t="s">
        <v>3393</v>
      </c>
      <c r="C295" s="60" t="s">
        <v>808</v>
      </c>
    </row>
    <row r="296" spans="1:3" x14ac:dyDescent="0.2">
      <c r="A296" s="56">
        <f t="shared" si="4"/>
        <v>238</v>
      </c>
      <c r="B296" s="57" t="s">
        <v>3394</v>
      </c>
      <c r="C296" s="58" t="s">
        <v>808</v>
      </c>
    </row>
    <row r="297" spans="1:3" x14ac:dyDescent="0.2">
      <c r="A297" s="56">
        <f t="shared" si="4"/>
        <v>239</v>
      </c>
      <c r="B297" s="57" t="s">
        <v>3395</v>
      </c>
      <c r="C297" s="58" t="s">
        <v>808</v>
      </c>
    </row>
    <row r="298" spans="1:3" x14ac:dyDescent="0.2">
      <c r="A298" s="56">
        <f t="shared" si="4"/>
        <v>240</v>
      </c>
      <c r="B298" s="57" t="s">
        <v>3396</v>
      </c>
      <c r="C298" s="58" t="s">
        <v>808</v>
      </c>
    </row>
    <row r="299" spans="1:3" x14ac:dyDescent="0.2">
      <c r="A299" s="56">
        <f t="shared" si="4"/>
        <v>241</v>
      </c>
      <c r="B299" s="57" t="s">
        <v>3397</v>
      </c>
      <c r="C299" s="58" t="s">
        <v>808</v>
      </c>
    </row>
    <row r="300" spans="1:3" x14ac:dyDescent="0.2">
      <c r="A300" s="56">
        <f t="shared" si="4"/>
        <v>242</v>
      </c>
      <c r="B300" s="57" t="s">
        <v>3398</v>
      </c>
      <c r="C300" s="58" t="s">
        <v>808</v>
      </c>
    </row>
    <row r="301" spans="1:3" x14ac:dyDescent="0.2">
      <c r="A301" s="56">
        <f t="shared" si="4"/>
        <v>243</v>
      </c>
      <c r="B301" s="57" t="s">
        <v>3399</v>
      </c>
      <c r="C301" s="58" t="s">
        <v>808</v>
      </c>
    </row>
    <row r="302" spans="1:3" x14ac:dyDescent="0.2">
      <c r="A302" s="56">
        <f t="shared" si="4"/>
        <v>244</v>
      </c>
      <c r="B302" s="57" t="s">
        <v>3400</v>
      </c>
      <c r="C302" s="58" t="s">
        <v>808</v>
      </c>
    </row>
    <row r="303" spans="1:3" x14ac:dyDescent="0.2">
      <c r="A303" s="56">
        <f t="shared" si="4"/>
        <v>245</v>
      </c>
      <c r="B303" s="57" t="s">
        <v>3401</v>
      </c>
      <c r="C303" s="58" t="s">
        <v>808</v>
      </c>
    </row>
    <row r="304" spans="1:3" x14ac:dyDescent="0.2">
      <c r="A304" s="56">
        <f t="shared" si="4"/>
        <v>246</v>
      </c>
      <c r="B304" s="57" t="s">
        <v>3402</v>
      </c>
      <c r="C304" s="58" t="s">
        <v>808</v>
      </c>
    </row>
    <row r="305" spans="1:3" x14ac:dyDescent="0.2">
      <c r="A305" s="56">
        <f t="shared" si="4"/>
        <v>247</v>
      </c>
      <c r="B305" s="57" t="s">
        <v>3403</v>
      </c>
      <c r="C305" s="58" t="s">
        <v>808</v>
      </c>
    </row>
    <row r="306" spans="1:3" x14ac:dyDescent="0.2">
      <c r="A306" s="56">
        <f t="shared" si="4"/>
        <v>248</v>
      </c>
      <c r="B306" s="57" t="s">
        <v>3404</v>
      </c>
      <c r="C306" s="58" t="s">
        <v>808</v>
      </c>
    </row>
    <row r="307" spans="1:3" x14ac:dyDescent="0.2">
      <c r="A307" s="56">
        <f t="shared" si="4"/>
        <v>249</v>
      </c>
      <c r="B307" s="57" t="s">
        <v>3405</v>
      </c>
      <c r="C307" s="58" t="s">
        <v>808</v>
      </c>
    </row>
    <row r="308" spans="1:3" x14ac:dyDescent="0.2">
      <c r="A308" s="56">
        <f t="shared" si="4"/>
        <v>250</v>
      </c>
      <c r="B308" s="57" t="s">
        <v>3406</v>
      </c>
      <c r="C308" s="58" t="s">
        <v>808</v>
      </c>
    </row>
    <row r="309" spans="1:3" x14ac:dyDescent="0.2">
      <c r="A309" s="56">
        <f t="shared" si="4"/>
        <v>251</v>
      </c>
      <c r="B309" s="57" t="s">
        <v>3407</v>
      </c>
      <c r="C309" s="58" t="s">
        <v>808</v>
      </c>
    </row>
    <row r="310" spans="1:3" x14ac:dyDescent="0.2">
      <c r="A310" s="56">
        <f t="shared" si="4"/>
        <v>252</v>
      </c>
      <c r="B310" s="57" t="s">
        <v>3408</v>
      </c>
      <c r="C310" s="58" t="s">
        <v>808</v>
      </c>
    </row>
    <row r="311" spans="1:3" x14ac:dyDescent="0.2">
      <c r="A311" s="56">
        <f t="shared" si="4"/>
        <v>253</v>
      </c>
      <c r="B311" s="57" t="s">
        <v>3409</v>
      </c>
      <c r="C311" s="58" t="s">
        <v>808</v>
      </c>
    </row>
    <row r="312" spans="1:3" x14ac:dyDescent="0.2">
      <c r="A312" s="56">
        <f t="shared" si="4"/>
        <v>254</v>
      </c>
      <c r="B312" s="59" t="s">
        <v>3410</v>
      </c>
      <c r="C312" s="60" t="s">
        <v>808</v>
      </c>
    </row>
    <row r="313" spans="1:3" x14ac:dyDescent="0.2">
      <c r="A313" s="56">
        <f t="shared" si="4"/>
        <v>255</v>
      </c>
      <c r="B313" s="57" t="s">
        <v>3411</v>
      </c>
      <c r="C313" s="58" t="s">
        <v>808</v>
      </c>
    </row>
    <row r="314" spans="1:3" x14ac:dyDescent="0.2">
      <c r="A314" s="56">
        <f t="shared" si="4"/>
        <v>256</v>
      </c>
      <c r="B314" s="59" t="s">
        <v>3412</v>
      </c>
      <c r="C314" s="60" t="s">
        <v>808</v>
      </c>
    </row>
    <row r="315" spans="1:3" x14ac:dyDescent="0.2">
      <c r="A315" s="56">
        <f t="shared" si="4"/>
        <v>257</v>
      </c>
      <c r="B315" s="59" t="s">
        <v>3413</v>
      </c>
      <c r="C315" s="60" t="s">
        <v>808</v>
      </c>
    </row>
    <row r="316" spans="1:3" x14ac:dyDescent="0.2">
      <c r="A316" s="56">
        <f t="shared" ref="A316:A379" si="5">1+A315</f>
        <v>258</v>
      </c>
      <c r="B316" s="57" t="s">
        <v>3414</v>
      </c>
      <c r="C316" s="58" t="s">
        <v>808</v>
      </c>
    </row>
    <row r="317" spans="1:3" x14ac:dyDescent="0.2">
      <c r="A317" s="56">
        <f t="shared" si="5"/>
        <v>259</v>
      </c>
      <c r="B317" s="57" t="s">
        <v>3415</v>
      </c>
      <c r="C317" s="58" t="s">
        <v>808</v>
      </c>
    </row>
    <row r="318" spans="1:3" x14ac:dyDescent="0.2">
      <c r="A318" s="56">
        <f t="shared" si="5"/>
        <v>260</v>
      </c>
      <c r="B318" s="57" t="s">
        <v>3416</v>
      </c>
      <c r="C318" s="58" t="s">
        <v>808</v>
      </c>
    </row>
    <row r="319" spans="1:3" x14ac:dyDescent="0.2">
      <c r="A319" s="56">
        <f t="shared" si="5"/>
        <v>261</v>
      </c>
      <c r="B319" s="57" t="s">
        <v>3417</v>
      </c>
      <c r="C319" s="58" t="s">
        <v>808</v>
      </c>
    </row>
    <row r="320" spans="1:3" x14ac:dyDescent="0.2">
      <c r="A320" s="56">
        <f t="shared" si="5"/>
        <v>262</v>
      </c>
      <c r="B320" s="57" t="s">
        <v>3418</v>
      </c>
      <c r="C320" s="58" t="s">
        <v>808</v>
      </c>
    </row>
    <row r="321" spans="1:3" x14ac:dyDescent="0.2">
      <c r="A321" s="56">
        <f t="shared" si="5"/>
        <v>263</v>
      </c>
      <c r="B321" s="57" t="s">
        <v>3419</v>
      </c>
      <c r="C321" s="58" t="s">
        <v>808</v>
      </c>
    </row>
    <row r="322" spans="1:3" x14ac:dyDescent="0.2">
      <c r="A322" s="56">
        <f t="shared" si="5"/>
        <v>264</v>
      </c>
      <c r="B322" s="57" t="s">
        <v>3420</v>
      </c>
      <c r="C322" s="58" t="s">
        <v>808</v>
      </c>
    </row>
    <row r="323" spans="1:3" x14ac:dyDescent="0.2">
      <c r="A323" s="56">
        <f t="shared" si="5"/>
        <v>265</v>
      </c>
      <c r="B323" s="57" t="s">
        <v>3421</v>
      </c>
      <c r="C323" s="58" t="s">
        <v>808</v>
      </c>
    </row>
    <row r="324" spans="1:3" x14ac:dyDescent="0.2">
      <c r="A324" s="56">
        <f t="shared" si="5"/>
        <v>266</v>
      </c>
      <c r="B324" s="59" t="s">
        <v>3422</v>
      </c>
      <c r="C324" s="60" t="s">
        <v>808</v>
      </c>
    </row>
    <row r="325" spans="1:3" x14ac:dyDescent="0.2">
      <c r="A325" s="56">
        <f t="shared" si="5"/>
        <v>267</v>
      </c>
      <c r="B325" s="57" t="s">
        <v>3423</v>
      </c>
      <c r="C325" s="58" t="s">
        <v>808</v>
      </c>
    </row>
    <row r="326" spans="1:3" x14ac:dyDescent="0.2">
      <c r="A326" s="56">
        <f t="shared" si="5"/>
        <v>268</v>
      </c>
      <c r="B326" s="57" t="s">
        <v>3424</v>
      </c>
      <c r="C326" s="58" t="s">
        <v>808</v>
      </c>
    </row>
    <row r="327" spans="1:3" x14ac:dyDescent="0.2">
      <c r="A327" s="56">
        <f t="shared" si="5"/>
        <v>269</v>
      </c>
      <c r="B327" s="57" t="s">
        <v>3425</v>
      </c>
      <c r="C327" s="58" t="s">
        <v>808</v>
      </c>
    </row>
    <row r="328" spans="1:3" x14ac:dyDescent="0.2">
      <c r="A328" s="56">
        <f t="shared" si="5"/>
        <v>270</v>
      </c>
      <c r="B328" s="57" t="s">
        <v>3426</v>
      </c>
      <c r="C328" s="58" t="s">
        <v>808</v>
      </c>
    </row>
    <row r="329" spans="1:3" x14ac:dyDescent="0.2">
      <c r="A329" s="56">
        <f t="shared" si="5"/>
        <v>271</v>
      </c>
      <c r="B329" s="57" t="s">
        <v>3427</v>
      </c>
      <c r="C329" s="58" t="s">
        <v>808</v>
      </c>
    </row>
    <row r="330" spans="1:3" x14ac:dyDescent="0.2">
      <c r="A330" s="56">
        <f t="shared" si="5"/>
        <v>272</v>
      </c>
      <c r="B330" s="57" t="s">
        <v>3428</v>
      </c>
      <c r="C330" s="58" t="s">
        <v>808</v>
      </c>
    </row>
    <row r="331" spans="1:3" x14ac:dyDescent="0.2">
      <c r="A331" s="56">
        <f t="shared" si="5"/>
        <v>273</v>
      </c>
      <c r="B331" s="57" t="s">
        <v>3429</v>
      </c>
      <c r="C331" s="58" t="s">
        <v>808</v>
      </c>
    </row>
    <row r="332" spans="1:3" x14ac:dyDescent="0.2">
      <c r="A332" s="56">
        <f t="shared" si="5"/>
        <v>274</v>
      </c>
      <c r="B332" s="57" t="s">
        <v>3430</v>
      </c>
      <c r="C332" s="58" t="s">
        <v>808</v>
      </c>
    </row>
    <row r="333" spans="1:3" x14ac:dyDescent="0.2">
      <c r="A333" s="56">
        <f t="shared" si="5"/>
        <v>275</v>
      </c>
      <c r="B333" s="57" t="s">
        <v>3431</v>
      </c>
      <c r="C333" s="58" t="s">
        <v>808</v>
      </c>
    </row>
    <row r="334" spans="1:3" x14ac:dyDescent="0.2">
      <c r="A334" s="56">
        <f t="shared" si="5"/>
        <v>276</v>
      </c>
      <c r="B334" s="57" t="s">
        <v>3432</v>
      </c>
      <c r="C334" s="58" t="s">
        <v>808</v>
      </c>
    </row>
    <row r="335" spans="1:3" x14ac:dyDescent="0.2">
      <c r="A335" s="56">
        <f t="shared" si="5"/>
        <v>277</v>
      </c>
      <c r="B335" s="57" t="s">
        <v>3433</v>
      </c>
      <c r="C335" s="58" t="s">
        <v>808</v>
      </c>
    </row>
    <row r="336" spans="1:3" x14ac:dyDescent="0.2">
      <c r="A336" s="56">
        <f t="shared" si="5"/>
        <v>278</v>
      </c>
      <c r="B336" s="57" t="s">
        <v>3434</v>
      </c>
      <c r="C336" s="58" t="s">
        <v>808</v>
      </c>
    </row>
    <row r="337" spans="1:3" x14ac:dyDescent="0.2">
      <c r="A337" s="56">
        <f t="shared" si="5"/>
        <v>279</v>
      </c>
      <c r="B337" s="57" t="s">
        <v>3435</v>
      </c>
      <c r="C337" s="58" t="s">
        <v>808</v>
      </c>
    </row>
    <row r="338" spans="1:3" x14ac:dyDescent="0.2">
      <c r="A338" s="56">
        <f t="shared" si="5"/>
        <v>280</v>
      </c>
      <c r="B338" s="59" t="s">
        <v>3436</v>
      </c>
      <c r="C338" s="60" t="s">
        <v>808</v>
      </c>
    </row>
    <row r="339" spans="1:3" x14ac:dyDescent="0.2">
      <c r="A339" s="56">
        <f t="shared" si="5"/>
        <v>281</v>
      </c>
      <c r="B339" s="57" t="s">
        <v>3437</v>
      </c>
      <c r="C339" s="58" t="s">
        <v>808</v>
      </c>
    </row>
    <row r="340" spans="1:3" x14ac:dyDescent="0.2">
      <c r="A340" s="56">
        <f t="shared" si="5"/>
        <v>282</v>
      </c>
      <c r="B340" s="57" t="s">
        <v>3438</v>
      </c>
      <c r="C340" s="58" t="s">
        <v>808</v>
      </c>
    </row>
    <row r="341" spans="1:3" x14ac:dyDescent="0.2">
      <c r="A341" s="56">
        <f t="shared" si="5"/>
        <v>283</v>
      </c>
      <c r="B341" s="57" t="s">
        <v>3439</v>
      </c>
      <c r="C341" s="58" t="s">
        <v>808</v>
      </c>
    </row>
    <row r="342" spans="1:3" x14ac:dyDescent="0.2">
      <c r="A342" s="56">
        <f t="shared" si="5"/>
        <v>284</v>
      </c>
      <c r="B342" s="57" t="s">
        <v>3440</v>
      </c>
      <c r="C342" s="58" t="s">
        <v>808</v>
      </c>
    </row>
    <row r="343" spans="1:3" x14ac:dyDescent="0.2">
      <c r="A343" s="56">
        <f t="shared" si="5"/>
        <v>285</v>
      </c>
      <c r="B343" s="57" t="s">
        <v>3441</v>
      </c>
      <c r="C343" s="58" t="s">
        <v>808</v>
      </c>
    </row>
    <row r="344" spans="1:3" x14ac:dyDescent="0.2">
      <c r="A344" s="56">
        <f t="shared" si="5"/>
        <v>286</v>
      </c>
      <c r="B344" s="57" t="s">
        <v>3442</v>
      </c>
      <c r="C344" s="58" t="s">
        <v>808</v>
      </c>
    </row>
    <row r="345" spans="1:3" x14ac:dyDescent="0.2">
      <c r="A345" s="56">
        <f t="shared" si="5"/>
        <v>287</v>
      </c>
      <c r="B345" s="57" t="s">
        <v>3443</v>
      </c>
      <c r="C345" s="58" t="s">
        <v>808</v>
      </c>
    </row>
    <row r="346" spans="1:3" x14ac:dyDescent="0.2">
      <c r="A346" s="56">
        <f t="shared" si="5"/>
        <v>288</v>
      </c>
      <c r="B346" s="59" t="s">
        <v>3444</v>
      </c>
      <c r="C346" s="60" t="s">
        <v>808</v>
      </c>
    </row>
    <row r="347" spans="1:3" x14ac:dyDescent="0.2">
      <c r="A347" s="56">
        <f t="shared" si="5"/>
        <v>289</v>
      </c>
      <c r="B347" s="57" t="s">
        <v>3445</v>
      </c>
      <c r="C347" s="58" t="s">
        <v>808</v>
      </c>
    </row>
    <row r="348" spans="1:3" x14ac:dyDescent="0.2">
      <c r="A348" s="56">
        <f t="shared" si="5"/>
        <v>290</v>
      </c>
      <c r="B348" s="57" t="s">
        <v>3446</v>
      </c>
      <c r="C348" s="58" t="s">
        <v>808</v>
      </c>
    </row>
    <row r="349" spans="1:3" x14ac:dyDescent="0.2">
      <c r="A349" s="56">
        <f t="shared" si="5"/>
        <v>291</v>
      </c>
      <c r="B349" s="57" t="s">
        <v>3447</v>
      </c>
      <c r="C349" s="58" t="s">
        <v>808</v>
      </c>
    </row>
    <row r="350" spans="1:3" x14ac:dyDescent="0.2">
      <c r="A350" s="56">
        <f t="shared" si="5"/>
        <v>292</v>
      </c>
      <c r="B350" s="57" t="s">
        <v>3448</v>
      </c>
      <c r="C350" s="58" t="s">
        <v>808</v>
      </c>
    </row>
    <row r="351" spans="1:3" x14ac:dyDescent="0.2">
      <c r="A351" s="56">
        <f t="shared" si="5"/>
        <v>293</v>
      </c>
      <c r="B351" s="57" t="s">
        <v>3449</v>
      </c>
      <c r="C351" s="58" t="s">
        <v>808</v>
      </c>
    </row>
    <row r="352" spans="1:3" x14ac:dyDescent="0.2">
      <c r="A352" s="56">
        <f t="shared" si="5"/>
        <v>294</v>
      </c>
      <c r="B352" s="57" t="s">
        <v>3450</v>
      </c>
      <c r="C352" s="58" t="s">
        <v>808</v>
      </c>
    </row>
    <row r="353" spans="1:3" x14ac:dyDescent="0.2">
      <c r="A353" s="56">
        <f t="shared" si="5"/>
        <v>295</v>
      </c>
      <c r="B353" s="57" t="s">
        <v>3451</v>
      </c>
      <c r="C353" s="58" t="s">
        <v>808</v>
      </c>
    </row>
    <row r="354" spans="1:3" x14ac:dyDescent="0.2">
      <c r="A354" s="56">
        <f t="shared" si="5"/>
        <v>296</v>
      </c>
      <c r="B354" s="57" t="s">
        <v>3452</v>
      </c>
      <c r="C354" s="58" t="s">
        <v>808</v>
      </c>
    </row>
    <row r="355" spans="1:3" x14ac:dyDescent="0.2">
      <c r="A355" s="56">
        <f t="shared" si="5"/>
        <v>297</v>
      </c>
      <c r="B355" s="57" t="s">
        <v>3453</v>
      </c>
      <c r="C355" s="58" t="s">
        <v>808</v>
      </c>
    </row>
    <row r="356" spans="1:3" x14ac:dyDescent="0.2">
      <c r="A356" s="56">
        <f t="shared" si="5"/>
        <v>298</v>
      </c>
      <c r="B356" s="57" t="s">
        <v>3454</v>
      </c>
      <c r="C356" s="58" t="s">
        <v>808</v>
      </c>
    </row>
    <row r="357" spans="1:3" x14ac:dyDescent="0.2">
      <c r="A357" s="56">
        <f t="shared" si="5"/>
        <v>299</v>
      </c>
      <c r="B357" s="57" t="s">
        <v>3455</v>
      </c>
      <c r="C357" s="58" t="s">
        <v>808</v>
      </c>
    </row>
    <row r="358" spans="1:3" x14ac:dyDescent="0.2">
      <c r="A358" s="56">
        <f t="shared" si="5"/>
        <v>300</v>
      </c>
      <c r="B358" s="57" t="s">
        <v>3456</v>
      </c>
      <c r="C358" s="58" t="s">
        <v>808</v>
      </c>
    </row>
    <row r="359" spans="1:3" x14ac:dyDescent="0.2">
      <c r="A359" s="56">
        <f t="shared" si="5"/>
        <v>301</v>
      </c>
      <c r="B359" s="57" t="s">
        <v>3457</v>
      </c>
      <c r="C359" s="58" t="s">
        <v>808</v>
      </c>
    </row>
    <row r="360" spans="1:3" x14ac:dyDescent="0.2">
      <c r="A360" s="56">
        <f t="shared" si="5"/>
        <v>302</v>
      </c>
      <c r="B360" s="57" t="s">
        <v>3458</v>
      </c>
      <c r="C360" s="58" t="s">
        <v>808</v>
      </c>
    </row>
    <row r="361" spans="1:3" x14ac:dyDescent="0.2">
      <c r="A361" s="56">
        <f t="shared" si="5"/>
        <v>303</v>
      </c>
      <c r="B361" s="57" t="s">
        <v>3459</v>
      </c>
      <c r="C361" s="58" t="s">
        <v>808</v>
      </c>
    </row>
    <row r="362" spans="1:3" x14ac:dyDescent="0.2">
      <c r="A362" s="56">
        <f t="shared" si="5"/>
        <v>304</v>
      </c>
      <c r="B362" s="57" t="s">
        <v>3460</v>
      </c>
      <c r="C362" s="58" t="s">
        <v>808</v>
      </c>
    </row>
    <row r="363" spans="1:3" x14ac:dyDescent="0.2">
      <c r="A363" s="56">
        <f t="shared" si="5"/>
        <v>305</v>
      </c>
      <c r="B363" s="57" t="s">
        <v>3461</v>
      </c>
      <c r="C363" s="58" t="s">
        <v>808</v>
      </c>
    </row>
    <row r="364" spans="1:3" x14ac:dyDescent="0.2">
      <c r="A364" s="56">
        <f t="shared" si="5"/>
        <v>306</v>
      </c>
      <c r="B364" s="57" t="s">
        <v>3462</v>
      </c>
      <c r="C364" s="58" t="s">
        <v>808</v>
      </c>
    </row>
    <row r="365" spans="1:3" x14ac:dyDescent="0.2">
      <c r="A365" s="56">
        <f t="shared" si="5"/>
        <v>307</v>
      </c>
      <c r="B365" s="57" t="s">
        <v>3463</v>
      </c>
      <c r="C365" s="58" t="s">
        <v>808</v>
      </c>
    </row>
    <row r="366" spans="1:3" x14ac:dyDescent="0.2">
      <c r="A366" s="56">
        <f t="shared" si="5"/>
        <v>308</v>
      </c>
      <c r="B366" s="57" t="s">
        <v>3464</v>
      </c>
      <c r="C366" s="58" t="s">
        <v>808</v>
      </c>
    </row>
    <row r="367" spans="1:3" x14ac:dyDescent="0.2">
      <c r="A367" s="56">
        <f t="shared" si="5"/>
        <v>309</v>
      </c>
      <c r="B367" s="57" t="s">
        <v>3465</v>
      </c>
      <c r="C367" s="58" t="s">
        <v>808</v>
      </c>
    </row>
    <row r="368" spans="1:3" x14ac:dyDescent="0.2">
      <c r="A368" s="56">
        <f t="shared" si="5"/>
        <v>310</v>
      </c>
      <c r="B368" s="57" t="s">
        <v>3466</v>
      </c>
      <c r="C368" s="58" t="s">
        <v>808</v>
      </c>
    </row>
    <row r="369" spans="1:3" x14ac:dyDescent="0.2">
      <c r="A369" s="56">
        <f t="shared" si="5"/>
        <v>311</v>
      </c>
      <c r="B369" s="57" t="s">
        <v>3467</v>
      </c>
      <c r="C369" s="58" t="s">
        <v>808</v>
      </c>
    </row>
    <row r="370" spans="1:3" x14ac:dyDescent="0.2">
      <c r="A370" s="56">
        <f t="shared" si="5"/>
        <v>312</v>
      </c>
      <c r="B370" s="57" t="s">
        <v>3468</v>
      </c>
      <c r="C370" s="58" t="s">
        <v>808</v>
      </c>
    </row>
    <row r="371" spans="1:3" x14ac:dyDescent="0.2">
      <c r="A371" s="56">
        <f t="shared" si="5"/>
        <v>313</v>
      </c>
      <c r="B371" s="57" t="s">
        <v>3469</v>
      </c>
      <c r="C371" s="58" t="s">
        <v>808</v>
      </c>
    </row>
    <row r="372" spans="1:3" x14ac:dyDescent="0.2">
      <c r="A372" s="56">
        <f t="shared" si="5"/>
        <v>314</v>
      </c>
      <c r="B372" s="57" t="s">
        <v>3470</v>
      </c>
      <c r="C372" s="58" t="s">
        <v>808</v>
      </c>
    </row>
    <row r="373" spans="1:3" x14ac:dyDescent="0.2">
      <c r="A373" s="56">
        <f t="shared" si="5"/>
        <v>315</v>
      </c>
      <c r="B373" s="57" t="s">
        <v>3471</v>
      </c>
      <c r="C373" s="58" t="s">
        <v>808</v>
      </c>
    </row>
    <row r="374" spans="1:3" x14ac:dyDescent="0.2">
      <c r="A374" s="56">
        <f t="shared" si="5"/>
        <v>316</v>
      </c>
      <c r="B374" s="57" t="s">
        <v>3472</v>
      </c>
      <c r="C374" s="58" t="s">
        <v>808</v>
      </c>
    </row>
    <row r="375" spans="1:3" x14ac:dyDescent="0.2">
      <c r="A375" s="56">
        <f t="shared" si="5"/>
        <v>317</v>
      </c>
      <c r="B375" s="57" t="s">
        <v>3473</v>
      </c>
      <c r="C375" s="58" t="s">
        <v>808</v>
      </c>
    </row>
    <row r="376" spans="1:3" x14ac:dyDescent="0.2">
      <c r="A376" s="56">
        <f t="shared" si="5"/>
        <v>318</v>
      </c>
      <c r="B376" s="57" t="s">
        <v>3474</v>
      </c>
      <c r="C376" s="58" t="s">
        <v>808</v>
      </c>
    </row>
    <row r="377" spans="1:3" x14ac:dyDescent="0.2">
      <c r="A377" s="56">
        <f t="shared" si="5"/>
        <v>319</v>
      </c>
      <c r="B377" s="57" t="s">
        <v>3475</v>
      </c>
      <c r="C377" s="58" t="s">
        <v>808</v>
      </c>
    </row>
    <row r="378" spans="1:3" x14ac:dyDescent="0.2">
      <c r="A378" s="56">
        <f t="shared" si="5"/>
        <v>320</v>
      </c>
      <c r="B378" s="57" t="s">
        <v>3476</v>
      </c>
      <c r="C378" s="58" t="s">
        <v>808</v>
      </c>
    </row>
    <row r="379" spans="1:3" x14ac:dyDescent="0.2">
      <c r="A379" s="56">
        <f t="shared" si="5"/>
        <v>321</v>
      </c>
      <c r="B379" s="57" t="s">
        <v>3477</v>
      </c>
      <c r="C379" s="58" t="s">
        <v>808</v>
      </c>
    </row>
    <row r="380" spans="1:3" x14ac:dyDescent="0.2">
      <c r="A380" s="56">
        <f t="shared" ref="A380:A425" si="6">1+A379</f>
        <v>322</v>
      </c>
      <c r="B380" s="57" t="s">
        <v>3478</v>
      </c>
      <c r="C380" s="58" t="s">
        <v>808</v>
      </c>
    </row>
    <row r="381" spans="1:3" x14ac:dyDescent="0.2">
      <c r="A381" s="56">
        <f t="shared" si="6"/>
        <v>323</v>
      </c>
      <c r="B381" s="57" t="s">
        <v>3479</v>
      </c>
      <c r="C381" s="58" t="s">
        <v>808</v>
      </c>
    </row>
    <row r="382" spans="1:3" x14ac:dyDescent="0.2">
      <c r="A382" s="56">
        <f t="shared" si="6"/>
        <v>324</v>
      </c>
      <c r="B382" s="57" t="s">
        <v>3480</v>
      </c>
      <c r="C382" s="58" t="s">
        <v>808</v>
      </c>
    </row>
    <row r="383" spans="1:3" x14ac:dyDescent="0.2">
      <c r="A383" s="56">
        <f t="shared" si="6"/>
        <v>325</v>
      </c>
      <c r="B383" s="57" t="s">
        <v>3481</v>
      </c>
      <c r="C383" s="58" t="s">
        <v>808</v>
      </c>
    </row>
    <row r="384" spans="1:3" x14ac:dyDescent="0.2">
      <c r="A384" s="56">
        <f t="shared" si="6"/>
        <v>326</v>
      </c>
      <c r="B384" s="57" t="s">
        <v>3482</v>
      </c>
      <c r="C384" s="58" t="s">
        <v>808</v>
      </c>
    </row>
    <row r="385" spans="1:3" x14ac:dyDescent="0.2">
      <c r="A385" s="56">
        <f t="shared" si="6"/>
        <v>327</v>
      </c>
      <c r="B385" s="57" t="s">
        <v>3483</v>
      </c>
      <c r="C385" s="58" t="s">
        <v>808</v>
      </c>
    </row>
    <row r="386" spans="1:3" x14ac:dyDescent="0.2">
      <c r="A386" s="56">
        <f t="shared" si="6"/>
        <v>328</v>
      </c>
      <c r="B386" s="57" t="s">
        <v>3484</v>
      </c>
      <c r="C386" s="58" t="s">
        <v>808</v>
      </c>
    </row>
    <row r="387" spans="1:3" x14ac:dyDescent="0.2">
      <c r="A387" s="56">
        <f t="shared" si="6"/>
        <v>329</v>
      </c>
      <c r="B387" s="57" t="s">
        <v>3485</v>
      </c>
      <c r="C387" s="58" t="s">
        <v>808</v>
      </c>
    </row>
    <row r="388" spans="1:3" x14ac:dyDescent="0.2">
      <c r="A388" s="56">
        <f t="shared" si="6"/>
        <v>330</v>
      </c>
      <c r="B388" s="57" t="s">
        <v>3486</v>
      </c>
      <c r="C388" s="58" t="s">
        <v>808</v>
      </c>
    </row>
    <row r="389" spans="1:3" x14ac:dyDescent="0.2">
      <c r="A389" s="56">
        <f t="shared" si="6"/>
        <v>331</v>
      </c>
      <c r="B389" s="57" t="s">
        <v>3487</v>
      </c>
      <c r="C389" s="58" t="s">
        <v>808</v>
      </c>
    </row>
    <row r="390" spans="1:3" x14ac:dyDescent="0.2">
      <c r="A390" s="56">
        <f t="shared" si="6"/>
        <v>332</v>
      </c>
      <c r="B390" s="57" t="s">
        <v>3488</v>
      </c>
      <c r="C390" s="58" t="s">
        <v>808</v>
      </c>
    </row>
    <row r="391" spans="1:3" x14ac:dyDescent="0.2">
      <c r="A391" s="56">
        <f t="shared" si="6"/>
        <v>333</v>
      </c>
      <c r="B391" s="57" t="s">
        <v>3489</v>
      </c>
      <c r="C391" s="58" t="s">
        <v>808</v>
      </c>
    </row>
    <row r="392" spans="1:3" x14ac:dyDescent="0.2">
      <c r="A392" s="56">
        <f t="shared" si="6"/>
        <v>334</v>
      </c>
      <c r="B392" s="57" t="s">
        <v>3490</v>
      </c>
      <c r="C392" s="58" t="s">
        <v>808</v>
      </c>
    </row>
    <row r="393" spans="1:3" x14ac:dyDescent="0.2">
      <c r="A393" s="56">
        <f t="shared" si="6"/>
        <v>335</v>
      </c>
      <c r="B393" s="57" t="s">
        <v>3491</v>
      </c>
      <c r="C393" s="58" t="s">
        <v>808</v>
      </c>
    </row>
    <row r="394" spans="1:3" x14ac:dyDescent="0.2">
      <c r="A394" s="56">
        <f t="shared" si="6"/>
        <v>336</v>
      </c>
      <c r="B394" s="57" t="s">
        <v>3492</v>
      </c>
      <c r="C394" s="58" t="s">
        <v>808</v>
      </c>
    </row>
    <row r="395" spans="1:3" x14ac:dyDescent="0.2">
      <c r="A395" s="56">
        <f t="shared" si="6"/>
        <v>337</v>
      </c>
      <c r="B395" s="57" t="s">
        <v>3493</v>
      </c>
      <c r="C395" s="58" t="s">
        <v>808</v>
      </c>
    </row>
    <row r="396" spans="1:3" x14ac:dyDescent="0.2">
      <c r="A396" s="56">
        <f t="shared" si="6"/>
        <v>338</v>
      </c>
      <c r="B396" s="57" t="s">
        <v>3494</v>
      </c>
      <c r="C396" s="58" t="s">
        <v>808</v>
      </c>
    </row>
    <row r="397" spans="1:3" x14ac:dyDescent="0.2">
      <c r="A397" s="56">
        <f t="shared" si="6"/>
        <v>339</v>
      </c>
      <c r="B397" s="57" t="s">
        <v>3495</v>
      </c>
      <c r="C397" s="58" t="s">
        <v>808</v>
      </c>
    </row>
    <row r="398" spans="1:3" x14ac:dyDescent="0.2">
      <c r="A398" s="56">
        <f t="shared" si="6"/>
        <v>340</v>
      </c>
      <c r="B398" s="57" t="s">
        <v>3496</v>
      </c>
      <c r="C398" s="58" t="s">
        <v>808</v>
      </c>
    </row>
    <row r="399" spans="1:3" x14ac:dyDescent="0.2">
      <c r="A399" s="56">
        <f t="shared" si="6"/>
        <v>341</v>
      </c>
      <c r="B399" s="57" t="s">
        <v>3497</v>
      </c>
      <c r="C399" s="58" t="s">
        <v>808</v>
      </c>
    </row>
    <row r="400" spans="1:3" x14ac:dyDescent="0.2">
      <c r="A400" s="56">
        <f t="shared" si="6"/>
        <v>342</v>
      </c>
      <c r="B400" s="57" t="s">
        <v>3498</v>
      </c>
      <c r="C400" s="58" t="s">
        <v>808</v>
      </c>
    </row>
    <row r="401" spans="1:3" x14ac:dyDescent="0.2">
      <c r="A401" s="56">
        <f t="shared" si="6"/>
        <v>343</v>
      </c>
      <c r="B401" s="57" t="s">
        <v>3499</v>
      </c>
      <c r="C401" s="58" t="s">
        <v>808</v>
      </c>
    </row>
    <row r="402" spans="1:3" x14ac:dyDescent="0.2">
      <c r="A402" s="56">
        <f t="shared" si="6"/>
        <v>344</v>
      </c>
      <c r="B402" s="57" t="s">
        <v>3500</v>
      </c>
      <c r="C402" s="58" t="s">
        <v>808</v>
      </c>
    </row>
    <row r="403" spans="1:3" x14ac:dyDescent="0.2">
      <c r="A403" s="56">
        <f t="shared" si="6"/>
        <v>345</v>
      </c>
      <c r="B403" s="57" t="s">
        <v>3501</v>
      </c>
      <c r="C403" s="58" t="s">
        <v>808</v>
      </c>
    </row>
    <row r="404" spans="1:3" x14ac:dyDescent="0.2">
      <c r="A404" s="56">
        <f t="shared" si="6"/>
        <v>346</v>
      </c>
      <c r="B404" s="57" t="s">
        <v>3502</v>
      </c>
      <c r="C404" s="58" t="s">
        <v>808</v>
      </c>
    </row>
    <row r="405" spans="1:3" x14ac:dyDescent="0.2">
      <c r="A405" s="56">
        <f t="shared" si="6"/>
        <v>347</v>
      </c>
      <c r="B405" s="57" t="s">
        <v>3503</v>
      </c>
      <c r="C405" s="58" t="s">
        <v>808</v>
      </c>
    </row>
    <row r="406" spans="1:3" x14ac:dyDescent="0.2">
      <c r="A406" s="56">
        <f t="shared" si="6"/>
        <v>348</v>
      </c>
      <c r="B406" s="57" t="s">
        <v>3504</v>
      </c>
      <c r="C406" s="58" t="s">
        <v>808</v>
      </c>
    </row>
    <row r="407" spans="1:3" x14ac:dyDescent="0.2">
      <c r="A407" s="56">
        <f t="shared" si="6"/>
        <v>349</v>
      </c>
      <c r="B407" s="57" t="s">
        <v>3505</v>
      </c>
      <c r="C407" s="58" t="s">
        <v>808</v>
      </c>
    </row>
    <row r="408" spans="1:3" x14ac:dyDescent="0.2">
      <c r="A408" s="56">
        <f t="shared" si="6"/>
        <v>350</v>
      </c>
      <c r="B408" s="57" t="s">
        <v>3506</v>
      </c>
      <c r="C408" s="58" t="s">
        <v>808</v>
      </c>
    </row>
    <row r="409" spans="1:3" x14ac:dyDescent="0.2">
      <c r="A409" s="56">
        <f t="shared" si="6"/>
        <v>351</v>
      </c>
      <c r="B409" s="57" t="s">
        <v>3507</v>
      </c>
      <c r="C409" s="58" t="s">
        <v>808</v>
      </c>
    </row>
    <row r="410" spans="1:3" x14ac:dyDescent="0.2">
      <c r="A410" s="56">
        <f t="shared" si="6"/>
        <v>352</v>
      </c>
      <c r="B410" s="57" t="s">
        <v>3508</v>
      </c>
      <c r="C410" s="58" t="s">
        <v>808</v>
      </c>
    </row>
    <row r="411" spans="1:3" x14ac:dyDescent="0.2">
      <c r="A411" s="56">
        <f t="shared" si="6"/>
        <v>353</v>
      </c>
      <c r="B411" s="57" t="s">
        <v>3509</v>
      </c>
      <c r="C411" s="58" t="s">
        <v>808</v>
      </c>
    </row>
    <row r="412" spans="1:3" x14ac:dyDescent="0.2">
      <c r="A412" s="56">
        <f t="shared" si="6"/>
        <v>354</v>
      </c>
      <c r="B412" s="57" t="s">
        <v>3510</v>
      </c>
      <c r="C412" s="58" t="s">
        <v>808</v>
      </c>
    </row>
    <row r="413" spans="1:3" x14ac:dyDescent="0.2">
      <c r="A413" s="56">
        <f t="shared" si="6"/>
        <v>355</v>
      </c>
      <c r="B413" s="57" t="s">
        <v>3511</v>
      </c>
      <c r="C413" s="58" t="s">
        <v>808</v>
      </c>
    </row>
    <row r="414" spans="1:3" x14ac:dyDescent="0.2">
      <c r="A414" s="56">
        <f t="shared" si="6"/>
        <v>356</v>
      </c>
      <c r="B414" s="57" t="s">
        <v>3512</v>
      </c>
      <c r="C414" s="58" t="s">
        <v>808</v>
      </c>
    </row>
    <row r="415" spans="1:3" x14ac:dyDescent="0.2">
      <c r="A415" s="56">
        <f t="shared" si="6"/>
        <v>357</v>
      </c>
      <c r="B415" s="57" t="s">
        <v>3513</v>
      </c>
      <c r="C415" s="58" t="s">
        <v>808</v>
      </c>
    </row>
    <row r="416" spans="1:3" x14ac:dyDescent="0.2">
      <c r="A416" s="56">
        <f t="shared" si="6"/>
        <v>358</v>
      </c>
      <c r="B416" s="57" t="s">
        <v>3514</v>
      </c>
      <c r="C416" s="58" t="s">
        <v>808</v>
      </c>
    </row>
    <row r="417" spans="1:3" x14ac:dyDescent="0.2">
      <c r="A417" s="56">
        <f t="shared" si="6"/>
        <v>359</v>
      </c>
      <c r="B417" s="57" t="s">
        <v>3515</v>
      </c>
      <c r="C417" s="58" t="s">
        <v>808</v>
      </c>
    </row>
    <row r="418" spans="1:3" x14ac:dyDescent="0.2">
      <c r="A418" s="56">
        <f t="shared" si="6"/>
        <v>360</v>
      </c>
      <c r="B418" s="57" t="s">
        <v>3516</v>
      </c>
      <c r="C418" s="58" t="s">
        <v>808</v>
      </c>
    </row>
    <row r="419" spans="1:3" x14ac:dyDescent="0.2">
      <c r="A419" s="56">
        <f t="shared" si="6"/>
        <v>361</v>
      </c>
      <c r="B419" s="57" t="s">
        <v>3517</v>
      </c>
      <c r="C419" s="58" t="s">
        <v>808</v>
      </c>
    </row>
    <row r="420" spans="1:3" x14ac:dyDescent="0.2">
      <c r="A420" s="56">
        <f t="shared" si="6"/>
        <v>362</v>
      </c>
      <c r="B420" s="57" t="s">
        <v>3518</v>
      </c>
      <c r="C420" s="58" t="s">
        <v>808</v>
      </c>
    </row>
    <row r="421" spans="1:3" x14ac:dyDescent="0.2">
      <c r="A421" s="56">
        <f t="shared" si="6"/>
        <v>363</v>
      </c>
      <c r="B421" s="57" t="s">
        <v>3519</v>
      </c>
      <c r="C421" s="58" t="s">
        <v>808</v>
      </c>
    </row>
    <row r="422" spans="1:3" x14ac:dyDescent="0.2">
      <c r="A422" s="56">
        <f t="shared" si="6"/>
        <v>364</v>
      </c>
      <c r="B422" s="57" t="s">
        <v>3520</v>
      </c>
      <c r="C422" s="58" t="s">
        <v>808</v>
      </c>
    </row>
    <row r="423" spans="1:3" x14ac:dyDescent="0.2">
      <c r="A423" s="56">
        <f t="shared" si="6"/>
        <v>365</v>
      </c>
      <c r="B423" s="57" t="s">
        <v>3521</v>
      </c>
      <c r="C423" s="58" t="s">
        <v>808</v>
      </c>
    </row>
    <row r="424" spans="1:3" x14ac:dyDescent="0.2">
      <c r="A424" s="56">
        <f t="shared" si="6"/>
        <v>366</v>
      </c>
      <c r="B424" s="57" t="s">
        <v>3522</v>
      </c>
      <c r="C424" s="58" t="s">
        <v>808</v>
      </c>
    </row>
    <row r="425" spans="1:3" x14ac:dyDescent="0.2">
      <c r="A425" s="56">
        <f t="shared" si="6"/>
        <v>367</v>
      </c>
      <c r="B425" s="55" t="s">
        <v>3550</v>
      </c>
    </row>
    <row r="426" spans="1:3" x14ac:dyDescent="0.2">
      <c r="B426" s="55" t="s">
        <v>3551</v>
      </c>
    </row>
    <row r="427" spans="1:3" x14ac:dyDescent="0.2">
      <c r="B427" s="55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9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9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9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9" t="s">
        <v>60</v>
      </c>
      <c r="D7" s="49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9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9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9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9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9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9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9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9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9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9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9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9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9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9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9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7" t="s">
        <v>3151</v>
      </c>
      <c r="D41" s="47" t="s">
        <v>45</v>
      </c>
      <c r="E41" s="14">
        <f>+[85]Main!$L$2</f>
        <v>204.45</v>
      </c>
      <c r="F41" s="14">
        <f>+[85]Main!$L$4</f>
        <v>46314.58332315</v>
      </c>
      <c r="G41" s="14">
        <f>+[85]Main!$L$6-[85]Main!$L$5</f>
        <v>-1716.0160000000001</v>
      </c>
      <c r="H41" s="14">
        <f>+F41+G41</f>
        <v>44598.567323149997</v>
      </c>
      <c r="I41" s="53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+[87]Main!$I$2</f>
        <v>251.74</v>
      </c>
      <c r="F4" s="14">
        <f>+[87]Main!$I$4</f>
        <v>283312.98862612003</v>
      </c>
      <c r="G4" s="14">
        <f>+[87]Main!$I$6-[87]Main!$I$5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+[88]Main!$J$2</f>
        <v>334.9</v>
      </c>
      <c r="F4" s="14">
        <f>+[88]Main!$J$4</f>
        <v>622169.62413309992</v>
      </c>
      <c r="G4" s="14">
        <f>+[88]Main!$J$6-[88]Main!$J$5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+[89]Main!$I$2</f>
        <v>519.49</v>
      </c>
      <c r="F5" s="14">
        <f>+[89]Main!$I$4</f>
        <v>473623.45178194001</v>
      </c>
      <c r="G5" s="14">
        <f>+[89]Main!$I$6-[89]Main!$I$5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+[90]Main!$J$2</f>
        <v>494.32</v>
      </c>
      <c r="F7" s="14">
        <f>+[90]Main!$J$4</f>
        <v>151607.94399999999</v>
      </c>
      <c r="G7" s="14">
        <f>+[90]Main!$J$6-[90]Main!$J$5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55.6</v>
      </c>
      <c r="F8" s="14">
        <f>+[43]Main!$I$4</f>
        <v>29904.564917200001</v>
      </c>
      <c r="G8" s="14">
        <f>+[43]Main!$I$6-[43]Main!$I$5</f>
        <v>29131</v>
      </c>
      <c r="H8" s="14">
        <f t="shared" si="0"/>
        <v>59035.564917199998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+[91]Main!$I$2</f>
        <v>185.7</v>
      </c>
      <c r="F10" s="14">
        <f>+[91]Main!$I$4</f>
        <v>106522.39852469999</v>
      </c>
      <c r="G10" s="14">
        <f>+[91]Main!$I$6-[91]Main!$I$5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45.76</v>
      </c>
      <c r="F13" s="14">
        <f>+[50]Main!$I$4</f>
        <v>40365.147359679999</v>
      </c>
      <c r="G13" s="14">
        <f>+[50]Main!$I$6-[50]Main!$I$5</f>
        <v>67</v>
      </c>
      <c r="H13" s="14">
        <f t="shared" si="0"/>
        <v>40432.147359679999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+[92]Main!$I$2</f>
        <v>86.25</v>
      </c>
      <c r="F14" s="14">
        <f>+[92]Main!$I$4</f>
        <v>49517.989724999999</v>
      </c>
      <c r="G14" s="14">
        <f>+[92]Main!$I$6-[92]Main!$I$5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+[93]Main!$I$2</f>
        <v>220.4</v>
      </c>
      <c r="F15" s="14">
        <f>+[93]Main!$I$4</f>
        <v>45785.921346000003</v>
      </c>
      <c r="G15" s="14">
        <f>+[93]Main!$I$6-[93]Main!$I$5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+[94]Main!$J$2</f>
        <v>544.77</v>
      </c>
      <c r="F16" s="14">
        <f>+[94]Main!$J$4</f>
        <v>42149.669331149998</v>
      </c>
      <c r="G16" s="14">
        <f>+[94]Main!$J$6-[94]Main!$J$5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+[95]Main!$J$2</f>
        <v>208.42</v>
      </c>
      <c r="F20" s="14">
        <f>+[95]Main!$J$4</f>
        <v>22709.220190600001</v>
      </c>
      <c r="G20" s="14">
        <f>+[95]Main!$J$6-[95]Main!$J$5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+[96]Main!$K$2</f>
        <v>39.04</v>
      </c>
      <c r="F50" s="14">
        <f>+[96]Main!$K$4</f>
        <v>14227.016843519999</v>
      </c>
      <c r="G50" s="14">
        <f>+[96]Main!$K$6-[96]Main!$K$5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+[97]Main!$H$2</f>
        <v>51.9</v>
      </c>
      <c r="F52" s="14">
        <f>+[97]Main!$H$4</f>
        <v>7933.6541597999994</v>
      </c>
      <c r="G52" s="14">
        <f>+[97]Main!$H$6-[97]Main!$H$5</f>
        <v>1242.8240000000001</v>
      </c>
      <c r="H52" s="14">
        <f>+F52+G52</f>
        <v>9176.478159799999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7" t="s">
        <v>3555</v>
      </c>
      <c r="C8" s="67" t="s">
        <v>3556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+[98]Main!$I$2</f>
        <v>38.35</v>
      </c>
      <c r="F14" s="14">
        <f>+[98]Main!$I$4</f>
        <v>9227.8593374500015</v>
      </c>
      <c r="G14" s="14">
        <f>+[98]Main!$I$6-[98]Main!$I$5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5" bestFit="1" customWidth="1"/>
    <col min="2" max="16384" width="9.140625" style="55"/>
  </cols>
  <sheetData>
    <row r="1" spans="1:16" x14ac:dyDescent="0.2">
      <c r="A1" s="13" t="s">
        <v>958</v>
      </c>
    </row>
    <row r="2" spans="1:16" x14ac:dyDescent="0.2">
      <c r="A2" s="64"/>
      <c r="B2" s="64"/>
      <c r="C2" s="64" t="s">
        <v>3159</v>
      </c>
      <c r="D2" s="64"/>
      <c r="E2" s="64" t="s">
        <v>3160</v>
      </c>
      <c r="F2" s="64"/>
      <c r="H2" s="64"/>
      <c r="J2" s="64" t="s">
        <v>3525</v>
      </c>
      <c r="N2" s="64" t="s">
        <v>2597</v>
      </c>
      <c r="O2" s="64"/>
      <c r="P2" s="64" t="s">
        <v>2617</v>
      </c>
    </row>
    <row r="3" spans="1:16" x14ac:dyDescent="0.2">
      <c r="A3" s="64"/>
      <c r="B3" s="64"/>
      <c r="C3" s="13" t="s">
        <v>3158</v>
      </c>
      <c r="D3" s="64"/>
      <c r="E3" s="64" t="s">
        <v>3523</v>
      </c>
      <c r="F3" s="64"/>
      <c r="G3" s="64"/>
      <c r="H3" s="64"/>
      <c r="I3" s="64"/>
      <c r="J3" s="64" t="s">
        <v>3526</v>
      </c>
      <c r="K3" s="64"/>
      <c r="L3" s="64"/>
    </row>
    <row r="4" spans="1:16" x14ac:dyDescent="0.2">
      <c r="A4" s="64"/>
      <c r="B4" s="64"/>
      <c r="C4" s="64"/>
      <c r="D4" s="64"/>
      <c r="E4" s="64" t="s">
        <v>3524</v>
      </c>
      <c r="F4" s="64"/>
      <c r="G4" s="64"/>
      <c r="H4" s="64"/>
      <c r="I4" s="64"/>
      <c r="J4" s="64"/>
      <c r="K4" s="64"/>
      <c r="L4" s="64"/>
    </row>
    <row r="5" spans="1:16" x14ac:dyDescent="0.2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</row>
    <row r="6" spans="1:16" x14ac:dyDescent="0.2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</row>
    <row r="7" spans="1:16" x14ac:dyDescent="0.2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</row>
    <row r="8" spans="1:16" x14ac:dyDescent="0.2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</row>
    <row r="9" spans="1:16" x14ac:dyDescent="0.2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</row>
    <row r="10" spans="1:16" x14ac:dyDescent="0.2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</row>
    <row r="11" spans="1:16" x14ac:dyDescent="0.2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</row>
    <row r="12" spans="1:16" x14ac:dyDescent="0.2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</row>
    <row r="13" spans="1:16" x14ac:dyDescent="0.2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</row>
    <row r="14" spans="1:16" x14ac:dyDescent="0.2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</row>
    <row r="15" spans="1:16" x14ac:dyDescent="0.2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</row>
    <row r="16" spans="1:16" x14ac:dyDescent="0.2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</row>
    <row r="17" spans="1:12" x14ac:dyDescent="0.2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</row>
    <row r="18" spans="1:12" x14ac:dyDescent="0.2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</row>
    <row r="19" spans="1:12" x14ac:dyDescent="0.2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</row>
    <row r="20" spans="1:12" x14ac:dyDescent="0.2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</row>
    <row r="21" spans="1:12" x14ac:dyDescent="0.2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</row>
    <row r="22" spans="1:12" x14ac:dyDescent="0.2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</row>
    <row r="23" spans="1:12" x14ac:dyDescent="0.2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</row>
    <row r="24" spans="1:12" x14ac:dyDescent="0.2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</row>
    <row r="25" spans="1:12" x14ac:dyDescent="0.2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</row>
    <row r="26" spans="1:12" x14ac:dyDescent="0.2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</row>
    <row r="27" spans="1:12" x14ac:dyDescent="0.2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</row>
    <row r="28" spans="1:12" x14ac:dyDescent="0.2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</row>
    <row r="29" spans="1:12" x14ac:dyDescent="0.2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</row>
    <row r="30" spans="1:12" x14ac:dyDescent="0.2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</row>
    <row r="31" spans="1:12" x14ac:dyDescent="0.2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</row>
    <row r="32" spans="1:12" x14ac:dyDescent="0.2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</row>
    <row r="33" spans="1:12" x14ac:dyDescent="0.2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</row>
    <row r="34" spans="1:12" x14ac:dyDescent="0.2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</row>
    <row r="35" spans="1:12" x14ac:dyDescent="0.2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</row>
    <row r="36" spans="1:12" x14ac:dyDescent="0.2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</row>
    <row r="37" spans="1:12" x14ac:dyDescent="0.2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</row>
    <row r="38" spans="1:12" x14ac:dyDescent="0.2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</row>
    <row r="39" spans="1:12" x14ac:dyDescent="0.2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</row>
    <row r="40" spans="1:12" x14ac:dyDescent="0.2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</row>
    <row r="41" spans="1:12" x14ac:dyDescent="0.2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</row>
    <row r="42" spans="1:12" x14ac:dyDescent="0.2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</row>
    <row r="43" spans="1:12" x14ac:dyDescent="0.2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</row>
    <row r="44" spans="1:12" x14ac:dyDescent="0.2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</row>
    <row r="45" spans="1:12" x14ac:dyDescent="0.2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</row>
    <row r="46" spans="1:12" x14ac:dyDescent="0.2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2" x14ac:dyDescent="0.2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2" x14ac:dyDescent="0.2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2" x14ac:dyDescent="0.2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2" x14ac:dyDescent="0.2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</row>
    <row r="51" spans="1:12" x14ac:dyDescent="0.2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</row>
    <row r="52" spans="1:12" x14ac:dyDescent="0.2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</row>
    <row r="53" spans="1:12" x14ac:dyDescent="0.2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</row>
    <row r="54" spans="1:12" x14ac:dyDescent="0.2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</row>
    <row r="55" spans="1:12" x14ac:dyDescent="0.2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</row>
    <row r="56" spans="1:12" x14ac:dyDescent="0.2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2" x14ac:dyDescent="0.2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2" x14ac:dyDescent="0.2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2" x14ac:dyDescent="0.2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2" x14ac:dyDescent="0.2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</row>
    <row r="61" spans="1:12" x14ac:dyDescent="0.2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</row>
    <row r="62" spans="1:12" x14ac:dyDescent="0.2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2" x14ac:dyDescent="0.2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2" x14ac:dyDescent="0.2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2" x14ac:dyDescent="0.2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2" x14ac:dyDescent="0.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</row>
    <row r="67" spans="1:12" x14ac:dyDescent="0.2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</row>
    <row r="68" spans="1:12" x14ac:dyDescent="0.2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</row>
    <row r="69" spans="1:12" x14ac:dyDescent="0.2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</row>
    <row r="70" spans="1:12" x14ac:dyDescent="0.2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</row>
    <row r="71" spans="1:12" x14ac:dyDescent="0.2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</row>
    <row r="72" spans="1:12" x14ac:dyDescent="0.2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</row>
    <row r="73" spans="1:12" x14ac:dyDescent="0.2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</row>
    <row r="74" spans="1:12" x14ac:dyDescent="0.2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</row>
    <row r="75" spans="1:12" x14ac:dyDescent="0.2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</row>
    <row r="76" spans="1:12" x14ac:dyDescent="0.2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</row>
    <row r="77" spans="1:12" x14ac:dyDescent="0.2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</row>
    <row r="78" spans="1:12" x14ac:dyDescent="0.2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</row>
    <row r="79" spans="1:12" x14ac:dyDescent="0.2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</row>
    <row r="80" spans="1:12" x14ac:dyDescent="0.2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</row>
    <row r="81" spans="1:12" x14ac:dyDescent="0.2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</row>
    <row r="82" spans="1:12" x14ac:dyDescent="0.2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</row>
    <row r="83" spans="1:12" x14ac:dyDescent="0.2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</row>
    <row r="84" spans="1:12" x14ac:dyDescent="0.2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</row>
    <row r="85" spans="1:12" x14ac:dyDescent="0.2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</row>
    <row r="86" spans="1:12" x14ac:dyDescent="0.2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</row>
    <row r="87" spans="1:12" x14ac:dyDescent="0.2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</row>
    <row r="88" spans="1:12" x14ac:dyDescent="0.2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</row>
    <row r="89" spans="1:12" x14ac:dyDescent="0.2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</row>
    <row r="90" spans="1:12" x14ac:dyDescent="0.2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</row>
    <row r="91" spans="1:12" x14ac:dyDescent="0.2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</row>
    <row r="92" spans="1:12" x14ac:dyDescent="0.2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</row>
    <row r="93" spans="1:12" x14ac:dyDescent="0.2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</row>
    <row r="94" spans="1:12" x14ac:dyDescent="0.2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</row>
    <row r="95" spans="1:12" x14ac:dyDescent="0.2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</row>
    <row r="96" spans="1:12" x14ac:dyDescent="0.2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</row>
    <row r="97" spans="1:12" x14ac:dyDescent="0.2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</row>
    <row r="98" spans="1:12" x14ac:dyDescent="0.2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</row>
    <row r="99" spans="1:12" x14ac:dyDescent="0.2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</row>
    <row r="100" spans="1:12" x14ac:dyDescent="0.2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</row>
    <row r="101" spans="1:12" x14ac:dyDescent="0.2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</row>
    <row r="102" spans="1:12" x14ac:dyDescent="0.2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</row>
    <row r="103" spans="1:12" x14ac:dyDescent="0.2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</row>
    <row r="104" spans="1:12" x14ac:dyDescent="0.2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</row>
    <row r="105" spans="1:12" x14ac:dyDescent="0.2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</row>
    <row r="106" spans="1:12" x14ac:dyDescent="0.2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</row>
    <row r="107" spans="1:12" x14ac:dyDescent="0.2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</row>
    <row r="108" spans="1:12" x14ac:dyDescent="0.2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</row>
    <row r="109" spans="1:12" x14ac:dyDescent="0.2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</row>
    <row r="110" spans="1:12" x14ac:dyDescent="0.2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</row>
    <row r="111" spans="1:12" x14ac:dyDescent="0.2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</row>
    <row r="112" spans="1:12" x14ac:dyDescent="0.2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</row>
    <row r="113" spans="1:12" x14ac:dyDescent="0.2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</row>
    <row r="114" spans="1:12" x14ac:dyDescent="0.2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</row>
    <row r="115" spans="1:12" x14ac:dyDescent="0.2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</row>
    <row r="116" spans="1:12" x14ac:dyDescent="0.2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</row>
    <row r="117" spans="1:12" x14ac:dyDescent="0.2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</row>
    <row r="118" spans="1:12" x14ac:dyDescent="0.2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5" customWidth="1"/>
    <col min="2" max="2" width="15.28515625" style="55" customWidth="1"/>
    <col min="3" max="16384" width="9.140625" style="55"/>
  </cols>
  <sheetData>
    <row r="2" spans="2:3" x14ac:dyDescent="0.2">
      <c r="B2" s="55" t="s">
        <v>434</v>
      </c>
      <c r="C2" s="55">
        <v>0.03</v>
      </c>
    </row>
    <row r="3" spans="2:3" x14ac:dyDescent="0.2">
      <c r="B3" s="55" t="s">
        <v>435</v>
      </c>
      <c r="C3" s="55">
        <v>0.14000000000000001</v>
      </c>
    </row>
    <row r="4" spans="2:3" x14ac:dyDescent="0.2">
      <c r="B4" s="55" t="s">
        <v>436</v>
      </c>
      <c r="C4" s="55">
        <v>1.02</v>
      </c>
    </row>
    <row r="5" spans="2:3" x14ac:dyDescent="0.2">
      <c r="B5" s="55" t="s">
        <v>437</v>
      </c>
      <c r="C5" s="55">
        <v>6.8000000000000005E-4</v>
      </c>
    </row>
    <row r="6" spans="2:3" x14ac:dyDescent="0.2">
      <c r="B6" s="55" t="s">
        <v>439</v>
      </c>
      <c r="C6" s="55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2026-07-18T10:00:44Z</dcterms:modified>
</cp:coreProperties>
</file>