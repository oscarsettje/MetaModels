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0BA185B6-CA6F-4D43-AA4C-DDB4D64F87EC}" xr6:coauthVersionLast="47" xr6:coauthVersionMax="47" xr10:uidLastSave="{00000000-0000-0000-0000-000000000000}"/>
  <bookViews>
    <workbookView xWindow="225" yWindow="1560" windowWidth="38175" windowHeight="15240" xr2:uid="{99A4F583-0E14-4765-AB16-7E206A98D14D}"/>
  </bookViews>
  <sheets>
    <sheet name="Main" sheetId="1" r:id="rId1"/>
    <sheet name="Semiconductors" sheetId="4" r:id="rId2"/>
    <sheet name="Telecom" sheetId="9" r:id="rId3"/>
    <sheet name="Fintech" sheetId="3" r:id="rId4"/>
    <sheet name="E-Commerce" sheetId="7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02" i="1" l="1"/>
  <c r="A41" i="4"/>
  <c r="A23" i="6"/>
  <c r="G1101" i="1"/>
  <c r="F1101" i="1"/>
  <c r="E1101" i="1"/>
  <c r="A531" i="1"/>
  <c r="G292" i="1"/>
  <c r="F292" i="1"/>
  <c r="E292" i="1"/>
  <c r="G1098" i="1"/>
  <c r="F1098" i="1"/>
  <c r="E1098" i="1"/>
  <c r="G1100" i="1"/>
  <c r="F1100" i="1"/>
  <c r="E1100" i="1"/>
  <c r="H1100" i="1" l="1"/>
  <c r="H1101" i="1"/>
  <c r="H1098" i="1"/>
  <c r="H292" i="1"/>
  <c r="G14" i="6"/>
  <c r="F14" i="6"/>
  <c r="E14" i="6"/>
  <c r="H14" i="6" l="1"/>
  <c r="G18" i="6"/>
  <c r="E18" i="6"/>
  <c r="F18" i="6"/>
  <c r="H18" i="6" l="1"/>
  <c r="G208" i="1" l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0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1" i="1"/>
  <c r="F51" i="1"/>
  <c r="E51" i="1"/>
  <c r="H23" i="3" l="1"/>
  <c r="H92" i="1"/>
  <c r="H133" i="1"/>
  <c r="H6" i="3"/>
  <c r="H9" i="3"/>
  <c r="H77" i="1"/>
  <c r="H16" i="3"/>
  <c r="H51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1" i="1"/>
  <c r="F61" i="1"/>
  <c r="E61" i="1"/>
  <c r="G15" i="3"/>
  <c r="F15" i="3"/>
  <c r="G36" i="1"/>
  <c r="F36" i="1"/>
  <c r="E36" i="1"/>
  <c r="G34" i="1"/>
  <c r="F34" i="1"/>
  <c r="E34" i="1"/>
  <c r="E15" i="3"/>
  <c r="H36" i="1" l="1"/>
  <c r="H67" i="1"/>
  <c r="H34" i="1"/>
  <c r="H20" i="3"/>
  <c r="H15" i="3"/>
  <c r="H61" i="1"/>
  <c r="H50" i="3"/>
  <c r="H52" i="3"/>
  <c r="G59" i="1"/>
  <c r="F59" i="1"/>
  <c r="E59" i="1"/>
  <c r="H59" i="1" l="1"/>
  <c r="G248" i="1" l="1"/>
  <c r="F248" i="1"/>
  <c r="E248" i="1"/>
  <c r="H248" i="1" l="1"/>
  <c r="G55" i="1" l="1"/>
  <c r="F55" i="1"/>
  <c r="E55" i="1"/>
  <c r="G43" i="1"/>
  <c r="F43" i="1"/>
  <c r="E43" i="1"/>
  <c r="G45" i="1"/>
  <c r="F45" i="1"/>
  <c r="E45" i="1"/>
  <c r="G5" i="3"/>
  <c r="F5" i="3"/>
  <c r="E5" i="3"/>
  <c r="G322" i="1"/>
  <c r="F322" i="1"/>
  <c r="E322" i="1"/>
  <c r="G321" i="1"/>
  <c r="F321" i="1"/>
  <c r="E321" i="1"/>
  <c r="H55" i="1" l="1"/>
  <c r="H43" i="1"/>
  <c r="H45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8" i="1"/>
  <c r="F48" i="1"/>
  <c r="E48" i="1"/>
  <c r="G44" i="1"/>
  <c r="F44" i="1"/>
  <c r="E44" i="1"/>
  <c r="G204" i="1"/>
  <c r="F204" i="1"/>
  <c r="E204" i="1"/>
  <c r="G74" i="1"/>
  <c r="F74" i="1"/>
  <c r="E74" i="1"/>
  <c r="G130" i="1"/>
  <c r="F130" i="1"/>
  <c r="E130" i="1"/>
  <c r="G19" i="1"/>
  <c r="E19" i="1"/>
  <c r="F19" i="1"/>
  <c r="G41" i="1"/>
  <c r="F41" i="1"/>
  <c r="E41" i="1"/>
  <c r="H130" i="1" l="1"/>
  <c r="H48" i="1"/>
  <c r="H204" i="1"/>
  <c r="H44" i="1"/>
  <c r="H74" i="1"/>
  <c r="H19" i="1"/>
  <c r="H41" i="1"/>
  <c r="G16" i="1"/>
  <c r="F16" i="1"/>
  <c r="E16" i="1"/>
  <c r="G147" i="1"/>
  <c r="F147" i="1"/>
  <c r="E147" i="1"/>
  <c r="G65" i="1"/>
  <c r="E65" i="1"/>
  <c r="F65" i="1"/>
  <c r="G46" i="1"/>
  <c r="F46" i="1"/>
  <c r="E46" i="1"/>
  <c r="G39" i="1"/>
  <c r="F39" i="1"/>
  <c r="E39" i="1"/>
  <c r="G91" i="1"/>
  <c r="F91" i="1"/>
  <c r="E91" i="1"/>
  <c r="G28" i="1"/>
  <c r="F28" i="1"/>
  <c r="E28" i="1"/>
  <c r="G154" i="1"/>
  <c r="F154" i="1"/>
  <c r="E154" i="1"/>
  <c r="H39" i="1" l="1"/>
  <c r="H46" i="1"/>
  <c r="H91" i="1"/>
  <c r="H16" i="1"/>
  <c r="H147" i="1"/>
  <c r="H65" i="1"/>
  <c r="H28" i="1"/>
  <c r="H154" i="1"/>
  <c r="G155" i="1"/>
  <c r="F155" i="1"/>
  <c r="E155" i="1"/>
  <c r="G88" i="1"/>
  <c r="F88" i="1"/>
  <c r="E88" i="1"/>
  <c r="H155" i="1" l="1"/>
  <c r="H88" i="1"/>
  <c r="G50" i="1"/>
  <c r="F50" i="1"/>
  <c r="E50" i="1"/>
  <c r="G60" i="1"/>
  <c r="F60" i="1"/>
  <c r="H60" i="1" l="1"/>
  <c r="H50" i="1"/>
  <c r="G40" i="1"/>
  <c r="F40" i="1"/>
  <c r="E40" i="1"/>
  <c r="G32" i="1"/>
  <c r="F32" i="1"/>
  <c r="E32" i="1"/>
  <c r="H32" i="1" l="1"/>
  <c r="H40" i="1"/>
  <c r="F25" i="1"/>
  <c r="G26" i="1"/>
  <c r="G25" i="1"/>
  <c r="E25" i="1"/>
  <c r="G17" i="1"/>
  <c r="F17" i="1"/>
  <c r="E17" i="1"/>
  <c r="H25" i="1" l="1"/>
  <c r="G31" i="1"/>
  <c r="F31" i="1"/>
  <c r="E31" i="1"/>
  <c r="G38" i="1"/>
  <c r="F38" i="1"/>
  <c r="E38" i="1"/>
  <c r="G58" i="1"/>
  <c r="F58" i="1"/>
  <c r="E58" i="1"/>
  <c r="G57" i="1"/>
  <c r="F57" i="1"/>
  <c r="E57" i="1"/>
  <c r="G27" i="1"/>
  <c r="F27" i="1"/>
  <c r="E27" i="1"/>
  <c r="F26" i="1"/>
  <c r="H26" i="1" s="1"/>
  <c r="E26" i="1"/>
  <c r="G49" i="1"/>
  <c r="F49" i="1"/>
  <c r="E49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7" i="1"/>
  <c r="H31" i="1"/>
  <c r="H58" i="1"/>
  <c r="H49" i="1"/>
  <c r="H38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6" i="1"/>
  <c r="F56" i="1"/>
  <c r="E56" i="1"/>
  <c r="G18" i="1"/>
  <c r="F18" i="1"/>
  <c r="E18" i="1"/>
  <c r="G47" i="1" l="1"/>
  <c r="F47" i="1"/>
  <c r="E47" i="1"/>
  <c r="G33" i="1" l="1"/>
  <c r="F33" i="1"/>
  <c r="E33" i="1"/>
  <c r="G30" i="1" l="1"/>
  <c r="F30" i="1"/>
  <c r="E30" i="1"/>
  <c r="G29" i="1"/>
  <c r="F29" i="1"/>
  <c r="E29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6" i="1" l="1"/>
  <c r="H33" i="1" l="1"/>
  <c r="H107" i="1"/>
  <c r="H12" i="1"/>
  <c r="H15" i="1"/>
  <c r="H30" i="1" l="1"/>
  <c r="H29" i="1"/>
  <c r="H10" i="1"/>
  <c r="H72" i="1"/>
  <c r="H47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</calcChain>
</file>

<file path=xl/sharedStrings.xml><?xml version="1.0" encoding="utf-8"?>
<sst xmlns="http://schemas.openxmlformats.org/spreadsheetml/2006/main" count="5083" uniqueCount="3157">
  <si>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</si>
  <si>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</si>
  <si>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</si>
  <si>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</si>
  <si>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</si>
  <si>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</si>
  <si>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</si>
  <si>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</si>
  <si>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</si>
  <si>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</si>
  <si>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</si>
  <si>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</si>
  <si>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</si>
  <si>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</si>
  <si>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</si>
  <si>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</si>
  <si>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</si>
  <si>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</si>
  <si>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</si>
  <si>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</si>
  <si>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</si>
  <si>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</si>
  <si>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</si>
  <si>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</si>
  <si>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</si>
  <si>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</si>
  <si>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</si>
  <si>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</si>
  <si>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</si>
  <si>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</si>
  <si>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</si>
  <si>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</si>
  <si>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</si>
  <si>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</si>
  <si>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</si>
  <si>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</si>
  <si>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</si>
  <si>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</si>
  <si>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</si>
  <si>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</si>
  <si>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</si>
  <si>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</si>
  <si>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</si>
  <si>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</si>
  <si>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</si>
  <si>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</si>
  <si>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</si>
  <si>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</si>
  <si>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</si>
  <si>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</si>
  <si>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</si>
  <si>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</si>
  <si>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</si>
  <si>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</si>
  <si>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</si>
  <si>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</si>
  <si>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</si>
  <si>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</si>
  <si>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</si>
  <si>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</si>
  <si>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</si>
  <si>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</si>
  <si>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</si>
  <si>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</si>
  <si>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</si>
  <si>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</si>
  <si>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</si>
  <si>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</si>
  <si>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</si>
  <si>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</si>
  <si>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</si>
  <si>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</si>
  <si>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</si>
  <si>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</si>
  <si>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</si>
  <si>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</si>
  <si>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</si>
  <si>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</si>
  <si>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</si>
  <si>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</si>
  <si>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</si>
  <si>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</si>
  <si>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</si>
  <si>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</si>
  <si>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</si>
  <si>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</si>
  <si>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</si>
  <si>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</si>
  <si>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</si>
  <si>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</si>
  <si>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</si>
  <si>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</si>
  <si>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</si>
  <si>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</si>
  <si>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</si>
  <si>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</si>
  <si>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</si>
  <si>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</si>
  <si>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</si>
  <si>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</si>
  <si>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</si>
  <si>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</si>
  <si>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</si>
  <si>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</si>
  <si>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</si>
  <si>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</si>
  <si>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</si>
  <si>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</si>
  <si>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</si>
  <si>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</si>
  <si>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</si>
  <si>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</si>
  <si>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</si>
  <si>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</si>
  <si>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</si>
  <si>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</si>
  <si>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</si>
  <si>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</si>
  <si>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</si>
  <si>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</si>
  <si>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</si>
  <si>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</si>
  <si>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</si>
  <si>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</si>
  <si>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</si>
  <si>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</si>
  <si>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</si>
  <si>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</si>
  <si>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</si>
  <si>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</si>
  <si>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</si>
  <si>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</si>
  <si>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</si>
  <si>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</si>
  <si>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</si>
  <si>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</si>
  <si>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</si>
  <si>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</si>
  <si>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</si>
  <si>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</si>
  <si>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</si>
  <si>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</si>
  <si>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</si>
  <si>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</si>
  <si>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</si>
  <si>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</si>
  <si>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</si>
  <si>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</si>
  <si>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</si>
  <si>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</si>
  <si>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</si>
  <si>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</si>
  <si>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</si>
  <si>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</si>
  <si>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</si>
  <si>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</si>
  <si>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</si>
  <si>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</si>
  <si>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</si>
  <si>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</si>
  <si>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</si>
  <si>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</si>
  <si>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</si>
  <si>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</si>
  <si>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</si>
  <si>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</si>
  <si>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</si>
  <si>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</si>
  <si>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</si>
  <si>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</si>
  <si>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</si>
  <si>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</si>
  <si>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</si>
  <si>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</si>
  <si>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</si>
  <si>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</si>
  <si>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</si>
  <si>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</si>
  <si>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</si>
  <si>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</si>
  <si>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</si>
  <si>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</si>
  <si>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</si>
  <si>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</si>
  <si>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</si>
  <si>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</si>
  <si>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</si>
  <si>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</si>
  <si>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</si>
  <si>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</si>
  <si>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</si>
  <si>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</si>
  <si>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</si>
  <si>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</si>
  <si>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</si>
  <si>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</si>
  <si>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</si>
  <si>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</si>
  <si>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</si>
  <si>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</si>
  <si>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</si>
  <si>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</si>
  <si>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</si>
  <si>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</si>
  <si>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</si>
  <si>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</si>
  <si>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</si>
  <si>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</si>
  <si>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</si>
  <si>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</si>
  <si>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</si>
  <si>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</si>
  <si>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</si>
  <si>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</si>
  <si>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</si>
  <si>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</si>
  <si>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</si>
  <si>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</si>
  <si>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</si>
  <si>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</si>
  <si>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</si>
  <si>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</si>
  <si>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</si>
  <si>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</si>
  <si>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</si>
  <si>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</si>
  <si>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</si>
  <si>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</si>
  <si>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</si>
  <si>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</si>
  <si>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</si>
  <si>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</si>
  <si>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</si>
  <si>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</si>
  <si>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</si>
  <si>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</si>
  <si>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</si>
  <si>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</si>
  <si>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</si>
  <si>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</si>
  <si>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</si>
  <si>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</si>
  <si>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</si>
  <si>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</si>
  <si>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</si>
  <si>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</si>
  <si>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</si>
  <si>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</si>
  <si>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</si>
  <si>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</si>
  <si>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</si>
  <si>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</si>
  <si>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</si>
  <si>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</si>
  <si>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</si>
  <si>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</si>
  <si>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</si>
  <si>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</si>
  <si>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</si>
  <si>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</si>
  <si>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</si>
  <si>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</si>
  <si>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</si>
  <si>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</si>
  <si>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</si>
  <si>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</si>
  <si>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</si>
  <si>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</si>
  <si>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</si>
  <si>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</si>
  <si>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</si>
  <si>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</si>
  <si>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</si>
  <si>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</si>
  <si>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</si>
  <si>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</si>
  <si>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</si>
  <si>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</si>
  <si>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</si>
  <si>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</si>
  <si>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</si>
  <si>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</si>
  <si>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</si>
  <si>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</si>
  <si>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</si>
  <si>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</si>
  <si>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</si>
  <si>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</si>
  <si>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</si>
  <si>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</si>
  <si>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</si>
  <si>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</si>
  <si>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</si>
  <si>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</si>
  <si>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</si>
  <si>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</si>
  <si>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</si>
  <si>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</si>
  <si>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</si>
  <si>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</si>
  <si>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</si>
  <si>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</si>
  <si>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</si>
  <si>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</si>
  <si>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</si>
  <si>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</si>
  <si>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</si>
  <si>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</si>
  <si>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</si>
  <si>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</si>
  <si>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</si>
  <si>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</si>
  <si>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</si>
  <si>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</si>
  <si>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</si>
  <si>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</si>
  <si>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</si>
  <si>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</si>
  <si>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</si>
  <si>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</si>
  <si>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</si>
  <si>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</si>
  <si>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</si>
  <si>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</si>
  <si>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</si>
  <si>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</si>
  <si>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</si>
  <si>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</si>
  <si>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</si>
  <si>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</si>
  <si>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</si>
  <si>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</si>
  <si>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</si>
  <si>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</si>
  <si>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</si>
  <si>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</si>
  <si>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</si>
  <si>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</si>
  <si>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</si>
  <si>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</si>
  <si>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</si>
  <si>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</si>
  <si>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</si>
  <si>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</si>
  <si>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</si>
  <si>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</si>
  <si>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</si>
  <si>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</si>
  <si>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</si>
  <si>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</si>
  <si>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</si>
  <si>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</si>
  <si>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</si>
  <si>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</si>
  <si>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</si>
  <si>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</si>
  <si>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</si>
  <si>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</si>
  <si>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</si>
  <si>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</si>
  <si>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</si>
  <si>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</si>
  <si>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</si>
  <si>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</si>
  <si>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</si>
  <si>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</si>
  <si>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</si>
  <si>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</si>
  <si>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</si>
  <si>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</si>
  <si>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</si>
  <si>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</si>
  <si>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</si>
  <si>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</si>
  <si>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</si>
  <si>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</si>
  <si>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</si>
  <si>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</si>
  <si>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</si>
  <si>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</si>
  <si>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</si>
  <si>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</si>
  <si>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</si>
  <si>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</si>
  <si>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</si>
  <si>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</si>
  <si>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</si>
  <si>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</si>
  <si>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</si>
  <si>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</si>
  <si>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</si>
  <si>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</si>
  <si>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</si>
  <si>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</si>
  <si>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</si>
  <si>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</si>
  <si>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</si>
  <si>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</si>
  <si>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</si>
  <si>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</si>
  <si>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</si>
  <si>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</si>
  <si>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</si>
  <si>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</si>
  <si>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</si>
  <si>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</si>
  <si>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</si>
  <si>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</si>
  <si>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</si>
  <si>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</si>
  <si>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</si>
  <si>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</si>
  <si>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</si>
  <si>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</si>
  <si>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</si>
  <si>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</si>
  <si>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</si>
  <si>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</si>
  <si>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</si>
  <si>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</si>
  <si>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</si>
  <si>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</si>
  <si>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</si>
  <si>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</si>
  <si>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</si>
  <si>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</si>
  <si>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</si>
  <si>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</si>
  <si>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</si>
  <si>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</si>
  <si>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</si>
  <si>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</si>
  <si>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</si>
  <si>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</si>
  <si>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</si>
  <si>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</si>
  <si>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</si>
  <si>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</si>
  <si>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</si>
  <si>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</si>
  <si>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</si>
  <si>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</si>
  <si>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</si>
  <si>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</si>
  <si>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</si>
  <si>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</si>
  <si>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</si>
  <si>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</si>
  <si>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</si>
  <si>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</si>
  <si>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</si>
  <si>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</si>
  <si>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</si>
  <si>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</si>
  <si>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</si>
  <si>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</si>
  <si>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</si>
  <si>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</si>
  <si>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</si>
  <si>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</si>
  <si>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</si>
  <si>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</si>
  <si>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</si>
  <si>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</si>
  <si>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</si>
  <si>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</si>
  <si>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</si>
  <si>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</si>
  <si>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</si>
  <si>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</si>
  <si>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</si>
  <si>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</si>
  <si>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</si>
  <si>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</si>
  <si>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</si>
  <si>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</si>
  <si>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</si>
  <si>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</si>
  <si>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</si>
  <si>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</si>
  <si>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</si>
  <si>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</si>
  <si>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</si>
  <si>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</si>
  <si>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</si>
  <si>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</si>
  <si>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</si>
  <si>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</si>
  <si>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</si>
  <si>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</si>
  <si>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</si>
  <si>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</si>
  <si>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</si>
  <si>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</si>
  <si>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</si>
  <si>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</si>
  <si>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</si>
  <si>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</si>
  <si>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</si>
  <si>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</si>
  <si>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</si>
  <si>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</si>
  <si>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</si>
  <si>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</si>
  <si>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</si>
  <si>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</si>
  <si>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</si>
  <si>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</si>
  <si>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</si>
  <si>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</si>
  <si>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</si>
  <si>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</si>
  <si>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</si>
  <si>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</si>
  <si>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</si>
  <si>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</si>
  <si>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</si>
  <si>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</si>
  <si>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</si>
  <si>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</si>
  <si>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</si>
  <si>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</si>
  <si>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</si>
  <si>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</si>
  <si>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</si>
  <si>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</si>
  <si>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</si>
  <si>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</si>
  <si>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</si>
  <si>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</si>
  <si>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</si>
  <si>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</si>
  <si>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</si>
  <si>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</si>
  <si>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</si>
  <si>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</si>
  <si>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</si>
  <si>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</si>
  <si>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</si>
  <si>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</si>
  <si>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</si>
  <si>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</si>
  <si>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</si>
  <si>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</si>
  <si>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</si>
  <si>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</si>
  <si>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</si>
  <si>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</si>
  <si>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</si>
  <si>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</si>
  <si>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</si>
  <si>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</si>
  <si>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</si>
  <si>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</si>
  <si>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</si>
  <si>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</si>
  <si>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</si>
  <si>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</si>
  <si>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</si>
  <si>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</si>
  <si>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</si>
  <si>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</si>
  <si>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</si>
  <si>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</si>
  <si>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</si>
  <si>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</si>
  <si>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</si>
  <si>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</si>
  <si>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</si>
  <si>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</si>
  <si>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</si>
  <si>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</si>
  <si>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</si>
  <si>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</si>
  <si>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</si>
  <si>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</si>
  <si>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</si>
  <si>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</si>
  <si>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</si>
  <si>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</si>
  <si>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</si>
  <si>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</si>
  <si>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</si>
  <si>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</si>
  <si>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</si>
  <si>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</si>
  <si>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</si>
  <si>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</si>
  <si>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</si>
  <si>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</si>
  <si>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</si>
  <si>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</si>
  <si>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</si>
  <si>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</si>
  <si>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</si>
  <si>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</si>
  <si>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</si>
  <si>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</si>
  <si>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</si>
  <si>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</si>
  <si>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</si>
  <si>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</si>
  <si>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</si>
  <si>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</si>
  <si>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</si>
  <si>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</si>
  <si>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</si>
  <si>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</si>
  <si>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</si>
  <si>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</si>
  <si>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</si>
  <si>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</si>
  <si>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</si>
  <si>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</si>
  <si>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</si>
  <si>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</si>
  <si>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</si>
  <si>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</si>
  <si>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</si>
  <si>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</si>
  <si>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</si>
  <si>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</si>
  <si>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</si>
  <si>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</si>
  <si>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</si>
  <si>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</si>
  <si>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</si>
  <si>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</si>
  <si>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</si>
  <si>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</si>
  <si>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</si>
  <si>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</si>
  <si>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</si>
  <si>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</si>
  <si>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</si>
  <si>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</si>
  <si>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</si>
  <si>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</si>
  <si>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</si>
  <si>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</si>
  <si>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</si>
  <si>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</si>
  <si>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</si>
  <si>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</si>
  <si>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</si>
  <si>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</si>
  <si>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</si>
  <si>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</si>
  <si>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</si>
  <si>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</si>
  <si>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</si>
  <si>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</si>
  <si>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</si>
  <si>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</si>
  <si>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</si>
  <si>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</si>
  <si>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</si>
  <si>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</si>
  <si>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</si>
  <si>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</si>
  <si>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</si>
  <si>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</si>
  <si>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</si>
  <si>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</si>
  <si>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</si>
  <si>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</si>
  <si>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</si>
  <si>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</si>
  <si>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</si>
  <si>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</si>
  <si>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</si>
  <si>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</si>
  <si>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</si>
  <si>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</si>
  <si>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</si>
  <si>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</si>
  <si>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</si>
  <si>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</si>
  <si>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</si>
  <si>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</si>
  <si>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</si>
  <si>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</si>
  <si>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</si>
  <si>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</si>
  <si>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</si>
  <si>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</si>
  <si>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</si>
  <si>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</si>
  <si>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</si>
  <si>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</si>
  <si>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</si>
  <si>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</si>
  <si>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</si>
  <si>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</si>
  <si>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</si>
  <si>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</si>
  <si>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</si>
  <si>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</si>
  <si>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</si>
  <si>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</si>
  <si>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</si>
  <si>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</si>
  <si>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</si>
  <si>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</si>
  <si>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</si>
  <si>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</si>
  <si>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</si>
  <si>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</si>
  <si>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</si>
  <si>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</si>
  <si>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</si>
  <si>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</si>
  <si>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</si>
  <si>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</si>
  <si>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</si>
  <si>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</si>
  <si>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</si>
  <si>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</si>
  <si>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</si>
  <si>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</si>
  <si>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</si>
  <si>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</si>
  <si>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</si>
  <si>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</si>
  <si>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</si>
  <si>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</si>
  <si>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</si>
  <si>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</si>
  <si>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</si>
  <si>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</si>
  <si>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</si>
  <si>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</si>
  <si>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</si>
  <si>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</si>
  <si>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</si>
  <si>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</si>
  <si>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</si>
  <si>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</si>
  <si>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</si>
  <si>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</si>
  <si>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</si>
  <si>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</si>
  <si>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</si>
  <si>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</si>
  <si>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</si>
  <si>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</si>
  <si>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</si>
  <si>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</si>
  <si>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</si>
  <si>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</si>
  <si>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</si>
  <si>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</si>
  <si>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</si>
  <si>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</si>
  <si>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</si>
  <si>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</si>
  <si>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</si>
  <si>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</si>
  <si>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</si>
  <si>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</si>
  <si>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</si>
  <si>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</si>
  <si>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</si>
  <si>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</si>
  <si>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</si>
  <si>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</si>
  <si>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</si>
  <si>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</si>
  <si>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</si>
  <si>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</si>
  <si>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</si>
  <si>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</si>
  <si>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</si>
  <si>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</si>
  <si>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</si>
  <si>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</si>
  <si>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</si>
  <si>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</si>
  <si>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</si>
  <si>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</si>
  <si>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</si>
  <si>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</si>
  <si>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</si>
  <si>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</si>
  <si>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</si>
  <si>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</si>
  <si>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</si>
  <si>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</si>
  <si>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</si>
  <si>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</si>
  <si>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</si>
  <si>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</si>
  <si>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</si>
  <si>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</si>
  <si>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</si>
  <si>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</si>
  <si>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</si>
  <si>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</si>
  <si>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</si>
  <si>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</si>
  <si>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</si>
  <si>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</si>
  <si>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</si>
  <si>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</si>
  <si>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</si>
  <si>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</si>
  <si>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</si>
  <si>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</si>
  <si>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</si>
  <si>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</si>
  <si>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</si>
  <si>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</si>
  <si>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</si>
  <si>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</si>
  <si>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</si>
  <si>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</si>
  <si>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</si>
  <si>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</si>
  <si>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</si>
  <si>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</si>
  <si>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</si>
  <si>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</si>
  <si>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</si>
  <si>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</si>
  <si>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</si>
  <si>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</si>
  <si>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</si>
  <si>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</si>
  <si>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</si>
  <si>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</si>
  <si>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</si>
  <si>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</si>
  <si>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</si>
  <si>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</si>
  <si>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</si>
  <si>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</si>
  <si>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</si>
  <si>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</si>
  <si>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</si>
  <si>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</si>
  <si>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</si>
  <si>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</si>
  <si>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</si>
  <si>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</si>
  <si>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</si>
  <si>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</si>
  <si>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</si>
  <si>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</si>
  <si>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</si>
  <si>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</si>
  <si>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</si>
  <si>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</si>
  <si>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</si>
  <si>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</si>
  <si>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</si>
  <si>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</si>
  <si>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</si>
  <si>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</si>
  <si>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</si>
  <si>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</si>
  <si>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</si>
  <si>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</si>
  <si>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</si>
  <si>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</si>
  <si>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</si>
  <si>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</si>
  <si>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</si>
  <si>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</si>
  <si>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</si>
  <si>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</si>
  <si>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</si>
  <si>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</si>
  <si>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</si>
  <si>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</si>
  <si>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</si>
  <si>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</si>
  <si>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</si>
  <si>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</si>
  <si>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</si>
  <si>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</si>
  <si>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</si>
  <si>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</si>
  <si>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</si>
  <si>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</si>
  <si>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</si>
  <si>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</si>
  <si>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</si>
  <si>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</si>
  <si>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</si>
  <si>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</si>
  <si>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</si>
  <si>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</si>
  <si>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</si>
  <si>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</si>
  <si>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</si>
  <si>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</si>
  <si>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</si>
  <si>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</si>
  <si>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</si>
  <si>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</si>
  <si>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</si>
  <si>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</si>
  <si>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</si>
  <si>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</si>
  <si>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</si>
  <si>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</si>
  <si>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</si>
  <si>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</si>
  <si>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</si>
  <si>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</si>
  <si>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</si>
  <si>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</si>
  <si>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</si>
  <si>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</si>
  <si>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</si>
  <si>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</si>
  <si>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</si>
  <si>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</si>
  <si>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</si>
  <si>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</si>
  <si>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</si>
  <si>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</si>
  <si>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</si>
  <si>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</si>
  <si>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</si>
  <si>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</si>
  <si>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</si>
  <si>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</si>
  <si>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</si>
  <si>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</si>
  <si>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</si>
  <si>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</si>
  <si>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</si>
  <si>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</si>
  <si>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</si>
  <si>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</si>
  <si>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</si>
  <si>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</si>
  <si>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</si>
  <si>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</si>
  <si>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</si>
  <si>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</si>
  <si>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</si>
  <si>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</si>
  <si>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</si>
  <si>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</si>
  <si>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</si>
  <si>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</si>
  <si>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</si>
  <si>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</si>
  <si>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</si>
  <si>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</si>
  <si>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</si>
  <si>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</si>
  <si>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</si>
  <si>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</si>
  <si>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</si>
  <si>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</si>
  <si>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</si>
  <si>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</si>
  <si>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</si>
  <si>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</si>
  <si>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</si>
  <si>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</si>
  <si>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</si>
  <si>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</si>
  <si>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</si>
  <si>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</si>
  <si>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</si>
  <si>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</si>
  <si>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</si>
  <si>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</si>
  <si>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</si>
  <si>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</si>
  <si>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</si>
  <si>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</si>
  <si>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</si>
  <si>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</si>
  <si>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</si>
  <si>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</si>
  <si>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</si>
  <si>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</si>
  <si>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</si>
  <si>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</si>
  <si>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</si>
  <si>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</si>
  <si>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</si>
  <si>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</si>
  <si>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</si>
  <si>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</si>
  <si>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</si>
  <si>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</si>
  <si>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</si>
  <si>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</si>
  <si>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</si>
  <si>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</si>
  <si>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</si>
  <si>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</si>
  <si>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</si>
  <si>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</si>
  <si>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</si>
  <si>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</si>
  <si>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</si>
  <si>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</si>
  <si>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</si>
  <si>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</si>
  <si>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</si>
  <si>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</si>
  <si>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</si>
  <si>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</si>
  <si>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</si>
  <si>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</si>
  <si>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</si>
  <si>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</si>
  <si>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</si>
  <si>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</si>
  <si>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</si>
  <si>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</si>
  <si>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</si>
  <si>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</si>
  <si>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</si>
  <si>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</si>
  <si>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</si>
  <si>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</si>
  <si>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</si>
  <si>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</si>
  <si>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</si>
  <si>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</si>
  <si>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</si>
  <si>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</si>
  <si>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</si>
  <si>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</si>
  <si>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</si>
  <si>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</si>
  <si>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</si>
  <si>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</si>
  <si>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</si>
  <si>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</si>
  <si>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</si>
  <si>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</si>
  <si>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</si>
  <si>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</si>
  <si>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</si>
  <si>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</si>
  <si>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</si>
  <si>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</si>
  <si>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</si>
  <si>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</si>
  <si>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</si>
  <si>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</si>
  <si>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</si>
  <si>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</si>
  <si>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</si>
  <si>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</si>
  <si>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</si>
  <si>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</si>
  <si>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</si>
  <si>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</si>
  <si>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</si>
  <si>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</si>
  <si>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</si>
  <si>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</si>
  <si>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</si>
  <si>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</si>
  <si>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</si>
  <si>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</si>
  <si>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</si>
  <si>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</si>
  <si>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</si>
  <si>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</si>
  <si>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</si>
  <si>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</si>
  <si>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</si>
  <si>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</si>
  <si>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</si>
  <si>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</si>
  <si>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</si>
  <si>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</si>
  <si>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</si>
  <si>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</si>
  <si>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</si>
  <si>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</si>
  <si>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</si>
  <si>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</si>
  <si>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</si>
  <si>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</si>
  <si>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</si>
  <si>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</si>
  <si>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</si>
  <si>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</si>
  <si>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</si>
  <si>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</si>
  <si>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</si>
  <si>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</si>
  <si>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</si>
  <si>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</si>
  <si>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</si>
  <si>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</si>
  <si>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</si>
  <si>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</si>
  <si>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</si>
  <si>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</si>
  <si>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</si>
  <si>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</si>
  <si>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</si>
  <si>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</si>
  <si>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</si>
  <si>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</si>
  <si>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</si>
  <si>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</si>
  <si>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</si>
  <si>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</si>
  <si>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</si>
  <si>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</si>
  <si>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</si>
  <si>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</si>
  <si>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</si>
  <si>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</si>
  <si>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</si>
  <si>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</si>
  <si>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</si>
  <si>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</si>
  <si>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</si>
  <si>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</si>
  <si>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</si>
  <si>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</si>
  <si>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</si>
  <si>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</si>
  <si>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</si>
  <si>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</si>
  <si>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</si>
  <si>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</si>
  <si>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</si>
  <si>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</si>
  <si>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</si>
  <si>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</si>
  <si>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</si>
  <si>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</si>
  <si>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</si>
  <si>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</si>
  <si>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</si>
  <si>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</si>
  <si>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</si>
  <si>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</si>
  <si>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</si>
  <si>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</si>
  <si>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</si>
  <si>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</si>
  <si>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</si>
  <si>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</si>
  <si>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</si>
  <si>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</si>
  <si>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</si>
  <si>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</si>
  <si>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</si>
  <si>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</si>
  <si>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</si>
  <si>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</si>
  <si>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</si>
  <si>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</si>
  <si>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</si>
  <si>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</si>
  <si>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</si>
  <si>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</si>
  <si>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</si>
  <si>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</si>
  <si>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</si>
  <si>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</si>
  <si>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</si>
  <si>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</si>
  <si>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</si>
  <si>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</si>
  <si>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</si>
  <si>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</si>
  <si>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</si>
  <si>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</si>
  <si>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</si>
  <si>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</si>
  <si>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</si>
  <si>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</si>
  <si>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</si>
  <si>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</si>
  <si>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</si>
  <si>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</si>
  <si>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</si>
  <si>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</si>
  <si>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</si>
  <si>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</si>
  <si>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</si>
  <si>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</si>
  <si>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</si>
  <si>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</si>
  <si>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</si>
  <si>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</si>
  <si>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</si>
  <si>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</si>
  <si>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</si>
  <si>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</si>
  <si>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</si>
  <si>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</si>
  <si>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</si>
  <si>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</si>
  <si>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</si>
  <si>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</si>
  <si>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</si>
  <si>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</si>
  <si>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</si>
  <si>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</si>
  <si>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</si>
  <si>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</si>
  <si>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</si>
  <si>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</si>
  <si>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</si>
  <si>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</si>
  <si>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</si>
  <si>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</si>
  <si>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</si>
  <si>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</si>
  <si>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</si>
  <si>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</si>
  <si>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</si>
  <si>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</si>
  <si>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</si>
  <si>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</si>
  <si>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</si>
  <si>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</si>
  <si>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</si>
  <si>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</si>
  <si>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</si>
  <si>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</si>
  <si>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</si>
  <si>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</si>
  <si>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</si>
  <si>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</si>
  <si>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</si>
  <si>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</si>
  <si>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</si>
  <si>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</si>
  <si>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</si>
  <si>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</si>
  <si>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</si>
  <si>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</si>
  <si>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</si>
  <si>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</si>
  <si>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</si>
  <si>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</si>
  <si>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</si>
  <si>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</si>
  <si>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</si>
  <si>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</si>
  <si>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</si>
  <si>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</si>
  <si>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</si>
  <si>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</si>
  <si>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</si>
  <si>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</si>
  <si>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</si>
  <si>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</si>
  <si>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</si>
  <si>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</si>
  <si>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</si>
  <si>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</si>
  <si>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</si>
  <si>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</si>
  <si>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</si>
  <si>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</si>
  <si>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</si>
  <si>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</si>
  <si>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</si>
  <si>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</si>
  <si>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</si>
  <si>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</si>
  <si>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</si>
  <si>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</si>
  <si>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</si>
  <si>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</si>
  <si>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</si>
  <si>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</si>
  <si>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</si>
  <si>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</si>
  <si>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</si>
  <si>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</si>
  <si>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</si>
  <si>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</si>
  <si>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</si>
  <si>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</si>
  <si>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</si>
  <si>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</si>
  <si>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</si>
  <si>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</si>
  <si>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</si>
  <si>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</si>
  <si>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</si>
  <si>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</si>
  <si>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</si>
  <si>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</si>
  <si>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</si>
  <si>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</si>
  <si>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</si>
  <si>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</si>
  <si>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</si>
  <si>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</si>
  <si>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</si>
  <si>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</si>
  <si>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</si>
  <si>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</si>
  <si>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</si>
  <si>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</si>
  <si>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</si>
  <si>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</si>
  <si>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</si>
  <si>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</si>
  <si>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</si>
  <si>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</si>
  <si>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</si>
  <si>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</si>
  <si>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</si>
  <si>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</si>
  <si>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</si>
  <si>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</si>
  <si>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</si>
  <si>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</si>
  <si>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</si>
  <si>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</si>
  <si>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</si>
  <si>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</si>
  <si>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</si>
  <si>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</si>
  <si>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</si>
  <si>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</si>
  <si>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</si>
  <si>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</si>
  <si>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</si>
  <si>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</si>
  <si>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</si>
  <si>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</si>
  <si>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</si>
  <si>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</si>
  <si>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</si>
  <si>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</si>
  <si>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</si>
  <si>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</si>
  <si>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</si>
  <si>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</si>
  <si>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</si>
  <si>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</si>
  <si>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</si>
  <si>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</si>
  <si>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</si>
  <si>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</si>
  <si>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</si>
  <si>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</si>
  <si>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</si>
  <si>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</si>
  <si>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</si>
  <si>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</si>
  <si>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</si>
  <si>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</si>
  <si>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</si>
  <si>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</si>
  <si>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</si>
  <si>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</si>
  <si>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</si>
  <si>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</si>
  <si>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</si>
  <si>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</si>
  <si>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</si>
  <si>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</si>
  <si>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</si>
  <si>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</si>
  <si>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</si>
  <si>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</si>
  <si>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</si>
  <si>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</si>
  <si>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</si>
  <si>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</si>
  <si>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</si>
  <si>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</si>
  <si>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</si>
  <si>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</si>
  <si>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</si>
  <si>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</si>
  <si>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</si>
  <si>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</si>
  <si>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</si>
  <si>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</si>
  <si>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</si>
  <si>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</si>
  <si>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</si>
  <si>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</si>
  <si>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</si>
  <si>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</si>
  <si>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</si>
  <si>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</si>
  <si>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</si>
  <si>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</si>
  <si>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</si>
  <si>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</si>
  <si>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</si>
  <si>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</si>
  <si>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</si>
  <si>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</si>
  <si>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</si>
  <si>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</si>
  <si>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</si>
  <si>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</si>
  <si>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</si>
  <si>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</si>
  <si>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</si>
  <si>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</si>
  <si>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</si>
  <si>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</si>
  <si>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</si>
  <si>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</si>
  <si>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</si>
  <si>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</si>
  <si>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</si>
  <si>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</si>
  <si>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</si>
  <si>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</si>
  <si>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</si>
  <si>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</si>
  <si>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</si>
  <si>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</si>
  <si>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</si>
  <si>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</si>
  <si>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</si>
  <si>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</si>
  <si>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</si>
  <si>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</si>
  <si>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</si>
  <si>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</si>
  <si>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</si>
  <si>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</si>
  <si>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</si>
  <si>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</si>
  <si>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</si>
  <si>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</si>
  <si>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</si>
  <si>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</si>
  <si>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</si>
  <si>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</si>
  <si>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</si>
  <si>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</si>
  <si>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</si>
  <si>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</si>
  <si>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</si>
  <si>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</si>
  <si>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</si>
  <si>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</si>
  <si>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</si>
  <si>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</si>
  <si>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</si>
  <si>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</si>
  <si>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</si>
  <si>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</si>
  <si>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</si>
  <si>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</si>
  <si>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</si>
  <si>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</si>
  <si>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</si>
  <si>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</si>
  <si>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</si>
  <si>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</si>
  <si>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</si>
  <si>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</si>
  <si>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</si>
  <si>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</si>
  <si>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</si>
  <si>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</si>
  <si>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</si>
  <si>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</si>
  <si>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</si>
  <si>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</si>
  <si>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</si>
  <si>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</si>
  <si>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</si>
  <si>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</si>
  <si>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</si>
  <si>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</si>
  <si>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</si>
  <si>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</si>
  <si>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</si>
  <si>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</si>
  <si>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</si>
  <si>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</si>
  <si>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</si>
  <si>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</si>
  <si>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</si>
  <si>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</si>
  <si>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</si>
  <si>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</si>
  <si>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</si>
  <si>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</si>
  <si>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</si>
  <si>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</si>
  <si>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</si>
  <si>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</si>
  <si>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</si>
  <si>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</si>
  <si>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</si>
  <si>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</si>
  <si>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</si>
  <si>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</si>
  <si>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</si>
  <si>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</si>
  <si>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</si>
  <si>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</si>
  <si>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</si>
  <si>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</si>
  <si>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</si>
  <si>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</si>
  <si>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</si>
  <si>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</si>
  <si>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</si>
  <si>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</si>
  <si>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</si>
  <si>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</si>
  <si>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</si>
  <si>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</si>
  <si>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</si>
  <si>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</si>
  <si>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</si>
  <si>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</si>
  <si>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</si>
  <si>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</si>
  <si>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</si>
  <si>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</si>
  <si>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</si>
  <si>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</si>
  <si>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</si>
  <si>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</si>
  <si>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</si>
  <si>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</si>
  <si>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</si>
  <si>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</si>
  <si>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</si>
  <si>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</si>
  <si>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</si>
  <si>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</si>
  <si>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</si>
  <si>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</si>
  <si>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</si>
  <si>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</si>
  <si>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</si>
  <si>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</si>
  <si>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</si>
  <si>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</si>
  <si>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</si>
  <si>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</si>
  <si>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</si>
  <si>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</si>
  <si>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</si>
  <si>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</si>
  <si>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</si>
  <si>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</si>
  <si>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</si>
  <si>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</si>
  <si>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</si>
  <si>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</si>
  <si>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</si>
  <si>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</si>
  <si>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</si>
  <si>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</si>
  <si>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</si>
  <si>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</si>
  <si>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</si>
  <si>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</si>
  <si>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</si>
  <si>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</si>
  <si>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</si>
  <si>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</si>
  <si>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</si>
  <si>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</si>
  <si>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</si>
  <si>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</si>
  <si>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</si>
  <si>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</si>
  <si>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</si>
  <si>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</si>
  <si>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</si>
  <si>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</si>
  <si>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</si>
  <si>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</si>
  <si>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</si>
  <si>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</si>
  <si>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</si>
  <si>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</si>
  <si>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</si>
  <si>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</si>
  <si>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</si>
  <si>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</si>
  <si>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</si>
  <si>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</si>
  <si>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</si>
  <si>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</si>
  <si>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</si>
  <si>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</si>
  <si>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</si>
  <si>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</si>
  <si>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</si>
  <si>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</si>
  <si>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</si>
  <si>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</si>
  <si>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</si>
  <si>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</si>
  <si>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</si>
  <si>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</si>
  <si>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</si>
  <si>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</si>
  <si>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</si>
  <si>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</si>
  <si>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</si>
  <si>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</si>
  <si>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</si>
  <si>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</si>
  <si>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</si>
  <si>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</si>
  <si>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</si>
  <si>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</si>
  <si>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</si>
  <si>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</si>
  <si>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</si>
  <si>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</si>
  <si>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</si>
  <si>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</si>
  <si>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</si>
  <si>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</si>
  <si>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</si>
  <si>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</si>
  <si>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</si>
  <si>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</si>
  <si>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</si>
  <si>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</si>
  <si>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</si>
  <si>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</si>
  <si>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</si>
  <si>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</si>
  <si>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</si>
  <si>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</si>
  <si>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</si>
  <si>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</si>
  <si>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</si>
  <si>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</si>
  <si>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</si>
  <si>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</si>
  <si>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</si>
  <si>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</si>
  <si>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</si>
  <si>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</si>
  <si>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</si>
  <si>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</si>
  <si>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</si>
  <si>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</si>
  <si>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</si>
  <si>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</si>
  <si>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</si>
  <si>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</si>
  <si>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</si>
  <si>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</si>
  <si>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</si>
  <si>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</si>
  <si>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</si>
  <si>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</si>
  <si>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</si>
  <si>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</si>
  <si>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</si>
  <si>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</si>
  <si>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</si>
  <si>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</si>
  <si>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</si>
  <si>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</si>
  <si>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</si>
  <si>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</si>
  <si>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</si>
  <si>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</si>
  <si>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</si>
  <si>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</si>
  <si>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</si>
  <si>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</si>
  <si>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</si>
  <si>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</si>
  <si>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</si>
  <si>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</si>
  <si>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</si>
  <si>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</si>
  <si>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</si>
  <si>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</si>
  <si>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</si>
  <si>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</si>
  <si>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</si>
  <si>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</si>
  <si>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</si>
  <si>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</si>
  <si>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</si>
  <si>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</si>
  <si>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</si>
  <si>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</si>
  <si>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</si>
  <si>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</si>
  <si>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</si>
  <si>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</si>
  <si>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</si>
  <si>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</si>
  <si>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</si>
  <si>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</si>
  <si>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</si>
  <si>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</si>
  <si>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</si>
  <si>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</si>
  <si>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</si>
  <si>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</si>
  <si>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</si>
  <si>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</si>
  <si>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</si>
  <si>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</si>
  <si>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</si>
  <si>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</si>
  <si>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</si>
  <si>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</si>
  <si>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</si>
  <si>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</si>
  <si>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</si>
  <si>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</si>
  <si>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</si>
  <si>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</si>
  <si>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</si>
  <si>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</si>
  <si>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</si>
  <si>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</si>
  <si>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</si>
  <si>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</si>
  <si>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</si>
  <si>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</si>
  <si>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</si>
  <si>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</si>
  <si>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</si>
  <si>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</si>
  <si>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</si>
  <si>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</si>
  <si>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</si>
  <si>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</si>
  <si>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</si>
  <si>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</si>
  <si>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</si>
  <si>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</si>
  <si>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</si>
  <si>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</si>
  <si>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</si>
  <si>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</si>
  <si>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</si>
  <si>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</si>
  <si>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</si>
  <si>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</si>
  <si>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</si>
  <si>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</si>
  <si>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</si>
  <si>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</si>
  <si>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</si>
  <si>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</si>
  <si>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</si>
  <si>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</si>
  <si>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</si>
  <si>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</si>
  <si>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</si>
  <si>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</si>
  <si>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</si>
  <si>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</si>
  <si>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</si>
  <si>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</si>
  <si>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</si>
  <si>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</si>
  <si>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</si>
  <si>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</si>
  <si>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</si>
  <si>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</si>
  <si>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</si>
  <si>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</si>
  <si>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</si>
  <si>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</si>
  <si>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</si>
  <si>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</si>
  <si>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</si>
  <si>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</si>
  <si>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</si>
  <si>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</si>
  <si>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</si>
  <si>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</si>
  <si>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</si>
  <si>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</si>
  <si>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</si>
  <si>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</si>
  <si>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</si>
  <si>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</si>
  <si>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</si>
  <si>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</si>
  <si>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</si>
  <si>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</si>
  <si>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</si>
  <si>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</si>
  <si>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</si>
  <si>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</si>
  <si>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</si>
  <si>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</si>
  <si>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</si>
  <si>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</si>
  <si>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</si>
  <si>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</si>
  <si>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</si>
  <si>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</si>
  <si>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</si>
  <si>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</si>
  <si>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</si>
  <si>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</si>
  <si>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</si>
  <si>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</si>
  <si>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</si>
  <si>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</si>
  <si>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</si>
  <si>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</si>
  <si>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</si>
  <si>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</si>
  <si>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</si>
  <si>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</si>
  <si>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</si>
  <si>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</si>
  <si>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</si>
  <si>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</si>
  <si>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</si>
  <si>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</si>
  <si>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</si>
  <si>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</si>
  <si>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</si>
  <si>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</si>
  <si>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</si>
  <si>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</si>
  <si>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</si>
  <si>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</si>
  <si>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</si>
  <si>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</si>
  <si>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</si>
  <si>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</si>
  <si>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</si>
  <si>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</si>
  <si>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</si>
  <si>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</si>
  <si>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</si>
  <si>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</si>
  <si>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</si>
  <si>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</si>
  <si>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</si>
  <si>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</si>
  <si>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</si>
  <si>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</si>
  <si>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</si>
  <si>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</si>
  <si>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</si>
  <si>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</si>
  <si>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</si>
  <si>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</si>
  <si>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</si>
  <si>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</si>
  <si>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</si>
  <si>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</si>
  <si>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</si>
  <si>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</si>
  <si>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</si>
  <si>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</si>
  <si>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</si>
  <si>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</si>
  <si>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</si>
  <si>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</si>
  <si>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</si>
  <si>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</si>
  <si>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</si>
  <si>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</si>
  <si>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</si>
  <si>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</si>
  <si>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</si>
  <si>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</si>
  <si>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</si>
  <si>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</si>
  <si>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</si>
  <si>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</si>
  <si>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</si>
  <si>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</si>
  <si>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</si>
  <si>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</si>
  <si>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</si>
  <si>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</si>
  <si>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</si>
  <si>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</si>
  <si>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</si>
  <si>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</si>
  <si>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</si>
  <si>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</si>
  <si>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</si>
  <si>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</si>
  <si>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</si>
  <si>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</si>
  <si>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</si>
  <si>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</si>
  <si>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</si>
  <si>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</si>
  <si>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</si>
  <si>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</si>
  <si>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</si>
  <si>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</si>
  <si>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</si>
  <si>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</si>
  <si>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</si>
  <si>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</si>
  <si>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</si>
  <si>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</si>
  <si>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</si>
  <si>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</si>
  <si>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</si>
  <si>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</si>
  <si>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</si>
  <si>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</si>
  <si>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</si>
  <si>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</si>
  <si>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</si>
  <si>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</si>
  <si>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</si>
  <si>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</si>
  <si>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</si>
  <si>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</si>
  <si>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</si>
  <si>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</si>
  <si>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</si>
  <si>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</si>
  <si>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</si>
  <si>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</si>
  <si>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</si>
  <si>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</si>
  <si>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</si>
  <si>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</si>
  <si>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</si>
  <si>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</si>
  <si>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</si>
  <si>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</si>
  <si>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</si>
  <si>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</si>
  <si>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</si>
  <si>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</si>
  <si>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</si>
  <si>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</si>
  <si>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</si>
  <si>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</si>
  <si>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</si>
  <si>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</si>
  <si>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</si>
  <si>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</si>
  <si>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</si>
  <si>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</si>
  <si>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</si>
  <si>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</si>
  <si>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</si>
  <si>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</si>
  <si>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</si>
  <si>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</si>
  <si>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</si>
  <si>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</si>
  <si>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</si>
  <si>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</si>
  <si>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</si>
  <si>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</si>
  <si>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</si>
  <si>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</si>
  <si>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</si>
  <si>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</si>
  <si>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</si>
  <si>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</si>
  <si>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</si>
  <si>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</si>
  <si>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</si>
  <si>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</si>
  <si>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</si>
  <si>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</si>
  <si>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</si>
  <si>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</si>
  <si>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</si>
  <si>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</si>
  <si>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</si>
  <si>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</si>
  <si>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</si>
  <si>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</si>
  <si>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</si>
  <si>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</si>
  <si>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</si>
  <si>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</si>
  <si>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</si>
  <si>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</si>
  <si>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</si>
  <si>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</si>
  <si>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</si>
  <si>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</si>
  <si>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</si>
  <si>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</si>
  <si>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</si>
  <si>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</si>
  <si>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</si>
  <si>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</si>
  <si>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</si>
  <si>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</si>
  <si>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</si>
  <si>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</si>
  <si>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</si>
  <si>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</si>
  <si>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</si>
  <si>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</si>
  <si>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</si>
  <si>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</si>
  <si>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</si>
  <si>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</si>
  <si>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</si>
  <si>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</si>
  <si>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</si>
  <si>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</si>
  <si>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</si>
  <si>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</si>
  <si>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</si>
  <si>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</si>
  <si>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</si>
  <si>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</si>
  <si>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</si>
  <si>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</si>
  <si>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</si>
  <si>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</si>
  <si>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</si>
  <si>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</si>
  <si>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</si>
  <si>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</si>
  <si>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</si>
  <si>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</si>
  <si>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</si>
  <si>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</si>
  <si>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</si>
  <si>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</si>
  <si>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</si>
  <si>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</si>
  <si>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</si>
  <si>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</si>
  <si>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</si>
  <si>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</si>
  <si>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</si>
  <si>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</si>
  <si>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</si>
  <si>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</si>
  <si>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</si>
  <si>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</si>
  <si>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</si>
  <si>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</si>
  <si>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</si>
  <si>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</si>
  <si>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</si>
  <si>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</si>
  <si>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</si>
  <si>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</si>
  <si>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</si>
  <si>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</si>
  <si>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</si>
  <si>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</si>
  <si>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</si>
  <si>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</si>
  <si>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</si>
  <si>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</si>
  <si>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</si>
  <si>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</si>
  <si>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</si>
  <si>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</si>
  <si>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</si>
  <si>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</si>
  <si>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</si>
  <si>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</si>
  <si>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</si>
  <si>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</si>
  <si>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</si>
  <si>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</si>
  <si>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</si>
  <si>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</si>
  <si>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</si>
  <si>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</si>
  <si>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</si>
  <si>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</si>
  <si>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</si>
  <si>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</si>
  <si>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</si>
  <si>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</si>
  <si>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</si>
  <si>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</si>
  <si>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</si>
  <si>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</si>
  <si>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</si>
  <si>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</si>
  <si>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</si>
  <si>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</si>
  <si>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</si>
  <si>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</si>
  <si>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</si>
  <si>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</si>
  <si>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</si>
  <si>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</si>
  <si>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</si>
  <si>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</si>
  <si>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</si>
  <si>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</si>
  <si>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</si>
  <si>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</si>
  <si>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</si>
  <si>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</si>
  <si>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</si>
  <si>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</si>
  <si>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</si>
  <si>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</si>
  <si>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</si>
  <si>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</si>
  <si>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</si>
  <si>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</si>
  <si>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</si>
  <si>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</si>
  <si>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</si>
  <si>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</si>
  <si>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</si>
  <si>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</si>
  <si>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</si>
  <si>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</si>
  <si>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</si>
  <si>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</si>
  <si>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</si>
  <si>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</si>
  <si>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</si>
  <si>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</si>
  <si>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</si>
  <si>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</si>
  <si>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</si>
  <si>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</si>
  <si>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</si>
  <si>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</si>
  <si>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</si>
  <si>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</si>
  <si>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</si>
  <si>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</si>
  <si>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</si>
  <si>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</si>
  <si>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</si>
  <si>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</si>
  <si>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</si>
  <si>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</si>
  <si>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</si>
  <si>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</si>
  <si>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</si>
  <si>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</si>
  <si>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</si>
  <si>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</si>
  <si>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</si>
  <si>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</si>
  <si>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</si>
  <si>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</si>
  <si>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</si>
  <si>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</si>
  <si>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</si>
  <si>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</si>
  <si>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</si>
  <si>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</si>
  <si>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</si>
  <si>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</si>
  <si>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</si>
  <si>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</si>
  <si>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</si>
  <si>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</si>
  <si>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</si>
  <si>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</si>
  <si>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</si>
  <si>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</si>
  <si>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</si>
  <si>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</si>
  <si>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</si>
  <si>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</si>
  <si>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</si>
  <si>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</si>
  <si>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</si>
  <si>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</si>
  <si>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</si>
  <si>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</si>
  <si>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</si>
  <si>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</si>
  <si>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</si>
  <si>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</si>
  <si>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</si>
  <si>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</si>
  <si>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</si>
  <si>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</si>
  <si>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</si>
  <si>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</si>
  <si>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</si>
  <si>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</si>
  <si>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</si>
  <si>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</si>
  <si>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</si>
  <si>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</si>
  <si>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</si>
  <si>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</si>
  <si>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</si>
  <si>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</si>
  <si>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</si>
  <si>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</si>
  <si>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</si>
  <si>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</si>
  <si>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</si>
  <si>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</si>
  <si>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</si>
  <si>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</si>
  <si>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</si>
  <si>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</si>
  <si>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</si>
  <si>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</si>
  <si>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</si>
  <si>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</si>
  <si>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</si>
  <si>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</si>
  <si>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</si>
  <si>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</si>
  <si>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</si>
  <si>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</si>
  <si>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</si>
  <si>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</si>
  <si>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</si>
  <si>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</si>
  <si>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</si>
  <si>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</si>
  <si>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</si>
  <si>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</si>
  <si>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</si>
  <si>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</si>
  <si>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</si>
  <si>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</si>
  <si>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</si>
  <si>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</si>
  <si>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</si>
  <si>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</si>
  <si>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</si>
  <si>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</si>
  <si>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</si>
  <si>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</si>
  <si>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</si>
  <si>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</si>
  <si>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</si>
  <si>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</si>
  <si>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</si>
  <si>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</si>
  <si>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</si>
  <si>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</si>
  <si>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</si>
  <si>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</si>
  <si>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</si>
  <si>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</si>
  <si>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</si>
  <si>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</si>
  <si>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</si>
  <si>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</si>
  <si>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</si>
  <si>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</si>
  <si>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</si>
  <si>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</si>
  <si>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</si>
  <si>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</si>
  <si>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</si>
  <si>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</si>
  <si>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</si>
  <si>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</si>
  <si>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</si>
  <si>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</si>
  <si>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</si>
  <si>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</si>
  <si>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</si>
  <si>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</si>
  <si>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</si>
  <si>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</si>
  <si>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</si>
  <si>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</si>
  <si>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</si>
  <si>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</si>
  <si>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</si>
  <si>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</si>
  <si>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</si>
  <si>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</si>
  <si>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</si>
  <si>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</si>
  <si>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</si>
  <si>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</si>
  <si>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</si>
  <si>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</si>
  <si>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</si>
  <si>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</si>
  <si>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</si>
  <si>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</si>
  <si>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</si>
  <si>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</si>
  <si>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</si>
  <si>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</si>
  <si>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</si>
  <si>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</si>
  <si>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</si>
  <si>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</si>
  <si>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</si>
  <si>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</si>
  <si>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</si>
  <si>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</si>
  <si>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</si>
  <si>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</si>
  <si>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</si>
  <si>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</si>
  <si>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</si>
  <si>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</si>
  <si>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</si>
  <si>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</si>
  <si>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</si>
  <si>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</si>
  <si>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</si>
  <si>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</si>
  <si>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</si>
  <si>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</si>
  <si>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</si>
  <si>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</si>
  <si>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</si>
  <si>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</si>
  <si>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</si>
  <si>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</si>
  <si>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</si>
  <si>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</si>
  <si>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</si>
  <si>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</si>
  <si>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</si>
  <si>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</si>
  <si>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</si>
  <si>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</si>
  <si>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</si>
  <si>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</si>
  <si>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</si>
  <si>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</si>
  <si>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</si>
  <si>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</si>
  <si>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</si>
  <si>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</si>
  <si>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</si>
  <si>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</si>
  <si>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</si>
  <si>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</si>
  <si>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</si>
  <si>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</si>
  <si>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</si>
  <si>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</si>
  <si>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</si>
  <si>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</si>
  <si>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</si>
  <si>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</si>
  <si>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</si>
  <si>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</si>
  <si>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</si>
  <si>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</si>
  <si>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</si>
  <si>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</si>
  <si>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</si>
  <si>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</si>
  <si>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</si>
  <si>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</si>
  <si>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</si>
  <si>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</si>
  <si>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</si>
  <si>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</si>
  <si>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</si>
  <si>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</si>
  <si>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</si>
  <si>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</si>
  <si>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</si>
  <si>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</si>
  <si>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</si>
  <si>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</si>
  <si>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</si>
  <si>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</si>
  <si>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</si>
  <si>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</si>
  <si>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</si>
  <si>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</si>
  <si>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</si>
  <si>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</si>
  <si>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</si>
  <si>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</si>
  <si>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</si>
  <si>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</si>
  <si>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</si>
  <si>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</si>
  <si>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</si>
  <si>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</si>
  <si>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</si>
  <si>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</si>
  <si>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</si>
  <si>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</si>
  <si>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</si>
  <si>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</si>
  <si>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</si>
  <si>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</si>
  <si>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</si>
  <si>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</si>
  <si>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</si>
  <si>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</si>
  <si>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</si>
  <si>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</si>
  <si>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</si>
  <si>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</si>
  <si>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</si>
  <si>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</si>
  <si>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</si>
  <si>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</si>
  <si>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</si>
  <si>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</si>
  <si>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</si>
  <si>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</si>
  <si>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</si>
  <si>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</si>
  <si>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</si>
  <si>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</si>
  <si>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</si>
  <si>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</si>
  <si>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</si>
  <si>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</si>
  <si>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</si>
  <si>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</si>
  <si>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</si>
  <si>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</si>
  <si>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</si>
  <si>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</si>
  <si>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</si>
  <si>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</si>
  <si>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</si>
  <si>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</si>
  <si>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</si>
  <si>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</si>
  <si>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</si>
  <si>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</si>
  <si>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</si>
  <si>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</si>
  <si>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</si>
  <si>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</si>
  <si>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</si>
  <si>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</si>
  <si>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</si>
  <si>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</si>
  <si>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</si>
  <si>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</si>
  <si>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</si>
  <si>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</si>
  <si>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</si>
  <si>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</si>
  <si>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</si>
  <si>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</si>
  <si>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</si>
  <si>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</si>
  <si>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</si>
  <si>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</si>
  <si>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</si>
  <si>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</si>
  <si>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</si>
  <si>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</si>
  <si>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</si>
  <si>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</si>
  <si>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</si>
  <si>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</si>
  <si>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</si>
  <si>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</si>
  <si>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</si>
  <si>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</si>
  <si>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</si>
  <si>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</si>
  <si>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</si>
  <si>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</si>
  <si>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</si>
  <si>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</si>
  <si>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</si>
  <si>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</si>
  <si>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</si>
  <si>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</si>
  <si>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</si>
  <si>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</si>
  <si>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</si>
  <si>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</si>
  <si>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</si>
  <si>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</si>
  <si>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</si>
  <si>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</si>
  <si>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</si>
  <si>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</si>
  <si>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</si>
  <si>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</si>
  <si>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</si>
  <si>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</si>
  <si>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</si>
  <si>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</si>
  <si>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</si>
  <si>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</si>
  <si>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</si>
  <si>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</si>
  <si>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</si>
  <si>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</si>
  <si>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</si>
  <si>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</si>
  <si>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</si>
  <si>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</si>
  <si>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</si>
  <si>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</si>
  <si>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</si>
  <si>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</si>
  <si>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</si>
  <si>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</si>
  <si>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</si>
  <si>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</si>
  <si>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</si>
  <si>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</si>
  <si>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</si>
  <si>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</si>
  <si>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</si>
  <si>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</si>
  <si>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</si>
  <si>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</si>
  <si>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</si>
  <si>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</si>
  <si>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</si>
  <si>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</si>
  <si>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</si>
  <si>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</si>
  <si>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</si>
  <si>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</si>
  <si>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</si>
  <si>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</si>
  <si>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</si>
  <si>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</si>
  <si>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</si>
  <si>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</si>
  <si>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</si>
  <si>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</si>
  <si>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</si>
  <si>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</si>
  <si>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</si>
  <si>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</si>
  <si>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</si>
  <si>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</si>
  <si>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</si>
  <si>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</si>
  <si>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</si>
  <si>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</si>
  <si>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</si>
  <si>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</si>
  <si>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</si>
  <si>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</si>
  <si>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</si>
  <si>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</si>
  <si>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</si>
  <si>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</si>
  <si>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</si>
  <si>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</si>
  <si>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</si>
  <si>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</si>
  <si>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</si>
  <si>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</si>
  <si>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</si>
  <si>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</si>
  <si>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</si>
  <si>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</si>
  <si>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</si>
  <si>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</si>
  <si>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</si>
  <si>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</si>
  <si>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</si>
  <si>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</si>
  <si>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</si>
  <si>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</si>
  <si>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</si>
  <si>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</si>
  <si>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</si>
  <si>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</si>
  <si>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</si>
  <si>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</si>
  <si>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</si>
  <si>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</si>
  <si>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</si>
  <si>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</si>
  <si>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</si>
  <si>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</si>
  <si>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</si>
  <si>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</si>
  <si>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</si>
  <si>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</si>
  <si>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</si>
  <si>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</si>
  <si>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</si>
  <si>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</si>
  <si>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</si>
  <si>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</si>
  <si>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</si>
  <si>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</si>
  <si>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</si>
  <si>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</si>
  <si>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</si>
  <si>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</si>
  <si>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</si>
  <si>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</si>
  <si>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</si>
  <si>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</si>
  <si>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</si>
  <si>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</si>
  <si>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</si>
  <si>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</si>
  <si>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</si>
  <si>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</si>
  <si>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</si>
  <si>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</si>
  <si>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</si>
  <si>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</si>
  <si>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</si>
  <si>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</si>
  <si>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</si>
  <si>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</si>
  <si>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</si>
  <si>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</si>
  <si>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</si>
  <si>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</si>
  <si>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</si>
  <si>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</si>
  <si>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</si>
  <si>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</si>
  <si>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</si>
  <si>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</si>
  <si>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</si>
  <si>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</si>
  <si>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</si>
  <si>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</si>
  <si>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</si>
  <si>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</si>
  <si>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</si>
  <si>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</si>
  <si>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</si>
  <si>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</si>
  <si>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</si>
  <si>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</si>
  <si>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</si>
  <si>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</si>
  <si>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</si>
  <si>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</si>
  <si>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</si>
  <si>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</si>
  <si>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</si>
  <si>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</si>
  <si>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</si>
  <si>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</si>
  <si>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</si>
  <si>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</si>
  <si>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</si>
  <si>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</si>
  <si>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</si>
  <si>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</si>
  <si>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</si>
  <si>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</si>
  <si>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</si>
  <si>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</si>
  <si>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</si>
  <si>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</si>
  <si>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</si>
  <si>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</si>
  <si>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</si>
  <si>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</si>
  <si>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</si>
  <si>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</si>
  <si>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</si>
  <si>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</si>
  <si>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</si>
  <si>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</si>
  <si>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</si>
  <si>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</si>
  <si>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</si>
  <si>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</si>
  <si>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</si>
  <si>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</si>
  <si>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</si>
  <si>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</si>
  <si>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</si>
  <si>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</si>
  <si>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</si>
  <si>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</si>
  <si>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</si>
  <si>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</si>
  <si>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</si>
  <si>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</si>
  <si>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</si>
  <si>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</si>
  <si>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</si>
  <si>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</si>
  <si>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</si>
  <si>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</si>
  <si>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</si>
  <si>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</si>
  <si>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</si>
  <si>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</si>
  <si>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</si>
  <si>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</si>
  <si>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</si>
  <si>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</si>
  <si>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</si>
  <si>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</si>
  <si>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</si>
  <si>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</si>
  <si>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</si>
  <si>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</si>
  <si>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</si>
  <si>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</si>
  <si>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</si>
  <si>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</si>
  <si>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</si>
  <si>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</si>
  <si>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</si>
  <si>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</si>
  <si>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</si>
  <si>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</si>
  <si>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</si>
  <si>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</si>
  <si>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</si>
  <si>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</si>
  <si>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</si>
  <si>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</si>
  <si>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</si>
  <si>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</si>
  <si>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</si>
  <si>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</si>
  <si>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</si>
  <si>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</si>
  <si>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</si>
  <si>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</si>
  <si>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</si>
  <si>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</si>
  <si>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</si>
  <si>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</si>
  <si>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</si>
  <si>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</si>
  <si>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</si>
  <si>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</si>
  <si>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</si>
  <si>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</si>
  <si>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</si>
  <si>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</si>
  <si>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</si>
  <si>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</si>
  <si>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</si>
  <si>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</si>
  <si>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</si>
  <si>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</si>
  <si>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</si>
  <si>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</si>
  <si>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</si>
  <si>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</si>
  <si>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</si>
  <si>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</si>
  <si>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</si>
  <si>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</si>
  <si>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</si>
  <si>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</si>
  <si>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</si>
  <si>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</si>
  <si>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</si>
  <si>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</si>
  <si>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</si>
  <si>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</si>
  <si>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</si>
  <si>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</si>
  <si>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</si>
  <si>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</si>
  <si>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</si>
  <si>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</si>
  <si>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</si>
  <si>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</si>
  <si>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</si>
  <si>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</si>
  <si>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</si>
  <si>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</si>
  <si>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</si>
  <si>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</si>
  <si>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</si>
  <si>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</si>
  <si>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</si>
  <si>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</si>
  <si>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</si>
  <si>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</si>
  <si>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</si>
  <si>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</si>
  <si>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</si>
  <si>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</si>
  <si>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</si>
  <si>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</si>
  <si>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</si>
  <si>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</si>
  <si>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</si>
  <si>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</si>
  <si>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</si>
  <si>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</si>
  <si>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</si>
  <si>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</si>
  <si>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</si>
  <si>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</si>
  <si>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</si>
  <si>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</si>
  <si>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</si>
  <si>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</si>
  <si>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</si>
  <si>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</si>
  <si>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</si>
  <si>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</si>
  <si>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</si>
  <si>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</si>
  <si>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</si>
  <si>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</si>
  <si>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</si>
  <si>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</si>
  <si>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</si>
  <si>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</si>
  <si>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</si>
  <si>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</si>
  <si>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</si>
  <si>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</si>
  <si>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</si>
  <si>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</si>
  <si>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</si>
  <si>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</si>
  <si>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</si>
  <si>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</si>
  <si>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</si>
  <si>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</si>
  <si>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</si>
  <si>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</si>
  <si>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</si>
  <si>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</si>
  <si>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</si>
  <si>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</si>
  <si>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</si>
  <si>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</si>
  <si>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</si>
  <si>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</si>
  <si>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</si>
  <si>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</si>
  <si>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</si>
  <si>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</si>
  <si>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</si>
  <si>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</si>
  <si>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</si>
  <si>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</si>
  <si>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</si>
  <si>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</si>
  <si>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</si>
  <si>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</si>
  <si>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</si>
  <si>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</si>
  <si>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</si>
  <si>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</si>
  <si>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</si>
  <si>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</si>
  <si>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</si>
  <si>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</si>
  <si>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</si>
  <si>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</si>
  <si>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</si>
  <si>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</si>
  <si>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</si>
  <si>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</si>
  <si>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</si>
  <si>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</si>
  <si>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</si>
  <si>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</si>
  <si>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</si>
  <si>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</si>
  <si>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</si>
  <si>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</si>
  <si>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</si>
  <si>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</si>
  <si>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</si>
  <si>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</si>
  <si>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</si>
  <si>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</si>
  <si>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</si>
  <si>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</si>
  <si>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</si>
  <si>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</si>
  <si>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</si>
  <si>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</si>
  <si>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</si>
  <si>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</si>
  <si>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</si>
  <si>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</si>
  <si>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</si>
  <si>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</si>
  <si>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</si>
  <si>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</si>
  <si>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</si>
  <si>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</si>
  <si>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</si>
  <si>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</si>
  <si>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</si>
  <si>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</si>
  <si>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</si>
  <si>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</si>
  <si>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</si>
  <si>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</si>
  <si>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</si>
  <si>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</si>
  <si>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</si>
  <si>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</si>
  <si>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</si>
  <si>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</si>
  <si>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</si>
  <si>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</si>
  <si>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</si>
  <si>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</si>
  <si>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</si>
  <si>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</si>
  <si>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</si>
  <si>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</si>
  <si>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</si>
  <si>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</si>
  <si>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</si>
  <si>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</si>
  <si>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</si>
  <si>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</si>
  <si>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</si>
  <si>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</si>
  <si>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</si>
  <si>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</si>
  <si>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</si>
  <si>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</si>
  <si>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</si>
  <si>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</si>
  <si>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</si>
  <si>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</si>
  <si>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</si>
  <si>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</si>
  <si>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</si>
  <si>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</si>
  <si>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</si>
  <si>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</si>
  <si>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</si>
  <si>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</si>
  <si>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</si>
  <si>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</si>
  <si>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</si>
  <si>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</si>
  <si>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</si>
  <si>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</si>
  <si>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</si>
  <si>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</si>
  <si>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</si>
  <si>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</si>
  <si>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</si>
  <si>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</si>
  <si>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</si>
  <si>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</si>
  <si>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</si>
  <si>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</si>
  <si>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</si>
  <si>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</si>
  <si>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</si>
  <si>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</si>
  <si>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</si>
  <si>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</si>
  <si>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</si>
  <si>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</si>
  <si>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</si>
  <si>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</si>
  <si>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</si>
  <si>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</si>
  <si>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</si>
  <si>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</si>
  <si>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</si>
  <si>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</si>
  <si>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</si>
  <si>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</si>
  <si>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</si>
  <si>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</si>
  <si>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</si>
  <si>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</si>
  <si>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</si>
  <si>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</si>
  <si>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</si>
  <si>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</si>
  <si>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</si>
  <si>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</si>
  <si>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</si>
  <si>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</si>
  <si>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</si>
  <si>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</si>
  <si>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</si>
  <si>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</si>
  <si>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</si>
  <si>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</si>
  <si>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</si>
  <si>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</si>
  <si>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</si>
  <si>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</si>
  <si>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</si>
  <si>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</si>
  <si>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</si>
  <si>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</si>
  <si>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</si>
  <si>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</si>
  <si>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</si>
  <si>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</si>
  <si>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</si>
  <si>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</si>
  <si>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</si>
  <si>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</si>
  <si>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</si>
  <si>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</si>
  <si>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</si>
  <si>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</si>
  <si>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</si>
  <si>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</si>
  <si>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</si>
  <si>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</si>
  <si>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</si>
  <si>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</si>
  <si>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</si>
  <si>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</si>
  <si>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</si>
  <si>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</si>
  <si>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</si>
  <si>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</si>
  <si>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</si>
  <si>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</si>
  <si>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</si>
  <si>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</si>
  <si>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</si>
  <si>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</si>
  <si>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</si>
  <si>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</si>
  <si>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</si>
  <si>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</si>
  <si>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</si>
  <si>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</si>
  <si>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</si>
  <si>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</si>
  <si>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</si>
  <si>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</si>
  <si>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</si>
  <si>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</si>
  <si>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</si>
  <si>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</si>
  <si>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</si>
  <si>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</si>
  <si>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</si>
  <si>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</si>
  <si>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</si>
  <si>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</si>
  <si>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</si>
  <si>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</si>
  <si>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</si>
  <si>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</si>
  <si>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</si>
  <si>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</si>
  <si>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</si>
  <si>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</si>
  <si>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</si>
  <si>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</si>
  <si>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</si>
  <si>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</si>
  <si>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</si>
  <si>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</si>
  <si>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</si>
  <si>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</si>
  <si>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</si>
  <si>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</si>
  <si>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</si>
  <si>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</si>
  <si>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</si>
  <si>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</si>
  <si>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</si>
  <si>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</si>
  <si>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</si>
  <si>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</si>
  <si>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</si>
  <si>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</si>
  <si>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</si>
  <si>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</si>
  <si>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</si>
  <si>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</si>
  <si>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</si>
  <si>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</si>
  <si>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</si>
  <si>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</si>
  <si>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</si>
  <si>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</si>
  <si>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</si>
  <si>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</si>
  <si>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</si>
  <si>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</si>
  <si>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</si>
  <si>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</si>
  <si>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</si>
  <si>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</si>
  <si>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</si>
  <si>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</si>
  <si>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</si>
  <si>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</si>
  <si>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</si>
  <si>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</si>
  <si>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</si>
  <si>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</si>
  <si>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</si>
  <si>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</si>
  <si>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</si>
  <si>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</si>
  <si>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</si>
  <si>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</si>
  <si>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</si>
  <si>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</si>
  <si>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</si>
  <si>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</si>
  <si>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</si>
  <si>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</si>
  <si>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</si>
  <si>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</si>
  <si>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</si>
  <si>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</si>
  <si>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</si>
  <si>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</si>
  <si>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</si>
  <si>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</si>
  <si>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</si>
  <si>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</si>
  <si>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</si>
  <si>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</si>
  <si>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</si>
  <si>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</si>
  <si>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</si>
  <si>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</si>
  <si>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</si>
  <si>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</si>
  <si>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</si>
  <si>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</si>
  <si>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</si>
  <si>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</si>
  <si>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</si>
  <si>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</si>
  <si>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</si>
  <si>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</si>
  <si>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</si>
  <si>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FQ226</t>
  </si>
  <si>
    <t>Q426</t>
  </si>
  <si>
    <t>CBRS</t>
  </si>
  <si>
    <t>Shares</t>
  </si>
  <si>
    <t>Q326</t>
  </si>
  <si>
    <t>Q226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</si>
</sst>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5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55" fillId="0" borderId="0" applyFill="0" applyBorder="0" applyAlignment="0" applyProtection="0"/>
    <xf numFmtId="0" fontId="38" fillId="0" borderId="0" applyNumberFormat="0" applyFill="0" applyBorder="0" applyAlignment="0" applyProtection="0"/>
    <xf numFmtId="0" fontId="39" fillId="0" borderId="4" applyNumberFormat="0" applyFill="0" applyAlignment="0" applyProtection="0"/>
    <xf numFmtId="0" fontId="40" fillId="0" borderId="5" applyNumberFormat="0" applyFill="0" applyAlignment="0" applyProtection="0"/>
    <xf numFmtId="0" fontId="41" fillId="0" borderId="6" applyNumberFormat="0" applyFill="0" applyAlignment="0" applyProtection="0"/>
    <xf numFmtId="0" fontId="41" fillId="0" borderId="0" applyNumberFormat="0" applyFill="0" applyBorder="0" applyAlignment="0" applyProtection="0"/>
    <xf numFmtId="0" fontId="42" fillId="3" borderId="0" applyNumberFormat="0" applyBorder="0" applyAlignment="0" applyProtection="0"/>
    <xf numFmtId="0" fontId="43" fillId="4" borderId="0" applyNumberFormat="0" applyBorder="0" applyAlignment="0" applyProtection="0"/>
    <xf numFmtId="0" fontId="44" fillId="5" borderId="0" applyNumberFormat="0" applyBorder="0" applyAlignment="0" applyProtection="0"/>
    <xf numFmtId="0" fontId="45" fillId="6" borderId="7" applyNumberFormat="0" applyAlignment="0" applyProtection="0"/>
    <xf numFmtId="0" fontId="46" fillId="7" borderId="8" applyNumberFormat="0" applyAlignment="0" applyProtection="0"/>
    <xf numFmtId="0" fontId="47" fillId="7" borderId="7" applyNumberFormat="0" applyAlignment="0" applyProtection="0"/>
    <xf numFmtId="0" fontId="48" fillId="0" borderId="9" applyNumberFormat="0" applyFill="0" applyAlignment="0" applyProtection="0"/>
    <xf numFmtId="0" fontId="49" fillId="8" borderId="10" applyNumberFormat="0" applyAlignment="0" applyProtection="0"/>
    <xf numFmtId="0" fontId="50" fillId="0" borderId="0" applyNumberFormat="0" applyFill="0" applyBorder="0" applyAlignment="0" applyProtection="0"/>
    <xf numFmtId="0" fontId="37" fillId="9" borderId="11" applyNumberFormat="0" applyFont="0" applyAlignment="0" applyProtection="0"/>
    <xf numFmtId="0" fontId="51" fillId="0" borderId="0" applyNumberFormat="0" applyFill="0" applyBorder="0" applyAlignment="0" applyProtection="0"/>
    <xf numFmtId="0" fontId="33" fillId="0" borderId="12" applyNumberFormat="0" applyFill="0" applyAlignment="0" applyProtection="0"/>
    <xf numFmtId="0" fontId="52" fillId="10" borderId="0" applyNumberFormat="0" applyBorder="0" applyAlignment="0" applyProtection="0"/>
    <xf numFmtId="0" fontId="37" fillId="11" borderId="0" applyNumberFormat="0" applyBorder="0" applyAlignment="0" applyProtection="0"/>
    <xf numFmtId="0" fontId="37" fillId="12" borderId="0" applyNumberFormat="0" applyBorder="0" applyAlignment="0" applyProtection="0"/>
    <xf numFmtId="0" fontId="37" fillId="13" borderId="0" applyNumberFormat="0" applyBorder="0" applyAlignment="0" applyProtection="0"/>
    <xf numFmtId="0" fontId="52" fillId="14" borderId="0" applyNumberFormat="0" applyBorder="0" applyAlignment="0" applyProtection="0"/>
    <xf numFmtId="0" fontId="37" fillId="15" borderId="0" applyNumberFormat="0" applyBorder="0" applyAlignment="0" applyProtection="0"/>
    <xf numFmtId="0" fontId="37" fillId="16" borderId="0" applyNumberFormat="0" applyBorder="0" applyAlignment="0" applyProtection="0"/>
    <xf numFmtId="0" fontId="37" fillId="17" borderId="0" applyNumberFormat="0" applyBorder="0" applyAlignment="0" applyProtection="0"/>
    <xf numFmtId="0" fontId="52" fillId="18" borderId="0" applyNumberFormat="0" applyBorder="0" applyAlignment="0" applyProtection="0"/>
    <xf numFmtId="0" fontId="37" fillId="19" borderId="0" applyNumberFormat="0" applyBorder="0" applyAlignment="0" applyProtection="0"/>
    <xf numFmtId="0" fontId="37" fillId="20" borderId="0" applyNumberFormat="0" applyBorder="0" applyAlignment="0" applyProtection="0"/>
    <xf numFmtId="0" fontId="37" fillId="21" borderId="0" applyNumberFormat="0" applyBorder="0" applyAlignment="0" applyProtection="0"/>
    <xf numFmtId="0" fontId="52" fillId="22" borderId="0" applyNumberFormat="0" applyBorder="0" applyAlignment="0" applyProtection="0"/>
    <xf numFmtId="0" fontId="37" fillId="23" borderId="0" applyNumberFormat="0" applyBorder="0" applyAlignment="0" applyProtection="0"/>
    <xf numFmtId="0" fontId="37" fillId="24" borderId="0" applyNumberFormat="0" applyBorder="0" applyAlignment="0" applyProtection="0"/>
    <xf numFmtId="0" fontId="37" fillId="25" borderId="0" applyNumberFormat="0" applyBorder="0" applyAlignment="0" applyProtection="0"/>
    <xf numFmtId="0" fontId="52" fillId="26" borderId="0" applyNumberFormat="0" applyBorder="0" applyAlignment="0" applyProtection="0"/>
    <xf numFmtId="0" fontId="37" fillId="27" borderId="0" applyNumberFormat="0" applyBorder="0" applyAlignment="0" applyProtection="0"/>
    <xf numFmtId="0" fontId="37" fillId="28" borderId="0" applyNumberFormat="0" applyBorder="0" applyAlignment="0" applyProtection="0"/>
    <xf numFmtId="0" fontId="37" fillId="29" borderId="0" applyNumberFormat="0" applyBorder="0" applyAlignment="0" applyProtection="0"/>
    <xf numFmtId="0" fontId="52" fillId="30" borderId="0" applyNumberFormat="0" applyBorder="0" applyAlignment="0" applyProtection="0"/>
    <xf numFmtId="0" fontId="37" fillId="31" borderId="0" applyNumberFormat="0" applyBorder="0" applyAlignment="0" applyProtection="0"/>
    <xf numFmtId="0" fontId="37" fillId="32" borderId="0" applyNumberFormat="0" applyBorder="0" applyAlignment="0" applyProtection="0"/>
    <xf numFmtId="0" fontId="37" fillId="33" borderId="0" applyNumberFormat="0" applyBorder="0" applyAlignment="0" applyProtection="0"/>
  </cellStyleXfs>
  <cellXfs count="57">
    <xf numFmtId="0" fontId="0" fillId="0" borderId="0" xfId="0"/>
    <xf numFmtId="0" fontId="34" fillId="0" borderId="0" xfId="0" applyFont="1"/>
    <xf numFmtId="0" fontId="35" fillId="0" borderId="0" xfId="0" applyFont="1"/>
    <xf numFmtId="0" fontId="36" fillId="0" borderId="0" xfId="0" applyFont="1"/>
    <xf numFmtId="0" fontId="53" fillId="0" borderId="0" xfId="0" applyFont="1"/>
    <xf numFmtId="0" fontId="32" fillId="0" borderId="0" xfId="0" applyFont="1"/>
    <xf numFmtId="0" fontId="32" fillId="0" borderId="0" xfId="0" applyFont="1" applyAlignment="1">
      <alignment horizontal="right"/>
    </xf>
    <xf numFmtId="0" fontId="54" fillId="0" borderId="0" xfId="0" applyFont="1"/>
    <xf numFmtId="0" fontId="35" fillId="2" borderId="1" xfId="0" applyFont="1" applyFill="1" applyBorder="1" applyAlignment="1">
      <alignment horizontal="center"/>
    </xf>
    <xf numFmtId="0" fontId="35" fillId="2" borderId="2" xfId="0" applyFont="1" applyFill="1" applyBorder="1"/>
    <xf numFmtId="0" fontId="35" fillId="2" borderId="2" xfId="0" applyFont="1" applyFill="1" applyBorder="1" applyAlignment="1">
      <alignment horizontal="center"/>
    </xf>
    <xf numFmtId="0" fontId="35" fillId="2" borderId="2" xfId="0" applyFont="1" applyFill="1" applyBorder="1" applyAlignment="1">
      <alignment horizontal="right"/>
    </xf>
    <xf numFmtId="0" fontId="32" fillId="2" borderId="3" xfId="0" applyFont="1" applyFill="1" applyBorder="1"/>
    <xf numFmtId="0" fontId="32" fillId="0" borderId="0" xfId="0" applyFont="1" applyAlignment="1">
      <alignment horizontal="center"/>
    </xf>
    <xf numFmtId="0" fontId="55" fillId="0" borderId="0" xfId="1"/>
    <xf numFmtId="164" fontId="32" fillId="0" borderId="0" xfId="0" applyNumberFormat="1" applyFont="1"/>
    <xf numFmtId="16" fontId="32" fillId="0" borderId="0" xfId="0" applyNumberFormat="1" applyFont="1"/>
    <xf numFmtId="0" fontId="56" fillId="0" borderId="0" xfId="0" applyFont="1"/>
    <xf numFmtId="0" fontId="32" fillId="0" borderId="0" xfId="0" quotePrefix="1" applyFont="1"/>
    <xf numFmtId="0" fontId="54" fillId="0" borderId="0" xfId="0" applyFont="1" applyAlignment="1">
      <alignment horizontal="right"/>
    </xf>
    <xf numFmtId="0" fontId="32" fillId="2" borderId="2" xfId="0" applyFont="1" applyFill="1" applyBorder="1"/>
    <xf numFmtId="0" fontId="35" fillId="2" borderId="3" xfId="0" applyFont="1" applyFill="1" applyBorder="1"/>
    <xf numFmtId="0" fontId="31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0" fontId="29" fillId="0" borderId="0" xfId="0" applyFont="1" applyAlignment="1">
      <alignment horizontal="right"/>
    </xf>
    <xf numFmtId="0" fontId="28" fillId="0" borderId="0" xfId="0" applyFont="1"/>
    <xf numFmtId="0" fontId="28" fillId="0" borderId="0" xfId="0" applyFont="1" applyAlignment="1">
      <alignment horizontal="right"/>
    </xf>
    <xf numFmtId="0" fontId="27" fillId="0" borderId="0" xfId="0" applyFont="1" applyAlignment="1">
      <alignment horizontal="right"/>
    </xf>
    <xf numFmtId="0" fontId="26" fillId="0" borderId="0" xfId="0" applyFont="1" applyAlignment="1">
      <alignment horizontal="right"/>
    </xf>
    <xf numFmtId="0" fontId="25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164" fontId="23" fillId="0" borderId="0" xfId="0" applyNumberFormat="1" applyFont="1"/>
    <xf numFmtId="0" fontId="22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19" fillId="0" borderId="0" xfId="0" applyFont="1" applyAlignment="1">
      <alignment horizontal="right"/>
    </xf>
    <xf numFmtId="0" fontId="18" fillId="0" borderId="0" xfId="0" applyFont="1"/>
    <xf numFmtId="0" fontId="17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5" fillId="0" borderId="0" xfId="0" applyFont="1"/>
    <xf numFmtId="0" fontId="15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/>
    <xf numFmtId="0" fontId="3" fillId="0" borderId="0" xfId="0" applyFont="1" applyAlignment="1">
      <alignment horizontal="right"/>
    </xf>
    <xf numFmtId="0" fontId="3" fillId="0" borderId="0" xfId="0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07" Type="http://schemas.openxmlformats.org/officeDocument/2006/relationships/sharedStrings" Target="sharedStrings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externalLink" Target="externalLinks/externalLink93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59" Type="http://schemas.openxmlformats.org/officeDocument/2006/relationships/externalLink" Target="externalLinks/externalLink50.xml"/><Relationship Id="rId103" Type="http://schemas.openxmlformats.org/officeDocument/2006/relationships/externalLink" Target="externalLinks/externalLink94.xml"/><Relationship Id="rId108" Type="http://schemas.openxmlformats.org/officeDocument/2006/relationships/calcChain" Target="calcChain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6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externalLink" Target="externalLinks/externalLink9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104" Type="http://schemas.openxmlformats.org/officeDocument/2006/relationships/externalLink" Target="externalLinks/externalLink95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externalLink" Target="externalLinks/externalLink91.xml"/><Relationship Id="rId105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6.xml"/><Relationship Id="rId46" Type="http://schemas.openxmlformats.org/officeDocument/2006/relationships/externalLink" Target="externalLinks/externalLink37.xml"/><Relationship Id="rId67" Type="http://schemas.openxmlformats.org/officeDocument/2006/relationships/externalLink" Target="externalLinks/externalLink58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VDA.xlsx" TargetMode="External"/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APL.xlsx" TargetMode="External"/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G.xlsx" TargetMode="External"/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ZN.xlsx" TargetMode="External"/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ta.xlsx" TargetMode="External"/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VGO.xlsx" TargetMode="External"/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RCL.xlsx" TargetMode="External"/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ML.xlsx" TargetMode="External"/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TR.xlsx" TargetMode="External"/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AP.xlsx" TargetMode="External"/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M.xlsx" TargetMode="External"/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D.xlsx" TargetMode="External"/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BE.xlsx" TargetMode="External"/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SCO.xlsx" TargetMode="External"/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DD.xlsx" TargetMode="External"/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M.xlsx" TargetMode="External"/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QCOM.xlsx" TargetMode="External"/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P.xlsx" TargetMode="External"/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XN.xlsx" TargetMode="External"/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W.xlsx" TargetMode="External"/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U.xlsx" TargetMode="External"/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AT.xlsx" TargetMode="External"/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U.PA.xlsx" TargetMode="External"/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NG.xlsx" TargetMode="External"/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ET.xlsx" TargetMode="External"/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D.xlsx" TargetMode="External"/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P.xlsx" TargetMode="External"/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U.xlsx" TargetMode="External"/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NW.xlsx" TargetMode="External"/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LI.xlsx" TargetMode="External"/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RCX.xlsx" TargetMode="External"/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C.xlsx" TargetMode="External"/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7.TW.xlsx" TargetMode="External"/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LL.xlsx" TargetMode="External"/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NB.xlsx" TargetMode="External"/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PS.xlsx" TargetMode="External"/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NS.xlsx" TargetMode="External"/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RVL.xlsx" TargetMode="External"/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D.xlsx" TargetMode="External"/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CO.xlsx" TargetMode="External"/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NG.xlsx" TargetMode="External"/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PP.xlsx" TargetMode="External"/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OD.xlsx" TargetMode="External"/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TR.xlsx" TargetMode="External"/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IN.xlsx" TargetMode="External"/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XYZ.xlsx" TargetMode="External"/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PQ.xlsx" TargetMode="External"/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T.xlsx" TargetMode="External"/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DT.xlsx" TargetMode="External"/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KIA.HE.xlsx" TargetMode="External"/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E.xlsx" TargetMode="External"/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DS.xlsx" TargetMode="External"/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UOL.xlsx" TargetMode="External"/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R.xlsx" TargetMode="External"/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OR.xlsx" TargetMode="External"/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SY.xlsx" TargetMode="External"/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RND.xlsx" TargetMode="External"/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UM.xlsx" TargetMode="External"/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V.xlsx" TargetMode="External"/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UR.xlsx" TargetMode="External"/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26.HK.xlsx" TargetMode="External"/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US.xlsx" TargetMode="External"/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.xlsx" TargetMode="External"/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.xlsx" TargetMode="External"/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GI.xlsx" TargetMode="External"/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CE.xlsx" TargetMode="External"/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DAQ.xlsx" TargetMode="External"/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CL.xlsx" TargetMode="External"/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CI.xlsx" TargetMode="External"/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KR.xlsx" TargetMode="External"/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HYM.xlsx" TargetMode="External"/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TCH.xlsx" TargetMode="External"/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197.53</v>
          </cell>
        </row>
        <row r="4">
          <cell r="I4">
            <v>4799979</v>
          </cell>
        </row>
        <row r="5">
          <cell r="I5">
            <v>62556</v>
          </cell>
        </row>
        <row r="6">
          <cell r="I6">
            <v>8468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405.1</v>
          </cell>
        </row>
        <row r="4">
          <cell r="H4">
            <v>3009258.8985904003</v>
          </cell>
        </row>
        <row r="5">
          <cell r="H5">
            <v>78272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283.95999999999998</v>
          </cell>
        </row>
        <row r="5">
          <cell r="H5">
            <v>4170621.6097599994</v>
          </cell>
        </row>
        <row r="6">
          <cell r="H6">
            <v>68507</v>
          </cell>
        </row>
        <row r="7">
          <cell r="H7">
            <v>82714</v>
          </cell>
        </row>
      </sheetData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372.9</v>
          </cell>
        </row>
        <row r="4">
          <cell r="I4">
            <v>4518056.3999999994</v>
          </cell>
        </row>
        <row r="5">
          <cell r="I5">
            <v>126840</v>
          </cell>
        </row>
        <row r="6">
          <cell r="I6">
            <v>77501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257.5</v>
          </cell>
        </row>
        <row r="5">
          <cell r="I5">
            <v>2769955.6797700003</v>
          </cell>
        </row>
        <row r="6">
          <cell r="I6">
            <v>143089</v>
          </cell>
        </row>
        <row r="7">
          <cell r="I7">
            <v>119074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606.92999999999995</v>
          </cell>
        </row>
        <row r="4">
          <cell r="I4">
            <v>1540645.2558967199</v>
          </cell>
        </row>
        <row r="5">
          <cell r="I5">
            <v>81180</v>
          </cell>
        </row>
        <row r="6">
          <cell r="I6">
            <v>58748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373.72</v>
          </cell>
        </row>
        <row r="4">
          <cell r="K4">
            <v>1403589.1250701202</v>
          </cell>
        </row>
        <row r="5">
          <cell r="K5">
            <v>44743</v>
          </cell>
        </row>
        <row r="6">
          <cell r="K6">
            <v>9229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323.43</v>
          </cell>
        </row>
        <row r="5">
          <cell r="G5">
            <v>1531333.73075112</v>
          </cell>
        </row>
        <row r="6">
          <cell r="G6">
            <v>14174</v>
          </cell>
        </row>
        <row r="7">
          <cell r="G7">
            <v>66057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188.13</v>
          </cell>
        </row>
        <row r="5">
          <cell r="H5">
            <v>540521.94689999998</v>
          </cell>
        </row>
        <row r="6">
          <cell r="H6">
            <v>19766</v>
          </cell>
        </row>
        <row r="7">
          <cell r="H7">
            <v>108075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2030</v>
          </cell>
        </row>
        <row r="4">
          <cell r="H4">
            <v>52639930</v>
          </cell>
        </row>
        <row r="5">
          <cell r="H5">
            <v>3383601</v>
          </cell>
        </row>
        <row r="6">
          <cell r="H6">
            <v>1016268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5158916.1000000006</v>
          </cell>
        </row>
        <row r="6">
          <cell r="G6">
            <v>386128</v>
          </cell>
        </row>
        <row r="7">
          <cell r="G7">
            <v>252889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1250.8</v>
          </cell>
        </row>
        <row r="4">
          <cell r="H4">
            <v>482058.31999999995</v>
          </cell>
        </row>
        <row r="5">
          <cell r="H5">
            <v>8376.2999999999993</v>
          </cell>
        </row>
        <row r="6">
          <cell r="H6">
            <v>2705.6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97.5</v>
          </cell>
        </row>
        <row r="5">
          <cell r="I5">
            <v>411721.73250000004</v>
          </cell>
        </row>
        <row r="6">
          <cell r="I6">
            <v>12288.45</v>
          </cell>
        </row>
        <row r="7">
          <cell r="I7">
            <v>14360.516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156.4</v>
          </cell>
        </row>
        <row r="5">
          <cell r="G5">
            <v>373900.89920039999</v>
          </cell>
        </row>
        <row r="6">
          <cell r="G6">
            <v>7177.0430000000006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177</v>
          </cell>
        </row>
        <row r="5">
          <cell r="J5">
            <v>3089676.6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196.4</v>
          </cell>
        </row>
        <row r="4">
          <cell r="K4">
            <v>320212.68956520001</v>
          </cell>
        </row>
        <row r="5">
          <cell r="K5">
            <v>7243</v>
          </cell>
        </row>
        <row r="6">
          <cell r="K6">
            <v>3220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122.04</v>
          </cell>
        </row>
        <row r="4">
          <cell r="I4">
            <v>159153.75196092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75.69</v>
          </cell>
        </row>
        <row r="4">
          <cell r="H4">
            <v>155778.79875327001</v>
          </cell>
        </row>
        <row r="5">
          <cell r="H5">
            <v>7633</v>
          </cell>
        </row>
        <row r="6">
          <cell r="H6">
            <v>10521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133.80000000000001</v>
          </cell>
        </row>
        <row r="4">
          <cell r="I4">
            <v>168492.342366</v>
          </cell>
        </row>
        <row r="5">
          <cell r="I5">
            <v>10106.200000000001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62.5</v>
          </cell>
        </row>
        <row r="4">
          <cell r="I4">
            <v>33615.742937499999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</sheetNames>
    <sheetDataSet>
      <sheetData sheetId="0">
        <row r="2">
          <cell r="K2">
            <v>82.72</v>
          </cell>
        </row>
        <row r="4">
          <cell r="K4">
            <v>85340</v>
          </cell>
        </row>
        <row r="5">
          <cell r="K5">
            <v>32789</v>
          </cell>
        </row>
        <row r="6">
          <cell r="K6">
            <v>45031</v>
          </cell>
        </row>
      </sheetData>
      <sheetData sheetId="1"/>
      <sheetData sheetId="2"/>
      <sheetData sheetId="3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42</v>
          </cell>
        </row>
        <row r="4">
          <cell r="I4">
            <v>39102</v>
          </cell>
        </row>
        <row r="5">
          <cell r="I5">
            <v>10422</v>
          </cell>
        </row>
        <row r="6">
          <cell r="I6">
            <v>9987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84.016999999999996</v>
          </cell>
        </row>
        <row r="4">
          <cell r="H4">
            <v>37639.615999999995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8.2100000000000009</v>
          </cell>
        </row>
        <row r="4">
          <cell r="I4">
            <v>14115.934196310003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34.51</v>
          </cell>
        </row>
        <row r="4">
          <cell r="H4">
            <v>5275.3449914199991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87" Type="http://schemas.openxmlformats.org/officeDocument/2006/relationships/hyperlink" Target="..\Models\CBRS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13" Type="http://schemas.openxmlformats.org/officeDocument/2006/relationships/hyperlink" Target="..\Models\CBRS.xlsx" TargetMode="External"/><Relationship Id="rId3" Type="http://schemas.openxmlformats.org/officeDocument/2006/relationships/hyperlink" Target="..\Models\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..\Models\ASML.xlsx" TargetMode="External"/><Relationship Id="rId2" Type="http://schemas.openxmlformats.org/officeDocument/2006/relationships/hyperlink" Target="..\Models\TXN.xlsx" TargetMode="External"/><Relationship Id="rId1" Type="http://schemas.openxmlformats.org/officeDocument/2006/relationships/hyperlink" Target="..\Models\NVDA.xlsx" TargetMode="External"/><Relationship Id="rId6" Type="http://schemas.openxmlformats.org/officeDocument/2006/relationships/hyperlink" Target="..\Models\AVGO.xlsx" TargetMode="External"/><Relationship Id="rId11" Type="http://schemas.openxmlformats.org/officeDocument/2006/relationships/hyperlink" Target="..\Models\QCOM.xlsx" TargetMode="External"/><Relationship Id="rId5" Type="http://schemas.openxmlformats.org/officeDocument/2006/relationships/hyperlink" Target="..\Models\TSM.xlsx" TargetMode="External"/><Relationship Id="rId15" Type="http://schemas.openxmlformats.org/officeDocument/2006/relationships/hyperlink" Target="..\Models\AMAT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..\Models\AMD.xlsx" TargetMode="External"/><Relationship Id="rId9" Type="http://schemas.openxmlformats.org/officeDocument/2006/relationships/hyperlink" Target="ENPH.xlsx" TargetMode="External"/><Relationship Id="rId14" Type="http://schemas.openxmlformats.org/officeDocument/2006/relationships/hyperlink" Target="..\Models\005930.KS.xlsx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8"/>
  <sheetViews>
    <sheetView tabSelected="1"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J9" sqref="J9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2580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197.53</v>
      </c>
      <c r="F4" s="15">
        <f>+[1]Main!$I$4</f>
        <v>4799979</v>
      </c>
      <c r="G4" s="15">
        <f>+[1]Main!$I$6-[1]Main!$I$5</f>
        <v>-54088</v>
      </c>
      <c r="H4" s="15">
        <f>F4+G4</f>
        <v>4745891</v>
      </c>
      <c r="I4" s="45" t="s">
        <v>3152</v>
      </c>
      <c r="J4" s="16">
        <v>46168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405.1</v>
      </c>
      <c r="F5" s="15">
        <f>+[2]Main!$H$4</f>
        <v>3009258.8985904003</v>
      </c>
      <c r="G5" s="15">
        <f>+[2]Main!$H$6-[2]Main!$H$5</f>
        <v>-38010</v>
      </c>
      <c r="H5" s="15">
        <f>F5+G5</f>
        <v>2971248.8985904003</v>
      </c>
      <c r="I5" s="55" t="s">
        <v>3155</v>
      </c>
      <c r="J5" s="16"/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283.95999999999998</v>
      </c>
      <c r="F6" s="15">
        <f>+[3]Main!$H$5</f>
        <v>4170621.6097599994</v>
      </c>
      <c r="G6" s="15">
        <f>+[3]Main!$H$6-[3]Main!$H$7</f>
        <v>-14207</v>
      </c>
      <c r="H6" s="15">
        <f t="shared" ref="H6:H14" si="0">F6+G6</f>
        <v>4156414.6097599994</v>
      </c>
      <c r="I6" s="56" t="s">
        <v>3156</v>
      </c>
      <c r="J6" s="16"/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372.9</v>
      </c>
      <c r="F7" s="15">
        <f>+[4]Main!$I$4</f>
        <v>4518056.3999999994</v>
      </c>
      <c r="G7" s="15">
        <f>+[4]Main!$I$6-[4]Main!$I$5</f>
        <v>-49339</v>
      </c>
      <c r="H7" s="15">
        <f t="shared" si="0"/>
        <v>4468717.3999999994</v>
      </c>
      <c r="I7" s="55" t="s">
        <v>3144</v>
      </c>
      <c r="J7" s="16"/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257.5</v>
      </c>
      <c r="F8" s="15">
        <f>+[5]Main!$I$5</f>
        <v>2769955.6797700003</v>
      </c>
      <c r="G8" s="15">
        <f>+[5]Main!$I$7-[5]Main!$I$6</f>
        <v>-24015</v>
      </c>
      <c r="H8" s="15">
        <f t="shared" si="0"/>
        <v>2745940.6797700003</v>
      </c>
      <c r="I8" s="55" t="s">
        <v>3144</v>
      </c>
      <c r="J8" s="16"/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606.92999999999995</v>
      </c>
      <c r="F9" s="15">
        <f>+[6]Main!$I$4</f>
        <v>1540645.2558967199</v>
      </c>
      <c r="G9" s="15">
        <f>+[6]Main!$I$6-[6]Main!$I$5</f>
        <v>-22432</v>
      </c>
      <c r="H9" s="15">
        <f t="shared" si="0"/>
        <v>1518213.2558967199</v>
      </c>
      <c r="I9" s="55" t="s">
        <v>3144</v>
      </c>
      <c r="J9" s="16"/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373.72</v>
      </c>
      <c r="F10" s="15">
        <f>+[7]Main!$K$4</f>
        <v>1403589.1250701202</v>
      </c>
      <c r="G10" s="15">
        <f>+[7]Main!$K$6-[7]Main!$K$5</f>
        <v>-35514</v>
      </c>
      <c r="H10" s="15">
        <f t="shared" si="0"/>
        <v>1368075.1250701202</v>
      </c>
      <c r="I10" s="53" t="s">
        <v>3144</v>
      </c>
      <c r="J10" s="16">
        <v>46225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323.43</v>
      </c>
      <c r="F11" s="15">
        <f>+[8]Main!$G$5</f>
        <v>1531333.73075112</v>
      </c>
      <c r="G11" s="15">
        <f>+[8]Main!$G$7-[8]Main!$G$6</f>
        <v>51883</v>
      </c>
      <c r="H11" s="15">
        <f t="shared" si="0"/>
        <v>1583216.73075112</v>
      </c>
      <c r="I11" s="48" t="s">
        <v>3144</v>
      </c>
      <c r="J11" s="16">
        <v>46177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188.13</v>
      </c>
      <c r="F12" s="15">
        <f>+[9]Main!$H$5</f>
        <v>540521.94689999998</v>
      </c>
      <c r="G12" s="15">
        <f>+[9]Main!$H$7-[9]Main!$H$6</f>
        <v>88309</v>
      </c>
      <c r="H12" s="15">
        <f>F12+G12</f>
        <v>628830.94689999998</v>
      </c>
      <c r="I12" s="42" t="s">
        <v>3151</v>
      </c>
      <c r="J12" s="16">
        <v>46091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1126</v>
      </c>
      <c r="E13" s="15">
        <f>+[10]Main!$H$2</f>
        <v>2030</v>
      </c>
      <c r="F13" s="15">
        <f>+[10]Main!$H$4*FX!C2</f>
        <v>1579197.9</v>
      </c>
      <c r="G13" s="15">
        <f>+([10]Main!$H$6-[10]Main!$H$5)*FX!C2</f>
        <v>-71019.989999999991</v>
      </c>
      <c r="H13" s="15">
        <f t="shared" si="0"/>
        <v>1508177.91</v>
      </c>
      <c r="I13" s="51" t="s">
        <v>3144</v>
      </c>
      <c r="J13" s="16">
        <v>46219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768</v>
      </c>
      <c r="E14" s="15">
        <f>+[11]Main!$G$2</f>
        <v>617.5</v>
      </c>
      <c r="F14" s="15">
        <f>+[11]Main!$G$5*FX!C3</f>
        <v>722248.25400000019</v>
      </c>
      <c r="G14" s="15">
        <f>+([11]Main!$G$7-[11]Main!$G$6)*FX!C3</f>
        <v>-18653.460000000003</v>
      </c>
      <c r="H14" s="15">
        <f t="shared" si="0"/>
        <v>703594.79400000023</v>
      </c>
      <c r="I14" s="49" t="s">
        <v>2708</v>
      </c>
      <c r="J14" s="16">
        <v>46099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1250.8</v>
      </c>
      <c r="F15" s="15">
        <f>+[12]Main!$H$4*FX!C4</f>
        <v>491699.48639999994</v>
      </c>
      <c r="G15" s="15">
        <f>+([12]Main!$H$6-[12]Main!$H$5)*FX!C4</f>
        <v>-5784.1139999999987</v>
      </c>
      <c r="H15" s="15">
        <f t="shared" ref="H15:H19" si="3">F15+G15</f>
        <v>485915.37239999993</v>
      </c>
      <c r="I15" s="49" t="s">
        <v>3147</v>
      </c>
      <c r="J15" s="16">
        <v>46218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4" t="s">
        <v>2583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97.5</v>
      </c>
      <c r="F17" s="15">
        <f>+[14]Main!$I$5</f>
        <v>411721.73250000004</v>
      </c>
      <c r="G17" s="15">
        <f>+[14]Main!$I$7-[14]Main!$I$6</f>
        <v>2072.0659999999989</v>
      </c>
      <c r="H17" s="15">
        <f t="shared" si="3"/>
        <v>413793.79850000003</v>
      </c>
      <c r="I17" s="51" t="s">
        <v>3144</v>
      </c>
      <c r="J17" s="16"/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156.4</v>
      </c>
      <c r="F18" s="15">
        <f>+[15]Main!$G$5</f>
        <v>373900.89920039999</v>
      </c>
      <c r="G18" s="15">
        <f>+[15]Main!$G$7-[15]Main!$G$6</f>
        <v>-7177.0430000000006</v>
      </c>
      <c r="H18" s="15">
        <f t="shared" si="3"/>
        <v>366723.85620039998</v>
      </c>
      <c r="I18" s="46" t="s">
        <v>3147</v>
      </c>
      <c r="J18" s="16">
        <v>46146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453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768</v>
      </c>
      <c r="E19" s="15">
        <f>+[16]Main!$J$2</f>
        <v>177</v>
      </c>
      <c r="F19" s="15">
        <f>+[16]Main!$J$5*FX!C3</f>
        <v>432554.72400000005</v>
      </c>
      <c r="G19" s="15">
        <f>+([16]Main!$J$7-[16]Main!$J$6)*FX!C3</f>
        <v>-41909.560000000005</v>
      </c>
      <c r="H19" s="15">
        <f t="shared" si="3"/>
        <v>390645.16400000005</v>
      </c>
      <c r="I19" s="23" t="s">
        <v>3144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237.8</v>
      </c>
      <c r="F20" s="15">
        <f>+[17]Main!$H$4*FX!C4</f>
        <v>282820.29599999997</v>
      </c>
      <c r="G20" s="15">
        <f>(+[17]Main!$H$6-[17]Main!$H$5)*FX!C4</f>
        <v>-812.94</v>
      </c>
      <c r="H20" s="15">
        <f t="shared" ref="H20:H32" si="4">F20+G20</f>
        <v>282007.35599999997</v>
      </c>
      <c r="I20" s="24" t="s">
        <v>2583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7" t="s">
        <v>2583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+[19]Main!$K$2</f>
        <v>196.4</v>
      </c>
      <c r="F22" s="15">
        <f>+[19]Main!$K$4</f>
        <v>320212.68956520001</v>
      </c>
      <c r="G22" s="15">
        <f>+[19]Main!$K$6-[19]Main!$K$5</f>
        <v>-4023</v>
      </c>
      <c r="H22" s="15">
        <f t="shared" si="4"/>
        <v>316189.68956520001</v>
      </c>
      <c r="I22" s="49" t="s">
        <v>3147</v>
      </c>
      <c r="J22" s="16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28" t="s">
        <v>2708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67.2</v>
      </c>
      <c r="F24" s="15">
        <f>+[21]Main!$G$4</f>
        <v>265654.8352416</v>
      </c>
      <c r="G24" s="15">
        <f>+[21]Main!$G$6-[21]Main!$G$5</f>
        <v>11993</v>
      </c>
      <c r="H24" s="15">
        <f t="shared" si="4"/>
        <v>277647.8352416</v>
      </c>
      <c r="I24" s="34" t="s">
        <v>2707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768</v>
      </c>
      <c r="E25" s="15">
        <f>+[22]Main!$I$2</f>
        <v>130.96</v>
      </c>
      <c r="F25" s="15">
        <f>+[22]Main!$I$5*FX!C3</f>
        <v>156332.59056749998</v>
      </c>
      <c r="G25" s="15">
        <f>+([22]Main!$I$7-[22]Main!$I$6)*FX!C3</f>
        <v>-53458.08986</v>
      </c>
      <c r="H25" s="15">
        <f t="shared" si="4"/>
        <v>102874.50070749997</v>
      </c>
      <c r="I25" s="39" t="s">
        <v>2583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0" t="s">
        <v>2583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460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171.39</v>
      </c>
      <c r="F27" s="15">
        <f>+[24]Main!$H$4</f>
        <v>184929.81</v>
      </c>
      <c r="G27" s="15">
        <f>+[24]Main!$H$6-[24]Main!$H$5</f>
        <v>4777</v>
      </c>
      <c r="H27" s="15">
        <f t="shared" si="4"/>
        <v>189706.81</v>
      </c>
      <c r="I27" s="34" t="s">
        <v>3145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459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29</v>
      </c>
      <c r="C28" s="5" t="s">
        <v>106</v>
      </c>
      <c r="D28" s="5" t="s">
        <v>107</v>
      </c>
      <c r="E28" s="15">
        <f>+[25]Main!$I$2</f>
        <v>122.04</v>
      </c>
      <c r="F28" s="15">
        <f>+[25]Main!$I$4</f>
        <v>159153.75196092</v>
      </c>
      <c r="G28" s="15">
        <f>+[25]Main!$I$6-[25]Main!$I$5</f>
        <v>-4901</v>
      </c>
      <c r="H28" s="15">
        <f>+F28+G28</f>
        <v>154252.75196092</v>
      </c>
      <c r="I28" s="50" t="s">
        <v>3147</v>
      </c>
      <c r="J28" s="16">
        <v>46149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23</v>
      </c>
      <c r="C29" s="5" t="s">
        <v>166</v>
      </c>
      <c r="D29" s="5" t="s">
        <v>45</v>
      </c>
      <c r="E29" s="15">
        <f>+[26]Main!$G$3</f>
        <v>182.49</v>
      </c>
      <c r="F29" s="15">
        <f>+[26]Main!$G$5</f>
        <v>165908.44197081</v>
      </c>
      <c r="G29" s="15">
        <f>+[26]Main!$G$7-[26]Main!$G$6</f>
        <v>8684</v>
      </c>
      <c r="H29" s="15">
        <f t="shared" si="4"/>
        <v>174592.44197081</v>
      </c>
      <c r="I29" s="33" t="s">
        <v>2583</v>
      </c>
      <c r="J29" s="5"/>
      <c r="K29" s="5"/>
      <c r="L29" s="5"/>
      <c r="M29" s="5"/>
      <c r="N29" s="5"/>
      <c r="O29" s="5"/>
      <c r="P29" s="5"/>
      <c r="Q29" s="5"/>
      <c r="R29" s="5">
        <v>2004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26</v>
      </c>
      <c r="C30" s="5" t="s">
        <v>70</v>
      </c>
      <c r="D30" s="5" t="s">
        <v>45</v>
      </c>
      <c r="E30" s="15">
        <f>+[27]Main!$H$3</f>
        <v>947.74</v>
      </c>
      <c r="F30" s="15">
        <f>+[27]Main!$H$5</f>
        <v>197129.92</v>
      </c>
      <c r="G30" s="15">
        <f>+[27]Main!$H$7-[27]Main!$H$6</f>
        <v>-4642</v>
      </c>
      <c r="H30" s="15">
        <f t="shared" si="4"/>
        <v>192487.92</v>
      </c>
      <c r="I30" s="38" t="s">
        <v>2583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24</v>
      </c>
      <c r="C31" s="5" t="s">
        <v>71</v>
      </c>
      <c r="D31" s="5" t="s">
        <v>45</v>
      </c>
      <c r="E31" s="15">
        <f>+[28]Main!$I$2</f>
        <v>670.1</v>
      </c>
      <c r="F31" s="15">
        <f>+[28]Main!$I$4</f>
        <v>186827.23050000001</v>
      </c>
      <c r="G31" s="15">
        <f>+[28]Main!$I$6-[28]Main!$I$5</f>
        <v>6178</v>
      </c>
      <c r="H31" s="15">
        <f t="shared" si="4"/>
        <v>193005.23050000001</v>
      </c>
      <c r="I31" s="38" t="s">
        <v>3147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72</v>
      </c>
      <c r="C32" s="5" t="s">
        <v>73</v>
      </c>
      <c r="D32" s="5" t="s">
        <v>45</v>
      </c>
      <c r="E32" s="15">
        <f>+[29]Main!$I$2</f>
        <v>225.73</v>
      </c>
      <c r="F32" s="15">
        <f>+[29]Main!$I$4</f>
        <v>179826.09504670999</v>
      </c>
      <c r="G32" s="15">
        <f>+[29]Main!$I$6-[29]Main!$I$5</f>
        <v>-2846</v>
      </c>
      <c r="H32" s="15">
        <f t="shared" si="4"/>
        <v>176980.09504670999</v>
      </c>
      <c r="I32" s="38" t="s">
        <v>3145</v>
      </c>
      <c r="J32" s="5"/>
      <c r="K32" s="5"/>
      <c r="L32" s="5"/>
      <c r="M32" s="5"/>
      <c r="N32" s="5"/>
      <c r="O32" s="5"/>
      <c r="P32" s="5"/>
      <c r="Q32" s="5"/>
      <c r="R32" s="5">
        <v>2009</v>
      </c>
      <c r="S32" s="5" t="s">
        <v>456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74</v>
      </c>
      <c r="C33" s="5" t="s">
        <v>74</v>
      </c>
      <c r="D33" s="5" t="s">
        <v>45</v>
      </c>
      <c r="E33" s="15">
        <f>+[30]Main!$H$2</f>
        <v>75.69</v>
      </c>
      <c r="F33" s="15">
        <f>+[30]Main!$H$4</f>
        <v>155778.79875327001</v>
      </c>
      <c r="G33" s="15">
        <f>+[30]Main!$H$6-[30]Main!$H$5</f>
        <v>2888</v>
      </c>
      <c r="H33" s="15">
        <f>F33+G33</f>
        <v>158666.79875327001</v>
      </c>
      <c r="I33" s="47" t="s">
        <v>2708</v>
      </c>
      <c r="J33" s="16">
        <v>45784</v>
      </c>
      <c r="K33" s="5"/>
      <c r="L33" s="5"/>
      <c r="M33" s="5"/>
      <c r="N33" s="5"/>
      <c r="O33" s="5"/>
      <c r="P33" s="5"/>
      <c r="Q33" s="5"/>
      <c r="R33" s="5"/>
      <c r="S33" s="5" t="s">
        <v>458</v>
      </c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14" t="s">
        <v>130</v>
      </c>
      <c r="C34" s="5" t="s">
        <v>2588</v>
      </c>
      <c r="D34" s="5" t="s">
        <v>768</v>
      </c>
      <c r="E34" s="15">
        <f>+[31]Main!$I$2</f>
        <v>56.2</v>
      </c>
      <c r="F34" s="15">
        <f>+[31]Main!$I$5*FX!C3</f>
        <v>187067.70580176005</v>
      </c>
      <c r="G34" s="15">
        <f>+([31]Main!$I$7-[31]Main!$I$6)*FX!C3</f>
        <v>-11416.8614</v>
      </c>
      <c r="H34" s="15">
        <f>+F34+G34</f>
        <v>175650.84440176006</v>
      </c>
      <c r="I34" s="28" t="s">
        <v>2583</v>
      </c>
      <c r="J34" s="16">
        <v>45978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5" t="s">
        <v>75</v>
      </c>
      <c r="C35" s="5" t="s">
        <v>76</v>
      </c>
      <c r="D35" s="5" t="s">
        <v>768</v>
      </c>
      <c r="E35" s="1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14" t="s">
        <v>77</v>
      </c>
      <c r="C36" s="5" t="s">
        <v>78</v>
      </c>
      <c r="D36" s="5" t="s">
        <v>79</v>
      </c>
      <c r="E36" s="15">
        <f>+[32]Main!$J$2</f>
        <v>227.65</v>
      </c>
      <c r="F36" s="15">
        <f>+[32]Main!$J$4*FX!C4</f>
        <v>133014.210772452</v>
      </c>
      <c r="G36" s="15">
        <f>+([32]Main!$J$6-[32]Main!$J$5)*FX!C4</f>
        <v>8102.88</v>
      </c>
      <c r="H36" s="15">
        <f>+F36+G36</f>
        <v>141117.09077245201</v>
      </c>
      <c r="I36" s="6" t="s">
        <v>430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5" t="s">
        <v>80</v>
      </c>
      <c r="C37" s="5" t="s">
        <v>81</v>
      </c>
      <c r="D37" s="5" t="s">
        <v>84</v>
      </c>
      <c r="E37" s="1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82</v>
      </c>
      <c r="C38" s="5" t="s">
        <v>83</v>
      </c>
      <c r="D38" s="5" t="s">
        <v>45</v>
      </c>
      <c r="E38" s="15">
        <f>+[33]Main!$I$2</f>
        <v>5475.01</v>
      </c>
      <c r="F38" s="15">
        <f>+[33]Main!$I$4</f>
        <v>177444.44447385002</v>
      </c>
      <c r="G38" s="15">
        <f>+[33]Main!$I$6-[33]Main!$I$5</f>
        <v>877</v>
      </c>
      <c r="H38" s="15">
        <f>F38+G38</f>
        <v>178321.44447385002</v>
      </c>
      <c r="I38" s="29" t="s">
        <v>2583</v>
      </c>
      <c r="J38" s="5"/>
      <c r="K38" s="5"/>
      <c r="L38" s="5"/>
      <c r="M38" s="5"/>
      <c r="N38" s="5"/>
      <c r="O38" s="5"/>
      <c r="P38" s="5"/>
      <c r="Q38" s="5"/>
      <c r="R38" s="5"/>
      <c r="S38" s="5" t="s">
        <v>452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959</v>
      </c>
      <c r="C39" s="5" t="s">
        <v>85</v>
      </c>
      <c r="D39" s="5" t="s">
        <v>45</v>
      </c>
      <c r="E39" s="15">
        <f>+[34]Main!$I$2</f>
        <v>133.80000000000001</v>
      </c>
      <c r="F39" s="15">
        <f>+[34]Main!$I$4</f>
        <v>168492.342366</v>
      </c>
      <c r="G39" s="15">
        <f>+[34]Main!$I$6-[34]Main!$I$5</f>
        <v>-10106.200000000001</v>
      </c>
      <c r="H39" s="15">
        <f>F39+G39</f>
        <v>158386.14236599999</v>
      </c>
      <c r="I39" s="49" t="s">
        <v>2708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14" t="s">
        <v>86</v>
      </c>
      <c r="C40" s="5" t="s">
        <v>88</v>
      </c>
      <c r="D40" s="5" t="s">
        <v>87</v>
      </c>
      <c r="E40" s="15">
        <f>+[35]Main!$H$2</f>
        <v>3214</v>
      </c>
      <c r="F40" s="15">
        <f>+[35]Main!$H$4*FX!C6</f>
        <v>126918.76080161199</v>
      </c>
      <c r="G40" s="15">
        <f>+([35]Main!$H$6-[35]Main!$H$5)*FX!C6</f>
        <v>12746.721</v>
      </c>
      <c r="H40" s="15">
        <f>F40+G40</f>
        <v>139665.48180161198</v>
      </c>
      <c r="I40" s="6" t="s">
        <v>440</v>
      </c>
      <c r="J40" s="5"/>
      <c r="K40" s="5"/>
      <c r="L40" s="5"/>
      <c r="M40" s="5"/>
      <c r="N40" s="5"/>
      <c r="O40" s="5"/>
      <c r="P40" s="5"/>
      <c r="Q40" s="5"/>
      <c r="R40" s="5"/>
      <c r="S40" s="5" t="s">
        <v>457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135</v>
      </c>
      <c r="C41" s="5" t="s">
        <v>136</v>
      </c>
      <c r="D41" s="5" t="s">
        <v>45</v>
      </c>
      <c r="E41" s="15">
        <f>+[36]Main!$I$2</f>
        <v>481.5</v>
      </c>
      <c r="F41" s="15">
        <f>+[36]Main!$I$4</f>
        <v>120834.89990999999</v>
      </c>
      <c r="G41" s="15">
        <f>+[36]Main!$I$6-[36]Main!$I$5</f>
        <v>-4227.7089999999998</v>
      </c>
      <c r="H41" s="15">
        <f>+F41+G41</f>
        <v>116607.19090999999</v>
      </c>
      <c r="I41" s="33" t="s">
        <v>2583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5" t="s">
        <v>89</v>
      </c>
      <c r="C42" s="5" t="s">
        <v>90</v>
      </c>
      <c r="D42" s="5" t="s">
        <v>87</v>
      </c>
      <c r="E42" s="1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91</v>
      </c>
      <c r="C43" s="5" t="s">
        <v>92</v>
      </c>
      <c r="D43" s="5" t="s">
        <v>45</v>
      </c>
      <c r="E43" s="15">
        <f>+[37]Main!$I$2</f>
        <v>284.85000000000002</v>
      </c>
      <c r="F43" s="15">
        <f>+[37]Main!$I$4</f>
        <v>115897.17387105002</v>
      </c>
      <c r="G43" s="15">
        <f>+[37]Main!$I$6-[37]Main!$I$5</f>
        <v>1766.1</v>
      </c>
      <c r="H43" s="15">
        <f>+F43+G43</f>
        <v>117663.27387105003</v>
      </c>
      <c r="I43" s="6" t="s">
        <v>431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93</v>
      </c>
      <c r="C44" s="5" t="s">
        <v>94</v>
      </c>
      <c r="D44" s="5" t="s">
        <v>45</v>
      </c>
      <c r="E44" s="15">
        <f>+[38]Main!$H$2</f>
        <v>97.8</v>
      </c>
      <c r="F44" s="15">
        <f>+[38]Main!$H$4</f>
        <v>108966.01494959999</v>
      </c>
      <c r="G44" s="15">
        <f>+[38]Main!$H$6-[38]Main!$H$5</f>
        <v>5041</v>
      </c>
      <c r="H44" s="15">
        <f>+F44+G44</f>
        <v>114007.01494959999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95</v>
      </c>
      <c r="C45" s="5" t="s">
        <v>96</v>
      </c>
      <c r="D45" s="5" t="s">
        <v>45</v>
      </c>
      <c r="E45" s="15">
        <f>+[39]Main!$J$2</f>
        <v>176.33</v>
      </c>
      <c r="F45" s="15">
        <f>+[39]Main!$J$4</f>
        <v>105088.53324739002</v>
      </c>
      <c r="G45" s="15">
        <f>+[39]Main!$J$6-[39]Main!$J$5</f>
        <v>4296.9570000000003</v>
      </c>
      <c r="H45" s="15">
        <f>+F45+G45</f>
        <v>109385.49024739001</v>
      </c>
      <c r="I45" s="6" t="s">
        <v>708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97</v>
      </c>
      <c r="C46" s="5" t="s">
        <v>98</v>
      </c>
      <c r="D46" s="5" t="s">
        <v>45</v>
      </c>
      <c r="E46" s="15">
        <f>+[40]Main!$H$3</f>
        <v>171.05</v>
      </c>
      <c r="F46" s="15">
        <f>+[40]Main!$H$5</f>
        <v>56121.505000000005</v>
      </c>
      <c r="G46" s="15">
        <f>+[40]Main!$H$7-[40]Main!$H$6</f>
        <v>-2745.2</v>
      </c>
      <c r="H46" s="15">
        <f t="shared" ref="H46:H51" si="5">+F46+G46</f>
        <v>53376.305000000008</v>
      </c>
      <c r="I46" s="6" t="s">
        <v>49</v>
      </c>
      <c r="J46" s="5"/>
      <c r="K46" s="5"/>
      <c r="L46" s="5"/>
      <c r="M46" s="5"/>
      <c r="N46" s="5"/>
      <c r="O46" s="5"/>
      <c r="P46" s="5"/>
      <c r="Q46" s="5"/>
      <c r="R46" s="5"/>
      <c r="S46" s="5" t="s">
        <v>456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99</v>
      </c>
      <c r="C47" s="5" t="s">
        <v>100</v>
      </c>
      <c r="D47" s="5" t="s">
        <v>101</v>
      </c>
      <c r="E47" s="15">
        <f>+[41]Main!$H$3</f>
        <v>3216</v>
      </c>
      <c r="F47" s="15">
        <f>+[41]Main!$H$5</f>
        <v>163042.758</v>
      </c>
      <c r="G47" s="15">
        <f>+[41]Main!$H$7-[41]Main!$H$6</f>
        <v>-7567</v>
      </c>
      <c r="H47" s="15">
        <f t="shared" si="5"/>
        <v>155475.758</v>
      </c>
      <c r="I47" s="30" t="s">
        <v>2583</v>
      </c>
      <c r="J47" s="5"/>
      <c r="K47" s="5"/>
      <c r="L47" s="5"/>
      <c r="M47" s="5"/>
      <c r="N47" s="5"/>
      <c r="O47" s="5"/>
      <c r="P47" s="5"/>
      <c r="Q47" s="5"/>
      <c r="R47" s="5">
        <v>1999</v>
      </c>
      <c r="S47" s="5" t="s">
        <v>455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102</v>
      </c>
      <c r="C48" s="5" t="s">
        <v>103</v>
      </c>
      <c r="D48" s="5" t="s">
        <v>45</v>
      </c>
      <c r="E48" s="15">
        <f>+[42]Main!$I$2</f>
        <v>62.5</v>
      </c>
      <c r="F48" s="15">
        <f>+[42]Main!$I$4</f>
        <v>33615.742937499999</v>
      </c>
      <c r="G48" s="15">
        <f>+[42]Main!$I$6-[42]Main!$I$5</f>
        <v>29131</v>
      </c>
      <c r="H48" s="15">
        <f t="shared" si="5"/>
        <v>62746.742937499999</v>
      </c>
      <c r="I48" s="6" t="s">
        <v>430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104</v>
      </c>
      <c r="C49" s="5" t="s">
        <v>105</v>
      </c>
      <c r="D49" s="5" t="s">
        <v>45</v>
      </c>
      <c r="E49" s="15">
        <f>+[43]Main!$H$2</f>
        <v>73.2</v>
      </c>
      <c r="F49" s="15">
        <f>+[43]Main!$H$4</f>
        <v>94185.342000000004</v>
      </c>
      <c r="G49" s="15">
        <f>+[43]Main!$H$6-[43]Main!$H$5</f>
        <v>-1083.7019999999993</v>
      </c>
      <c r="H49" s="15">
        <f t="shared" si="5"/>
        <v>93101.64</v>
      </c>
      <c r="I49" s="6" t="s">
        <v>429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109</v>
      </c>
      <c r="C50" s="5" t="s">
        <v>108</v>
      </c>
      <c r="D50" s="5" t="s">
        <v>45</v>
      </c>
      <c r="E50" s="15">
        <f>+[44]Main!$I$2</f>
        <v>739.7</v>
      </c>
      <c r="F50" s="15">
        <f>+[44]Main!$I$4</f>
        <v>98296.326016199993</v>
      </c>
      <c r="G50" s="15">
        <f>+[44]Main!$I$6-[44]Main!$I$5</f>
        <v>2101.982</v>
      </c>
      <c r="H50" s="15">
        <f t="shared" si="5"/>
        <v>100398.3080162</v>
      </c>
      <c r="I50" s="6" t="s">
        <v>431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438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14" t="s">
        <v>27</v>
      </c>
      <c r="C51" s="5" t="s">
        <v>110</v>
      </c>
      <c r="D51" s="5" t="s">
        <v>45</v>
      </c>
      <c r="E51" s="15">
        <f>+[45]Main!$K$2</f>
        <v>82.72</v>
      </c>
      <c r="F51" s="15">
        <f>+[45]Main!$K$4</f>
        <v>85340</v>
      </c>
      <c r="G51" s="15">
        <f>+[45]Main!$K$6-[45]Main!$K$5</f>
        <v>12242</v>
      </c>
      <c r="H51" s="15">
        <f t="shared" si="5"/>
        <v>97582</v>
      </c>
      <c r="I51" s="6" t="s">
        <v>48</v>
      </c>
      <c r="J51" s="5"/>
      <c r="K51" s="5"/>
      <c r="L51" s="5"/>
      <c r="M51" s="5"/>
      <c r="N51" s="5"/>
      <c r="O51" s="5"/>
      <c r="P51" s="5"/>
      <c r="Q51" s="5"/>
      <c r="R51" s="5"/>
      <c r="S51" s="5" t="s">
        <v>454</v>
      </c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111</v>
      </c>
      <c r="C52" s="18" t="s">
        <v>112</v>
      </c>
      <c r="D52" s="5" t="s">
        <v>59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113</v>
      </c>
      <c r="C53" s="5" t="s">
        <v>114</v>
      </c>
      <c r="D53" s="5" t="s">
        <v>45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5" t="s">
        <v>117</v>
      </c>
      <c r="C54" s="5" t="s">
        <v>118</v>
      </c>
      <c r="D54" s="5" t="s">
        <v>87</v>
      </c>
      <c r="E54" s="15"/>
      <c r="F54" s="15"/>
      <c r="G54" s="15"/>
      <c r="H54" s="1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2582</v>
      </c>
      <c r="C55" s="5" t="s">
        <v>119</v>
      </c>
      <c r="D55" s="5" t="s">
        <v>1126</v>
      </c>
      <c r="E55" s="15">
        <f>+[46]Main!$J$2</f>
        <v>142.5</v>
      </c>
      <c r="F55" s="15">
        <f>+[46]Main!$J$4*FX!C2</f>
        <v>59264.286524999996</v>
      </c>
      <c r="G55" s="15">
        <f>+([46]Main!$J$6-[46]Main!$J$5)*FX!C2</f>
        <v>-8207.3572199999999</v>
      </c>
      <c r="H55" s="15">
        <f t="shared" ref="H55:H61" si="6">+F55+G55</f>
        <v>51056.929304999998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28</v>
      </c>
      <c r="C56" s="5" t="s">
        <v>120</v>
      </c>
      <c r="D56" s="5" t="s">
        <v>45</v>
      </c>
      <c r="E56" s="15">
        <f>+[47]Main!$H$2</f>
        <v>119.01</v>
      </c>
      <c r="F56" s="15">
        <f>+[47]Main!$H$4</f>
        <v>83361.643560510012</v>
      </c>
      <c r="G56" s="15">
        <f>+[47]Main!$H$6-[47]Main!$H$5</f>
        <v>19797</v>
      </c>
      <c r="H56" s="15">
        <f t="shared" si="6"/>
        <v>103158.64356051001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441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121</v>
      </c>
      <c r="C57" s="5" t="s">
        <v>122</v>
      </c>
      <c r="D57" s="5" t="s">
        <v>45</v>
      </c>
      <c r="E57" s="15">
        <f>+[48]Main!$H$2</f>
        <v>123.56</v>
      </c>
      <c r="F57" s="15">
        <f>+[48]Main!$H$4</f>
        <v>76784.591385200009</v>
      </c>
      <c r="G57" s="15">
        <f>+[48]Main!$H$6-[48]Main!$H$5</f>
        <v>-9359</v>
      </c>
      <c r="H57" s="15">
        <f t="shared" si="6"/>
        <v>67425.591385200009</v>
      </c>
      <c r="I57" s="33" t="s">
        <v>2583</v>
      </c>
      <c r="J57" s="5"/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123</v>
      </c>
      <c r="C58" s="5" t="s">
        <v>124</v>
      </c>
      <c r="D58" s="5" t="s">
        <v>45</v>
      </c>
      <c r="E58" s="15">
        <f>+[49]Main!$I$2</f>
        <v>42</v>
      </c>
      <c r="F58" s="15">
        <f>+[49]Main!$I$4</f>
        <v>39102</v>
      </c>
      <c r="G58" s="15">
        <f>+[49]Main!$I$6-[49]Main!$I$5</f>
        <v>-435</v>
      </c>
      <c r="H58" s="15">
        <f t="shared" si="6"/>
        <v>38667</v>
      </c>
      <c r="I58" s="43" t="s">
        <v>3147</v>
      </c>
      <c r="J58" s="16">
        <v>46140</v>
      </c>
      <c r="K58" s="5"/>
      <c r="L58" s="5"/>
      <c r="M58" s="5"/>
      <c r="N58" s="5"/>
      <c r="O58" s="5"/>
      <c r="P58" s="5"/>
      <c r="Q58" s="5"/>
      <c r="R58" s="5"/>
      <c r="S58" s="5" t="s">
        <v>451</v>
      </c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125</v>
      </c>
      <c r="C59" s="5" t="s">
        <v>126</v>
      </c>
      <c r="D59" s="5" t="s">
        <v>45</v>
      </c>
      <c r="E59" s="15">
        <f>+[50]Main!$I$2</f>
        <v>512.14</v>
      </c>
      <c r="F59" s="15">
        <f>+[50]Main!$I$4</f>
        <v>79187.125722640005</v>
      </c>
      <c r="G59" s="15">
        <f>+[50]Main!$I$6-[50]Main!$I$5</f>
        <v>-3795.1490000000003</v>
      </c>
      <c r="H59" s="15">
        <f t="shared" si="6"/>
        <v>75391.97672264</v>
      </c>
      <c r="I59" s="6" t="s">
        <v>708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127</v>
      </c>
      <c r="C60" s="5" t="s">
        <v>129</v>
      </c>
      <c r="D60" s="5" t="s">
        <v>128</v>
      </c>
      <c r="E60" s="15">
        <f>+[51]Main!$H$2</f>
        <v>627.5</v>
      </c>
      <c r="F60" s="15">
        <f>+[51]Main!$H$5*FX!C4</f>
        <v>131483.55070995001</v>
      </c>
      <c r="G60" s="15">
        <f>+([51]Main!$H$7-[51]Main!$H$6)*FX!C4</f>
        <v>-8510.880000000001</v>
      </c>
      <c r="H60" s="15">
        <f t="shared" si="6"/>
        <v>122972.67070995001</v>
      </c>
      <c r="I60" s="6" t="s">
        <v>2583</v>
      </c>
      <c r="J60" s="16"/>
      <c r="K60" s="5"/>
      <c r="L60" s="5"/>
      <c r="M60" s="5"/>
      <c r="N60" s="5"/>
      <c r="O60" s="5"/>
      <c r="P60" s="5"/>
      <c r="Q60" s="5"/>
      <c r="R60" s="5"/>
      <c r="S60" s="5" t="s">
        <v>450</v>
      </c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14" t="s">
        <v>131</v>
      </c>
      <c r="C61" s="5" t="s">
        <v>132</v>
      </c>
      <c r="D61" s="5" t="s">
        <v>45</v>
      </c>
      <c r="E61" s="15">
        <f>+[52]Main!$J$2</f>
        <v>304.60000000000002</v>
      </c>
      <c r="F61" s="15">
        <f>+[52]Main!$J$4</f>
        <v>83168.593200000003</v>
      </c>
      <c r="G61" s="15">
        <f>+[52]Main!$J$6-[52]Main!$J$5</f>
        <v>-300.51499999999987</v>
      </c>
      <c r="H61" s="15">
        <f t="shared" si="6"/>
        <v>82868.078200000004</v>
      </c>
      <c r="I61" s="6" t="s">
        <v>708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5" t="s">
        <v>133</v>
      </c>
      <c r="C62" s="5" t="s">
        <v>134</v>
      </c>
      <c r="D62" s="5" t="s">
        <v>107</v>
      </c>
      <c r="E62" s="15"/>
      <c r="F62" s="15"/>
      <c r="G62" s="15"/>
      <c r="H62" s="1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768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12800</v>
      </c>
      <c r="F65" s="15">
        <f>+[53]Main!$I$4*FX!C6</f>
        <v>108051.008</v>
      </c>
      <c r="G65" s="15">
        <f>+([53]Main!$I$6-[53]Main!$I$5)*FX!C6</f>
        <v>-10310.7875</v>
      </c>
      <c r="H65" s="15">
        <f>+F65+G65</f>
        <v>97740.220499999996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768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708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1126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0" t="s">
        <v>2583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449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708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2583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445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442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448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768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707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768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202.53</v>
      </c>
      <c r="F97" s="15">
        <f>+[65]Main!$I$4</f>
        <v>50674.485076589997</v>
      </c>
      <c r="G97" s="15">
        <f>+[65]Main!$I$6-[65]Main!$I$5</f>
        <v>-1230</v>
      </c>
      <c r="H97" s="15">
        <f>+F97+G97</f>
        <v>49444.485076589997</v>
      </c>
      <c r="I97" s="6" t="s">
        <v>431</v>
      </c>
      <c r="J97" s="37" t="s">
        <v>3146</v>
      </c>
      <c r="K97" s="5"/>
      <c r="L97" s="5"/>
      <c r="M97" s="5"/>
      <c r="N97" s="5"/>
      <c r="O97" s="5"/>
      <c r="P97" s="5"/>
      <c r="Q97" s="5"/>
      <c r="R97" s="5"/>
      <c r="S97" s="5" t="s">
        <v>446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768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768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1126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84.016999999999996</v>
      </c>
      <c r="F107" s="15">
        <f>+[67]Main!$H$4</f>
        <v>37639.615999999995</v>
      </c>
      <c r="G107" s="15">
        <f>+[67]Main!$H$6-[67]Main!$H$5</f>
        <v>3827</v>
      </c>
      <c r="H107" s="15">
        <f>+F107+G107</f>
        <v>41466.615999999995</v>
      </c>
      <c r="I107" s="44" t="s">
        <v>3147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447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1126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708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446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2583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708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768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1126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1126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283.56</v>
      </c>
      <c r="F154" s="15">
        <f>+[73]Main!$I$4</f>
        <v>10720.488835439999</v>
      </c>
      <c r="G154" s="15">
        <f>+[73]Main!$I$6-[73]Main!$I$5</f>
        <v>1066.1519999999998</v>
      </c>
      <c r="H154" s="15">
        <f>+F154+G154</f>
        <v>11786.640835439999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443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8.2100000000000009</v>
      </c>
      <c r="F155" s="15">
        <f>+[74]Main!$I$4</f>
        <v>14115.934196310003</v>
      </c>
      <c r="G155" s="15">
        <f>+[74]Main!$I$6-[74]Main!$I$5</f>
        <v>544.51200000000017</v>
      </c>
      <c r="H155" s="15">
        <f>+F155+G155</f>
        <v>14660.446196310004</v>
      </c>
      <c r="I155" s="6" t="s">
        <v>2583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444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768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768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1126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461</v>
      </c>
      <c r="C204" s="5" t="s">
        <v>462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2583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463</v>
      </c>
      <c r="C205" s="5" t="s">
        <v>464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465</v>
      </c>
      <c r="C206" s="5" t="s">
        <v>466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467</v>
      </c>
      <c r="C207" s="5" t="s">
        <v>468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705</v>
      </c>
      <c r="C208" s="5" t="s">
        <v>706</v>
      </c>
      <c r="D208" s="25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6" t="s">
        <v>2583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469</v>
      </c>
      <c r="C209" s="5" t="s">
        <v>470</v>
      </c>
      <c r="D209" s="5" t="s">
        <v>1126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471</v>
      </c>
      <c r="C210" s="5" t="s">
        <v>472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473</v>
      </c>
      <c r="C211" s="5" t="s">
        <v>474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475</v>
      </c>
      <c r="C212" s="5" t="s">
        <v>476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478</v>
      </c>
      <c r="C213" s="5" t="s">
        <v>477</v>
      </c>
      <c r="D213" s="5" t="s">
        <v>1126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479</v>
      </c>
      <c r="C214" s="5" t="s">
        <v>480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481</v>
      </c>
      <c r="C215" s="5" t="s">
        <v>482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483</v>
      </c>
      <c r="C216" s="5" t="s">
        <v>484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485</v>
      </c>
      <c r="C217" s="5" t="s">
        <v>486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487</v>
      </c>
      <c r="C218" s="5" t="s">
        <v>488</v>
      </c>
      <c r="D218" s="5" t="s">
        <v>768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489</v>
      </c>
      <c r="C219" s="5" t="s">
        <v>490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491</v>
      </c>
      <c r="C220" s="5" t="s">
        <v>492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493</v>
      </c>
      <c r="C221" s="5" t="s">
        <v>494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495</v>
      </c>
      <c r="C222" s="5" t="s">
        <v>496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497</v>
      </c>
      <c r="C223" s="5" t="s">
        <v>498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499</v>
      </c>
      <c r="C224" s="5" t="s">
        <v>499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500</v>
      </c>
      <c r="C225" s="5" t="s">
        <v>501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502</v>
      </c>
      <c r="C226" s="5" t="s">
        <v>503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504</v>
      </c>
      <c r="C227" s="5" t="s">
        <v>505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506</v>
      </c>
      <c r="C228" s="5" t="s">
        <v>507</v>
      </c>
      <c r="D228" s="5" t="s">
        <v>508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509</v>
      </c>
      <c r="C229" s="5" t="s">
        <v>510</v>
      </c>
      <c r="D229" s="5" t="s">
        <v>511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512</v>
      </c>
      <c r="C230" s="5" t="s">
        <v>513</v>
      </c>
      <c r="D230" s="5" t="s">
        <v>1126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514</v>
      </c>
      <c r="C231" s="5" t="s">
        <v>515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516</v>
      </c>
      <c r="C232" s="5" t="s">
        <v>517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518</v>
      </c>
      <c r="C233" s="5" t="s">
        <v>519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520</v>
      </c>
      <c r="C234" s="5" t="s">
        <v>521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522</v>
      </c>
      <c r="C235" s="5" t="s">
        <v>523</v>
      </c>
      <c r="D235" s="5" t="s">
        <v>768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524</v>
      </c>
      <c r="C236" s="5" t="s">
        <v>525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526</v>
      </c>
      <c r="C237" s="5" t="s">
        <v>527</v>
      </c>
      <c r="D237" s="5" t="s">
        <v>768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528</v>
      </c>
      <c r="C238" s="5" t="s">
        <v>529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530</v>
      </c>
      <c r="C239" s="5" t="s">
        <v>531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532</v>
      </c>
      <c r="C240" s="5" t="s">
        <v>533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534</v>
      </c>
      <c r="C241" s="5" t="s">
        <v>535</v>
      </c>
      <c r="D241" s="5" t="s">
        <v>536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537</v>
      </c>
      <c r="C242" s="5" t="s">
        <v>538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539</v>
      </c>
      <c r="C243" s="5" t="s">
        <v>540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541</v>
      </c>
      <c r="C244" s="5" t="s">
        <v>542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543</v>
      </c>
      <c r="C245" s="5" t="s">
        <v>544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545</v>
      </c>
      <c r="C246" s="5" t="s">
        <v>546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547</v>
      </c>
      <c r="C247" s="5" t="s">
        <v>548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2584</v>
      </c>
      <c r="C248" s="5" t="s">
        <v>2585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549</v>
      </c>
      <c r="C249" s="5" t="s">
        <v>550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551</v>
      </c>
      <c r="C250" s="5" t="s">
        <v>552</v>
      </c>
      <c r="D250" s="5" t="s">
        <v>1126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553</v>
      </c>
      <c r="C251" s="5" t="s">
        <v>554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555</v>
      </c>
      <c r="C252" s="5" t="s">
        <v>556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557</v>
      </c>
      <c r="C253" s="5" t="s">
        <v>558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559</v>
      </c>
      <c r="C254" s="5" t="s">
        <v>560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561</v>
      </c>
      <c r="C255" s="5" t="s">
        <v>562</v>
      </c>
      <c r="D255" s="5" t="s">
        <v>768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563</v>
      </c>
      <c r="C256" s="5" t="s">
        <v>564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565</v>
      </c>
      <c r="C257" s="5" t="s">
        <v>566</v>
      </c>
      <c r="D257" s="5" t="s">
        <v>1126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567</v>
      </c>
      <c r="C258" s="5" t="s">
        <v>568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569</v>
      </c>
      <c r="C259" s="5" t="s">
        <v>570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571</v>
      </c>
      <c r="C260" s="5" t="s">
        <v>572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573</v>
      </c>
      <c r="C261" s="5" t="s">
        <v>574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575</v>
      </c>
      <c r="C262" s="5" t="s">
        <v>576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577</v>
      </c>
      <c r="C263" s="5" t="s">
        <v>578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579</v>
      </c>
      <c r="C264" s="5" t="s">
        <v>580</v>
      </c>
      <c r="D264" s="5" t="s">
        <v>768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581</v>
      </c>
      <c r="C265" s="5" t="s">
        <v>582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583</v>
      </c>
      <c r="C266" s="5" t="s">
        <v>584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585</v>
      </c>
      <c r="C267" s="5" t="s">
        <v>586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587</v>
      </c>
      <c r="C268" s="5" t="s">
        <v>588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589</v>
      </c>
      <c r="C269" s="5" t="s">
        <v>590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591</v>
      </c>
      <c r="C270" s="5" t="s">
        <v>592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593</v>
      </c>
      <c r="C271" s="5" t="s">
        <v>594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595</v>
      </c>
      <c r="C272" s="5" t="s">
        <v>596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597</v>
      </c>
      <c r="C273" s="5" t="s">
        <v>598</v>
      </c>
      <c r="D273" s="5" t="s">
        <v>1126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599</v>
      </c>
      <c r="C274" s="5" t="s">
        <v>600</v>
      </c>
      <c r="D274" s="5" t="s">
        <v>601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602</v>
      </c>
      <c r="C275" s="5" t="s">
        <v>603</v>
      </c>
      <c r="D275" s="5" t="s">
        <v>1126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604</v>
      </c>
      <c r="C276" s="5" t="s">
        <v>605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606</v>
      </c>
      <c r="C277" s="5" t="s">
        <v>607</v>
      </c>
      <c r="D277" s="5" t="s">
        <v>1126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608</v>
      </c>
      <c r="C278" s="5" t="s">
        <v>609</v>
      </c>
      <c r="D278" s="5" t="s">
        <v>610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611</v>
      </c>
      <c r="C279" s="5" t="s">
        <v>612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613</v>
      </c>
      <c r="C280" s="5" t="s">
        <v>614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615</v>
      </c>
      <c r="C281" s="5" t="s">
        <v>616</v>
      </c>
      <c r="D281" s="5" t="s">
        <v>536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617</v>
      </c>
      <c r="C282" s="5" t="s">
        <v>618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620</v>
      </c>
      <c r="C283" s="5" t="s">
        <v>619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621</v>
      </c>
      <c r="C284" s="5" t="s">
        <v>622</v>
      </c>
      <c r="D284" s="5" t="s">
        <v>623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624</v>
      </c>
      <c r="C285" s="5" t="s">
        <v>625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627</v>
      </c>
      <c r="C286" s="5" t="s">
        <v>626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628</v>
      </c>
      <c r="C287" s="5" t="s">
        <v>629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630</v>
      </c>
      <c r="C288" s="5" t="s">
        <v>631</v>
      </c>
      <c r="D288" s="5" t="s">
        <v>1126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632</v>
      </c>
      <c r="C289" s="5" t="s">
        <v>633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634</v>
      </c>
      <c r="C290" s="5" t="s">
        <v>635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636</v>
      </c>
      <c r="C291" s="5" t="s">
        <v>637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14" t="s">
        <v>638</v>
      </c>
      <c r="C292" s="5" t="s">
        <v>639</v>
      </c>
      <c r="D292" s="5" t="s">
        <v>45</v>
      </c>
      <c r="E292" s="15">
        <f>+[78]Main!$I$2</f>
        <v>70.8</v>
      </c>
      <c r="F292" s="15">
        <f>+[78]Main!$I$4</f>
        <v>7016.8866144000003</v>
      </c>
      <c r="G292" s="15">
        <f>+[78]Main!$I$6-[78]Main!$I$5</f>
        <v>1566.635</v>
      </c>
      <c r="H292" s="15">
        <f>+F292+G292</f>
        <v>8583.5216144000005</v>
      </c>
      <c r="I292" s="36" t="s">
        <v>2583</v>
      </c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640</v>
      </c>
      <c r="C293" s="5" t="s">
        <v>641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642</v>
      </c>
      <c r="C294" s="5" t="s">
        <v>643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644</v>
      </c>
      <c r="C295" s="5" t="s">
        <v>645</v>
      </c>
      <c r="D295" s="5" t="s">
        <v>768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646</v>
      </c>
      <c r="C296" s="5" t="s">
        <v>647</v>
      </c>
      <c r="D296" s="5" t="s">
        <v>1126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648</v>
      </c>
      <c r="C297" s="5" t="s">
        <v>649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650</v>
      </c>
      <c r="C298" s="5" t="s">
        <v>651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653</v>
      </c>
      <c r="C299" s="5" t="s">
        <v>652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654</v>
      </c>
      <c r="C300" s="5" t="s">
        <v>655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657</v>
      </c>
      <c r="C301" s="5" t="s">
        <v>656</v>
      </c>
      <c r="D301" s="5" t="s">
        <v>768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658</v>
      </c>
      <c r="C302" s="5" t="s">
        <v>659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660</v>
      </c>
      <c r="C303" s="5" t="s">
        <v>661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662</v>
      </c>
      <c r="C304" s="5" t="s">
        <v>663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664</v>
      </c>
      <c r="C305" s="5" t="s">
        <v>665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666</v>
      </c>
      <c r="C306" s="5" t="s">
        <v>667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668</v>
      </c>
      <c r="C307" s="5" t="s">
        <v>669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670</v>
      </c>
      <c r="C308" s="5" t="s">
        <v>670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671</v>
      </c>
      <c r="C309" s="5" t="s">
        <v>672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673</v>
      </c>
      <c r="C310" s="5" t="s">
        <v>674</v>
      </c>
      <c r="D310" s="5" t="s">
        <v>768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675</v>
      </c>
      <c r="C311" s="5" t="s">
        <v>676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677</v>
      </c>
      <c r="C312" s="5" t="s">
        <v>678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681</v>
      </c>
      <c r="C313" s="5" t="s">
        <v>682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683</v>
      </c>
      <c r="C314" s="5" t="s">
        <v>684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685</v>
      </c>
      <c r="C315" s="5" t="s">
        <v>686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687</v>
      </c>
      <c r="C316" s="5" t="s">
        <v>688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689</v>
      </c>
      <c r="C317" s="5" t="s">
        <v>690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691</v>
      </c>
      <c r="C318" s="5" t="s">
        <v>692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693</v>
      </c>
      <c r="C319" s="5" t="s">
        <v>694</v>
      </c>
      <c r="D319" s="5" t="s">
        <v>508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695</v>
      </c>
      <c r="C320" s="5" t="s">
        <v>696</v>
      </c>
      <c r="D320" s="5" t="s">
        <v>1126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697</v>
      </c>
      <c r="C321" s="5" t="s">
        <v>698</v>
      </c>
      <c r="D321" s="5" t="s">
        <v>45</v>
      </c>
      <c r="E321" s="15">
        <f>+[79]Main!$J$3</f>
        <v>15.92</v>
      </c>
      <c r="F321" s="15">
        <f>+[79]Main!$J$5</f>
        <v>3056.2842516800001</v>
      </c>
      <c r="G321" s="15">
        <f>+[79]Main!$J$7-[79]Main!$J$6</f>
        <v>162.63800000000003</v>
      </c>
      <c r="H321" s="15">
        <f>+F321+G321</f>
        <v>3218.92225168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699</v>
      </c>
      <c r="C322" s="5" t="s">
        <v>700</v>
      </c>
      <c r="D322" s="5" t="s">
        <v>45</v>
      </c>
      <c r="E322" s="15">
        <f>+[80]Main!$I$2</f>
        <v>7.36</v>
      </c>
      <c r="F322" s="15">
        <f>+[80]Main!$I$4</f>
        <v>1581.06035488</v>
      </c>
      <c r="G322" s="15">
        <f>+[80]Main!$I$6-[80]Main!$I$5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701</v>
      </c>
      <c r="C323" s="5" t="s">
        <v>702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703</v>
      </c>
      <c r="C324" s="5" t="s">
        <v>704</v>
      </c>
      <c r="D324" s="5" t="s">
        <v>508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679</v>
      </c>
      <c r="C325" s="5" t="s">
        <v>680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1132</v>
      </c>
      <c r="C326" s="5" t="s">
        <v>1133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1134</v>
      </c>
      <c r="C327" s="5" t="s">
        <v>1135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1136</v>
      </c>
      <c r="C328" s="5" t="s">
        <v>1137</v>
      </c>
      <c r="D328" s="5" t="s">
        <v>1125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859</v>
      </c>
      <c r="C329" s="5" t="s">
        <v>860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1138</v>
      </c>
      <c r="C330" s="5" t="s">
        <v>1139</v>
      </c>
      <c r="D330" s="5" t="s">
        <v>508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1140</v>
      </c>
      <c r="C331" s="5" t="s">
        <v>1141</v>
      </c>
      <c r="D331" s="5" t="s">
        <v>768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1142</v>
      </c>
      <c r="C332" s="5" t="s">
        <v>1143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1144</v>
      </c>
      <c r="C333" s="5" t="s">
        <v>1145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1146</v>
      </c>
      <c r="C334" s="5" t="s">
        <v>1147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1148</v>
      </c>
      <c r="C335" s="5" t="s">
        <v>1149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1150</v>
      </c>
      <c r="C336" s="5" t="s">
        <v>1151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1152</v>
      </c>
      <c r="C337" s="5" t="s">
        <v>1153</v>
      </c>
      <c r="D337" s="5" t="s">
        <v>2569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1154</v>
      </c>
      <c r="C338" s="5" t="s">
        <v>1155</v>
      </c>
      <c r="D338" s="5" t="s">
        <v>1125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852</v>
      </c>
      <c r="C339" s="5" t="s">
        <v>853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1156</v>
      </c>
      <c r="C340" s="5" t="s">
        <v>1157</v>
      </c>
      <c r="D340" s="5" t="s">
        <v>1130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1158</v>
      </c>
      <c r="C341" s="5" t="s">
        <v>1159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1160</v>
      </c>
      <c r="C342" s="5" t="s">
        <v>1161</v>
      </c>
      <c r="D342" s="5" t="s">
        <v>770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1162</v>
      </c>
      <c r="C343" s="5" t="s">
        <v>1163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1164</v>
      </c>
      <c r="C344" s="5" t="s">
        <v>866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1165</v>
      </c>
      <c r="C345" s="5" t="s">
        <v>1166</v>
      </c>
      <c r="D345" s="5" t="s">
        <v>770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1167</v>
      </c>
      <c r="C346" s="5" t="s">
        <v>1168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1169</v>
      </c>
      <c r="C347" s="5" t="s">
        <v>1170</v>
      </c>
      <c r="D347" s="5" t="s">
        <v>2572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1171</v>
      </c>
      <c r="C348" s="5" t="s">
        <v>1172</v>
      </c>
      <c r="D348" s="5" t="s">
        <v>1130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1173</v>
      </c>
      <c r="C349" s="5" t="s">
        <v>1174</v>
      </c>
      <c r="D349" s="5" t="s">
        <v>1123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1175</v>
      </c>
      <c r="C350" s="5" t="s">
        <v>872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1176</v>
      </c>
      <c r="C351" s="5" t="s">
        <v>1177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1178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841</v>
      </c>
      <c r="C353" s="5" t="s">
        <v>842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1179</v>
      </c>
      <c r="C354" s="5" t="s">
        <v>1180</v>
      </c>
      <c r="D354" s="5" t="s">
        <v>1126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974</v>
      </c>
      <c r="C355" s="5" t="s">
        <v>975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1181</v>
      </c>
      <c r="C356" s="5" t="s">
        <v>1182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1183</v>
      </c>
      <c r="C357" s="5" t="s">
        <v>1184</v>
      </c>
      <c r="D357" s="5" t="s">
        <v>768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1185</v>
      </c>
      <c r="C358" s="5" t="s">
        <v>1186</v>
      </c>
      <c r="D358" s="5" t="s">
        <v>768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1187</v>
      </c>
      <c r="C359" s="5" t="s">
        <v>1188</v>
      </c>
      <c r="D359" s="5" t="s">
        <v>768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875</v>
      </c>
      <c r="C360" s="5" t="s">
        <v>876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1189</v>
      </c>
      <c r="C361" s="5" t="s">
        <v>1190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1191</v>
      </c>
      <c r="C362" s="5" t="s">
        <v>1192</v>
      </c>
      <c r="D362" s="5" t="s">
        <v>610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1193</v>
      </c>
      <c r="C363" s="5" t="s">
        <v>1194</v>
      </c>
      <c r="D363" s="5" t="s">
        <v>2571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1195</v>
      </c>
      <c r="C364" s="5" t="s">
        <v>1196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1197</v>
      </c>
      <c r="C365" s="5" t="s">
        <v>1198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869</v>
      </c>
      <c r="C366" s="5" t="s">
        <v>870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1199</v>
      </c>
      <c r="C367" s="5" t="s">
        <v>1200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1201</v>
      </c>
      <c r="C368" s="5" t="s">
        <v>1202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1203</v>
      </c>
      <c r="C369" s="5" t="s">
        <v>757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1204</v>
      </c>
      <c r="C370" s="5" t="s">
        <v>1205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1206</v>
      </c>
      <c r="C371" s="5" t="s">
        <v>1207</v>
      </c>
      <c r="D371" s="5" t="s">
        <v>955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1208</v>
      </c>
      <c r="C372" s="5" t="s">
        <v>1209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1210</v>
      </c>
      <c r="C373" s="5" t="s">
        <v>1211</v>
      </c>
      <c r="D373" s="5" t="s">
        <v>1124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1212</v>
      </c>
      <c r="C374" s="5" t="s">
        <v>1213</v>
      </c>
      <c r="D374" s="5" t="s">
        <v>536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1214</v>
      </c>
      <c r="C375" s="5" t="s">
        <v>1215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1216</v>
      </c>
      <c r="C376" s="5" t="s">
        <v>1217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978</v>
      </c>
      <c r="C377" s="5" t="s">
        <v>979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933</v>
      </c>
      <c r="C378" s="5" t="s">
        <v>1218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980</v>
      </c>
      <c r="C379" s="5" t="s">
        <v>981</v>
      </c>
      <c r="D379" s="5" t="s">
        <v>1126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1219</v>
      </c>
      <c r="C380" s="5" t="s">
        <v>1220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1221</v>
      </c>
      <c r="C381" s="5" t="s">
        <v>1222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1223</v>
      </c>
      <c r="C382" s="5" t="s">
        <v>752</v>
      </c>
      <c r="D382" s="5" t="s">
        <v>1224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1225</v>
      </c>
      <c r="C383" s="5" t="s">
        <v>1226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1227</v>
      </c>
      <c r="C384" s="5" t="s">
        <v>1228</v>
      </c>
      <c r="D384" s="5" t="s">
        <v>768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1229</v>
      </c>
      <c r="C385" s="5" t="s">
        <v>1230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1231</v>
      </c>
      <c r="C386" s="5" t="s">
        <v>1232</v>
      </c>
      <c r="D386" s="5" t="s">
        <v>1124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1233</v>
      </c>
      <c r="C387" s="5" t="s">
        <v>1234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1235</v>
      </c>
      <c r="C388" s="5" t="s">
        <v>1236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1237</v>
      </c>
      <c r="C389" s="5" t="s">
        <v>1238</v>
      </c>
      <c r="D389" s="5" t="s">
        <v>1125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1239</v>
      </c>
      <c r="C390" s="5" t="s">
        <v>1240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1241</v>
      </c>
      <c r="C391" s="5" t="s">
        <v>1242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1243</v>
      </c>
      <c r="C392" s="5" t="s">
        <v>1244</v>
      </c>
      <c r="D392" s="5" t="s">
        <v>508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1245</v>
      </c>
      <c r="C393" s="5" t="s">
        <v>1246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1247</v>
      </c>
      <c r="C394" s="5" t="s">
        <v>1248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1249</v>
      </c>
      <c r="C395" s="5" t="s">
        <v>1250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1251</v>
      </c>
      <c r="C396" s="5" t="s">
        <v>1252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1253</v>
      </c>
      <c r="C397" s="5" t="s">
        <v>1254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1255</v>
      </c>
      <c r="C398" s="5" t="s">
        <v>1256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1257</v>
      </c>
      <c r="C399" s="5" t="s">
        <v>1258</v>
      </c>
      <c r="D399" s="5" t="s">
        <v>768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1259</v>
      </c>
      <c r="C400" s="5" t="s">
        <v>1260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1261</v>
      </c>
      <c r="C401" s="5" t="s">
        <v>1262</v>
      </c>
      <c r="D401" s="5" t="s">
        <v>1123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1263</v>
      </c>
      <c r="C402" s="5" t="s">
        <v>1264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1265</v>
      </c>
      <c r="C403" s="5" t="s">
        <v>1266</v>
      </c>
      <c r="D403" s="5" t="s">
        <v>2576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857</v>
      </c>
      <c r="C404" s="5" t="s">
        <v>1267</v>
      </c>
      <c r="D404" s="5" t="s">
        <v>508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1268</v>
      </c>
      <c r="C405" s="5" t="s">
        <v>1269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1270</v>
      </c>
      <c r="C406" s="5" t="s">
        <v>1271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1272</v>
      </c>
      <c r="C407" s="5" t="s">
        <v>1273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1274</v>
      </c>
      <c r="C408" s="5" t="s">
        <v>1275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1276</v>
      </c>
      <c r="C409" s="5" t="s">
        <v>1277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1278</v>
      </c>
      <c r="C410" s="5" t="s">
        <v>1279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1280</v>
      </c>
      <c r="C411" s="5" t="s">
        <v>1281</v>
      </c>
      <c r="D411" s="5" t="s">
        <v>770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1282</v>
      </c>
      <c r="C412" s="5" t="s">
        <v>1283</v>
      </c>
      <c r="D412" s="5" t="s">
        <v>955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877</v>
      </c>
      <c r="C413" s="5" t="s">
        <v>878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1284</v>
      </c>
      <c r="C414" s="5" t="s">
        <v>1285</v>
      </c>
      <c r="D414" s="5" t="s">
        <v>1125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1286</v>
      </c>
      <c r="C415" s="5" t="s">
        <v>1287</v>
      </c>
      <c r="D415" s="5" t="s">
        <v>1126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1288</v>
      </c>
      <c r="C416" s="5" t="s">
        <v>1289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1290</v>
      </c>
      <c r="C417" s="5" t="s">
        <v>1291</v>
      </c>
      <c r="D417" s="5" t="s">
        <v>1130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821</v>
      </c>
      <c r="C418" s="5" t="s">
        <v>822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1292</v>
      </c>
      <c r="C419" s="5" t="s">
        <v>1293</v>
      </c>
      <c r="D419" s="5" t="s">
        <v>1127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1294</v>
      </c>
      <c r="C420" s="5" t="s">
        <v>1295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1296</v>
      </c>
      <c r="C421" s="5" t="s">
        <v>1297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1298</v>
      </c>
      <c r="C422" s="5" t="s">
        <v>1299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901</v>
      </c>
      <c r="C423" s="5" t="s">
        <v>902</v>
      </c>
      <c r="D423" s="5" t="s">
        <v>768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1300</v>
      </c>
      <c r="C424" s="5" t="s">
        <v>1301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1302</v>
      </c>
      <c r="C425" s="5" t="s">
        <v>1303</v>
      </c>
      <c r="D425" s="5" t="s">
        <v>1130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1304</v>
      </c>
      <c r="C426" s="5" t="s">
        <v>1305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1306</v>
      </c>
      <c r="C427" s="5" t="s">
        <v>1307</v>
      </c>
      <c r="D427" s="5" t="s">
        <v>1123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1308</v>
      </c>
      <c r="C428" s="5" t="s">
        <v>1309</v>
      </c>
      <c r="D428" s="5" t="s">
        <v>1124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1310</v>
      </c>
      <c r="C429" s="5" t="s">
        <v>1311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1312</v>
      </c>
      <c r="C430" s="5" t="s">
        <v>1313</v>
      </c>
      <c r="D430" s="5" t="s">
        <v>1125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1314</v>
      </c>
      <c r="C431" s="5" t="s">
        <v>1315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1316</v>
      </c>
      <c r="C432" s="5" t="s">
        <v>1317</v>
      </c>
      <c r="D432" s="5" t="s">
        <v>1126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1318</v>
      </c>
      <c r="C433" s="5" t="s">
        <v>1319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1320</v>
      </c>
      <c r="C434" s="5" t="s">
        <v>1321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1322</v>
      </c>
      <c r="C435" s="5" t="s">
        <v>1323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1324</v>
      </c>
      <c r="C436" s="5" t="s">
        <v>1325</v>
      </c>
      <c r="D436" s="5" t="s">
        <v>1130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1326</v>
      </c>
      <c r="C437" s="5" t="s">
        <v>1327</v>
      </c>
      <c r="D437" s="5" t="s">
        <v>1126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844</v>
      </c>
      <c r="C438" s="5" t="s">
        <v>845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1328</v>
      </c>
      <c r="C439" s="5" t="s">
        <v>1329</v>
      </c>
      <c r="D439" s="5" t="s">
        <v>1130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1330</v>
      </c>
      <c r="C440" s="5" t="s">
        <v>1331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1332</v>
      </c>
      <c r="C441" s="5" t="s">
        <v>1333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1334</v>
      </c>
      <c r="C442" s="5" t="s">
        <v>1335</v>
      </c>
      <c r="D442" s="5" t="s">
        <v>1130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1336</v>
      </c>
      <c r="C443" s="5" t="s">
        <v>1337</v>
      </c>
      <c r="D443" s="5" t="s">
        <v>508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1338</v>
      </c>
      <c r="C444" s="5" t="s">
        <v>1339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1340</v>
      </c>
      <c r="C445" s="5" t="s">
        <v>1341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1342</v>
      </c>
      <c r="C446" s="5" t="s">
        <v>1343</v>
      </c>
      <c r="D446" s="5" t="s">
        <v>1126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1344</v>
      </c>
      <c r="C447" s="5" t="s">
        <v>1345</v>
      </c>
      <c r="D447" s="5" t="s">
        <v>768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1346</v>
      </c>
      <c r="C448" s="5" t="s">
        <v>1347</v>
      </c>
      <c r="D448" s="5" t="s">
        <v>2571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1348</v>
      </c>
      <c r="C449" s="5" t="s">
        <v>1349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1350</v>
      </c>
      <c r="C450" s="5" t="s">
        <v>1351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1352</v>
      </c>
      <c r="C451" s="5" t="s">
        <v>1353</v>
      </c>
      <c r="D451" s="5" t="s">
        <v>2577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1354</v>
      </c>
      <c r="C452" s="5" t="s">
        <v>1355</v>
      </c>
      <c r="D452" s="5" t="s">
        <v>768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1356</v>
      </c>
      <c r="C453" s="5" t="s">
        <v>1357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1358</v>
      </c>
      <c r="C454" s="5" t="s">
        <v>1359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1360</v>
      </c>
      <c r="C455" s="5" t="s">
        <v>1361</v>
      </c>
      <c r="D455" s="5" t="s">
        <v>1129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1362</v>
      </c>
      <c r="C456" s="5" t="s">
        <v>1363</v>
      </c>
      <c r="D456" s="5" t="s">
        <v>1130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1364</v>
      </c>
      <c r="C457" s="5" t="s">
        <v>1365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1366</v>
      </c>
      <c r="C458" s="5" t="s">
        <v>1367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1368</v>
      </c>
      <c r="C459" s="5" t="s">
        <v>1369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1370</v>
      </c>
      <c r="C460" s="5" t="s">
        <v>1371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1372</v>
      </c>
      <c r="C461" s="5" t="s">
        <v>1373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1374</v>
      </c>
      <c r="C462" s="5" t="s">
        <v>1375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1376</v>
      </c>
      <c r="C463" s="5" t="s">
        <v>1377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1378</v>
      </c>
      <c r="C464" s="5" t="s">
        <v>1379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1380</v>
      </c>
      <c r="C465" s="5" t="s">
        <v>1381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1382</v>
      </c>
      <c r="C466" s="5" t="s">
        <v>1383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1384</v>
      </c>
      <c r="C467" s="5" t="s">
        <v>1385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1386</v>
      </c>
      <c r="C468" s="5" t="s">
        <v>1387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1388</v>
      </c>
      <c r="C469" s="5" t="s">
        <v>1389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1390</v>
      </c>
      <c r="C470" s="5" t="s">
        <v>1391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1392</v>
      </c>
      <c r="C471" s="5" t="s">
        <v>1393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982</v>
      </c>
      <c r="C472" s="5" t="s">
        <v>983</v>
      </c>
      <c r="D472" s="5" t="s">
        <v>770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1394</v>
      </c>
      <c r="C473" s="5" t="s">
        <v>1395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1396</v>
      </c>
      <c r="C474" s="5" t="s">
        <v>1397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1398</v>
      </c>
      <c r="C475" s="5" t="s">
        <v>1399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1400</v>
      </c>
      <c r="C476" s="5" t="s">
        <v>1401</v>
      </c>
      <c r="D476" s="5" t="s">
        <v>1125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1402</v>
      </c>
      <c r="C477" s="5" t="s">
        <v>1403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1404</v>
      </c>
      <c r="C478" s="5" t="s">
        <v>1405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984</v>
      </c>
      <c r="C479" s="5" t="s">
        <v>985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1406</v>
      </c>
      <c r="C480" s="5" t="s">
        <v>1407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1408</v>
      </c>
      <c r="C481" s="5" t="s">
        <v>1409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1410</v>
      </c>
      <c r="C482" s="5" t="s">
        <v>1411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1412</v>
      </c>
      <c r="C483" s="5" t="s">
        <v>1413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1414</v>
      </c>
      <c r="C484" s="5" t="s">
        <v>1415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1416</v>
      </c>
      <c r="C485" s="5" t="s">
        <v>1417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1418</v>
      </c>
      <c r="C486" s="5" t="s">
        <v>1419</v>
      </c>
      <c r="D486" s="5" t="s">
        <v>1130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1420</v>
      </c>
      <c r="C487" s="5" t="s">
        <v>1421</v>
      </c>
      <c r="D487" s="5" t="s">
        <v>508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1422</v>
      </c>
      <c r="C488" s="5" t="s">
        <v>1423</v>
      </c>
      <c r="D488" s="5" t="s">
        <v>955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1424</v>
      </c>
      <c r="C489" s="5" t="s">
        <v>1425</v>
      </c>
      <c r="D489" s="5" t="s">
        <v>768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1426</v>
      </c>
      <c r="C490" s="5" t="s">
        <v>1427</v>
      </c>
      <c r="D490" s="5" t="s">
        <v>1124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1428</v>
      </c>
      <c r="C491" s="5" t="s">
        <v>1429</v>
      </c>
      <c r="D491" s="5" t="s">
        <v>1125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1430</v>
      </c>
      <c r="C492" s="5" t="s">
        <v>1431</v>
      </c>
      <c r="D492" s="5" t="s">
        <v>508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1432</v>
      </c>
      <c r="C493" s="5" t="s">
        <v>1433</v>
      </c>
      <c r="D493" s="5" t="s">
        <v>508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1434</v>
      </c>
      <c r="C494" s="5" t="s">
        <v>1435</v>
      </c>
      <c r="D494" s="5" t="s">
        <v>508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1436</v>
      </c>
      <c r="C495" s="5" t="s">
        <v>1437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1438</v>
      </c>
      <c r="C496" s="5" t="s">
        <v>1439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988</v>
      </c>
      <c r="C497" s="5" t="s">
        <v>989</v>
      </c>
      <c r="D497" s="5" t="s">
        <v>1123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1440</v>
      </c>
      <c r="C498" s="5" t="s">
        <v>1441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1442</v>
      </c>
      <c r="C499" s="5" t="s">
        <v>1443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1444</v>
      </c>
      <c r="C500" s="5" t="s">
        <v>1445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1446</v>
      </c>
      <c r="C501" s="5" t="s">
        <v>1447</v>
      </c>
      <c r="D501" s="5" t="s">
        <v>1129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1448</v>
      </c>
      <c r="C502" s="5" t="s">
        <v>1449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1450</v>
      </c>
      <c r="C503" s="5" t="s">
        <v>1451</v>
      </c>
      <c r="D503" s="5" t="s">
        <v>508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1452</v>
      </c>
      <c r="C504" s="5" t="s">
        <v>1453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1454</v>
      </c>
      <c r="C505" s="5" t="s">
        <v>1455</v>
      </c>
      <c r="D505" s="5" t="s">
        <v>2571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1456</v>
      </c>
      <c r="C506" s="5" t="s">
        <v>1457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1458</v>
      </c>
      <c r="C507" s="5" t="s">
        <v>1459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1460</v>
      </c>
      <c r="C508" s="5" t="s">
        <v>1461</v>
      </c>
      <c r="D508" s="5" t="s">
        <v>508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1462</v>
      </c>
      <c r="C509" s="5" t="s">
        <v>1463</v>
      </c>
      <c r="D509" s="5" t="s">
        <v>1129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1464</v>
      </c>
      <c r="C510" s="5" t="s">
        <v>1465</v>
      </c>
      <c r="D510" s="5" t="s">
        <v>1123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1466</v>
      </c>
      <c r="C511" s="5" t="s">
        <v>1467</v>
      </c>
      <c r="D511" s="5" t="s">
        <v>1129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1468</v>
      </c>
      <c r="C512" s="5" t="s">
        <v>1469</v>
      </c>
      <c r="D512" s="5" t="s">
        <v>768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1470</v>
      </c>
      <c r="C513" s="5" t="s">
        <v>1471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1472</v>
      </c>
      <c r="C514" s="5" t="s">
        <v>1473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1474</v>
      </c>
      <c r="C515" s="5" t="s">
        <v>1475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1476</v>
      </c>
      <c r="C516" s="5" t="s">
        <v>1477</v>
      </c>
      <c r="D516" s="5" t="s">
        <v>508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1478</v>
      </c>
      <c r="C517" s="5" t="s">
        <v>1479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1480</v>
      </c>
      <c r="C518" s="5" t="s">
        <v>1481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1482</v>
      </c>
      <c r="C519" s="5" t="s">
        <v>1483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1484</v>
      </c>
      <c r="C520" s="5" t="s">
        <v>1485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3" si="14">+A520+1</f>
        <v>518</v>
      </c>
      <c r="B521" s="5" t="s">
        <v>1486</v>
      </c>
      <c r="C521" s="5" t="s">
        <v>1487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1488</v>
      </c>
      <c r="C522" s="5" t="s">
        <v>1489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1490</v>
      </c>
      <c r="C523" s="5" t="s">
        <v>1491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1492</v>
      </c>
      <c r="C524" s="5" t="s">
        <v>1493</v>
      </c>
      <c r="D524" s="5" t="s">
        <v>1130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1494</v>
      </c>
      <c r="C525" s="5" t="s">
        <v>1495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1496</v>
      </c>
      <c r="C526" s="5" t="s">
        <v>761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1497</v>
      </c>
      <c r="C527" s="5" t="s">
        <v>1498</v>
      </c>
      <c r="D527" s="5" t="s">
        <v>1126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1499</v>
      </c>
      <c r="C528" s="5" t="s">
        <v>1500</v>
      </c>
      <c r="D528" s="5" t="s">
        <v>770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1501</v>
      </c>
      <c r="C529" s="5" t="s">
        <v>1502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990</v>
      </c>
      <c r="C530" s="5" t="s">
        <v>991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1505</v>
      </c>
      <c r="C531" s="5" t="s">
        <v>1506</v>
      </c>
      <c r="D531" s="5" t="s">
        <v>87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1507</v>
      </c>
      <c r="C532" s="5" t="s">
        <v>1508</v>
      </c>
      <c r="D532" s="5" t="s">
        <v>84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1509</v>
      </c>
      <c r="C533" s="5" t="s">
        <v>1510</v>
      </c>
      <c r="D533" s="5" t="s">
        <v>45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1511</v>
      </c>
      <c r="C534" s="5" t="s">
        <v>1512</v>
      </c>
      <c r="D534" s="5" t="s">
        <v>508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1513</v>
      </c>
      <c r="C535" s="5" t="s">
        <v>1514</v>
      </c>
      <c r="D535" s="5" t="s">
        <v>45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1515</v>
      </c>
      <c r="C536" s="5" t="s">
        <v>1516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1517</v>
      </c>
      <c r="C537" s="5" t="s">
        <v>1518</v>
      </c>
      <c r="D537" s="5" t="s">
        <v>84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1519</v>
      </c>
      <c r="C538" s="5" t="s">
        <v>1520</v>
      </c>
      <c r="D538" s="5" t="s">
        <v>1126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1521</v>
      </c>
      <c r="C539" s="5" t="s">
        <v>1522</v>
      </c>
      <c r="D539" s="5" t="s">
        <v>45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1523</v>
      </c>
      <c r="C540" s="5" t="s">
        <v>1524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1525</v>
      </c>
      <c r="C541" s="5" t="s">
        <v>1526</v>
      </c>
      <c r="D541" s="5" t="s">
        <v>508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1527</v>
      </c>
      <c r="C542" s="5" t="s">
        <v>1528</v>
      </c>
      <c r="D542" s="5" t="s">
        <v>84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1529</v>
      </c>
      <c r="C543" s="5" t="s">
        <v>1530</v>
      </c>
      <c r="D543" s="5" t="s">
        <v>45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1531</v>
      </c>
      <c r="C544" s="5" t="s">
        <v>1532</v>
      </c>
      <c r="D544" s="5" t="s">
        <v>1129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1533</v>
      </c>
      <c r="C545" s="5" t="s">
        <v>1534</v>
      </c>
      <c r="D545" s="5" t="s">
        <v>1129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1535</v>
      </c>
      <c r="C546" s="5" t="s">
        <v>1536</v>
      </c>
      <c r="D546" s="5" t="s">
        <v>87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1537</v>
      </c>
      <c r="C547" s="5" t="s">
        <v>1538</v>
      </c>
      <c r="D547" s="5" t="s">
        <v>45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1539</v>
      </c>
      <c r="C548" s="5" t="s">
        <v>1540</v>
      </c>
      <c r="D548" s="5" t="s">
        <v>508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992</v>
      </c>
      <c r="C549" s="5" t="s">
        <v>993</v>
      </c>
      <c r="D549" s="5" t="s">
        <v>84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1541</v>
      </c>
      <c r="C550" s="5" t="s">
        <v>1542</v>
      </c>
      <c r="D550" s="5" t="s">
        <v>45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1543</v>
      </c>
      <c r="C551" s="5" t="s">
        <v>1544</v>
      </c>
      <c r="D551" s="5" t="s">
        <v>1123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1545</v>
      </c>
      <c r="C552" s="5" t="s">
        <v>1546</v>
      </c>
      <c r="D552" s="5" t="s">
        <v>45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1547</v>
      </c>
      <c r="C553" s="5" t="s">
        <v>1548</v>
      </c>
      <c r="D553" s="5" t="s">
        <v>398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994</v>
      </c>
      <c r="C554" s="5" t="s">
        <v>995</v>
      </c>
      <c r="D554" s="5" t="s">
        <v>45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1549</v>
      </c>
      <c r="C555" s="5" t="s">
        <v>1550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1551</v>
      </c>
      <c r="C556" s="5" t="s">
        <v>1552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1553</v>
      </c>
      <c r="C557" s="5" t="s">
        <v>1554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1555</v>
      </c>
      <c r="C558" s="5" t="s">
        <v>1556</v>
      </c>
      <c r="D558" s="5" t="s">
        <v>87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1557</v>
      </c>
      <c r="C559" s="5" t="s">
        <v>1558</v>
      </c>
      <c r="D559" s="5" t="s">
        <v>45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1559</v>
      </c>
      <c r="C560" s="5" t="s">
        <v>1560</v>
      </c>
      <c r="D560" s="5" t="s">
        <v>1123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1561</v>
      </c>
      <c r="C561" s="5" t="s">
        <v>1562</v>
      </c>
      <c r="D561" s="5" t="s">
        <v>1127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1563</v>
      </c>
      <c r="C562" s="5" t="s">
        <v>1564</v>
      </c>
      <c r="D562" s="5" t="s">
        <v>1129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1565</v>
      </c>
      <c r="C563" s="5" t="s">
        <v>1566</v>
      </c>
      <c r="D563" s="5" t="s">
        <v>1125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1567</v>
      </c>
      <c r="C564" s="5" t="s">
        <v>1568</v>
      </c>
      <c r="D564" s="5" t="s">
        <v>45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1569</v>
      </c>
      <c r="C565" s="5" t="s">
        <v>1570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996</v>
      </c>
      <c r="C566" s="5" t="s">
        <v>996</v>
      </c>
      <c r="D566" s="5" t="s">
        <v>84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1571</v>
      </c>
      <c r="C567" s="5" t="s">
        <v>1572</v>
      </c>
      <c r="D567" s="5" t="s">
        <v>45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1573</v>
      </c>
      <c r="C568" s="5" t="s">
        <v>1574</v>
      </c>
      <c r="D568" s="5" t="s">
        <v>1126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1575</v>
      </c>
      <c r="C569" s="5" t="s">
        <v>1576</v>
      </c>
      <c r="D569" s="5" t="s">
        <v>45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1577</v>
      </c>
      <c r="C570" s="5" t="s">
        <v>1578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1579</v>
      </c>
      <c r="C571" s="5" t="s">
        <v>913</v>
      </c>
      <c r="D571" s="5" t="s">
        <v>2571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1580</v>
      </c>
      <c r="C572" s="5" t="s">
        <v>1581</v>
      </c>
      <c r="D572" s="5" t="s">
        <v>45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1582</v>
      </c>
      <c r="C573" s="5" t="s">
        <v>1583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1584</v>
      </c>
      <c r="C574" s="5" t="s">
        <v>1585</v>
      </c>
      <c r="D574" s="5" t="s">
        <v>84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1586</v>
      </c>
      <c r="C575" s="5" t="s">
        <v>1587</v>
      </c>
      <c r="D575" s="5" t="s">
        <v>45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1588</v>
      </c>
      <c r="C576" s="5" t="s">
        <v>1589</v>
      </c>
      <c r="D576" s="5" t="s">
        <v>770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1590</v>
      </c>
      <c r="C577" s="5" t="s">
        <v>1591</v>
      </c>
      <c r="D577" s="5" t="s">
        <v>768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1592</v>
      </c>
      <c r="C578" s="5" t="s">
        <v>1593</v>
      </c>
      <c r="D578" s="5" t="s">
        <v>45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1594</v>
      </c>
      <c r="C579" s="5" t="s">
        <v>1595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1596</v>
      </c>
      <c r="C580" s="5" t="s">
        <v>1597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1598</v>
      </c>
      <c r="C581" s="5" t="s">
        <v>1599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997</v>
      </c>
      <c r="C582" s="5" t="s">
        <v>998</v>
      </c>
      <c r="D582" s="5" t="s">
        <v>245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1600</v>
      </c>
      <c r="C583" s="5" t="s">
        <v>1601</v>
      </c>
      <c r="D583" s="5" t="s">
        <v>1130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ref="A584:A647" si="15">+A583+1</f>
        <v>581</v>
      </c>
      <c r="B584" s="5" t="s">
        <v>1602</v>
      </c>
      <c r="C584" s="5" t="s">
        <v>1603</v>
      </c>
      <c r="D584" s="5" t="s">
        <v>84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si="15"/>
        <v>582</v>
      </c>
      <c r="B585" s="5" t="s">
        <v>1604</v>
      </c>
      <c r="C585" s="5" t="s">
        <v>1605</v>
      </c>
      <c r="D585" s="5" t="s">
        <v>45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1606</v>
      </c>
      <c r="C586" s="5" t="s">
        <v>1607</v>
      </c>
      <c r="D586" s="5" t="s">
        <v>770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1608</v>
      </c>
      <c r="C587" s="5" t="s">
        <v>1609</v>
      </c>
      <c r="D587" s="5" t="s">
        <v>45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1610</v>
      </c>
      <c r="C588" s="5" t="s">
        <v>1611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846</v>
      </c>
      <c r="C589" s="5" t="s">
        <v>847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1612</v>
      </c>
      <c r="C590" s="5" t="s">
        <v>1613</v>
      </c>
      <c r="D590" s="5" t="s">
        <v>770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1614</v>
      </c>
      <c r="C591" s="5" t="s">
        <v>1615</v>
      </c>
      <c r="D591" s="5" t="s">
        <v>45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1616</v>
      </c>
      <c r="C592" s="5" t="s">
        <v>1617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1618</v>
      </c>
      <c r="C593" s="5" t="s">
        <v>1619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1001</v>
      </c>
      <c r="C594" s="5" t="s">
        <v>1002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1620</v>
      </c>
      <c r="C595" s="5" t="s">
        <v>1621</v>
      </c>
      <c r="D595" s="5" t="s">
        <v>1125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1622</v>
      </c>
      <c r="C596" s="5" t="s">
        <v>1623</v>
      </c>
      <c r="D596" s="5" t="s">
        <v>955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1624</v>
      </c>
      <c r="C597" s="5" t="s">
        <v>1625</v>
      </c>
      <c r="D597" s="5" t="s">
        <v>87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1626</v>
      </c>
      <c r="C598" s="5" t="s">
        <v>1627</v>
      </c>
      <c r="D598" s="5" t="s">
        <v>1125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1628</v>
      </c>
      <c r="C599" s="5" t="s">
        <v>1629</v>
      </c>
      <c r="D599" s="5" t="s">
        <v>87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1003</v>
      </c>
      <c r="C600" s="5" t="s">
        <v>1004</v>
      </c>
      <c r="D600" s="5" t="s">
        <v>536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1630</v>
      </c>
      <c r="C601" s="5" t="s">
        <v>1631</v>
      </c>
      <c r="D601" s="5" t="s">
        <v>45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1632</v>
      </c>
      <c r="C602" s="5" t="s">
        <v>1633</v>
      </c>
      <c r="D602" s="5" t="s">
        <v>768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1634</v>
      </c>
      <c r="C603" s="5" t="s">
        <v>1635</v>
      </c>
      <c r="D603" s="5" t="s">
        <v>161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1636</v>
      </c>
      <c r="C604" s="5" t="s">
        <v>1637</v>
      </c>
      <c r="D604" s="5" t="s">
        <v>1638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1639</v>
      </c>
      <c r="C605" s="5" t="s">
        <v>1640</v>
      </c>
      <c r="D605" s="5" t="s">
        <v>1123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1641</v>
      </c>
      <c r="C606" s="5" t="s">
        <v>1642</v>
      </c>
      <c r="D606" s="5" t="s">
        <v>1123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1005</v>
      </c>
      <c r="C607" s="5" t="s">
        <v>1006</v>
      </c>
      <c r="D607" s="5" t="s">
        <v>508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1643</v>
      </c>
      <c r="C608" s="5" t="s">
        <v>1644</v>
      </c>
      <c r="D608" s="5" t="s">
        <v>1125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1645</v>
      </c>
      <c r="C609" s="5" t="s">
        <v>1646</v>
      </c>
      <c r="D609" s="5" t="s">
        <v>45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1647</v>
      </c>
      <c r="C610" s="5" t="s">
        <v>1648</v>
      </c>
      <c r="D610" s="5" t="s">
        <v>508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1649</v>
      </c>
      <c r="C611" s="5" t="s">
        <v>1650</v>
      </c>
      <c r="D611" s="5" t="s">
        <v>2575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1651</v>
      </c>
      <c r="C612" s="5" t="s">
        <v>1652</v>
      </c>
      <c r="D612" s="5" t="s">
        <v>1125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1653</v>
      </c>
      <c r="C613" s="5" t="s">
        <v>1654</v>
      </c>
      <c r="D613" s="5" t="s">
        <v>1129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1655</v>
      </c>
      <c r="C614" s="5" t="s">
        <v>1656</v>
      </c>
      <c r="D614" s="5" t="s">
        <v>45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1657</v>
      </c>
      <c r="C615" s="5" t="s">
        <v>1658</v>
      </c>
      <c r="D615" s="5" t="s">
        <v>1125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1659</v>
      </c>
      <c r="C616" s="5" t="s">
        <v>1660</v>
      </c>
      <c r="D616" s="5" t="s">
        <v>45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1661</v>
      </c>
      <c r="C617" s="5" t="s">
        <v>1662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1663</v>
      </c>
      <c r="C618" s="5" t="s">
        <v>1664</v>
      </c>
      <c r="D618" s="5" t="s">
        <v>1123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1665</v>
      </c>
      <c r="C619" s="5" t="s">
        <v>1666</v>
      </c>
      <c r="D619" s="5" t="s">
        <v>508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1667</v>
      </c>
      <c r="C620" s="5" t="s">
        <v>1668</v>
      </c>
      <c r="D620" s="5" t="s">
        <v>2572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1669</v>
      </c>
      <c r="C621" s="5" t="s">
        <v>1670</v>
      </c>
      <c r="D621" s="5" t="s">
        <v>1125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1671</v>
      </c>
      <c r="C622" s="5" t="s">
        <v>1672</v>
      </c>
      <c r="D622" s="5" t="s">
        <v>1129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1673</v>
      </c>
      <c r="C623" s="5" t="s">
        <v>1674</v>
      </c>
      <c r="D623" s="5" t="s">
        <v>770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1675</v>
      </c>
      <c r="C624" s="5" t="s">
        <v>1676</v>
      </c>
      <c r="D624" s="5" t="s">
        <v>87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1677</v>
      </c>
      <c r="C625" s="5" t="s">
        <v>1678</v>
      </c>
      <c r="D625" s="5" t="s">
        <v>536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1679</v>
      </c>
      <c r="C626" s="5" t="s">
        <v>1680</v>
      </c>
      <c r="D626" s="5" t="s">
        <v>45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1681</v>
      </c>
      <c r="C627" s="5" t="s">
        <v>1682</v>
      </c>
      <c r="D627" s="5" t="s">
        <v>955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1683</v>
      </c>
      <c r="C628" s="5" t="s">
        <v>1684</v>
      </c>
      <c r="D628" s="5" t="s">
        <v>45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1685</v>
      </c>
      <c r="C629" s="5" t="s">
        <v>1686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1687</v>
      </c>
      <c r="C630" s="5" t="s">
        <v>1688</v>
      </c>
      <c r="D630" s="5" t="s">
        <v>1130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1689</v>
      </c>
      <c r="C631" s="5" t="s">
        <v>1690</v>
      </c>
      <c r="D631" s="5" t="s">
        <v>1127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1691</v>
      </c>
      <c r="C632" s="5" t="s">
        <v>1692</v>
      </c>
      <c r="D632" s="5" t="s">
        <v>45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1693</v>
      </c>
      <c r="C633" s="5" t="s">
        <v>1694</v>
      </c>
      <c r="D633" s="5" t="s">
        <v>1130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1695</v>
      </c>
      <c r="C634" s="5" t="s">
        <v>1696</v>
      </c>
      <c r="D634" s="5" t="s">
        <v>1129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906</v>
      </c>
      <c r="C635" s="5" t="s">
        <v>907</v>
      </c>
      <c r="D635" s="5" t="s">
        <v>45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1697</v>
      </c>
      <c r="C636" s="5" t="s">
        <v>1698</v>
      </c>
      <c r="D636" s="5" t="s">
        <v>46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1699</v>
      </c>
      <c r="C637" s="5" t="s">
        <v>1700</v>
      </c>
      <c r="D637" s="5" t="s">
        <v>1129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1701</v>
      </c>
      <c r="C638" s="5" t="s">
        <v>1702</v>
      </c>
      <c r="D638" s="5" t="s">
        <v>45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1703</v>
      </c>
      <c r="C639" s="5" t="s">
        <v>1704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1009</v>
      </c>
      <c r="C640" s="5" t="s">
        <v>1010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1705</v>
      </c>
      <c r="C641" s="5" t="s">
        <v>1706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1707</v>
      </c>
      <c r="C642" s="5" t="s">
        <v>1708</v>
      </c>
      <c r="D642" s="5" t="s">
        <v>1125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1709</v>
      </c>
      <c r="C643" s="5" t="s">
        <v>1710</v>
      </c>
      <c r="D643" s="5" t="s">
        <v>45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1711</v>
      </c>
      <c r="C644" s="5" t="s">
        <v>1712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1713</v>
      </c>
      <c r="C645" s="5" t="s">
        <v>1714</v>
      </c>
      <c r="D645" s="5" t="s">
        <v>1124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1715</v>
      </c>
      <c r="C646" s="5" t="s">
        <v>1716</v>
      </c>
      <c r="D646" s="5" t="s">
        <v>45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1717</v>
      </c>
      <c r="C647" s="5" t="s">
        <v>1718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ref="A648:A711" si="16">+A647+1</f>
        <v>645</v>
      </c>
      <c r="B648" s="5" t="s">
        <v>1719</v>
      </c>
      <c r="C648" s="5" t="s">
        <v>1720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si="16"/>
        <v>646</v>
      </c>
      <c r="B649" s="5" t="s">
        <v>1721</v>
      </c>
      <c r="C649" s="5" t="s">
        <v>1721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1722</v>
      </c>
      <c r="C650" s="5" t="s">
        <v>1723</v>
      </c>
      <c r="D650" s="5" t="s">
        <v>2576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1724</v>
      </c>
      <c r="C651" s="5" t="s">
        <v>1725</v>
      </c>
      <c r="D651" s="5" t="s">
        <v>45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1726</v>
      </c>
      <c r="C652" s="5" t="s">
        <v>1727</v>
      </c>
      <c r="D652" s="5" t="s">
        <v>770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1728</v>
      </c>
      <c r="C653" s="5" t="s">
        <v>1729</v>
      </c>
      <c r="D653" s="5" t="s">
        <v>45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1013</v>
      </c>
      <c r="C654" s="5" t="s">
        <v>1014</v>
      </c>
      <c r="D654" s="5" t="s">
        <v>770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1730</v>
      </c>
      <c r="C655" s="5" t="s">
        <v>1731</v>
      </c>
      <c r="D655" s="5" t="s">
        <v>45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1732</v>
      </c>
      <c r="C656" s="5" t="s">
        <v>1733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1734</v>
      </c>
      <c r="C657" s="5" t="s">
        <v>1735</v>
      </c>
      <c r="D657" s="5" t="s">
        <v>186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1736</v>
      </c>
      <c r="C658" s="5" t="s">
        <v>1737</v>
      </c>
      <c r="D658" s="5" t="s">
        <v>84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1738</v>
      </c>
      <c r="C659" s="5" t="s">
        <v>1739</v>
      </c>
      <c r="D659" s="5" t="s">
        <v>45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1740</v>
      </c>
      <c r="C660" s="5" t="s">
        <v>1741</v>
      </c>
      <c r="D660" s="5" t="s">
        <v>1126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1742</v>
      </c>
      <c r="C661" s="5" t="s">
        <v>1743</v>
      </c>
      <c r="D661" s="5" t="s">
        <v>186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1744</v>
      </c>
      <c r="C662" s="5" t="s">
        <v>1745</v>
      </c>
      <c r="D662" s="5" t="s">
        <v>1124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1746</v>
      </c>
      <c r="C663" s="5" t="s">
        <v>1747</v>
      </c>
      <c r="D663" s="5" t="s">
        <v>45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1748</v>
      </c>
      <c r="C664" s="5" t="s">
        <v>1749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1750</v>
      </c>
      <c r="C665" s="5" t="s">
        <v>1751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1752</v>
      </c>
      <c r="C666" s="5" t="s">
        <v>1753</v>
      </c>
      <c r="D666" s="5" t="s">
        <v>84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1754</v>
      </c>
      <c r="C667" s="5" t="s">
        <v>1755</v>
      </c>
      <c r="D667" s="5" t="s">
        <v>45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1756</v>
      </c>
      <c r="C668" s="5" t="s">
        <v>1757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1758</v>
      </c>
      <c r="C669" s="5" t="s">
        <v>1759</v>
      </c>
      <c r="D669" s="5" t="s">
        <v>536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1760</v>
      </c>
      <c r="C670" s="5" t="s">
        <v>1761</v>
      </c>
      <c r="D670" s="5" t="s">
        <v>45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1762</v>
      </c>
      <c r="C671" s="5" t="s">
        <v>1763</v>
      </c>
      <c r="D671" s="5" t="s">
        <v>1123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1764</v>
      </c>
      <c r="C672" s="5" t="s">
        <v>1765</v>
      </c>
      <c r="D672" s="5" t="s">
        <v>1129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1766</v>
      </c>
      <c r="C673" s="5" t="s">
        <v>1767</v>
      </c>
      <c r="D673" s="5" t="s">
        <v>84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1019</v>
      </c>
      <c r="C674" s="5" t="s">
        <v>1020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1768</v>
      </c>
      <c r="C675" s="5" t="s">
        <v>1769</v>
      </c>
      <c r="D675" s="5" t="s">
        <v>2575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1770</v>
      </c>
      <c r="C676" s="5" t="s">
        <v>1771</v>
      </c>
      <c r="D676" s="5" t="s">
        <v>47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1772</v>
      </c>
      <c r="C677" s="5" t="s">
        <v>1773</v>
      </c>
      <c r="D677" s="5" t="s">
        <v>45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1774</v>
      </c>
      <c r="C678" s="5" t="s">
        <v>886</v>
      </c>
      <c r="D678" s="5" t="s">
        <v>768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1775</v>
      </c>
      <c r="C679" s="5" t="s">
        <v>1776</v>
      </c>
      <c r="D679" s="5" t="s">
        <v>45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1777</v>
      </c>
      <c r="C680" s="5" t="s">
        <v>1778</v>
      </c>
      <c r="D680" s="5" t="s">
        <v>87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1779</v>
      </c>
      <c r="C681" s="5" t="s">
        <v>1780</v>
      </c>
      <c r="D681" s="5" t="s">
        <v>768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1781</v>
      </c>
      <c r="C682" s="5" t="s">
        <v>1782</v>
      </c>
      <c r="D682" s="5" t="s">
        <v>45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1783</v>
      </c>
      <c r="C683" s="5" t="s">
        <v>1784</v>
      </c>
      <c r="D683" s="5" t="s">
        <v>508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1785</v>
      </c>
      <c r="C684" s="5" t="s">
        <v>1786</v>
      </c>
      <c r="D684" s="5" t="s">
        <v>1123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1787</v>
      </c>
      <c r="C685" s="5" t="s">
        <v>1788</v>
      </c>
      <c r="D685" s="5" t="s">
        <v>45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1027</v>
      </c>
      <c r="C686" s="5" t="s">
        <v>1028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1789</v>
      </c>
      <c r="C687" s="5" t="s">
        <v>1790</v>
      </c>
      <c r="D687" s="5" t="s">
        <v>2569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1791</v>
      </c>
      <c r="C688" s="5" t="s">
        <v>1792</v>
      </c>
      <c r="D688" s="5" t="s">
        <v>955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1793</v>
      </c>
      <c r="C689" s="5" t="s">
        <v>1794</v>
      </c>
      <c r="D689" s="5" t="s">
        <v>45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1795</v>
      </c>
      <c r="C690" s="5" t="s">
        <v>1796</v>
      </c>
      <c r="D690" s="5" t="s">
        <v>1123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1029</v>
      </c>
      <c r="C691" s="5" t="s">
        <v>1030</v>
      </c>
      <c r="D691" s="5" t="s">
        <v>770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1797</v>
      </c>
      <c r="C692" s="5" t="s">
        <v>1798</v>
      </c>
      <c r="D692" s="5" t="s">
        <v>84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1799</v>
      </c>
      <c r="C693" s="5" t="s">
        <v>1800</v>
      </c>
      <c r="D693" s="5" t="s">
        <v>87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1801</v>
      </c>
      <c r="C694" s="5" t="s">
        <v>1802</v>
      </c>
      <c r="D694" s="5" t="s">
        <v>45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1803</v>
      </c>
      <c r="C695" s="5" t="s">
        <v>1804</v>
      </c>
      <c r="D695" s="5" t="s">
        <v>1123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1805</v>
      </c>
      <c r="C696" s="5" t="s">
        <v>1806</v>
      </c>
      <c r="D696" s="5" t="s">
        <v>282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1807</v>
      </c>
      <c r="C697" s="5" t="s">
        <v>1808</v>
      </c>
      <c r="D697" s="5" t="s">
        <v>1130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1031</v>
      </c>
      <c r="C698" s="5" t="s">
        <v>1032</v>
      </c>
      <c r="D698" s="5" t="s">
        <v>45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1809</v>
      </c>
      <c r="C699" s="5" t="s">
        <v>1810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1811</v>
      </c>
      <c r="C700" s="5" t="s">
        <v>1812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1813</v>
      </c>
      <c r="C701" s="5" t="s">
        <v>1814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1815</v>
      </c>
      <c r="C702" s="5" t="s">
        <v>1816</v>
      </c>
      <c r="D702" s="5" t="s">
        <v>1130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1817</v>
      </c>
      <c r="C703" s="5" t="s">
        <v>1818</v>
      </c>
      <c r="D703" s="5" t="s">
        <v>770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1819</v>
      </c>
      <c r="C704" s="5" t="s">
        <v>1820</v>
      </c>
      <c r="D704" s="5" t="s">
        <v>45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1821</v>
      </c>
      <c r="C705" s="5" t="s">
        <v>1822</v>
      </c>
      <c r="D705" s="5" t="s">
        <v>1123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1823</v>
      </c>
      <c r="C706" s="5" t="s">
        <v>1824</v>
      </c>
      <c r="D706" s="5" t="s">
        <v>45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1825</v>
      </c>
      <c r="C707" s="5" t="s">
        <v>1826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1827</v>
      </c>
      <c r="C708" s="5" t="s">
        <v>1828</v>
      </c>
      <c r="D708" s="5" t="s">
        <v>398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1829</v>
      </c>
      <c r="C709" s="5" t="s">
        <v>1830</v>
      </c>
      <c r="D709" s="5" t="s">
        <v>2579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1831</v>
      </c>
      <c r="C710" s="5" t="s">
        <v>1832</v>
      </c>
      <c r="D710" s="5" t="s">
        <v>1129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1833</v>
      </c>
      <c r="C711" s="5" t="s">
        <v>1834</v>
      </c>
      <c r="D711" s="5" t="s">
        <v>1125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ref="A712:A775" si="17">+A711+1</f>
        <v>709</v>
      </c>
      <c r="B712" s="5" t="s">
        <v>1835</v>
      </c>
      <c r="C712" s="5" t="s">
        <v>1836</v>
      </c>
      <c r="D712" s="5" t="s">
        <v>45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si="17"/>
        <v>710</v>
      </c>
      <c r="B713" s="5" t="s">
        <v>1837</v>
      </c>
      <c r="C713" s="5" t="s">
        <v>1838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1839</v>
      </c>
      <c r="C714" s="5" t="s">
        <v>1840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1841</v>
      </c>
      <c r="C715" s="5" t="s">
        <v>1842</v>
      </c>
      <c r="D715" s="5" t="s">
        <v>536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1843</v>
      </c>
      <c r="C716" s="5" t="s">
        <v>1844</v>
      </c>
      <c r="D716" s="5" t="s">
        <v>768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1845</v>
      </c>
      <c r="C717" s="5" t="s">
        <v>1846</v>
      </c>
      <c r="D717" s="5" t="s">
        <v>45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1847</v>
      </c>
      <c r="C718" s="5" t="s">
        <v>1848</v>
      </c>
      <c r="D718" s="5" t="s">
        <v>282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1849</v>
      </c>
      <c r="C719" s="5" t="s">
        <v>1850</v>
      </c>
      <c r="D719" s="5" t="s">
        <v>278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1851</v>
      </c>
      <c r="C720" s="5" t="s">
        <v>1852</v>
      </c>
      <c r="D720" s="5" t="s">
        <v>1130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1853</v>
      </c>
      <c r="C721" s="5" t="s">
        <v>1854</v>
      </c>
      <c r="D721" s="5" t="s">
        <v>508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1855</v>
      </c>
      <c r="C722" s="5" t="s">
        <v>1856</v>
      </c>
      <c r="D722" s="5" t="s">
        <v>45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1857</v>
      </c>
      <c r="C723" s="5" t="s">
        <v>1858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1859</v>
      </c>
      <c r="C724" s="5" t="s">
        <v>1860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1861</v>
      </c>
      <c r="C725" s="5" t="s">
        <v>1862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1863</v>
      </c>
      <c r="C726" s="5" t="s">
        <v>1864</v>
      </c>
      <c r="D726" s="5" t="s">
        <v>87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1865</v>
      </c>
      <c r="C727" s="5" t="s">
        <v>1866</v>
      </c>
      <c r="D727" s="5" t="s">
        <v>45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1867</v>
      </c>
      <c r="C728" s="5" t="s">
        <v>1868</v>
      </c>
      <c r="D728" s="5" t="s">
        <v>1129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1869</v>
      </c>
      <c r="C729" s="5" t="s">
        <v>1870</v>
      </c>
      <c r="D729" s="5" t="s">
        <v>45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1871</v>
      </c>
      <c r="C730" s="5" t="s">
        <v>1872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1035</v>
      </c>
      <c r="C731" s="5" t="s">
        <v>1036</v>
      </c>
      <c r="D731" s="5" t="s">
        <v>536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1873</v>
      </c>
      <c r="C732" s="5" t="s">
        <v>1874</v>
      </c>
      <c r="D732" s="5" t="s">
        <v>955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1875</v>
      </c>
      <c r="C733" s="5" t="s">
        <v>1876</v>
      </c>
      <c r="D733" s="5" t="s">
        <v>1126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1877</v>
      </c>
      <c r="C734" s="5" t="s">
        <v>1878</v>
      </c>
      <c r="D734" s="5" t="s">
        <v>955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1879</v>
      </c>
      <c r="C735" s="5" t="s">
        <v>1880</v>
      </c>
      <c r="D735" s="5" t="s">
        <v>45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1881</v>
      </c>
      <c r="C736" s="5" t="s">
        <v>1882</v>
      </c>
      <c r="D736" s="5" t="s">
        <v>768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1883</v>
      </c>
      <c r="C737" s="5" t="s">
        <v>1884</v>
      </c>
      <c r="D737" s="5" t="s">
        <v>45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1885</v>
      </c>
      <c r="C738" s="5" t="s">
        <v>1886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1887</v>
      </c>
      <c r="C739" s="5" t="s">
        <v>1888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1889</v>
      </c>
      <c r="C740" s="5" t="s">
        <v>1890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1891</v>
      </c>
      <c r="C741" s="5" t="s">
        <v>1892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1893</v>
      </c>
      <c r="C742" s="5" t="s">
        <v>1894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1895</v>
      </c>
      <c r="C743" s="5" t="s">
        <v>1896</v>
      </c>
      <c r="D743" s="5" t="s">
        <v>768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1897</v>
      </c>
      <c r="C744" s="5" t="s">
        <v>1898</v>
      </c>
      <c r="D744" s="5" t="s">
        <v>161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1899</v>
      </c>
      <c r="C745" s="5" t="s">
        <v>1900</v>
      </c>
      <c r="D745" s="5" t="s">
        <v>1127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1901</v>
      </c>
      <c r="C746" s="5" t="s">
        <v>1902</v>
      </c>
      <c r="D746" s="5" t="s">
        <v>1129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1903</v>
      </c>
      <c r="C747" s="5" t="s">
        <v>1904</v>
      </c>
      <c r="D747" s="5" t="s">
        <v>1123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1905</v>
      </c>
      <c r="C748" s="5" t="s">
        <v>1906</v>
      </c>
      <c r="D748" s="5" t="s">
        <v>2572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1907</v>
      </c>
      <c r="C749" s="5" t="s">
        <v>1908</v>
      </c>
      <c r="D749" s="5" t="s">
        <v>45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1909</v>
      </c>
      <c r="C750" s="5" t="s">
        <v>1910</v>
      </c>
      <c r="D750" s="5" t="s">
        <v>2569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1911</v>
      </c>
      <c r="C751" s="5" t="s">
        <v>1912</v>
      </c>
      <c r="D751" s="5" t="s">
        <v>768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1913</v>
      </c>
      <c r="C752" s="5" t="s">
        <v>1914</v>
      </c>
      <c r="D752" s="5" t="s">
        <v>1129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1915</v>
      </c>
      <c r="C753" s="5" t="s">
        <v>1916</v>
      </c>
      <c r="D753" s="5" t="s">
        <v>955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1917</v>
      </c>
      <c r="C754" s="5" t="s">
        <v>1918</v>
      </c>
      <c r="D754" s="5" t="s">
        <v>45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1919</v>
      </c>
      <c r="C755" s="5" t="s">
        <v>1920</v>
      </c>
      <c r="D755" s="5" t="s">
        <v>1127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1921</v>
      </c>
      <c r="C756" s="5" t="s">
        <v>1922</v>
      </c>
      <c r="D756" s="5" t="s">
        <v>45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1923</v>
      </c>
      <c r="C757" s="5" t="s">
        <v>1924</v>
      </c>
      <c r="D757" s="5" t="s">
        <v>278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1925</v>
      </c>
      <c r="C758" s="5" t="s">
        <v>1926</v>
      </c>
      <c r="D758" s="5" t="s">
        <v>1129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1927</v>
      </c>
      <c r="C759" s="5" t="s">
        <v>1928</v>
      </c>
      <c r="D759" s="5" t="s">
        <v>84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1929</v>
      </c>
      <c r="C760" s="5" t="s">
        <v>1930</v>
      </c>
      <c r="D760" s="5" t="s">
        <v>1129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1931</v>
      </c>
      <c r="C761" s="5" t="s">
        <v>1932</v>
      </c>
      <c r="D761" s="5" t="s">
        <v>1125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1933</v>
      </c>
      <c r="C762" s="5" t="s">
        <v>1934</v>
      </c>
      <c r="D762" s="5" t="s">
        <v>2576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1935</v>
      </c>
      <c r="C763" s="5" t="s">
        <v>1936</v>
      </c>
      <c r="D763" s="5" t="s">
        <v>45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1937</v>
      </c>
      <c r="C764" s="5" t="s">
        <v>1938</v>
      </c>
      <c r="D764" s="5" t="s">
        <v>508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1939</v>
      </c>
      <c r="C765" s="5" t="s">
        <v>1940</v>
      </c>
      <c r="D765" s="5" t="s">
        <v>1130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1941</v>
      </c>
      <c r="C766" s="5" t="s">
        <v>1942</v>
      </c>
      <c r="D766" s="5" t="s">
        <v>45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1943</v>
      </c>
      <c r="C767" s="5" t="s">
        <v>1944</v>
      </c>
      <c r="D767" s="5" t="s">
        <v>2575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1945</v>
      </c>
      <c r="C768" s="5" t="s">
        <v>1946</v>
      </c>
      <c r="D768" s="5" t="s">
        <v>770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1947</v>
      </c>
      <c r="C769" s="5" t="s">
        <v>1948</v>
      </c>
      <c r="D769" s="5" t="s">
        <v>45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1949</v>
      </c>
      <c r="C770" s="5" t="s">
        <v>1950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1951</v>
      </c>
      <c r="C771" s="5" t="s">
        <v>1952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1953</v>
      </c>
      <c r="C772" s="5" t="s">
        <v>1954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1955</v>
      </c>
      <c r="C773" s="5" t="s">
        <v>107</v>
      </c>
      <c r="D773" s="5" t="s">
        <v>768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1956</v>
      </c>
      <c r="C774" s="5" t="s">
        <v>1957</v>
      </c>
      <c r="D774" s="5" t="s">
        <v>45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1041</v>
      </c>
      <c r="C775" s="5" t="s">
        <v>1042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ref="A776:A839" si="18">+A775+1</f>
        <v>773</v>
      </c>
      <c r="B776" s="5" t="s">
        <v>1043</v>
      </c>
      <c r="C776" s="5" t="s">
        <v>1044</v>
      </c>
      <c r="D776" s="5" t="s">
        <v>508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si="18"/>
        <v>774</v>
      </c>
      <c r="B777" s="5" t="s">
        <v>1958</v>
      </c>
      <c r="C777" s="5" t="s">
        <v>1959</v>
      </c>
      <c r="D777" s="5" t="s">
        <v>45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1960</v>
      </c>
      <c r="C778" s="5" t="s">
        <v>1961</v>
      </c>
      <c r="D778" s="5" t="s">
        <v>1125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1962</v>
      </c>
      <c r="C779" s="5" t="s">
        <v>1963</v>
      </c>
      <c r="D779" s="5" t="s">
        <v>87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1964</v>
      </c>
      <c r="C780" s="5" t="s">
        <v>1965</v>
      </c>
      <c r="D780" s="5" t="s">
        <v>768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1966</v>
      </c>
      <c r="C781" s="5" t="s">
        <v>1967</v>
      </c>
      <c r="D781" s="5" t="s">
        <v>45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1968</v>
      </c>
      <c r="C782" s="5" t="s">
        <v>1969</v>
      </c>
      <c r="D782" s="5" t="s">
        <v>84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1970</v>
      </c>
      <c r="C783" s="5" t="s">
        <v>1971</v>
      </c>
      <c r="D783" s="5" t="s">
        <v>1123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1972</v>
      </c>
      <c r="C784" s="5" t="s">
        <v>1973</v>
      </c>
      <c r="D784" s="5" t="s">
        <v>45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1974</v>
      </c>
      <c r="C785" s="5" t="s">
        <v>1975</v>
      </c>
      <c r="D785" s="5" t="s">
        <v>770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1976</v>
      </c>
      <c r="C786" s="5" t="s">
        <v>1977</v>
      </c>
      <c r="D786" s="5" t="s">
        <v>1125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1978</v>
      </c>
      <c r="C787" s="5" t="s">
        <v>1979</v>
      </c>
      <c r="D787" s="5" t="s">
        <v>84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1980</v>
      </c>
      <c r="C788" s="5" t="s">
        <v>1981</v>
      </c>
      <c r="D788" s="5" t="s">
        <v>45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1982</v>
      </c>
      <c r="C789" s="5" t="s">
        <v>1983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1984</v>
      </c>
      <c r="C790" s="5" t="s">
        <v>1985</v>
      </c>
      <c r="D790" s="5" t="s">
        <v>1125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1986</v>
      </c>
      <c r="C791" s="5" t="s">
        <v>1987</v>
      </c>
      <c r="D791" s="5" t="s">
        <v>1129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1988</v>
      </c>
      <c r="C792" s="5" t="s">
        <v>1989</v>
      </c>
      <c r="D792" s="5" t="s">
        <v>1129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1990</v>
      </c>
      <c r="C793" s="5" t="s">
        <v>1991</v>
      </c>
      <c r="D793" s="5" t="s">
        <v>45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1992</v>
      </c>
      <c r="C794" s="5" t="s">
        <v>1993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1994</v>
      </c>
      <c r="C795" s="5" t="s">
        <v>1995</v>
      </c>
      <c r="D795" s="5" t="s">
        <v>508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1996</v>
      </c>
      <c r="C796" s="5" t="s">
        <v>1997</v>
      </c>
      <c r="D796" s="5" t="s">
        <v>45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1998</v>
      </c>
      <c r="C797" s="5" t="s">
        <v>1999</v>
      </c>
      <c r="D797" s="5" t="s">
        <v>84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2000</v>
      </c>
      <c r="C798" s="5" t="s">
        <v>2001</v>
      </c>
      <c r="D798" s="5" t="s">
        <v>2569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2002</v>
      </c>
      <c r="C799" s="5" t="s">
        <v>2003</v>
      </c>
      <c r="D799" s="5" t="s">
        <v>186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2004</v>
      </c>
      <c r="C800" s="5" t="s">
        <v>2005</v>
      </c>
      <c r="D800" s="5" t="s">
        <v>1129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2006</v>
      </c>
      <c r="C801" s="5" t="s">
        <v>2007</v>
      </c>
      <c r="D801" s="5" t="s">
        <v>45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2008</v>
      </c>
      <c r="C802" s="5" t="s">
        <v>2009</v>
      </c>
      <c r="D802" s="5" t="s">
        <v>278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2010</v>
      </c>
      <c r="C803" s="5" t="s">
        <v>2011</v>
      </c>
      <c r="D803" s="5" t="s">
        <v>768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2012</v>
      </c>
      <c r="C804" s="5" t="s">
        <v>2013</v>
      </c>
      <c r="D804" s="5" t="s">
        <v>45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2014</v>
      </c>
      <c r="C805" s="5" t="s">
        <v>2015</v>
      </c>
      <c r="D805" s="5" t="s">
        <v>84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2016</v>
      </c>
      <c r="C806" s="5" t="s">
        <v>2017</v>
      </c>
      <c r="D806" s="5" t="s">
        <v>87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2018</v>
      </c>
      <c r="C807" s="5" t="s">
        <v>2019</v>
      </c>
      <c r="D807" s="5" t="s">
        <v>1127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2020</v>
      </c>
      <c r="C808" s="5" t="s">
        <v>2021</v>
      </c>
      <c r="D808" s="5" t="s">
        <v>1130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2022</v>
      </c>
      <c r="C809" s="5" t="s">
        <v>2023</v>
      </c>
      <c r="D809" s="5" t="s">
        <v>87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2024</v>
      </c>
      <c r="C810" s="5" t="s">
        <v>2025</v>
      </c>
      <c r="D810" s="5" t="s">
        <v>84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2026</v>
      </c>
      <c r="C811" s="5" t="s">
        <v>2027</v>
      </c>
      <c r="D811" s="5" t="s">
        <v>1125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2028</v>
      </c>
      <c r="C812" s="5" t="s">
        <v>2029</v>
      </c>
      <c r="D812" s="5" t="s">
        <v>1130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2030</v>
      </c>
      <c r="C813" s="5" t="s">
        <v>2031</v>
      </c>
      <c r="D813" s="5" t="s">
        <v>2578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2032</v>
      </c>
      <c r="C814" s="5" t="s">
        <v>2033</v>
      </c>
      <c r="D814" s="5" t="s">
        <v>1129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2034</v>
      </c>
      <c r="C815" s="5" t="s">
        <v>2035</v>
      </c>
      <c r="D815" s="5" t="s">
        <v>45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2036</v>
      </c>
      <c r="C816" s="5" t="s">
        <v>2037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2038</v>
      </c>
      <c r="C817" s="5" t="s">
        <v>2039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2040</v>
      </c>
      <c r="C818" s="5" t="s">
        <v>2041</v>
      </c>
      <c r="D818" s="5" t="s">
        <v>278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2042</v>
      </c>
      <c r="C819" s="5" t="s">
        <v>2043</v>
      </c>
      <c r="D819" s="5" t="s">
        <v>770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2044</v>
      </c>
      <c r="C820" s="5" t="s">
        <v>2045</v>
      </c>
      <c r="D820" s="5" t="s">
        <v>1125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2046</v>
      </c>
      <c r="C821" s="5" t="s">
        <v>2047</v>
      </c>
      <c r="D821" s="5" t="s">
        <v>84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2048</v>
      </c>
      <c r="C822" s="5" t="s">
        <v>2049</v>
      </c>
      <c r="D822" s="5" t="s">
        <v>2570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2050</v>
      </c>
      <c r="C823" s="5" t="s">
        <v>2051</v>
      </c>
      <c r="D823" s="5" t="s">
        <v>45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2052</v>
      </c>
      <c r="C824" s="5" t="s">
        <v>2053</v>
      </c>
      <c r="D824" s="5" t="s">
        <v>508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2054</v>
      </c>
      <c r="C825" s="5" t="s">
        <v>2055</v>
      </c>
      <c r="D825" s="5" t="s">
        <v>1126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2056</v>
      </c>
      <c r="C826" s="5" t="s">
        <v>2057</v>
      </c>
      <c r="D826" s="5" t="s">
        <v>1123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2058</v>
      </c>
      <c r="C827" s="5" t="s">
        <v>2059</v>
      </c>
      <c r="D827" s="5" t="s">
        <v>1123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2060</v>
      </c>
      <c r="C828" s="5" t="s">
        <v>2061</v>
      </c>
      <c r="D828" s="5" t="s">
        <v>87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2062</v>
      </c>
      <c r="C829" s="5" t="s">
        <v>2063</v>
      </c>
      <c r="D829" s="5" t="s">
        <v>45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2064</v>
      </c>
      <c r="C830" s="5" t="s">
        <v>2065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2066</v>
      </c>
      <c r="C831" s="5" t="s">
        <v>2067</v>
      </c>
      <c r="D831" s="5" t="s">
        <v>1129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2068</v>
      </c>
      <c r="C832" s="5" t="s">
        <v>2069</v>
      </c>
      <c r="D832" s="5" t="s">
        <v>45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2070</v>
      </c>
      <c r="C833" s="5" t="s">
        <v>2071</v>
      </c>
      <c r="D833" s="5" t="s">
        <v>2577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2072</v>
      </c>
      <c r="C834" s="5" t="s">
        <v>2073</v>
      </c>
      <c r="D834" s="5" t="s">
        <v>45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2074</v>
      </c>
      <c r="C835" s="5" t="s">
        <v>2075</v>
      </c>
      <c r="D835" s="5" t="s">
        <v>1129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2076</v>
      </c>
      <c r="C836" s="5" t="s">
        <v>2077</v>
      </c>
      <c r="D836" s="5" t="s">
        <v>2569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2078</v>
      </c>
      <c r="C837" s="5" t="s">
        <v>2079</v>
      </c>
      <c r="D837" s="5" t="s">
        <v>2576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2080</v>
      </c>
      <c r="C838" s="5" t="s">
        <v>2081</v>
      </c>
      <c r="D838" s="5" t="s">
        <v>45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2082</v>
      </c>
      <c r="C839" s="5" t="s">
        <v>2083</v>
      </c>
      <c r="D839" s="5" t="s">
        <v>84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ref="A840:A903" si="19">+A839+1</f>
        <v>837</v>
      </c>
      <c r="B840" s="5" t="s">
        <v>2084</v>
      </c>
      <c r="C840" s="5" t="s">
        <v>2085</v>
      </c>
      <c r="D840" s="5" t="s">
        <v>45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si="19"/>
        <v>838</v>
      </c>
      <c r="B841" s="5" t="s">
        <v>2086</v>
      </c>
      <c r="C841" s="5" t="s">
        <v>2087</v>
      </c>
      <c r="D841" s="5" t="s">
        <v>84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2088</v>
      </c>
      <c r="C842" s="5" t="s">
        <v>2089</v>
      </c>
      <c r="D842" s="5" t="s">
        <v>1130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2090</v>
      </c>
      <c r="C843" s="5" t="s">
        <v>2091</v>
      </c>
      <c r="D843" s="5" t="s">
        <v>536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2092</v>
      </c>
      <c r="C844" s="5" t="s">
        <v>2093</v>
      </c>
      <c r="D844" s="5" t="s">
        <v>84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2094</v>
      </c>
      <c r="C845" s="5" t="s">
        <v>2095</v>
      </c>
      <c r="D845" s="5" t="s">
        <v>1123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2096</v>
      </c>
      <c r="C846" s="5" t="s">
        <v>2097</v>
      </c>
      <c r="D846" s="5" t="s">
        <v>1126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2098</v>
      </c>
      <c r="C847" s="5" t="s">
        <v>2099</v>
      </c>
      <c r="D847" s="5" t="s">
        <v>1123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1055</v>
      </c>
      <c r="C848" s="5" t="s">
        <v>1056</v>
      </c>
      <c r="D848" s="5" t="s">
        <v>768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2100</v>
      </c>
      <c r="C849" s="5" t="s">
        <v>2101</v>
      </c>
      <c r="D849" s="5" t="s">
        <v>45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2102</v>
      </c>
      <c r="C850" s="5" t="s">
        <v>2103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2104</v>
      </c>
      <c r="C851" s="5" t="s">
        <v>2105</v>
      </c>
      <c r="D851" s="5" t="s">
        <v>508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2106</v>
      </c>
      <c r="C852" s="5" t="s">
        <v>2107</v>
      </c>
      <c r="D852" s="5" t="s">
        <v>1129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2108</v>
      </c>
      <c r="C853" s="5" t="s">
        <v>2109</v>
      </c>
      <c r="D853" s="5" t="s">
        <v>128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2110</v>
      </c>
      <c r="C854" s="5" t="s">
        <v>2111</v>
      </c>
      <c r="D854" s="5" t="s">
        <v>45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2112</v>
      </c>
      <c r="C855" s="5" t="s">
        <v>2113</v>
      </c>
      <c r="D855" s="5" t="s">
        <v>84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2114</v>
      </c>
      <c r="C856" s="5" t="s">
        <v>2115</v>
      </c>
      <c r="D856" s="5" t="s">
        <v>536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2116</v>
      </c>
      <c r="C857" s="5" t="b">
        <v>1</v>
      </c>
      <c r="D857" s="5" t="s">
        <v>45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2117</v>
      </c>
      <c r="C858" s="5" t="s">
        <v>2118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2119</v>
      </c>
      <c r="C859" s="5" t="s">
        <v>2120</v>
      </c>
      <c r="D859" s="5" t="s">
        <v>508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2121</v>
      </c>
      <c r="C860" s="5" t="s">
        <v>2122</v>
      </c>
      <c r="D860" s="5" t="s">
        <v>84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2123</v>
      </c>
      <c r="C861" s="5" t="s">
        <v>2124</v>
      </c>
      <c r="D861" s="5" t="s">
        <v>1123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2125</v>
      </c>
      <c r="C862" s="5" t="s">
        <v>2126</v>
      </c>
      <c r="D862" s="5" t="s">
        <v>45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2127</v>
      </c>
      <c r="C863" s="5" t="s">
        <v>2128</v>
      </c>
      <c r="D863" s="5" t="s">
        <v>508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2129</v>
      </c>
      <c r="C864" s="5" t="s">
        <v>2130</v>
      </c>
      <c r="D864" s="5" t="s">
        <v>84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2131</v>
      </c>
      <c r="C865" s="5" t="s">
        <v>2132</v>
      </c>
      <c r="D865" s="5" t="s">
        <v>45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2133</v>
      </c>
      <c r="C866" s="5" t="s">
        <v>2134</v>
      </c>
      <c r="D866" s="5" t="s">
        <v>87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2135</v>
      </c>
      <c r="C867" s="5" t="s">
        <v>2136</v>
      </c>
      <c r="D867" s="5" t="s">
        <v>84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2137</v>
      </c>
      <c r="C868" s="5" t="s">
        <v>2138</v>
      </c>
      <c r="D868" s="5" t="s">
        <v>45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2139</v>
      </c>
      <c r="C869" s="5" t="s">
        <v>2140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2141</v>
      </c>
      <c r="C870" s="5" t="s">
        <v>2142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2143</v>
      </c>
      <c r="C871" s="5" t="s">
        <v>2144</v>
      </c>
      <c r="D871" s="5" t="s">
        <v>1125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2145</v>
      </c>
      <c r="C872" s="5" t="s">
        <v>2146</v>
      </c>
      <c r="D872" s="5" t="s">
        <v>278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2147</v>
      </c>
      <c r="C873" s="5" t="s">
        <v>2148</v>
      </c>
      <c r="D873" s="5" t="s">
        <v>508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2149</v>
      </c>
      <c r="C874" s="5" t="s">
        <v>2150</v>
      </c>
      <c r="D874" s="5" t="s">
        <v>84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2151</v>
      </c>
      <c r="C875" s="5" t="s">
        <v>2152</v>
      </c>
      <c r="D875" s="5" t="s">
        <v>45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2153</v>
      </c>
      <c r="C876" s="5" t="s">
        <v>2154</v>
      </c>
      <c r="D876" s="5" t="s">
        <v>2569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2155</v>
      </c>
      <c r="C877" s="5" t="s">
        <v>2156</v>
      </c>
      <c r="D877" s="5" t="s">
        <v>2574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2157</v>
      </c>
      <c r="C878" s="5" t="s">
        <v>2158</v>
      </c>
      <c r="D878" s="5" t="s">
        <v>1129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2159</v>
      </c>
      <c r="C879" s="5" t="s">
        <v>2160</v>
      </c>
      <c r="D879" s="5" t="s">
        <v>1125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2161</v>
      </c>
      <c r="C880" s="5" t="s">
        <v>2162</v>
      </c>
      <c r="D880" s="5" t="s">
        <v>84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2163</v>
      </c>
      <c r="C881" s="5" t="s">
        <v>2164</v>
      </c>
      <c r="D881" s="5" t="s">
        <v>45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2165</v>
      </c>
      <c r="C882" s="5" t="s">
        <v>2166</v>
      </c>
      <c r="D882" s="5" t="s">
        <v>1125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2167</v>
      </c>
      <c r="C883" s="5" t="s">
        <v>2168</v>
      </c>
      <c r="D883" s="5" t="s">
        <v>45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2169</v>
      </c>
      <c r="C884" s="5" t="s">
        <v>2170</v>
      </c>
      <c r="D884" s="5" t="s">
        <v>278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2171</v>
      </c>
      <c r="C885" s="5" t="s">
        <v>2172</v>
      </c>
      <c r="D885" s="5" t="s">
        <v>45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2173</v>
      </c>
      <c r="C886" s="5" t="s">
        <v>2174</v>
      </c>
      <c r="D886" s="5" t="s">
        <v>2569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1061</v>
      </c>
      <c r="C887" s="5" t="s">
        <v>1062</v>
      </c>
      <c r="D887" s="5" t="s">
        <v>2572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2175</v>
      </c>
      <c r="C888" s="5" t="s">
        <v>2176</v>
      </c>
      <c r="D888" s="5" t="s">
        <v>768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2177</v>
      </c>
      <c r="C889" s="5" t="s">
        <v>2178</v>
      </c>
      <c r="D889" s="5" t="s">
        <v>84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2179</v>
      </c>
      <c r="C890" s="5" t="s">
        <v>2180</v>
      </c>
      <c r="D890" s="5" t="s">
        <v>1130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2181</v>
      </c>
      <c r="C891" s="5" t="s">
        <v>2182</v>
      </c>
      <c r="D891" s="5" t="s">
        <v>601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2183</v>
      </c>
      <c r="C892" s="5" t="s">
        <v>2184</v>
      </c>
      <c r="D892" s="5" t="s">
        <v>768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2185</v>
      </c>
      <c r="C893" s="5" t="s">
        <v>2186</v>
      </c>
      <c r="D893" s="5" t="s">
        <v>45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2187</v>
      </c>
      <c r="C894" s="5" t="s">
        <v>2188</v>
      </c>
      <c r="D894" s="5" t="s">
        <v>87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2189</v>
      </c>
      <c r="C895" s="5" t="s">
        <v>2190</v>
      </c>
      <c r="D895" s="5" t="s">
        <v>768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2191</v>
      </c>
      <c r="C896" s="5" t="s">
        <v>2192</v>
      </c>
      <c r="D896" s="5" t="s">
        <v>84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2193</v>
      </c>
      <c r="C897" s="5" t="s">
        <v>2194</v>
      </c>
      <c r="D897" s="5" t="s">
        <v>1125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2195</v>
      </c>
      <c r="C898" s="5" t="s">
        <v>2196</v>
      </c>
      <c r="D898" s="5" t="s">
        <v>1130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2197</v>
      </c>
      <c r="C899" s="5" t="s">
        <v>2198</v>
      </c>
      <c r="D899" s="5" t="s">
        <v>768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2199</v>
      </c>
      <c r="C900" s="5" t="s">
        <v>2200</v>
      </c>
      <c r="D900" s="5" t="s">
        <v>2575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2201</v>
      </c>
      <c r="C901" s="5" t="s">
        <v>2202</v>
      </c>
      <c r="D901" s="5" t="s">
        <v>45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2203</v>
      </c>
      <c r="C902" s="5" t="s">
        <v>2204</v>
      </c>
      <c r="D902" s="5" t="s">
        <v>536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2205</v>
      </c>
      <c r="C903" s="5" t="s">
        <v>2206</v>
      </c>
      <c r="D903" s="5" t="s">
        <v>768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ref="A904:A967" si="20">+A903+1</f>
        <v>901</v>
      </c>
      <c r="B904" s="5" t="s">
        <v>2207</v>
      </c>
      <c r="C904" s="5" t="s">
        <v>2208</v>
      </c>
      <c r="D904" s="5" t="s">
        <v>45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si="20"/>
        <v>902</v>
      </c>
      <c r="B905" s="5" t="s">
        <v>2209</v>
      </c>
      <c r="C905" s="5" t="s">
        <v>2210</v>
      </c>
      <c r="D905" s="5" t="s">
        <v>1125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2211</v>
      </c>
      <c r="C906" s="5" t="s">
        <v>2212</v>
      </c>
      <c r="D906" s="5" t="s">
        <v>45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2213</v>
      </c>
      <c r="C907" s="5" t="s">
        <v>2214</v>
      </c>
      <c r="D907" s="5" t="s">
        <v>128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2215</v>
      </c>
      <c r="C908" s="5" t="s">
        <v>2216</v>
      </c>
      <c r="D908" s="5" t="s">
        <v>1130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2217</v>
      </c>
      <c r="C909" s="5" t="s">
        <v>2218</v>
      </c>
      <c r="D909" s="5" t="s">
        <v>47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2219</v>
      </c>
      <c r="C910" s="5" t="s">
        <v>2220</v>
      </c>
      <c r="D910" s="5" t="s">
        <v>508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2221</v>
      </c>
      <c r="C911" s="5" t="s">
        <v>2222</v>
      </c>
      <c r="D911" s="5" t="s">
        <v>1130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2223</v>
      </c>
      <c r="C912" s="5" t="s">
        <v>2224</v>
      </c>
      <c r="D912" s="5" t="s">
        <v>536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2225</v>
      </c>
      <c r="C913" s="5" t="s">
        <v>2226</v>
      </c>
      <c r="D913" s="5" t="s">
        <v>45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2227</v>
      </c>
      <c r="C914" s="5" t="s">
        <v>2228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2229</v>
      </c>
      <c r="C915" s="5" t="s">
        <v>2230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2231</v>
      </c>
      <c r="C916" s="5" t="s">
        <v>2232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2233</v>
      </c>
      <c r="C917" s="5" t="s">
        <v>2234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2235</v>
      </c>
      <c r="C918" s="5" t="s">
        <v>2236</v>
      </c>
      <c r="D918" s="5" t="s">
        <v>2574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2237</v>
      </c>
      <c r="C919" s="5" t="s">
        <v>2238</v>
      </c>
      <c r="D919" s="5" t="s">
        <v>45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2239</v>
      </c>
      <c r="C920" s="5" t="s">
        <v>2240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2241</v>
      </c>
      <c r="C921" s="5" t="s">
        <v>2242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2243</v>
      </c>
      <c r="C922" s="5" t="s">
        <v>2244</v>
      </c>
      <c r="D922" s="5" t="s">
        <v>1129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2245</v>
      </c>
      <c r="C923" s="5" t="s">
        <v>2246</v>
      </c>
      <c r="D923" s="5" t="s">
        <v>1125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2247</v>
      </c>
      <c r="C924" s="5" t="s">
        <v>2248</v>
      </c>
      <c r="D924" s="5" t="s">
        <v>508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2249</v>
      </c>
      <c r="C925" s="5" t="s">
        <v>2250</v>
      </c>
      <c r="D925" s="5" t="s">
        <v>1129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2251</v>
      </c>
      <c r="C926" s="5" t="s">
        <v>2252</v>
      </c>
      <c r="D926" s="5" t="s">
        <v>45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2253</v>
      </c>
      <c r="C927" s="5" t="s">
        <v>2254</v>
      </c>
      <c r="D927" s="5" t="s">
        <v>84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2255</v>
      </c>
      <c r="C928" s="5" t="s">
        <v>2256</v>
      </c>
      <c r="D928" s="5" t="s">
        <v>2572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2257</v>
      </c>
      <c r="C929" s="5" t="s">
        <v>2258</v>
      </c>
      <c r="D929" s="5" t="s">
        <v>508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2259</v>
      </c>
      <c r="C930" s="5" t="s">
        <v>2260</v>
      </c>
      <c r="D930" s="5" t="s">
        <v>45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2261</v>
      </c>
      <c r="C931" s="5" t="s">
        <v>2262</v>
      </c>
      <c r="D931" s="5" t="s">
        <v>84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2263</v>
      </c>
      <c r="C932" s="5" t="s">
        <v>2264</v>
      </c>
      <c r="D932" s="5" t="s">
        <v>128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2265</v>
      </c>
      <c r="C933" s="5" t="s">
        <v>2266</v>
      </c>
      <c r="D933" s="5" t="s">
        <v>2574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2267</v>
      </c>
      <c r="C934" s="5" t="s">
        <v>2268</v>
      </c>
      <c r="D934" s="5" t="s">
        <v>45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2269</v>
      </c>
      <c r="C935" s="5" t="s">
        <v>2270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1073</v>
      </c>
      <c r="C936" s="5" t="s">
        <v>1074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2271</v>
      </c>
      <c r="C937" s="5" t="s">
        <v>2272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2273</v>
      </c>
      <c r="C938" s="5" t="s">
        <v>2274</v>
      </c>
      <c r="D938" s="5" t="s">
        <v>768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2275</v>
      </c>
      <c r="C939" s="5" t="s">
        <v>2276</v>
      </c>
      <c r="D939" s="5" t="s">
        <v>45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2277</v>
      </c>
      <c r="C940" s="5" t="s">
        <v>2278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2279</v>
      </c>
      <c r="C941" s="5" t="s">
        <v>2280</v>
      </c>
      <c r="D941" s="5" t="s">
        <v>1130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2281</v>
      </c>
      <c r="C942" s="5" t="s">
        <v>2282</v>
      </c>
      <c r="D942" s="5" t="s">
        <v>45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2283</v>
      </c>
      <c r="C943" s="5" t="s">
        <v>2284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2285</v>
      </c>
      <c r="C944" s="5" t="s">
        <v>2286</v>
      </c>
      <c r="D944" s="5" t="s">
        <v>508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2287</v>
      </c>
      <c r="C945" s="5" t="s">
        <v>2288</v>
      </c>
      <c r="D945" s="5" t="s">
        <v>1124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2289</v>
      </c>
      <c r="C946" s="5" t="s">
        <v>2290</v>
      </c>
      <c r="D946" s="5" t="s">
        <v>1130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2291</v>
      </c>
      <c r="C947" s="5" t="s">
        <v>2292</v>
      </c>
      <c r="D947" s="5" t="s">
        <v>45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2293</v>
      </c>
      <c r="C948" s="5" t="s">
        <v>2294</v>
      </c>
      <c r="D948" s="5" t="s">
        <v>1129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2295</v>
      </c>
      <c r="C949" s="5" t="s">
        <v>2296</v>
      </c>
      <c r="D949" s="5" t="s">
        <v>1130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2297</v>
      </c>
      <c r="C950" s="5" t="s">
        <v>2298</v>
      </c>
      <c r="D950" s="5" t="s">
        <v>45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1077</v>
      </c>
      <c r="C951" s="5" t="s">
        <v>1078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2299</v>
      </c>
      <c r="C952" s="5" t="s">
        <v>2300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2301</v>
      </c>
      <c r="C953" s="5" t="s">
        <v>2302</v>
      </c>
      <c r="D953" s="5" t="s">
        <v>87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2303</v>
      </c>
      <c r="C954" s="5" t="s">
        <v>2304</v>
      </c>
      <c r="D954" s="5" t="s">
        <v>768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2305</v>
      </c>
      <c r="C955" s="5" t="s">
        <v>2306</v>
      </c>
      <c r="D955" s="5" t="s">
        <v>45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2307</v>
      </c>
      <c r="C956" s="5" t="s">
        <v>2308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2309</v>
      </c>
      <c r="C957" s="5" t="s">
        <v>2310</v>
      </c>
      <c r="D957" s="5" t="s">
        <v>1130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2311</v>
      </c>
      <c r="C958" s="5" t="s">
        <v>2312</v>
      </c>
      <c r="D958" s="5" t="s">
        <v>1130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2313</v>
      </c>
      <c r="C959" s="5" t="s">
        <v>2314</v>
      </c>
      <c r="D959" s="5" t="s">
        <v>45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2315</v>
      </c>
      <c r="C960" s="5" t="s">
        <v>2316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2317</v>
      </c>
      <c r="C961" s="5" t="s">
        <v>2318</v>
      </c>
      <c r="D961" s="5" t="s">
        <v>1126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1081</v>
      </c>
      <c r="C962" s="5" t="s">
        <v>1082</v>
      </c>
      <c r="D962" s="5" t="s">
        <v>508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1083</v>
      </c>
      <c r="C963" s="5" t="s">
        <v>1084</v>
      </c>
      <c r="D963" s="5" t="s">
        <v>45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2319</v>
      </c>
      <c r="C964" s="5" t="s">
        <v>2320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2321</v>
      </c>
      <c r="C965" s="5" t="s">
        <v>2322</v>
      </c>
      <c r="D965" s="5" t="s">
        <v>1130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2323</v>
      </c>
      <c r="C966" s="5" t="s">
        <v>2324</v>
      </c>
      <c r="D966" s="5" t="s">
        <v>128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2325</v>
      </c>
      <c r="C967" s="5" t="s">
        <v>2326</v>
      </c>
      <c r="D967" s="5" t="s">
        <v>45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ref="A968:A1031" si="21">+A967+1</f>
        <v>965</v>
      </c>
      <c r="B968" s="5" t="s">
        <v>2327</v>
      </c>
      <c r="C968" s="5" t="s">
        <v>2328</v>
      </c>
      <c r="D968" s="5" t="s">
        <v>2573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si="21"/>
        <v>966</v>
      </c>
      <c r="B969" s="5" t="s">
        <v>2329</v>
      </c>
      <c r="C969" s="5" t="s">
        <v>2330</v>
      </c>
      <c r="D969" s="5" t="s">
        <v>45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2331</v>
      </c>
      <c r="C970" s="5" t="s">
        <v>2332</v>
      </c>
      <c r="D970" s="5" t="s">
        <v>87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2333</v>
      </c>
      <c r="C971" s="5" t="s">
        <v>2334</v>
      </c>
      <c r="D971" s="5" t="s">
        <v>2572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2335</v>
      </c>
      <c r="C972" s="5" t="s">
        <v>2336</v>
      </c>
      <c r="D972" s="5" t="s">
        <v>45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2337</v>
      </c>
      <c r="C973" s="5" t="s">
        <v>2338</v>
      </c>
      <c r="D973" s="5" t="s">
        <v>84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2339</v>
      </c>
      <c r="C974" s="5" t="s">
        <v>2340</v>
      </c>
      <c r="D974" s="5" t="s">
        <v>1125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2341</v>
      </c>
      <c r="C975" s="5" t="s">
        <v>2342</v>
      </c>
      <c r="D975" s="5" t="s">
        <v>45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2343</v>
      </c>
      <c r="C976" s="5" t="s">
        <v>2344</v>
      </c>
      <c r="D976" s="5" t="s">
        <v>1127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2345</v>
      </c>
      <c r="C977" s="5" t="s">
        <v>2346</v>
      </c>
      <c r="D977" s="5" t="s">
        <v>770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2347</v>
      </c>
      <c r="C978" s="5" t="s">
        <v>2348</v>
      </c>
      <c r="D978" s="5" t="s">
        <v>87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2349</v>
      </c>
      <c r="C979" s="5" t="s">
        <v>2349</v>
      </c>
      <c r="D979" s="5" t="s">
        <v>45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2350</v>
      </c>
      <c r="C980" s="5" t="s">
        <v>2351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2352</v>
      </c>
      <c r="C981" s="5" t="s">
        <v>2353</v>
      </c>
      <c r="D981" s="5" t="s">
        <v>1125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1091</v>
      </c>
      <c r="C982" s="5" t="s">
        <v>1092</v>
      </c>
      <c r="D982" s="5" t="s">
        <v>45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2354</v>
      </c>
      <c r="C983" s="5" t="s">
        <v>2355</v>
      </c>
      <c r="D983" s="5" t="s">
        <v>398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2356</v>
      </c>
      <c r="C984" s="5" t="s">
        <v>2357</v>
      </c>
      <c r="D984" s="5" t="s">
        <v>45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2358</v>
      </c>
      <c r="C985" s="5" t="s">
        <v>2359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2360</v>
      </c>
      <c r="C986" s="5" t="s">
        <v>2361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2362</v>
      </c>
      <c r="C987" s="5" t="s">
        <v>2363</v>
      </c>
      <c r="D987" s="5" t="s">
        <v>768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2364</v>
      </c>
      <c r="C988" s="5" t="s">
        <v>2365</v>
      </c>
      <c r="D988" s="5" t="s">
        <v>45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2366</v>
      </c>
      <c r="C989" s="5" t="s">
        <v>2367</v>
      </c>
      <c r="D989" s="5" t="s">
        <v>87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2368</v>
      </c>
      <c r="C990" s="5" t="s">
        <v>2369</v>
      </c>
      <c r="D990" s="5" t="s">
        <v>45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2370</v>
      </c>
      <c r="C991" s="5" t="s">
        <v>2371</v>
      </c>
      <c r="D991" s="5" t="s">
        <v>1123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2372</v>
      </c>
      <c r="C992" s="5" t="s">
        <v>2373</v>
      </c>
      <c r="D992" s="5" t="s">
        <v>1125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1097</v>
      </c>
      <c r="C993" s="5" t="s">
        <v>1098</v>
      </c>
      <c r="D993" s="5" t="s">
        <v>508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2374</v>
      </c>
      <c r="C994" s="5" t="s">
        <v>2375</v>
      </c>
      <c r="D994" s="5" t="s">
        <v>87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2376</v>
      </c>
      <c r="C995" s="5" t="s">
        <v>2377</v>
      </c>
      <c r="D995" s="5" t="s">
        <v>45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2378</v>
      </c>
      <c r="C996" s="5" t="s">
        <v>2379</v>
      </c>
      <c r="D996" s="5" t="s">
        <v>2571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2380</v>
      </c>
      <c r="C997" s="5" t="s">
        <v>2381</v>
      </c>
      <c r="D997" s="5" t="s">
        <v>128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2382</v>
      </c>
      <c r="C998" s="5" t="s">
        <v>2383</v>
      </c>
      <c r="D998" s="5" t="s">
        <v>768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2384</v>
      </c>
      <c r="C999" s="5" t="s">
        <v>2385</v>
      </c>
      <c r="D999" s="5" t="s">
        <v>45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2386</v>
      </c>
      <c r="C1000" s="5" t="s">
        <v>2387</v>
      </c>
      <c r="D1000" s="5" t="s">
        <v>1130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2388</v>
      </c>
      <c r="C1001" s="5" t="s">
        <v>2389</v>
      </c>
      <c r="D1001" s="5" t="s">
        <v>45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2390</v>
      </c>
      <c r="C1002" s="5" t="s">
        <v>2391</v>
      </c>
      <c r="D1002" s="5" t="s">
        <v>1130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2392</v>
      </c>
      <c r="C1003" s="5" t="s">
        <v>2393</v>
      </c>
      <c r="D1003" s="5" t="s">
        <v>768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2394</v>
      </c>
      <c r="C1004" s="5" t="s">
        <v>2395</v>
      </c>
      <c r="D1004" s="5" t="s">
        <v>87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2396</v>
      </c>
      <c r="C1005" s="5" t="s">
        <v>2397</v>
      </c>
      <c r="D1005" s="5" t="s">
        <v>45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2398</v>
      </c>
      <c r="C1006" s="5" t="s">
        <v>2399</v>
      </c>
      <c r="D1006" s="5" t="s">
        <v>84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2400</v>
      </c>
      <c r="C1007" s="5" t="s">
        <v>2401</v>
      </c>
      <c r="D1007" s="5" t="s">
        <v>1125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2402</v>
      </c>
      <c r="C1008" s="5" t="s">
        <v>2403</v>
      </c>
      <c r="D1008" s="5" t="s">
        <v>768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2404</v>
      </c>
      <c r="C1009" s="5" t="s">
        <v>2405</v>
      </c>
      <c r="D1009" s="5" t="s">
        <v>45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2406</v>
      </c>
      <c r="C1010" s="5" t="s">
        <v>2407</v>
      </c>
      <c r="D1010" s="5" t="s">
        <v>87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2408</v>
      </c>
      <c r="C1011" s="5" t="s">
        <v>2409</v>
      </c>
      <c r="D1011" s="5" t="s">
        <v>45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2410</v>
      </c>
      <c r="C1012" s="5" t="s">
        <v>2411</v>
      </c>
      <c r="D1012" s="5" t="s">
        <v>87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2412</v>
      </c>
      <c r="C1013" s="5" t="s">
        <v>2413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2414</v>
      </c>
      <c r="C1014" s="5" t="s">
        <v>2415</v>
      </c>
      <c r="D1014" s="5" t="s">
        <v>161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2416</v>
      </c>
      <c r="C1015" s="5" t="s">
        <v>2417</v>
      </c>
      <c r="D1015" s="5" t="s">
        <v>508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2418</v>
      </c>
      <c r="C1016" s="5" t="s">
        <v>2419</v>
      </c>
      <c r="D1016" s="5" t="s">
        <v>955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2420</v>
      </c>
      <c r="C1017" s="5" t="s">
        <v>2421</v>
      </c>
      <c r="D1017" s="5" t="s">
        <v>45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2422</v>
      </c>
      <c r="C1018" s="5" t="s">
        <v>2423</v>
      </c>
      <c r="D1018" s="5" t="s">
        <v>768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2424</v>
      </c>
      <c r="C1019" s="5" t="s">
        <v>2425</v>
      </c>
      <c r="D1019" s="5" t="s">
        <v>1125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2426</v>
      </c>
      <c r="C1020" s="5" t="s">
        <v>2427</v>
      </c>
      <c r="D1020" s="5" t="s">
        <v>87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2428</v>
      </c>
      <c r="C1021" s="5" t="s">
        <v>2429</v>
      </c>
      <c r="D1021" s="5" t="s">
        <v>45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2430</v>
      </c>
      <c r="C1022" s="5" t="s">
        <v>2431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2432</v>
      </c>
      <c r="C1023" s="5" t="s">
        <v>2433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2434</v>
      </c>
      <c r="C1024" s="5" t="s">
        <v>2435</v>
      </c>
      <c r="D1024" s="5" t="s">
        <v>768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2436</v>
      </c>
      <c r="C1025" s="5" t="s">
        <v>2437</v>
      </c>
      <c r="D1025" s="5" t="s">
        <v>87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2438</v>
      </c>
      <c r="C1026" s="5" t="s">
        <v>2439</v>
      </c>
      <c r="D1026" s="5" t="s">
        <v>1129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2440</v>
      </c>
      <c r="C1027" s="5" t="s">
        <v>2441</v>
      </c>
      <c r="D1027" s="5" t="s">
        <v>45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2442</v>
      </c>
      <c r="C1028" s="5" t="s">
        <v>2443</v>
      </c>
      <c r="D1028" s="5" t="s">
        <v>768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2444</v>
      </c>
      <c r="C1029" s="5" t="s">
        <v>2445</v>
      </c>
      <c r="D1029" s="5" t="s">
        <v>1125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2446</v>
      </c>
      <c r="C1030" s="5" t="s">
        <v>2447</v>
      </c>
      <c r="D1030" s="5" t="s">
        <v>1129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2448</v>
      </c>
      <c r="C1031" s="5" t="s">
        <v>2449</v>
      </c>
      <c r="D1031" s="5" t="s">
        <v>45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ref="A1032:A1095" si="22">+A1031+1</f>
        <v>1029</v>
      </c>
      <c r="B1032" s="5" t="s">
        <v>2450</v>
      </c>
      <c r="C1032" s="5" t="s">
        <v>2451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si="22"/>
        <v>1030</v>
      </c>
      <c r="B1033" s="5" t="s">
        <v>2452</v>
      </c>
      <c r="C1033" s="5" t="s">
        <v>2453</v>
      </c>
      <c r="D1033" s="5" t="s">
        <v>770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2454</v>
      </c>
      <c r="C1034" s="5" t="s">
        <v>2455</v>
      </c>
      <c r="D1034" s="5" t="s">
        <v>45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2456</v>
      </c>
      <c r="C1035" s="5" t="s">
        <v>2457</v>
      </c>
      <c r="D1035" s="5" t="s">
        <v>1123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2458</v>
      </c>
      <c r="C1036" s="5" t="s">
        <v>2459</v>
      </c>
      <c r="D1036" s="5" t="s">
        <v>45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2460</v>
      </c>
      <c r="C1037" s="5" t="s">
        <v>2461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2462</v>
      </c>
      <c r="C1038" s="5" t="s">
        <v>2463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2464</v>
      </c>
      <c r="C1039" s="5" t="s">
        <v>2465</v>
      </c>
      <c r="D1039" s="5" t="s">
        <v>1123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2466</v>
      </c>
      <c r="C1040" s="5" t="s">
        <v>2467</v>
      </c>
      <c r="D1040" s="5" t="s">
        <v>45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2468</v>
      </c>
      <c r="C1041" s="5" t="s">
        <v>2469</v>
      </c>
      <c r="D1041" s="5" t="s">
        <v>1130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2470</v>
      </c>
      <c r="C1042" s="5" t="s">
        <v>2471</v>
      </c>
      <c r="D1042" s="5" t="s">
        <v>161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2472</v>
      </c>
      <c r="C1043" s="5" t="s">
        <v>2473</v>
      </c>
      <c r="D1043" s="5" t="s">
        <v>45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2474</v>
      </c>
      <c r="C1044" s="5" t="s">
        <v>2475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2476</v>
      </c>
      <c r="C1045" s="5" t="s">
        <v>2477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1105</v>
      </c>
      <c r="C1046" s="5" t="s">
        <v>1106</v>
      </c>
      <c r="D1046" s="5" t="s">
        <v>768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1107</v>
      </c>
      <c r="C1047" s="5" t="s">
        <v>1108</v>
      </c>
      <c r="D1047" s="5" t="s">
        <v>768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2478</v>
      </c>
      <c r="C1048" s="5" t="s">
        <v>2479</v>
      </c>
      <c r="D1048" s="5" t="s">
        <v>45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2480</v>
      </c>
      <c r="C1049" s="5" t="s">
        <v>2481</v>
      </c>
      <c r="D1049" s="5" t="s">
        <v>1130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2482</v>
      </c>
      <c r="C1050" s="5" t="s">
        <v>2483</v>
      </c>
      <c r="D1050" s="5" t="s">
        <v>508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2484</v>
      </c>
      <c r="C1051" s="5" t="s">
        <v>2485</v>
      </c>
      <c r="D1051" s="5" t="s">
        <v>45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2486</v>
      </c>
      <c r="C1052" s="5" t="s">
        <v>2487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2488</v>
      </c>
      <c r="C1053" s="5" t="s">
        <v>2489</v>
      </c>
      <c r="D1053" s="5" t="s">
        <v>1125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2490</v>
      </c>
      <c r="C1054" s="5" t="s">
        <v>2491</v>
      </c>
      <c r="D1054" s="5" t="s">
        <v>45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2492</v>
      </c>
      <c r="C1055" s="5" t="s">
        <v>2493</v>
      </c>
      <c r="D1055" s="5" t="s">
        <v>87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2494</v>
      </c>
      <c r="C1056" s="5" t="s">
        <v>2495</v>
      </c>
      <c r="D1056" s="5" t="s">
        <v>45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2496</v>
      </c>
      <c r="C1057" s="5" t="s">
        <v>2497</v>
      </c>
      <c r="D1057" s="5" t="s">
        <v>768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2498</v>
      </c>
      <c r="C1058" s="5" t="s">
        <v>2499</v>
      </c>
      <c r="D1058" s="5" t="s">
        <v>45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2500</v>
      </c>
      <c r="C1059" s="5" t="s">
        <v>2501</v>
      </c>
      <c r="D1059" s="5" t="s">
        <v>1129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2502</v>
      </c>
      <c r="C1060" s="5" t="s">
        <v>2502</v>
      </c>
      <c r="D1060" s="5" t="s">
        <v>1129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1109</v>
      </c>
      <c r="C1061" s="5" t="s">
        <v>1110</v>
      </c>
      <c r="D1061" s="5" t="s">
        <v>45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1111</v>
      </c>
      <c r="C1062" s="5" t="s">
        <v>1112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2503</v>
      </c>
      <c r="C1063" s="5" t="s">
        <v>2504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2505</v>
      </c>
      <c r="C1064" s="5" t="s">
        <v>2506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2507</v>
      </c>
      <c r="C1065" s="5" t="s">
        <v>2508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2509</v>
      </c>
      <c r="C1066" s="5" t="s">
        <v>2510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2511</v>
      </c>
      <c r="C1067" s="5" t="s">
        <v>2512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2513</v>
      </c>
      <c r="C1068" s="5" t="s">
        <v>2514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2515</v>
      </c>
      <c r="C1069" s="5" t="s">
        <v>2516</v>
      </c>
      <c r="D1069" s="5" t="s">
        <v>84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1113</v>
      </c>
      <c r="C1070" s="5" t="s">
        <v>1114</v>
      </c>
      <c r="D1070" s="5" t="s">
        <v>1131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2517</v>
      </c>
      <c r="C1071" s="5" t="s">
        <v>2518</v>
      </c>
      <c r="D1071" s="5" t="s">
        <v>45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2519</v>
      </c>
      <c r="C1072" s="5" t="s">
        <v>2520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2521</v>
      </c>
      <c r="C1073" s="5" t="s">
        <v>2522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2523</v>
      </c>
      <c r="C1074" s="5" t="s">
        <v>2524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2525</v>
      </c>
      <c r="C1075" s="5" t="s">
        <v>2526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2527</v>
      </c>
      <c r="C1076" s="5" t="s">
        <v>2528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2529</v>
      </c>
      <c r="C1077" s="5" t="s">
        <v>2530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2531</v>
      </c>
      <c r="C1078" s="5" t="s">
        <v>2532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2533</v>
      </c>
      <c r="C1079" s="5" t="s">
        <v>2534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2535</v>
      </c>
      <c r="C1080" s="5" t="s">
        <v>2536</v>
      </c>
      <c r="D1080" s="5" t="s">
        <v>1125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2537</v>
      </c>
      <c r="C1081" s="5" t="s">
        <v>2538</v>
      </c>
      <c r="D1081" s="5" t="s">
        <v>1125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2539</v>
      </c>
      <c r="C1082" s="5" t="s">
        <v>2540</v>
      </c>
      <c r="D1082" s="5" t="s">
        <v>45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2541</v>
      </c>
      <c r="C1083" s="5" t="s">
        <v>2542</v>
      </c>
      <c r="D1083" s="5" t="s">
        <v>1131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2543</v>
      </c>
      <c r="C1084" s="5" t="s">
        <v>2544</v>
      </c>
      <c r="D1084" s="5" t="s">
        <v>45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2545</v>
      </c>
      <c r="C1085" s="5" t="s">
        <v>2546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2547</v>
      </c>
      <c r="C1086" s="5" t="s">
        <v>2548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2549</v>
      </c>
      <c r="C1087" s="5" t="s">
        <v>2550</v>
      </c>
      <c r="D1087" s="5" t="s">
        <v>768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2551</v>
      </c>
      <c r="C1088" s="5" t="s">
        <v>2552</v>
      </c>
      <c r="D1088" s="5" t="s">
        <v>45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2553</v>
      </c>
      <c r="C1089" s="5" t="s">
        <v>2554</v>
      </c>
      <c r="D1089" s="5" t="s">
        <v>84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2555</v>
      </c>
      <c r="C1090" s="5" t="s">
        <v>2556</v>
      </c>
      <c r="D1090" s="5" t="s">
        <v>45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2557</v>
      </c>
      <c r="C1091" s="5" t="s">
        <v>2558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2559</v>
      </c>
      <c r="C1092" s="5" t="s">
        <v>2560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2561</v>
      </c>
      <c r="C1093" s="5" t="s">
        <v>2562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2563</v>
      </c>
      <c r="C1094" s="5" t="s">
        <v>2564</v>
      </c>
      <c r="D1094" s="5" t="s">
        <v>161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2565</v>
      </c>
      <c r="C1095" s="5" t="s">
        <v>2566</v>
      </c>
      <c r="D1095" s="5" t="s">
        <v>45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ref="A1096:A1102" si="23">+A1095+1</f>
        <v>1093</v>
      </c>
      <c r="B1096" s="5" t="s">
        <v>2567</v>
      </c>
      <c r="C1096" s="5" t="s">
        <v>2568</v>
      </c>
      <c r="D1096" s="5" t="s">
        <v>46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si="23"/>
        <v>1094</v>
      </c>
      <c r="B1097" s="5" t="s">
        <v>1121</v>
      </c>
      <c r="C1097" s="5" t="s">
        <v>1122</v>
      </c>
      <c r="D1097" s="5" t="s">
        <v>45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14" t="s">
        <v>2593</v>
      </c>
      <c r="C1098" s="5" t="s">
        <v>2594</v>
      </c>
      <c r="D1098" s="5" t="s">
        <v>45</v>
      </c>
      <c r="E1098" s="5">
        <f>+[81]Main!$I$2</f>
        <v>141.35</v>
      </c>
      <c r="F1098" s="15">
        <f>+[81]Main!$I$4</f>
        <v>69059.707043799994</v>
      </c>
      <c r="G1098" s="15">
        <f>+[81]Main!$I$6-[81]Main!$I$5</f>
        <v>9898.6180000000004</v>
      </c>
      <c r="H1098" s="15">
        <f>+F1098+G1098</f>
        <v>78958.325043799996</v>
      </c>
      <c r="I1098" s="36" t="s">
        <v>2583</v>
      </c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14" t="s">
        <v>2705</v>
      </c>
      <c r="C1099" s="5" t="s">
        <v>2706</v>
      </c>
      <c r="D1099" s="5" t="s">
        <v>45</v>
      </c>
      <c r="E1099" s="5"/>
      <c r="F1099" s="15"/>
      <c r="G1099" s="15"/>
      <c r="H1099" s="1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1503</v>
      </c>
      <c r="C1100" s="5" t="s">
        <v>1504</v>
      </c>
      <c r="D1100" s="5" t="s">
        <v>45</v>
      </c>
      <c r="E1100" s="5">
        <f>+[82]Main!$I$2</f>
        <v>11.3</v>
      </c>
      <c r="F1100" s="15">
        <f>+[82]Main!$I$4</f>
        <v>1849.81</v>
      </c>
      <c r="G1100" s="15">
        <f>+[82]Main!$I$6-[82]Main!$I$5</f>
        <v>-775.1</v>
      </c>
      <c r="H1100" s="15">
        <f>+F1100+G1100</f>
        <v>1074.71</v>
      </c>
      <c r="I1100" s="35" t="s">
        <v>2583</v>
      </c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14" t="s">
        <v>3149</v>
      </c>
      <c r="C1101" s="40" t="s">
        <v>3148</v>
      </c>
      <c r="D1101" s="40" t="s">
        <v>768</v>
      </c>
      <c r="E1101" s="5">
        <f>+[83]Main!$I$2</f>
        <v>209</v>
      </c>
      <c r="F1101" s="15">
        <f>+[83]Main!$I$5*FX!C3</f>
        <v>11115.748496252399</v>
      </c>
      <c r="G1101" s="15">
        <f>+([83]Main!$I$7-[83]Main!$I$6)*FX!C3</f>
        <v>-1206.6192600000004</v>
      </c>
      <c r="H1101" s="15">
        <f>+F1101+G1101</f>
        <v>9909.1292362524</v>
      </c>
      <c r="I1101" s="41" t="s">
        <v>2708</v>
      </c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13">
        <f t="shared" si="23"/>
        <v>1099</v>
      </c>
      <c r="B1102" s="14" t="s">
        <v>810</v>
      </c>
      <c r="C1102" s="52" t="s">
        <v>3153</v>
      </c>
      <c r="D1102" s="52" t="s">
        <v>45</v>
      </c>
      <c r="E1102" s="5"/>
      <c r="F1102" s="15"/>
      <c r="G1102" s="15"/>
      <c r="H1102" s="1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15"/>
      <c r="G1103" s="15"/>
      <c r="H1103" s="1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15"/>
      <c r="G1104" s="15"/>
      <c r="H1104" s="1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15"/>
      <c r="G1105" s="15"/>
      <c r="H1105" s="1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15"/>
      <c r="G1106" s="15"/>
      <c r="H1106" s="1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15"/>
      <c r="G1107" s="15"/>
      <c r="H1107" s="1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15"/>
      <c r="G1108" s="15"/>
      <c r="H1108" s="1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15"/>
      <c r="G1109" s="15"/>
      <c r="H1109" s="1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15"/>
      <c r="G1110" s="15"/>
      <c r="H1110" s="1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15"/>
      <c r="G1111" s="15"/>
      <c r="H1111" s="1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15"/>
      <c r="G1112" s="15"/>
      <c r="H1112" s="1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15"/>
      <c r="G1113" s="15"/>
      <c r="H1113" s="1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15"/>
      <c r="G1114" s="15"/>
      <c r="H1114" s="1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15"/>
      <c r="G1115" s="15"/>
      <c r="H1115" s="1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15"/>
      <c r="G1116" s="15"/>
      <c r="H1116" s="1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15"/>
      <c r="G1117" s="15"/>
      <c r="H1117" s="1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15"/>
      <c r="G1118" s="15"/>
      <c r="H1118" s="1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15"/>
      <c r="G1119" s="15"/>
      <c r="H1119" s="1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15"/>
      <c r="G1120" s="15"/>
      <c r="H1120" s="1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15"/>
      <c r="G1121" s="15"/>
      <c r="H1121" s="1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15"/>
      <c r="G1122" s="15"/>
      <c r="H1122" s="1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15"/>
      <c r="G1123" s="15"/>
      <c r="H1123" s="1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15"/>
      <c r="G1124" s="15"/>
      <c r="H1124" s="1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15"/>
      <c r="G1125" s="15"/>
      <c r="H1125" s="1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15"/>
      <c r="G1126" s="15"/>
      <c r="H1126" s="1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15"/>
      <c r="G1127" s="15"/>
      <c r="H1127" s="1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15"/>
      <c r="G1128" s="15"/>
      <c r="H1128" s="1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15"/>
      <c r="G1129" s="15"/>
      <c r="H1129" s="1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15"/>
      <c r="G1130" s="15"/>
      <c r="H1130" s="1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15"/>
      <c r="G1131" s="15"/>
      <c r="H1131" s="1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15"/>
      <c r="G1132" s="15"/>
      <c r="H1132" s="1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15"/>
      <c r="G1133" s="15"/>
      <c r="H1133" s="1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15"/>
      <c r="G1134" s="15"/>
      <c r="H1134" s="1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15"/>
      <c r="G1135" s="15"/>
      <c r="H1135" s="1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15"/>
      <c r="G1136" s="15"/>
      <c r="H1136" s="1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15"/>
      <c r="G1137" s="15"/>
      <c r="H1137" s="1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15"/>
      <c r="G1138" s="15"/>
      <c r="H1138" s="1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15"/>
      <c r="G1139" s="15"/>
      <c r="H1139" s="1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15"/>
      <c r="G1140" s="15"/>
      <c r="H1140" s="1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15"/>
      <c r="G1141" s="15"/>
      <c r="H1141" s="1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15"/>
      <c r="G1142" s="15"/>
      <c r="H1142" s="1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15"/>
      <c r="G1143" s="15"/>
      <c r="H1143" s="1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15"/>
      <c r="G1144" s="15"/>
      <c r="H1144" s="1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15"/>
      <c r="G1145" s="15"/>
      <c r="H1145" s="1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15"/>
      <c r="G1146" s="15"/>
      <c r="H1146" s="1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15"/>
      <c r="G1147" s="15"/>
      <c r="H1147" s="1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15"/>
      <c r="G1148" s="15"/>
      <c r="H1148" s="1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15"/>
      <c r="G1149" s="15"/>
      <c r="H1149" s="1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15"/>
      <c r="G1150" s="15"/>
      <c r="H1150" s="1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15"/>
      <c r="G1151" s="15"/>
      <c r="H1151" s="1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15"/>
      <c r="G1152" s="15"/>
      <c r="H1152" s="1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15"/>
      <c r="G1153" s="15"/>
      <c r="H1153" s="1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15"/>
      <c r="G1154" s="15"/>
      <c r="H1154" s="1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15"/>
      <c r="G1155" s="15"/>
      <c r="H1155" s="1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15"/>
      <c r="G1156" s="15"/>
      <c r="H1156" s="1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15"/>
      <c r="G1157" s="15"/>
      <c r="H1157" s="1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15"/>
      <c r="G1158" s="15"/>
      <c r="H1158" s="1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15"/>
      <c r="G1159" s="15"/>
      <c r="H1159" s="1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15"/>
      <c r="G1160" s="15"/>
      <c r="H1160" s="1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15"/>
      <c r="G1161" s="15"/>
      <c r="H1161" s="1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15"/>
      <c r="G1162" s="15"/>
      <c r="H1162" s="1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15"/>
      <c r="G1163" s="15"/>
      <c r="H1163" s="1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15"/>
      <c r="G1164" s="15"/>
      <c r="H1164" s="1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15"/>
      <c r="G1165" s="15"/>
      <c r="H1165" s="1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15"/>
      <c r="G1166" s="15"/>
      <c r="H1166" s="1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15"/>
      <c r="G1167" s="15"/>
      <c r="H1167" s="1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15"/>
      <c r="G1168" s="15"/>
      <c r="H1168" s="1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15"/>
      <c r="G1169" s="15"/>
      <c r="H1169" s="1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15"/>
      <c r="G1170" s="15"/>
      <c r="H1170" s="1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15"/>
      <c r="G1171" s="15"/>
      <c r="H1171" s="1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15"/>
      <c r="G1172" s="15"/>
      <c r="H1172" s="1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15"/>
      <c r="G1173" s="15"/>
      <c r="H1173" s="1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15"/>
      <c r="G1174" s="15"/>
      <c r="H1174" s="1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15"/>
      <c r="G1175" s="15"/>
      <c r="H1175" s="1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15"/>
      <c r="G1176" s="15"/>
      <c r="H1176" s="1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15"/>
      <c r="G1177" s="15"/>
      <c r="H1177" s="1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15"/>
      <c r="G1178" s="15"/>
      <c r="H1178" s="1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15"/>
      <c r="G1179" s="15"/>
      <c r="H1179" s="1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15"/>
      <c r="G1180" s="15"/>
      <c r="H1180" s="1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15"/>
      <c r="G1181" s="15"/>
      <c r="H1181" s="1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15"/>
      <c r="G1182" s="15"/>
      <c r="H1182" s="1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15"/>
      <c r="G1183" s="15"/>
      <c r="H1183" s="1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15"/>
      <c r="G1184" s="15"/>
      <c r="H1184" s="1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15"/>
      <c r="G1185" s="15"/>
      <c r="H1185" s="1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15"/>
      <c r="G1186" s="15"/>
      <c r="H1186" s="1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15"/>
      <c r="G1187" s="15"/>
      <c r="H1187" s="1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15"/>
      <c r="G1188" s="15"/>
      <c r="H1188" s="1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15"/>
      <c r="G1189" s="15"/>
      <c r="H1189" s="1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15"/>
      <c r="G1190" s="15"/>
      <c r="H1190" s="1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15"/>
      <c r="G1191" s="15"/>
      <c r="H1191" s="1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15"/>
      <c r="G1192" s="15"/>
      <c r="H1192" s="1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15"/>
      <c r="G1193" s="15"/>
      <c r="H1193" s="1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15"/>
      <c r="G1194" s="15"/>
      <c r="H1194" s="1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15"/>
      <c r="G1195" s="15"/>
      <c r="H1195" s="1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15"/>
      <c r="G1196" s="15"/>
      <c r="H1196" s="1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15"/>
      <c r="G1197" s="15"/>
      <c r="H1197" s="1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15"/>
      <c r="G1198" s="15"/>
      <c r="H1198" s="1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15"/>
      <c r="G1199" s="15"/>
      <c r="H1199" s="1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15"/>
      <c r="G1200" s="15"/>
      <c r="H1200" s="1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15"/>
      <c r="G1201" s="15"/>
      <c r="H1201" s="1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15"/>
      <c r="G1202" s="15"/>
      <c r="H1202" s="1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15"/>
      <c r="G1203" s="15"/>
      <c r="H1203" s="1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15"/>
      <c r="G1204" s="15"/>
      <c r="H1204" s="1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15"/>
      <c r="G1205" s="15"/>
      <c r="H1205" s="1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15"/>
      <c r="G1206" s="15"/>
      <c r="H1206" s="1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15"/>
      <c r="G1207" s="15"/>
      <c r="H1207" s="1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15"/>
      <c r="G1208" s="15"/>
      <c r="H1208" s="1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15"/>
      <c r="G1209" s="15"/>
      <c r="H1209" s="1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15"/>
      <c r="G1210" s="15"/>
      <c r="H1210" s="1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15"/>
      <c r="G1211" s="15"/>
      <c r="H1211" s="1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15"/>
      <c r="G1212" s="15"/>
      <c r="H1212" s="1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15"/>
      <c r="G1213" s="15"/>
      <c r="H1213" s="1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15"/>
      <c r="G1214" s="15"/>
      <c r="H1214" s="1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15"/>
      <c r="G1215" s="15"/>
      <c r="H1215" s="1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15"/>
      <c r="G1216" s="15"/>
      <c r="H1216" s="1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15"/>
      <c r="G1217" s="15"/>
      <c r="H1217" s="1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15"/>
      <c r="G1218" s="15"/>
      <c r="H1218" s="1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15"/>
      <c r="G1219" s="15"/>
      <c r="H1219" s="1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15"/>
      <c r="G1220" s="15"/>
      <c r="H1220" s="1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15"/>
      <c r="G1221" s="15"/>
      <c r="H1221" s="1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15"/>
      <c r="G1222" s="15"/>
      <c r="H1222" s="1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15"/>
      <c r="G1223" s="15"/>
      <c r="H1223" s="1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15"/>
      <c r="G1224" s="15"/>
      <c r="H1224" s="1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15"/>
      <c r="G1225" s="15"/>
      <c r="H1225" s="1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15"/>
      <c r="G1226" s="15"/>
      <c r="H1226" s="1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15"/>
      <c r="G1227" s="15"/>
      <c r="H1227" s="1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15"/>
      <c r="G1228" s="15"/>
      <c r="H1228" s="1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15"/>
      <c r="G1229" s="15"/>
      <c r="H1229" s="1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15"/>
      <c r="G1230" s="15"/>
      <c r="H1230" s="1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15"/>
      <c r="G1231" s="15"/>
      <c r="H1231" s="1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15"/>
      <c r="G1232" s="15"/>
      <c r="H1232" s="1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</sheetData>
  <conditionalFormatting sqref="C4:C1099">
    <cfRule type="duplicateValues" dxfId="2" priority="103"/>
    <cfRule type="duplicateValues" dxfId="1" priority="104"/>
  </conditionalFormatting>
  <conditionalFormatting sqref="C4:C1101">
    <cfRule type="duplicateValues" dxfId="0" priority="107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9" r:id="rId12" xr:uid="{63C8BBD0-BBF5-4728-B63F-8778ACFA73CD}"/>
    <hyperlink ref="B30" r:id="rId13" xr:uid="{C5A87BC8-E354-423F-B92C-B011D75ECCCF}"/>
    <hyperlink ref="B18" r:id="rId14" xr:uid="{6ABBC8AF-1788-4F66-83E4-735DE38C0666}"/>
    <hyperlink ref="B47" r:id="rId15" xr:uid="{0BC635AE-4F95-4E10-A94F-2732C9C0ACF1}"/>
    <hyperlink ref="B72" r:id="rId16" xr:uid="{57F98D26-B165-4AB9-8C32-F2C275C9856F}"/>
    <hyperlink ref="B15" r:id="rId17" xr:uid="{F0E412CC-AA9E-433F-8B58-0ADD79B99C59}"/>
    <hyperlink ref="B33" r:id="rId18" xr:uid="{230AD7FC-F6A7-47D6-9C2D-0B01018AAD14}"/>
    <hyperlink ref="B12" r:id="rId19" xr:uid="{ADC65BE2-5B3F-4EB3-89B1-58E7D9C5B4C1}"/>
    <hyperlink ref="B107" r:id="rId20" xr:uid="{42D9B4C2-49DB-4976-8CCA-C4017A3941C0}"/>
    <hyperlink ref="B56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1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6" r:id="rId32" xr:uid="{B14F56C4-0269-430C-B784-857F30E85725}"/>
    <hyperlink ref="B26" r:id="rId33" xr:uid="{DDD3A7BD-556F-44BA-AE30-F939360FC127}"/>
    <hyperlink ref="B27" r:id="rId34" xr:uid="{2C831D96-B4B9-491E-831B-5894D585E8C8}"/>
    <hyperlink ref="B49" r:id="rId35" xr:uid="{5B06212A-3594-4A82-A65F-019D409C886F}"/>
    <hyperlink ref="B57" r:id="rId36" xr:uid="{AC9CA120-06B3-450A-8BD8-3F4B6FD6CA81}"/>
    <hyperlink ref="B58" r:id="rId37" xr:uid="{F18E5EE9-0C6D-4617-AC11-EC59FD45803C}"/>
    <hyperlink ref="B38" r:id="rId38" xr:uid="{8EA1C049-EA77-423B-8550-C70B9E5854CF}"/>
    <hyperlink ref="B31" r:id="rId39" xr:uid="{B84EC302-2735-4656-8952-595D8500CFD6}"/>
    <hyperlink ref="B25" r:id="rId40" xr:uid="{6B787C62-59B7-46FE-9933-77EE574BE474}"/>
    <hyperlink ref="B32" r:id="rId41" xr:uid="{D3FA63AD-BF24-425B-98A5-2CE3BF3D1EEA}"/>
    <hyperlink ref="B40" r:id="rId42" xr:uid="{0861642F-9E36-4921-A816-2FAEB50142F3}"/>
    <hyperlink ref="B60" r:id="rId43" xr:uid="{CE35F8AF-4D81-4514-AAE3-A0B6A1DFAF53}"/>
    <hyperlink ref="B50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28" r:id="rId48" xr:uid="{135277CF-6DC3-47F7-8FC6-007EBD401D21}"/>
    <hyperlink ref="B91" r:id="rId49" xr:uid="{B5BADCA7-FA1F-4469-8A4E-6DBF15BC2D45}"/>
    <hyperlink ref="B39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41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4" r:id="rId59" xr:uid="{E9F4DA1F-D069-4239-B886-BC201C31B81D}"/>
    <hyperlink ref="B48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5" r:id="rId66" xr:uid="{A67C8237-A0F1-4A17-A742-D6FE9552A04A}"/>
    <hyperlink ref="B43" r:id="rId67" xr:uid="{26ECE735-DD01-4AC2-A7BF-B58A0C21AC4C}"/>
    <hyperlink ref="B55" r:id="rId68" xr:uid="{6718A887-05B5-4711-BDAC-F73D7E4BCA46}"/>
    <hyperlink ref="B248" r:id="rId69" xr:uid="{B18B5185-F69E-4727-B9A5-9536254CB591}"/>
    <hyperlink ref="B59" r:id="rId70" xr:uid="{727AB356-39CF-4BB2-99B5-9FB8245AFDE6}"/>
    <hyperlink ref="B34" r:id="rId71" xr:uid="{A7954308-0310-4A3F-A898-8AA2046ABEF3}"/>
    <hyperlink ref="B36" r:id="rId72" xr:uid="{CD207CF6-4C45-4FA4-9692-EAC880B06FBC}"/>
    <hyperlink ref="B61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099" r:id="rId82" xr:uid="{CC7AF7EF-FD58-40F3-9751-C19C471B5320}"/>
    <hyperlink ref="B1100" r:id="rId83" xr:uid="{52749962-867F-4855-ACBB-76F6560C195D}"/>
    <hyperlink ref="B1098" r:id="rId84" xr:uid="{183849A2-82AE-4CD1-A9BB-C5F5B0BD616B}"/>
    <hyperlink ref="B292" r:id="rId85" xr:uid="{169337C6-DF90-4649-B61A-B3A727423BB4}"/>
    <hyperlink ref="B1101" r:id="rId86" xr:uid="{C33CEF87-C448-44DC-8D3C-76ED6050B4C6}"/>
    <hyperlink ref="B1102" r:id="rId87" xr:uid="{08DFB937-4A07-43A5-8FDF-1CAC363B74F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72"/>
  <sheetViews>
    <sheetView zoomScale="200" zoomScaleNormal="200" workbookViewId="0">
      <selection activeCell="B12" sqref="B12"/>
    </sheetView>
  </sheetViews>
  <sheetFormatPr defaultRowHeight="13.5" x14ac:dyDescent="0.25"/>
  <cols>
    <col min="1" max="1" width="4" style="7" customWidth="1"/>
    <col min="2" max="2" width="24" style="7" customWidth="1"/>
    <col min="3" max="3" width="10.7109375" style="7" bestFit="1" customWidth="1"/>
    <col min="4" max="16384" width="9.140625" style="7"/>
  </cols>
  <sheetData>
    <row r="1" spans="1:18" x14ac:dyDescent="0.25">
      <c r="A1" s="14" t="s">
        <v>958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3154</v>
      </c>
      <c r="G3" s="9" t="s">
        <v>3</v>
      </c>
      <c r="H3" s="9" t="s">
        <v>4</v>
      </c>
      <c r="I3" s="9" t="s">
        <v>5</v>
      </c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14" t="s">
        <v>8</v>
      </c>
      <c r="C4" s="5" t="s">
        <v>428</v>
      </c>
      <c r="D4" s="54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14" t="s">
        <v>10</v>
      </c>
      <c r="C5" s="5" t="s">
        <v>35</v>
      </c>
      <c r="D5" s="54" t="s">
        <v>45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1" si="0">+A5+1</f>
        <v>3</v>
      </c>
      <c r="B6" s="14" t="s">
        <v>13</v>
      </c>
      <c r="C6" s="5" t="s">
        <v>53</v>
      </c>
      <c r="D6" s="54" t="s">
        <v>1126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14" t="s">
        <v>16</v>
      </c>
      <c r="C7" s="54" t="s">
        <v>60</v>
      </c>
      <c r="D7" s="54" t="s">
        <v>59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14" t="s">
        <v>58</v>
      </c>
      <c r="C8" s="5" t="s">
        <v>58</v>
      </c>
      <c r="D8" s="54" t="s">
        <v>46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14" t="s">
        <v>64</v>
      </c>
      <c r="C9" s="5" t="s">
        <v>64</v>
      </c>
      <c r="D9" s="54" t="s">
        <v>45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14" t="s">
        <v>772</v>
      </c>
      <c r="C10" s="5" t="s">
        <v>69</v>
      </c>
      <c r="D10" s="54" t="s">
        <v>45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14" t="s">
        <v>23</v>
      </c>
      <c r="C11" s="5" t="s">
        <v>166</v>
      </c>
      <c r="D11" s="54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14" t="s">
        <v>27</v>
      </c>
      <c r="C12" s="5" t="s">
        <v>110</v>
      </c>
      <c r="D12" s="54" t="s">
        <v>45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14" t="s">
        <v>72</v>
      </c>
      <c r="C13" s="5" t="s">
        <v>73</v>
      </c>
      <c r="D13" s="54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773</v>
      </c>
      <c r="C14" s="5" t="s">
        <v>81</v>
      </c>
      <c r="D14" s="54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4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774</v>
      </c>
      <c r="C16" s="5" t="s">
        <v>775</v>
      </c>
      <c r="D16" s="54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776</v>
      </c>
      <c r="C17" s="5" t="s">
        <v>94</v>
      </c>
      <c r="D17" s="54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777</v>
      </c>
      <c r="C18" s="5" t="s">
        <v>280</v>
      </c>
      <c r="D18" s="54" t="s">
        <v>45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4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778</v>
      </c>
      <c r="D20" s="54" t="s">
        <v>59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779</v>
      </c>
      <c r="D21" s="54" t="s">
        <v>87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780</v>
      </c>
      <c r="C22" s="5" t="s">
        <v>108</v>
      </c>
      <c r="D22" s="54" t="s">
        <v>45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781</v>
      </c>
      <c r="C23" s="5" t="s">
        <v>782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783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784</v>
      </c>
      <c r="C25" s="5" t="s">
        <v>785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786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787</v>
      </c>
      <c r="C27" s="5" t="s">
        <v>788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789</v>
      </c>
      <c r="C28" s="5" t="s">
        <v>790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791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792</v>
      </c>
      <c r="C30" s="5" t="s">
        <v>793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794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795</v>
      </c>
      <c r="C32" s="5" t="s">
        <v>796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797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798</v>
      </c>
      <c r="C34" s="5" t="s">
        <v>799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800</v>
      </c>
      <c r="C35" s="5" t="s">
        <v>801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802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803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804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805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806</v>
      </c>
      <c r="C40" s="5" t="s">
        <v>807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13">
        <f t="shared" si="0"/>
        <v>38</v>
      </c>
      <c r="B41" s="14" t="s">
        <v>810</v>
      </c>
      <c r="C41" s="52" t="s">
        <v>3153</v>
      </c>
      <c r="D41" s="52" t="s">
        <v>45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13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13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 t="s">
        <v>808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 t="s">
        <v>809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  <row r="70" spans="1:18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</row>
    <row r="71" spans="1:18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</row>
    <row r="72" spans="1:18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  <hyperlink ref="B41" r:id="rId13" xr:uid="{4CC0C72F-8714-4B97-938F-1BF0786B2FC3}"/>
    <hyperlink ref="B7" r:id="rId14" xr:uid="{C537EA4E-0A4F-4FD5-8E0F-4457D0380932}"/>
    <hyperlink ref="B13" r:id="rId15" xr:uid="{3D351524-9746-4BBF-B6E6-F22EFC1312A9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958</v>
      </c>
      <c r="B1" s="5"/>
      <c r="C1" s="5" t="s">
        <v>3143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2580</v>
      </c>
      <c r="J3" s="9" t="s">
        <v>2581</v>
      </c>
      <c r="K3" s="20"/>
      <c r="L3" s="20"/>
      <c r="M3" s="20"/>
      <c r="N3" s="20"/>
      <c r="O3" s="20"/>
      <c r="P3" s="11" t="s">
        <v>427</v>
      </c>
      <c r="Q3" s="11" t="s">
        <v>2597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2711</v>
      </c>
      <c r="C4" s="5" t="s">
        <v>2712</v>
      </c>
      <c r="D4" s="5" t="s">
        <v>3094</v>
      </c>
      <c r="E4" s="5">
        <f>+[84]Main!$I$2</f>
        <v>251.74</v>
      </c>
      <c r="F4" s="15">
        <f>+[84]Main!$I$4</f>
        <v>283312.98862612003</v>
      </c>
      <c r="G4" s="15">
        <f>+[84]Main!$I$6-[84]Main!$I$5</f>
        <v>71167</v>
      </c>
      <c r="H4" s="15">
        <f>+F4+G4</f>
        <v>354479.98862612003</v>
      </c>
      <c r="I4" s="6" t="s">
        <v>2583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2713</v>
      </c>
      <c r="C5" s="5" t="s">
        <v>2714</v>
      </c>
      <c r="D5" s="5" t="s">
        <v>3095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2715</v>
      </c>
      <c r="C6" s="5" t="s">
        <v>2716</v>
      </c>
      <c r="D6" s="5" t="s">
        <v>3094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2717</v>
      </c>
      <c r="C7" s="5" t="s">
        <v>2718</v>
      </c>
      <c r="D7" s="5" t="s">
        <v>3094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2719</v>
      </c>
      <c r="C8" s="5" t="s">
        <v>2720</v>
      </c>
      <c r="D8" s="5" t="s">
        <v>3096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2721</v>
      </c>
      <c r="C9" s="5" t="s">
        <v>2722</v>
      </c>
      <c r="D9" s="5" t="s">
        <v>3097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2723</v>
      </c>
      <c r="C10" s="5" t="s">
        <v>2724</v>
      </c>
      <c r="D10" s="5" t="s">
        <v>3098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2725</v>
      </c>
      <c r="C11" s="5" t="s">
        <v>2726</v>
      </c>
      <c r="D11" s="5" t="s">
        <v>3094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2727</v>
      </c>
      <c r="C12" s="5" t="s">
        <v>2728</v>
      </c>
      <c r="D12" s="5" t="s">
        <v>3094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2729</v>
      </c>
      <c r="C13" s="5" t="s">
        <v>2730</v>
      </c>
      <c r="D13" s="5" t="s">
        <v>3095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3141</v>
      </c>
      <c r="C14" s="5" t="s">
        <v>3142</v>
      </c>
      <c r="D14" s="5" t="s">
        <v>3097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2731</v>
      </c>
      <c r="C15" s="5" t="s">
        <v>2732</v>
      </c>
      <c r="D15" s="5" t="s">
        <v>3097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2733</v>
      </c>
      <c r="C16" s="5" t="s">
        <v>2734</v>
      </c>
      <c r="D16" s="5" t="s">
        <v>3099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2735</v>
      </c>
      <c r="C17" s="5" t="s">
        <v>2736</v>
      </c>
      <c r="D17" s="5" t="s">
        <v>3100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2737</v>
      </c>
      <c r="C18" s="5" t="s">
        <v>2738</v>
      </c>
      <c r="D18" s="5" t="s">
        <v>3101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2739</v>
      </c>
      <c r="C19" s="5" t="s">
        <v>2740</v>
      </c>
      <c r="D19" s="5" t="s">
        <v>3094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2741</v>
      </c>
      <c r="C20" s="5" t="s">
        <v>2742</v>
      </c>
      <c r="D20" s="5" t="s">
        <v>3102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2743</v>
      </c>
      <c r="C21" s="5" t="s">
        <v>2744</v>
      </c>
      <c r="D21" s="5" t="s">
        <v>3103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2745</v>
      </c>
      <c r="C22" s="5" t="s">
        <v>2746</v>
      </c>
      <c r="D22" s="5" t="s">
        <v>3104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2747</v>
      </c>
      <c r="C23" s="5" t="s">
        <v>2748</v>
      </c>
      <c r="D23" s="5" t="s">
        <v>3094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2749</v>
      </c>
      <c r="C24" s="5" t="s">
        <v>2750</v>
      </c>
      <c r="D24" s="5" t="s">
        <v>3105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2751</v>
      </c>
      <c r="C25" s="5" t="s">
        <v>2752</v>
      </c>
      <c r="D25" s="5" t="s">
        <v>3106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2753</v>
      </c>
      <c r="C26" s="5" t="s">
        <v>2754</v>
      </c>
      <c r="D26" s="5" t="s">
        <v>3107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2755</v>
      </c>
      <c r="C27" s="5" t="s">
        <v>2756</v>
      </c>
      <c r="D27" s="5" t="s">
        <v>3108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2757</v>
      </c>
      <c r="C28" s="5" t="s">
        <v>2758</v>
      </c>
      <c r="D28" s="5" t="s">
        <v>3095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2759</v>
      </c>
      <c r="C29" s="5" t="s">
        <v>2760</v>
      </c>
      <c r="D29" s="5" t="s">
        <v>3109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2761</v>
      </c>
      <c r="C30" s="5" t="s">
        <v>2762</v>
      </c>
      <c r="D30" s="5" t="s">
        <v>3109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2763</v>
      </c>
      <c r="C31" s="5" t="s">
        <v>2764</v>
      </c>
      <c r="D31" s="5" t="s">
        <v>3110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2765</v>
      </c>
      <c r="C32" s="5" t="s">
        <v>2766</v>
      </c>
      <c r="D32" s="5" t="s">
        <v>3095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2767</v>
      </c>
      <c r="C33" s="5" t="s">
        <v>2768</v>
      </c>
      <c r="D33" s="5" t="s">
        <v>3104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2769</v>
      </c>
      <c r="C34" s="5" t="s">
        <v>2770</v>
      </c>
      <c r="D34" s="5" t="s">
        <v>3111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2771</v>
      </c>
      <c r="C35" s="5" t="s">
        <v>2772</v>
      </c>
      <c r="D35" s="5" t="s">
        <v>3108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2773</v>
      </c>
      <c r="C36" s="5" t="s">
        <v>2774</v>
      </c>
      <c r="D36" s="5" t="s">
        <v>3094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2775</v>
      </c>
      <c r="C37" s="5" t="s">
        <v>2775</v>
      </c>
      <c r="D37" s="5" t="s">
        <v>3111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2776</v>
      </c>
      <c r="C38" s="5" t="s">
        <v>2777</v>
      </c>
      <c r="D38" s="5" t="s">
        <v>3112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2778</v>
      </c>
      <c r="C39" s="5" t="s">
        <v>2779</v>
      </c>
      <c r="D39" s="5" t="s">
        <v>3113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2780</v>
      </c>
      <c r="C40" s="5" t="s">
        <v>2781</v>
      </c>
      <c r="D40" s="5" t="s">
        <v>3114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2782</v>
      </c>
      <c r="C41" s="5" t="s">
        <v>2783</v>
      </c>
      <c r="D41" s="5" t="s">
        <v>3111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2784</v>
      </c>
      <c r="C42" s="5" t="s">
        <v>2785</v>
      </c>
      <c r="D42" s="5" t="s">
        <v>3115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2786</v>
      </c>
      <c r="C43" s="5" t="s">
        <v>496</v>
      </c>
      <c r="D43" s="5" t="s">
        <v>3094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2787</v>
      </c>
      <c r="C44" s="5" t="s">
        <v>2788</v>
      </c>
      <c r="D44" s="5" t="s">
        <v>3116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2789</v>
      </c>
      <c r="C45" s="5" t="s">
        <v>2790</v>
      </c>
      <c r="D45" s="5" t="s">
        <v>3116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2791</v>
      </c>
      <c r="C46" s="5" t="s">
        <v>2792</v>
      </c>
      <c r="D46" s="5" t="s">
        <v>3117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2793</v>
      </c>
      <c r="C47" s="5" t="s">
        <v>2794</v>
      </c>
      <c r="D47" s="5" t="s">
        <v>3095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2795</v>
      </c>
      <c r="C48" s="5" t="s">
        <v>2796</v>
      </c>
      <c r="D48" s="5" t="s">
        <v>3100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2797</v>
      </c>
      <c r="C49" s="5" t="s">
        <v>2798</v>
      </c>
      <c r="D49" s="5" t="s">
        <v>3103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2799</v>
      </c>
      <c r="C50" s="5" t="s">
        <v>2800</v>
      </c>
      <c r="D50" s="5" t="s">
        <v>3094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2801</v>
      </c>
      <c r="C51" s="5" t="s">
        <v>2802</v>
      </c>
      <c r="D51" s="5" t="s">
        <v>3110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2803</v>
      </c>
      <c r="C52" s="5" t="s">
        <v>2804</v>
      </c>
      <c r="D52" s="5" t="s">
        <v>3117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2805</v>
      </c>
      <c r="C53" s="5" t="s">
        <v>2806</v>
      </c>
      <c r="D53" s="5" t="s">
        <v>3109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2807</v>
      </c>
      <c r="C54" s="5" t="s">
        <v>2808</v>
      </c>
      <c r="D54" s="5" t="s">
        <v>3118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2809</v>
      </c>
      <c r="C55" s="5" t="s">
        <v>2810</v>
      </c>
      <c r="D55" s="5" t="s">
        <v>3119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2811</v>
      </c>
      <c r="C56" s="5" t="s">
        <v>2812</v>
      </c>
      <c r="D56" s="5" t="s">
        <v>3104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2813</v>
      </c>
      <c r="C57" s="5" t="s">
        <v>2814</v>
      </c>
      <c r="D57" s="5" t="s">
        <v>3118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2815</v>
      </c>
      <c r="C58" s="5" t="s">
        <v>2816</v>
      </c>
      <c r="D58" s="5" t="s">
        <v>3109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2817</v>
      </c>
      <c r="C59" s="5" t="s">
        <v>2818</v>
      </c>
      <c r="D59" s="5" t="s">
        <v>3098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2819</v>
      </c>
      <c r="C60" s="5" t="s">
        <v>2820</v>
      </c>
      <c r="D60" s="5" t="s">
        <v>3098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2821</v>
      </c>
      <c r="C61" s="5" t="s">
        <v>2822</v>
      </c>
      <c r="D61" s="5" t="s">
        <v>3107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2823</v>
      </c>
      <c r="C62" s="5" t="s">
        <v>2824</v>
      </c>
      <c r="D62" s="5" t="s">
        <v>3120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2825</v>
      </c>
      <c r="C63" s="5" t="s">
        <v>2826</v>
      </c>
      <c r="D63" s="5" t="s">
        <v>3103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2827</v>
      </c>
      <c r="C64" s="5" t="s">
        <v>2828</v>
      </c>
      <c r="D64" s="5" t="s">
        <v>3113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2829</v>
      </c>
      <c r="C65" s="5" t="s">
        <v>2830</v>
      </c>
      <c r="D65" s="5" t="s">
        <v>3121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2831</v>
      </c>
      <c r="C66" s="5" t="s">
        <v>2832</v>
      </c>
      <c r="D66" s="5" t="s">
        <v>3107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2833</v>
      </c>
      <c r="C67" s="5" t="s">
        <v>2834</v>
      </c>
      <c r="D67" s="5" t="s">
        <v>3094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2835</v>
      </c>
      <c r="C68" s="5" t="s">
        <v>2836</v>
      </c>
      <c r="D68" s="5" t="s">
        <v>3098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2837</v>
      </c>
      <c r="C69" s="5" t="s">
        <v>2838</v>
      </c>
      <c r="D69" s="5" t="s">
        <v>3122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2839</v>
      </c>
      <c r="C70" s="5" t="s">
        <v>2840</v>
      </c>
      <c r="D70" s="5" t="s">
        <v>3121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2841</v>
      </c>
      <c r="C71" s="5" t="s">
        <v>2842</v>
      </c>
      <c r="D71" s="5" t="s">
        <v>3114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2843</v>
      </c>
      <c r="C72" s="5" t="s">
        <v>2844</v>
      </c>
      <c r="D72" s="5" t="s">
        <v>3094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2845</v>
      </c>
      <c r="C73" s="5" t="s">
        <v>2846</v>
      </c>
      <c r="D73" s="5" t="s">
        <v>3094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2847</v>
      </c>
      <c r="C74" s="5" t="s">
        <v>2848</v>
      </c>
      <c r="D74" s="5" t="s">
        <v>3123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2849</v>
      </c>
      <c r="C75" s="5" t="s">
        <v>2850</v>
      </c>
      <c r="D75" s="5" t="s">
        <v>1638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2851</v>
      </c>
      <c r="C76" s="5" t="s">
        <v>2852</v>
      </c>
      <c r="D76" s="5" t="s">
        <v>3124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2853</v>
      </c>
      <c r="C77" s="5" t="s">
        <v>2854</v>
      </c>
      <c r="D77" s="5" t="s">
        <v>3125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2855</v>
      </c>
      <c r="C78" s="5" t="s">
        <v>2856</v>
      </c>
      <c r="D78" s="5" t="s">
        <v>3121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2857</v>
      </c>
      <c r="C79" s="5" t="s">
        <v>618</v>
      </c>
      <c r="D79" s="5" t="s">
        <v>3094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2858</v>
      </c>
      <c r="C80" s="5" t="s">
        <v>2859</v>
      </c>
      <c r="D80" s="5" t="s">
        <v>3120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2860</v>
      </c>
      <c r="C81" s="5" t="s">
        <v>2861</v>
      </c>
      <c r="D81" s="5" t="s">
        <v>3111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2862</v>
      </c>
      <c r="C82" s="5" t="s">
        <v>2863</v>
      </c>
      <c r="D82" s="5" t="s">
        <v>3094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2864</v>
      </c>
      <c r="C83" s="5" t="s">
        <v>2865</v>
      </c>
      <c r="D83" s="5" t="s">
        <v>3120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2866</v>
      </c>
      <c r="C84" s="5" t="s">
        <v>2867</v>
      </c>
      <c r="D84" s="5" t="s">
        <v>3106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2868</v>
      </c>
      <c r="C85" s="5" t="s">
        <v>2869</v>
      </c>
      <c r="D85" s="5" t="s">
        <v>3126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2870</v>
      </c>
      <c r="C86" s="5" t="s">
        <v>2871</v>
      </c>
      <c r="D86" s="5" t="s">
        <v>3120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2872</v>
      </c>
      <c r="C87" s="5" t="s">
        <v>2873</v>
      </c>
      <c r="D87" s="5" t="s">
        <v>3127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693</v>
      </c>
      <c r="C88" s="5" t="s">
        <v>694</v>
      </c>
      <c r="D88" s="5" t="s">
        <v>3096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2874</v>
      </c>
      <c r="C89" s="5" t="s">
        <v>2875</v>
      </c>
      <c r="D89" s="5" t="s">
        <v>3104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2876</v>
      </c>
      <c r="C90" s="5" t="s">
        <v>2877</v>
      </c>
      <c r="D90" s="5" t="s">
        <v>3128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2878</v>
      </c>
      <c r="C91" s="5" t="s">
        <v>2879</v>
      </c>
      <c r="D91" s="5" t="s">
        <v>3098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2880</v>
      </c>
      <c r="C92" s="5" t="s">
        <v>2881</v>
      </c>
      <c r="D92" s="5" t="s">
        <v>3098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2882</v>
      </c>
      <c r="C93" s="5" t="s">
        <v>2883</v>
      </c>
      <c r="D93" s="5" t="s">
        <v>3114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2884</v>
      </c>
      <c r="C94" s="5" t="s">
        <v>2885</v>
      </c>
      <c r="D94" s="5" t="s">
        <v>3128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2886</v>
      </c>
      <c r="C95" s="5" t="s">
        <v>2887</v>
      </c>
      <c r="D95" s="5" t="s">
        <v>3129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2888</v>
      </c>
      <c r="C96" s="5" t="s">
        <v>2889</v>
      </c>
      <c r="D96" s="5" t="s">
        <v>3126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642</v>
      </c>
      <c r="C97" s="5" t="s">
        <v>643</v>
      </c>
      <c r="D97" s="5" t="s">
        <v>3094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2890</v>
      </c>
      <c r="C98" s="5" t="s">
        <v>2891</v>
      </c>
      <c r="D98" s="5" t="s">
        <v>3094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2892</v>
      </c>
      <c r="C99" s="5" t="s">
        <v>2892</v>
      </c>
      <c r="D99" s="5" t="s">
        <v>3115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2893</v>
      </c>
      <c r="C100" s="5" t="s">
        <v>2894</v>
      </c>
      <c r="D100" s="5" t="s">
        <v>3130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2895</v>
      </c>
      <c r="C101" s="5" t="s">
        <v>2896</v>
      </c>
      <c r="D101" s="5" t="s">
        <v>3114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2897</v>
      </c>
      <c r="C102" s="5" t="s">
        <v>2898</v>
      </c>
      <c r="D102" s="5" t="s">
        <v>3105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2899</v>
      </c>
      <c r="C103" s="5" t="s">
        <v>2900</v>
      </c>
      <c r="D103" s="5" t="s">
        <v>3096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2901</v>
      </c>
      <c r="C104" s="5" t="s">
        <v>2902</v>
      </c>
      <c r="D104" s="5" t="s">
        <v>3109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2903</v>
      </c>
      <c r="C105" s="5" t="s">
        <v>2904</v>
      </c>
      <c r="D105" s="5" t="s">
        <v>3096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1249</v>
      </c>
      <c r="C106" s="5" t="s">
        <v>1250</v>
      </c>
      <c r="D106" s="5" t="s">
        <v>3094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2905</v>
      </c>
      <c r="C107" s="5" t="s">
        <v>2906</v>
      </c>
      <c r="D107" s="5" t="s">
        <v>3094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2907</v>
      </c>
      <c r="C108" s="5" t="s">
        <v>2908</v>
      </c>
      <c r="D108" s="5" t="s">
        <v>3094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2909</v>
      </c>
      <c r="C109" s="5" t="s">
        <v>2910</v>
      </c>
      <c r="D109" s="5" t="s">
        <v>3094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2911</v>
      </c>
      <c r="C110" s="5" t="s">
        <v>2912</v>
      </c>
      <c r="D110" s="5" t="s">
        <v>3131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2913</v>
      </c>
      <c r="C111" s="5" t="s">
        <v>2914</v>
      </c>
      <c r="D111" s="5" t="s">
        <v>3114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2915</v>
      </c>
      <c r="C112" s="5" t="s">
        <v>2916</v>
      </c>
      <c r="D112" s="5" t="s">
        <v>3119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2917</v>
      </c>
      <c r="C113" s="5" t="s">
        <v>2918</v>
      </c>
      <c r="D113" s="5" t="s">
        <v>3123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2919</v>
      </c>
      <c r="C114" s="5" t="s">
        <v>2920</v>
      </c>
      <c r="D114" s="5" t="s">
        <v>3132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2921</v>
      </c>
      <c r="C115" s="5" t="s">
        <v>2922</v>
      </c>
      <c r="D115" s="5" t="s">
        <v>3101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2923</v>
      </c>
      <c r="C116" s="5" t="s">
        <v>2924</v>
      </c>
      <c r="D116" s="5" t="s">
        <v>3133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2925</v>
      </c>
      <c r="C117" s="5" t="s">
        <v>2926</v>
      </c>
      <c r="D117" s="5" t="s">
        <v>3106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2927</v>
      </c>
      <c r="C118" s="5" t="s">
        <v>2928</v>
      </c>
      <c r="D118" s="5" t="s">
        <v>3117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2929</v>
      </c>
      <c r="C119" s="5" t="s">
        <v>2930</v>
      </c>
      <c r="D119" s="5" t="s">
        <v>3114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2931</v>
      </c>
      <c r="C120" s="5" t="s">
        <v>2932</v>
      </c>
      <c r="D120" s="5" t="s">
        <v>3094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2933</v>
      </c>
      <c r="C121" s="5" t="s">
        <v>2934</v>
      </c>
      <c r="D121" s="5" t="s">
        <v>3100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2935</v>
      </c>
      <c r="C122" s="5" t="s">
        <v>2936</v>
      </c>
      <c r="D122" s="5" t="s">
        <v>3114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2937</v>
      </c>
      <c r="C123" s="5" t="s">
        <v>2938</v>
      </c>
      <c r="D123" s="5" t="s">
        <v>3133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2939</v>
      </c>
      <c r="C124" s="5" t="s">
        <v>2940</v>
      </c>
      <c r="D124" s="5" t="s">
        <v>3099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2941</v>
      </c>
      <c r="C125" s="5" t="s">
        <v>2942</v>
      </c>
      <c r="D125" s="5" t="s">
        <v>3134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2943</v>
      </c>
      <c r="C126" s="5" t="s">
        <v>2944</v>
      </c>
      <c r="D126" s="5" t="s">
        <v>3109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2945</v>
      </c>
      <c r="C127" s="5" t="s">
        <v>2946</v>
      </c>
      <c r="D127" s="5" t="s">
        <v>3131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2947</v>
      </c>
      <c r="C128" s="5" t="s">
        <v>2948</v>
      </c>
      <c r="D128" s="5" t="s">
        <v>3135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2949</v>
      </c>
      <c r="C129" s="5" t="s">
        <v>2950</v>
      </c>
      <c r="D129" s="5" t="s">
        <v>3109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2951</v>
      </c>
      <c r="C130" s="5" t="s">
        <v>2952</v>
      </c>
      <c r="D130" s="5" t="s">
        <v>3124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2953</v>
      </c>
      <c r="C131" s="5" t="s">
        <v>2954</v>
      </c>
      <c r="D131" s="5" t="s">
        <v>3136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2955</v>
      </c>
      <c r="C132" s="5" t="s">
        <v>2956</v>
      </c>
      <c r="D132" s="5" t="s">
        <v>3111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2957</v>
      </c>
      <c r="C133" s="5" t="s">
        <v>2958</v>
      </c>
      <c r="D133" s="5" t="s">
        <v>3124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2959</v>
      </c>
      <c r="C134" s="5" t="s">
        <v>2960</v>
      </c>
      <c r="D134" s="5" t="s">
        <v>3094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1302</v>
      </c>
      <c r="C135" s="5" t="s">
        <v>1303</v>
      </c>
      <c r="D135" s="5" t="s">
        <v>3102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2961</v>
      </c>
      <c r="C136" s="5" t="s">
        <v>2962</v>
      </c>
      <c r="D136" s="5" t="s">
        <v>3129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2963</v>
      </c>
      <c r="C137" s="5" t="s">
        <v>2964</v>
      </c>
      <c r="D137" s="5" t="s">
        <v>3102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2965</v>
      </c>
      <c r="C138" s="5" t="s">
        <v>2966</v>
      </c>
      <c r="D138" s="5" t="s">
        <v>3094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2967</v>
      </c>
      <c r="C139" s="5" t="s">
        <v>2968</v>
      </c>
      <c r="D139" s="5" t="s">
        <v>3094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2969</v>
      </c>
      <c r="C140" s="5" t="s">
        <v>2970</v>
      </c>
      <c r="D140" s="5" t="s">
        <v>3094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2971</v>
      </c>
      <c r="C141" s="5" t="s">
        <v>2972</v>
      </c>
      <c r="D141" s="5" t="s">
        <v>3129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2973</v>
      </c>
      <c r="C142" s="5" t="s">
        <v>2974</v>
      </c>
      <c r="D142" s="5" t="s">
        <v>3094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2975</v>
      </c>
      <c r="C143" s="5" t="s">
        <v>2976</v>
      </c>
      <c r="D143" s="5" t="s">
        <v>3116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2977</v>
      </c>
      <c r="C144" s="5" t="s">
        <v>2978</v>
      </c>
      <c r="D144" s="5" t="s">
        <v>3103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2979</v>
      </c>
      <c r="C145" s="5" t="s">
        <v>2980</v>
      </c>
      <c r="D145" s="5" t="s">
        <v>3109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2981</v>
      </c>
      <c r="C146" s="5" t="s">
        <v>2982</v>
      </c>
      <c r="D146" s="5" t="s">
        <v>3098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2983</v>
      </c>
      <c r="C147" s="5" t="s">
        <v>2984</v>
      </c>
      <c r="D147" s="5" t="s">
        <v>3096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1362</v>
      </c>
      <c r="C148" s="5" t="s">
        <v>1363</v>
      </c>
      <c r="D148" s="5" t="s">
        <v>3102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2985</v>
      </c>
      <c r="C149" s="5" t="s">
        <v>2986</v>
      </c>
      <c r="D149" s="5" t="s">
        <v>3137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2987</v>
      </c>
      <c r="C150" s="5" t="s">
        <v>2988</v>
      </c>
      <c r="D150" s="5" t="s">
        <v>3138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2989</v>
      </c>
      <c r="C151" s="5" t="s">
        <v>2990</v>
      </c>
      <c r="D151" s="5" t="s">
        <v>3094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2991</v>
      </c>
      <c r="C152" s="5" t="s">
        <v>2992</v>
      </c>
      <c r="D152" s="5" t="s">
        <v>3094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2993</v>
      </c>
      <c r="C153" s="5" t="s">
        <v>2994</v>
      </c>
      <c r="D153" s="5" t="s">
        <v>3106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2995</v>
      </c>
      <c r="C154" s="5" t="s">
        <v>2996</v>
      </c>
      <c r="D154" s="5" t="s">
        <v>3106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2997</v>
      </c>
      <c r="C155" s="5" t="s">
        <v>2998</v>
      </c>
      <c r="D155" s="5" t="s">
        <v>3125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1612</v>
      </c>
      <c r="C156" s="5" t="s">
        <v>1613</v>
      </c>
      <c r="D156" s="5" t="s">
        <v>3098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2999</v>
      </c>
      <c r="C157" s="5" t="s">
        <v>3000</v>
      </c>
      <c r="D157" s="5" t="s">
        <v>3100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3001</v>
      </c>
      <c r="C158" s="5" t="s">
        <v>3002</v>
      </c>
      <c r="D158" s="5" t="s">
        <v>3094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3003</v>
      </c>
      <c r="C159" s="5" t="s">
        <v>3004</v>
      </c>
      <c r="D159" s="5" t="s">
        <v>3112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3005</v>
      </c>
      <c r="C160" s="5" t="s">
        <v>3006</v>
      </c>
      <c r="D160" s="5" t="s">
        <v>3117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3007</v>
      </c>
      <c r="C161" s="5" t="s">
        <v>3008</v>
      </c>
      <c r="D161" s="5" t="s">
        <v>3094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3009</v>
      </c>
      <c r="C162" s="5" t="s">
        <v>3010</v>
      </c>
      <c r="D162" s="5" t="s">
        <v>3094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3011</v>
      </c>
      <c r="C163" s="5" t="s">
        <v>3012</v>
      </c>
      <c r="D163" s="5" t="s">
        <v>3104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3013</v>
      </c>
      <c r="C164" s="5" t="s">
        <v>3014</v>
      </c>
      <c r="D164" s="5" t="s">
        <v>3129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3015</v>
      </c>
      <c r="C165" s="5" t="s">
        <v>3016</v>
      </c>
      <c r="D165" s="5" t="s">
        <v>3104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3017</v>
      </c>
      <c r="C166" s="5" t="s">
        <v>3018</v>
      </c>
      <c r="D166" s="5" t="s">
        <v>3097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3019</v>
      </c>
      <c r="C167" s="5" t="s">
        <v>3020</v>
      </c>
      <c r="D167" s="5" t="s">
        <v>3098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3021</v>
      </c>
      <c r="C168" s="5" t="s">
        <v>3022</v>
      </c>
      <c r="D168" s="5" t="s">
        <v>3105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3023</v>
      </c>
      <c r="C169" s="5" t="s">
        <v>3024</v>
      </c>
      <c r="D169" s="5" t="s">
        <v>3129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3025</v>
      </c>
      <c r="C170" s="5" t="s">
        <v>3026</v>
      </c>
      <c r="D170" s="5" t="s">
        <v>3094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3027</v>
      </c>
      <c r="C171" s="5" t="s">
        <v>3028</v>
      </c>
      <c r="D171" s="5" t="s">
        <v>3094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3029</v>
      </c>
      <c r="C172" s="5" t="s">
        <v>3030</v>
      </c>
      <c r="D172" s="5" t="s">
        <v>3136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3031</v>
      </c>
      <c r="C173" s="5" t="s">
        <v>3032</v>
      </c>
      <c r="D173" s="5" t="s">
        <v>3094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1879</v>
      </c>
      <c r="C174" s="5" t="s">
        <v>1880</v>
      </c>
      <c r="D174" s="5" t="s">
        <v>3094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3033</v>
      </c>
      <c r="C175" s="5" t="s">
        <v>3034</v>
      </c>
      <c r="D175" s="5" t="s">
        <v>1638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3035</v>
      </c>
      <c r="C176" s="5" t="s">
        <v>3036</v>
      </c>
      <c r="D176" s="5" t="s">
        <v>3094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3037</v>
      </c>
      <c r="C177" s="5" t="s">
        <v>3038</v>
      </c>
      <c r="D177" s="5" t="s">
        <v>3098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3039</v>
      </c>
      <c r="C178" s="5" t="s">
        <v>3040</v>
      </c>
      <c r="D178" s="5" t="s">
        <v>3117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3041</v>
      </c>
      <c r="C179" s="5" t="s">
        <v>3042</v>
      </c>
      <c r="D179" s="5" t="s">
        <v>3129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3043</v>
      </c>
      <c r="C180" s="5" t="s">
        <v>3044</v>
      </c>
      <c r="D180" s="5" t="s">
        <v>3098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3045</v>
      </c>
      <c r="C181" s="5" t="s">
        <v>3046</v>
      </c>
      <c r="D181" s="5" t="s">
        <v>3106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3047</v>
      </c>
      <c r="C182" s="5" t="s">
        <v>3048</v>
      </c>
      <c r="D182" s="5" t="s">
        <v>3094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3049</v>
      </c>
      <c r="C183" s="5" t="s">
        <v>3050</v>
      </c>
      <c r="D183" s="5" t="s">
        <v>3139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3051</v>
      </c>
      <c r="C184" s="5" t="s">
        <v>3052</v>
      </c>
      <c r="D184" s="5" t="s">
        <v>3098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3053</v>
      </c>
      <c r="C185" s="5" t="s">
        <v>3054</v>
      </c>
      <c r="D185" s="5" t="s">
        <v>3094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3055</v>
      </c>
      <c r="C186" s="5" t="s">
        <v>3056</v>
      </c>
      <c r="D186" s="5" t="s">
        <v>3098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3057</v>
      </c>
      <c r="C187" s="5" t="s">
        <v>3058</v>
      </c>
      <c r="D187" s="5" t="s">
        <v>3129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3059</v>
      </c>
      <c r="C188" s="5" t="s">
        <v>3060</v>
      </c>
      <c r="D188" s="5" t="s">
        <v>3098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3061</v>
      </c>
      <c r="C189" s="5" t="s">
        <v>3062</v>
      </c>
      <c r="D189" s="5" t="s">
        <v>3105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3063</v>
      </c>
      <c r="C190" s="5" t="s">
        <v>3064</v>
      </c>
      <c r="D190" s="5" t="s">
        <v>3111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2056</v>
      </c>
      <c r="C191" s="5" t="s">
        <v>2057</v>
      </c>
      <c r="D191" s="5" t="s">
        <v>3111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3065</v>
      </c>
      <c r="C192" s="5" t="s">
        <v>3066</v>
      </c>
      <c r="D192" s="5" t="s">
        <v>3115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3067</v>
      </c>
      <c r="C193" s="5" t="s">
        <v>3068</v>
      </c>
      <c r="D193" s="5" t="s">
        <v>3118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3069</v>
      </c>
      <c r="C194" s="5" t="s">
        <v>3070</v>
      </c>
      <c r="D194" s="5" t="s">
        <v>3140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3071</v>
      </c>
      <c r="C195" s="5" t="s">
        <v>3072</v>
      </c>
      <c r="D195" s="5" t="s">
        <v>3112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3073</v>
      </c>
      <c r="C196" s="5" t="s">
        <v>3074</v>
      </c>
      <c r="D196" s="5" t="s">
        <v>3098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3075</v>
      </c>
      <c r="C197" s="5" t="s">
        <v>3076</v>
      </c>
      <c r="D197" s="5" t="s">
        <v>3139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3077</v>
      </c>
      <c r="C198" s="5" t="s">
        <v>3078</v>
      </c>
      <c r="D198" s="5" t="s">
        <v>3096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3079</v>
      </c>
      <c r="C199" s="5" t="s">
        <v>3080</v>
      </c>
      <c r="D199" s="5" t="s">
        <v>3104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2104</v>
      </c>
      <c r="C200" s="5" t="s">
        <v>2105</v>
      </c>
      <c r="D200" s="5" t="s">
        <v>3096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2153</v>
      </c>
      <c r="C201" s="5" t="s">
        <v>2154</v>
      </c>
      <c r="D201" s="5" t="s">
        <v>3118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3081</v>
      </c>
      <c r="C202" s="5" t="s">
        <v>3082</v>
      </c>
      <c r="D202" s="5" t="s">
        <v>3135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2235</v>
      </c>
      <c r="C203" s="5" t="s">
        <v>2236</v>
      </c>
      <c r="D203" s="5" t="s">
        <v>3108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3083</v>
      </c>
      <c r="C204" s="5" t="s">
        <v>3084</v>
      </c>
      <c r="D204" s="5" t="s">
        <v>3118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3085</v>
      </c>
      <c r="C205" s="5" t="s">
        <v>3086</v>
      </c>
      <c r="D205" s="5" t="s">
        <v>3096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3087</v>
      </c>
      <c r="C206" s="5" t="s">
        <v>3088</v>
      </c>
      <c r="D206" s="5" t="s">
        <v>3139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3089</v>
      </c>
      <c r="C207" s="5" t="s">
        <v>3090</v>
      </c>
      <c r="D207" s="5" t="s">
        <v>3098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2352</v>
      </c>
      <c r="C208" s="5" t="s">
        <v>2353</v>
      </c>
      <c r="D208" s="5" t="s">
        <v>3129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2452</v>
      </c>
      <c r="C209" s="5" t="s">
        <v>2453</v>
      </c>
      <c r="D209" s="5" t="s">
        <v>3098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3091</v>
      </c>
      <c r="C210" s="5" t="s">
        <v>3092</v>
      </c>
      <c r="D210" s="5" t="s">
        <v>3094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2482</v>
      </c>
      <c r="C211" s="5" t="s">
        <v>3093</v>
      </c>
      <c r="D211" s="5" t="s">
        <v>3096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2580</v>
      </c>
      <c r="J3" s="9" t="s">
        <v>2581</v>
      </c>
      <c r="K3" s="20"/>
      <c r="L3" s="20"/>
      <c r="M3" s="20"/>
      <c r="N3" s="20"/>
      <c r="O3" s="20"/>
      <c r="P3" s="11" t="s">
        <v>427</v>
      </c>
      <c r="Q3" s="11" t="s">
        <v>2597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709</v>
      </c>
      <c r="C4" s="5" t="s">
        <v>710</v>
      </c>
      <c r="D4" s="5" t="s">
        <v>45</v>
      </c>
      <c r="E4" s="5">
        <f>+[85]Main!$J$2</f>
        <v>334.9</v>
      </c>
      <c r="F4" s="15">
        <f>+[85]Main!$J$4</f>
        <v>622169.62413309992</v>
      </c>
      <c r="G4" s="15">
        <f>+[85]Main!$J$6-[85]Main!$J$5</f>
        <v>3163</v>
      </c>
      <c r="H4" s="15">
        <f t="shared" ref="H4:H17" si="0">+F4+G4</f>
        <v>625332.62413309992</v>
      </c>
      <c r="I4" s="6" t="s">
        <v>708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711</v>
      </c>
      <c r="C5" s="5" t="s">
        <v>712</v>
      </c>
      <c r="D5" s="5" t="s">
        <v>45</v>
      </c>
      <c r="E5" s="5">
        <f>+[86]Main!$I$2</f>
        <v>519.49</v>
      </c>
      <c r="F5" s="15">
        <f>+[86]Main!$I$4</f>
        <v>473623.45178194001</v>
      </c>
      <c r="G5" s="15">
        <f>+[86]Main!$I$6-[86]Main!$I$5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+[28]Main!$I$2</f>
        <v>670.1</v>
      </c>
      <c r="F6" s="15">
        <f>+[28]Main!$I$4</f>
        <v>186827.23050000001</v>
      </c>
      <c r="G6" s="15">
        <f>+[28]Main!$I$6-[28]Main!$I$5</f>
        <v>6178</v>
      </c>
      <c r="H6" s="15">
        <f t="shared" si="0"/>
        <v>193005.23050000001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713</v>
      </c>
      <c r="C7" s="5" t="s">
        <v>714</v>
      </c>
      <c r="D7" s="5" t="s">
        <v>45</v>
      </c>
      <c r="E7" s="5">
        <f>+[87]Main!$J$2</f>
        <v>494.32</v>
      </c>
      <c r="F7" s="15">
        <f>+[87]Main!$J$4</f>
        <v>151607.94399999999</v>
      </c>
      <c r="G7" s="15">
        <f>+[87]Main!$J$6-[87]Main!$J$5</f>
        <v>9922</v>
      </c>
      <c r="H7" s="15">
        <f t="shared" si="0"/>
        <v>161529.94399999999</v>
      </c>
      <c r="I7" s="6" t="s">
        <v>708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+[42]Main!$I$2</f>
        <v>62.5</v>
      </c>
      <c r="F8" s="15">
        <f>+[42]Main!$I$4</f>
        <v>33615.742937499999</v>
      </c>
      <c r="G8" s="15">
        <f>+[42]Main!$I$6-[42]Main!$I$5</f>
        <v>29131</v>
      </c>
      <c r="H8" s="15">
        <f t="shared" si="0"/>
        <v>62746.742937499999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+[37]Main!$I$2</f>
        <v>284.85000000000002</v>
      </c>
      <c r="F9" s="15">
        <f>+[37]Main!$I$4</f>
        <v>115897.17387105002</v>
      </c>
      <c r="G9" s="15">
        <f>+[37]Main!$I$6-[37]Main!$I$5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715</v>
      </c>
      <c r="C10" s="5" t="s">
        <v>716</v>
      </c>
      <c r="D10" s="5" t="s">
        <v>45</v>
      </c>
      <c r="E10" s="5">
        <f>+[88]Main!$I$2</f>
        <v>185.7</v>
      </c>
      <c r="F10" s="15">
        <f>+[88]Main!$I$4</f>
        <v>106522.39852469999</v>
      </c>
      <c r="G10" s="15">
        <f>+[88]Main!$I$6-[88]Main!$I$5</f>
        <v>18881</v>
      </c>
      <c r="H10" s="15">
        <f t="shared" si="0"/>
        <v>125403.39852469999</v>
      </c>
      <c r="I10" s="6" t="s">
        <v>708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708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+[49]Main!$I$2</f>
        <v>42</v>
      </c>
      <c r="F13" s="15">
        <f>+[49]Main!$I$4</f>
        <v>39102</v>
      </c>
      <c r="G13" s="15">
        <f>+[49]Main!$I$6-[49]Main!$I$5</f>
        <v>-435</v>
      </c>
      <c r="H13" s="15">
        <f t="shared" si="0"/>
        <v>38667</v>
      </c>
      <c r="I13" s="43" t="s">
        <v>3147</v>
      </c>
      <c r="J13" s="16">
        <v>46140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733</v>
      </c>
      <c r="C14" s="5" t="s">
        <v>734</v>
      </c>
      <c r="D14" s="5" t="s">
        <v>45</v>
      </c>
      <c r="E14" s="5">
        <f>+[89]Main!$I$2</f>
        <v>86.25</v>
      </c>
      <c r="F14" s="15">
        <f>+[89]Main!$I$4</f>
        <v>49517.989724999999</v>
      </c>
      <c r="G14" s="15">
        <f>+[89]Main!$I$6-[89]Main!$I$5</f>
        <v>8435</v>
      </c>
      <c r="H14" s="15">
        <f t="shared" si="0"/>
        <v>57952.989724999999</v>
      </c>
      <c r="I14" s="6" t="s">
        <v>708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2586</v>
      </c>
      <c r="C15" s="5" t="s">
        <v>2587</v>
      </c>
      <c r="D15" s="5" t="s">
        <v>45</v>
      </c>
      <c r="E15" s="5">
        <f>+[90]Main!$I$2</f>
        <v>220.4</v>
      </c>
      <c r="F15" s="15">
        <f>+[90]Main!$I$4</f>
        <v>45785.921346000003</v>
      </c>
      <c r="G15" s="15">
        <f>+[90]Main!$I$6-[90]Main!$I$5</f>
        <v>-1083.731</v>
      </c>
      <c r="H15" s="15">
        <f t="shared" si="0"/>
        <v>44702.190346000003</v>
      </c>
      <c r="I15" s="6" t="s">
        <v>708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720</v>
      </c>
      <c r="C16" s="5" t="s">
        <v>720</v>
      </c>
      <c r="D16" s="5" t="s">
        <v>45</v>
      </c>
      <c r="E16" s="5">
        <f>+[91]Main!$J$2</f>
        <v>544.77</v>
      </c>
      <c r="F16" s="15">
        <f>+[91]Main!$J$4</f>
        <v>42149.669331149998</v>
      </c>
      <c r="G16" s="15">
        <f>+[91]Main!$J$6-[91]Main!$J$5</f>
        <v>4186.1880000000001</v>
      </c>
      <c r="H16" s="15">
        <f t="shared" si="0"/>
        <v>46335.85733115</v>
      </c>
      <c r="I16" s="6" t="s">
        <v>708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707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717</v>
      </c>
      <c r="C18" s="5" t="s">
        <v>718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719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2602</v>
      </c>
      <c r="C20" s="5" t="s">
        <v>2603</v>
      </c>
      <c r="D20" s="5" t="s">
        <v>45</v>
      </c>
      <c r="E20" s="5">
        <f>+[92]Main!$J$2</f>
        <v>208.42</v>
      </c>
      <c r="F20" s="15">
        <f>+[92]Main!$J$4</f>
        <v>22709.220190600001</v>
      </c>
      <c r="G20" s="15">
        <f>+[92]Main!$J$6-[92]Main!$J$5</f>
        <v>-3488</v>
      </c>
      <c r="H20" s="15">
        <f>+F20+G20</f>
        <v>19221.220190600001</v>
      </c>
      <c r="I20" s="6" t="s">
        <v>708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721</v>
      </c>
      <c r="C21" s="5" t="s">
        <v>722</v>
      </c>
      <c r="D21" s="5" t="s">
        <v>768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723</v>
      </c>
      <c r="C22" s="5" t="s">
        <v>724</v>
      </c>
      <c r="D22" s="5" t="s">
        <v>768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725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726</v>
      </c>
      <c r="C25" s="5" t="s">
        <v>727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728</v>
      </c>
      <c r="C26" s="5" t="s">
        <v>729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730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731</v>
      </c>
      <c r="C28" s="5" t="s">
        <v>732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735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736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467</v>
      </c>
      <c r="C31" s="5" t="s">
        <v>468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737</v>
      </c>
      <c r="C32" s="5" t="s">
        <v>738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739</v>
      </c>
      <c r="C33" s="5" t="s">
        <v>740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741</v>
      </c>
      <c r="C34" s="5" t="s">
        <v>742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743</v>
      </c>
      <c r="C35" s="5" t="s">
        <v>744</v>
      </c>
      <c r="D35" s="5" t="s">
        <v>769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745</v>
      </c>
      <c r="C36" s="5" t="s">
        <v>746</v>
      </c>
      <c r="D36" s="5" t="s">
        <v>768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747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748</v>
      </c>
      <c r="C38" s="5" t="s">
        <v>749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555</v>
      </c>
      <c r="C39" s="5" t="s">
        <v>750</v>
      </c>
      <c r="D39" s="5" t="s">
        <v>770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636</v>
      </c>
      <c r="C40" s="5" t="s">
        <v>637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751</v>
      </c>
      <c r="C41" s="5" t="s">
        <v>752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753</v>
      </c>
      <c r="C42" s="5" t="s">
        <v>754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755</v>
      </c>
      <c r="C43" s="5" t="s">
        <v>568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756</v>
      </c>
      <c r="C44" s="5" t="s">
        <v>757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758</v>
      </c>
      <c r="C45" s="5" t="s">
        <v>759</v>
      </c>
      <c r="D45" s="5" t="s">
        <v>768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760</v>
      </c>
      <c r="C46" s="5" t="s">
        <v>761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762</v>
      </c>
      <c r="C47" s="5" t="s">
        <v>763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764</v>
      </c>
      <c r="C48" s="5" t="s">
        <v>765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766</v>
      </c>
      <c r="C49" s="5" t="s">
        <v>1133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2590</v>
      </c>
      <c r="C50" s="5" t="s">
        <v>2591</v>
      </c>
      <c r="D50" s="5" t="s">
        <v>45</v>
      </c>
      <c r="E50" s="5">
        <f>+[93]Main!$K$2</f>
        <v>39.04</v>
      </c>
      <c r="F50" s="15">
        <f>+[93]Main!$K$4</f>
        <v>14227.016843519999</v>
      </c>
      <c r="G50" s="15">
        <f>+[93]Main!$K$6-[93]Main!$K$5</f>
        <v>-706.58600000000001</v>
      </c>
      <c r="H50" s="15">
        <f>+F50+G50</f>
        <v>13520.43084352</v>
      </c>
      <c r="I50" s="6" t="s">
        <v>708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2589</v>
      </c>
      <c r="C51" s="5" t="s">
        <v>2592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2596</v>
      </c>
      <c r="C52" s="5" t="s">
        <v>2595</v>
      </c>
      <c r="D52" s="5" t="s">
        <v>45</v>
      </c>
      <c r="E52" s="5">
        <f>+[94]Main!$H$2</f>
        <v>34.51</v>
      </c>
      <c r="F52" s="15">
        <f>+[94]Main!$H$4</f>
        <v>5275.3449914199991</v>
      </c>
      <c r="G52" s="15">
        <f>+[94]Main!$H$6-[94]Main!$H$5</f>
        <v>1242.8240000000001</v>
      </c>
      <c r="H52" s="15">
        <f>+F52+G52</f>
        <v>6518.1689914199997</v>
      </c>
      <c r="I52" s="22" t="s">
        <v>2583</v>
      </c>
      <c r="J52" s="5"/>
      <c r="K52" s="5"/>
      <c r="L52" s="5"/>
      <c r="M52" s="5"/>
      <c r="N52" s="5"/>
      <c r="O52" s="5"/>
      <c r="P52" s="5">
        <v>2008</v>
      </c>
      <c r="Q52" s="5" t="s">
        <v>2598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2599</v>
      </c>
      <c r="C53" s="5" t="s">
        <v>2604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2584</v>
      </c>
      <c r="C54" s="5" t="s">
        <v>2585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2710</v>
      </c>
      <c r="C55" s="5" t="s">
        <v>2709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808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2703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2704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2600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2601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958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811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768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960</v>
      </c>
      <c r="C6" s="5" t="s">
        <v>68</v>
      </c>
      <c r="D6" s="5" t="s">
        <v>768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768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1123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961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962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963</v>
      </c>
      <c r="C11" s="5" t="s">
        <v>964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965</v>
      </c>
      <c r="C15" s="5" t="s">
        <v>966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967</v>
      </c>
      <c r="C19" s="5" t="s">
        <v>476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500</v>
      </c>
      <c r="C20" s="5" t="s">
        <v>501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968</v>
      </c>
      <c r="C21" s="5" t="s">
        <v>403</v>
      </c>
      <c r="D21" s="5" t="s">
        <v>1124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506</v>
      </c>
      <c r="C22" s="5" t="s">
        <v>507</v>
      </c>
      <c r="D22" s="5" t="s">
        <v>508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534</v>
      </c>
      <c r="C23" s="5" t="s">
        <v>535</v>
      </c>
      <c r="D23" s="5" t="s">
        <v>536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969</v>
      </c>
      <c r="C24" s="5" t="s">
        <v>503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522</v>
      </c>
      <c r="C25" s="5" t="s">
        <v>523</v>
      </c>
      <c r="D25" s="5" t="s">
        <v>768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595</v>
      </c>
      <c r="C26" s="5" t="s">
        <v>970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628</v>
      </c>
      <c r="C27" s="5" t="s">
        <v>971</v>
      </c>
      <c r="D27" s="5" t="s">
        <v>770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972</v>
      </c>
      <c r="C28" s="5" t="s">
        <v>586</v>
      </c>
      <c r="D28" s="5" t="s">
        <v>1125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973</v>
      </c>
      <c r="C29" s="5" t="s">
        <v>622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638</v>
      </c>
      <c r="C30" s="5" t="s">
        <v>639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685</v>
      </c>
      <c r="C31" s="5" t="s">
        <v>686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974</v>
      </c>
      <c r="C32" s="5" t="s">
        <v>975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976</v>
      </c>
      <c r="C33" s="5" t="s">
        <v>977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978</v>
      </c>
      <c r="C34" s="5" t="s">
        <v>979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980</v>
      </c>
      <c r="C35" s="5" t="s">
        <v>981</v>
      </c>
      <c r="D35" s="5" t="s">
        <v>1126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982</v>
      </c>
      <c r="C36" s="5" t="s">
        <v>983</v>
      </c>
      <c r="D36" s="5" t="s">
        <v>770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984</v>
      </c>
      <c r="C37" s="5" t="s">
        <v>985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986</v>
      </c>
      <c r="C38" s="5" t="s">
        <v>987</v>
      </c>
      <c r="D38" s="5" t="s">
        <v>508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988</v>
      </c>
      <c r="C39" s="5" t="s">
        <v>989</v>
      </c>
      <c r="D39" s="5" t="s">
        <v>1123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990</v>
      </c>
      <c r="C40" s="5" t="s">
        <v>991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992</v>
      </c>
      <c r="C41" s="5" t="s">
        <v>993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994</v>
      </c>
      <c r="C42" s="5" t="s">
        <v>995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996</v>
      </c>
      <c r="C43" s="5" t="s">
        <v>996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997</v>
      </c>
      <c r="C44" s="5" t="s">
        <v>998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999</v>
      </c>
      <c r="C45" s="5" t="s">
        <v>1000</v>
      </c>
      <c r="D45" s="5" t="s">
        <v>508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1001</v>
      </c>
      <c r="C46" s="5" t="s">
        <v>1002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1003</v>
      </c>
      <c r="C47" s="5" t="s">
        <v>1004</v>
      </c>
      <c r="D47" s="5" t="s">
        <v>536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1005</v>
      </c>
      <c r="C48" s="5" t="s">
        <v>1006</v>
      </c>
      <c r="D48" s="5" t="s">
        <v>508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1007</v>
      </c>
      <c r="C49" s="5" t="s">
        <v>1008</v>
      </c>
      <c r="D49" s="5" t="s">
        <v>768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1009</v>
      </c>
      <c r="C50" s="5" t="s">
        <v>1010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1011</v>
      </c>
      <c r="C51" s="5" t="s">
        <v>1012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1013</v>
      </c>
      <c r="C52" s="5" t="s">
        <v>1014</v>
      </c>
      <c r="D52" s="5" t="s">
        <v>770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1015</v>
      </c>
      <c r="C53" s="5" t="s">
        <v>1016</v>
      </c>
      <c r="D53" s="5" t="s">
        <v>1127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1017</v>
      </c>
      <c r="C54" s="5" t="s">
        <v>1018</v>
      </c>
      <c r="D54" s="5" t="s">
        <v>768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1019</v>
      </c>
      <c r="C55" s="5" t="s">
        <v>1020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1021</v>
      </c>
      <c r="C56" s="5" t="s">
        <v>1022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1023</v>
      </c>
      <c r="C57" s="5" t="s">
        <v>1024</v>
      </c>
      <c r="D57" s="5" t="s">
        <v>768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1025</v>
      </c>
      <c r="C58" s="5" t="s">
        <v>1026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1027</v>
      </c>
      <c r="C59" s="5" t="s">
        <v>1028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1029</v>
      </c>
      <c r="C60" s="5" t="s">
        <v>1030</v>
      </c>
      <c r="D60" s="5" t="s">
        <v>770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1031</v>
      </c>
      <c r="C61" s="5" t="s">
        <v>1032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1033</v>
      </c>
      <c r="C62" s="5" t="s">
        <v>1034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1035</v>
      </c>
      <c r="C63" s="5" t="s">
        <v>1036</v>
      </c>
      <c r="D63" s="5" t="s">
        <v>536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1037</v>
      </c>
      <c r="C64" s="5" t="s">
        <v>1038</v>
      </c>
      <c r="D64" s="5" t="s">
        <v>508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1039</v>
      </c>
      <c r="C65" s="5" t="s">
        <v>1040</v>
      </c>
      <c r="D65" s="5" t="s">
        <v>1123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1041</v>
      </c>
      <c r="C66" s="5" t="s">
        <v>1042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1043</v>
      </c>
      <c r="C67" s="5" t="s">
        <v>1044</v>
      </c>
      <c r="D67" s="5" t="s">
        <v>508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1045</v>
      </c>
      <c r="C68" s="5" t="s">
        <v>1046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1047</v>
      </c>
      <c r="C69" s="5" t="s">
        <v>1048</v>
      </c>
      <c r="D69" s="5" t="s">
        <v>1128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1049</v>
      </c>
      <c r="C70" s="5" t="s">
        <v>1050</v>
      </c>
      <c r="D70" s="5" t="s">
        <v>1129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1051</v>
      </c>
      <c r="C71" s="5" t="s">
        <v>1052</v>
      </c>
      <c r="D71" s="5" t="s">
        <v>1124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1053</v>
      </c>
      <c r="C72" s="5" t="s">
        <v>1054</v>
      </c>
      <c r="D72" s="5" t="s">
        <v>508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1055</v>
      </c>
      <c r="C73" s="5" t="s">
        <v>1056</v>
      </c>
      <c r="D73" s="5" t="s">
        <v>768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1057</v>
      </c>
      <c r="C74" s="5" t="s">
        <v>1058</v>
      </c>
      <c r="D74" s="5" t="s">
        <v>1130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1059</v>
      </c>
      <c r="C75" s="5" t="s">
        <v>1060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1061</v>
      </c>
      <c r="C76" s="5" t="s">
        <v>1062</v>
      </c>
      <c r="D76" s="5" t="s">
        <v>1128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1063</v>
      </c>
      <c r="C77" s="5" t="s">
        <v>1064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1065</v>
      </c>
      <c r="C78" s="5" t="s">
        <v>1066</v>
      </c>
      <c r="D78" s="5" t="s">
        <v>1130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1067</v>
      </c>
      <c r="C79" s="5" t="s">
        <v>1068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1069</v>
      </c>
      <c r="C80" s="5" t="s">
        <v>1070</v>
      </c>
      <c r="D80" s="5" t="s">
        <v>508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1071</v>
      </c>
      <c r="C81" s="5" t="s">
        <v>1072</v>
      </c>
      <c r="D81" s="5" t="s">
        <v>601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1073</v>
      </c>
      <c r="C82" s="5" t="s">
        <v>1074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1075</v>
      </c>
      <c r="C83" s="5" t="s">
        <v>1076</v>
      </c>
      <c r="D83" s="5" t="s">
        <v>508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1077</v>
      </c>
      <c r="C84" s="5" t="s">
        <v>1078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1079</v>
      </c>
      <c r="C85" s="5" t="s">
        <v>1080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1081</v>
      </c>
      <c r="C86" s="5" t="s">
        <v>1082</v>
      </c>
      <c r="D86" s="5" t="s">
        <v>508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1083</v>
      </c>
      <c r="C87" s="5" t="s">
        <v>1084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1085</v>
      </c>
      <c r="C88" s="5" t="s">
        <v>1086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1087</v>
      </c>
      <c r="C89" s="5" t="s">
        <v>1088</v>
      </c>
      <c r="D89" s="5" t="s">
        <v>1130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1089</v>
      </c>
      <c r="C90" s="5" t="s">
        <v>1090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1091</v>
      </c>
      <c r="C91" s="5" t="s">
        <v>1092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1093</v>
      </c>
      <c r="C92" s="5" t="s">
        <v>1094</v>
      </c>
      <c r="D92" s="5" t="s">
        <v>508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1095</v>
      </c>
      <c r="C93" s="5" t="s">
        <v>1096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1097</v>
      </c>
      <c r="C94" s="5" t="s">
        <v>1098</v>
      </c>
      <c r="D94" s="5" t="s">
        <v>508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1099</v>
      </c>
      <c r="C95" s="5" t="s">
        <v>1100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1101</v>
      </c>
      <c r="C96" s="5" t="s">
        <v>1102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1103</v>
      </c>
      <c r="C97" s="5" t="s">
        <v>1104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1105</v>
      </c>
      <c r="C98" s="5" t="s">
        <v>1106</v>
      </c>
      <c r="D98" s="5" t="s">
        <v>768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1107</v>
      </c>
      <c r="C99" s="5" t="s">
        <v>1108</v>
      </c>
      <c r="D99" s="5" t="s">
        <v>768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1109</v>
      </c>
      <c r="C100" s="5" t="s">
        <v>1110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1111</v>
      </c>
      <c r="C101" s="5" t="s">
        <v>1112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1113</v>
      </c>
      <c r="C102" s="5" t="s">
        <v>1114</v>
      </c>
      <c r="D102" s="5" t="s">
        <v>1131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1115</v>
      </c>
      <c r="C103" s="5" t="s">
        <v>1116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1117</v>
      </c>
      <c r="C104" s="5" t="s">
        <v>1118</v>
      </c>
      <c r="D104" s="5" t="s">
        <v>1125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1119</v>
      </c>
      <c r="C105" s="5" t="s">
        <v>1120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1121</v>
      </c>
      <c r="C106" s="5" t="s">
        <v>1122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958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680</v>
      </c>
      <c r="C4" s="5" t="s">
        <v>680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2606</v>
      </c>
      <c r="C5" s="5" t="s">
        <v>702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2605</v>
      </c>
      <c r="C6" s="5" t="s">
        <v>1262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2607</v>
      </c>
      <c r="C7" s="5" t="s">
        <v>1542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2608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2609</v>
      </c>
      <c r="C16" s="5" t="s">
        <v>2610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808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2611</v>
      </c>
      <c r="C19" s="5" t="s">
        <v>808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2612</v>
      </c>
      <c r="C20" s="5" t="s">
        <v>808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2613</v>
      </c>
      <c r="C21" s="5" t="s">
        <v>808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2614</v>
      </c>
      <c r="C22" s="5" t="s">
        <v>808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2615</v>
      </c>
      <c r="C23" s="5" t="s">
        <v>808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2616</v>
      </c>
      <c r="C24" s="5" t="s">
        <v>808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2617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2618</v>
      </c>
      <c r="C27" s="5" t="s">
        <v>2619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2620</v>
      </c>
      <c r="C28" s="5" t="s">
        <v>2621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2622</v>
      </c>
      <c r="C29" s="5" t="s">
        <v>2623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2624</v>
      </c>
      <c r="C30" s="5" t="s">
        <v>2625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2626</v>
      </c>
      <c r="C31" s="5" t="s">
        <v>2627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2628</v>
      </c>
      <c r="C32" s="5" t="s">
        <v>2629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2630</v>
      </c>
      <c r="C33" s="5" t="s">
        <v>2631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2632</v>
      </c>
      <c r="C34" s="5" t="s">
        <v>2633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2634</v>
      </c>
      <c r="C35" s="5" t="s">
        <v>2635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2636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2637</v>
      </c>
      <c r="C37" s="5" t="s">
        <v>2638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2639</v>
      </c>
      <c r="C38" s="5" t="s">
        <v>2640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2641</v>
      </c>
      <c r="C39" s="5" t="s">
        <v>2638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2642</v>
      </c>
      <c r="C40" s="5" t="s">
        <v>2643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2644</v>
      </c>
      <c r="C41" s="5" t="s">
        <v>2645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2646</v>
      </c>
      <c r="C42" s="5" t="s">
        <v>2647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2648</v>
      </c>
      <c r="C43" s="5" t="s">
        <v>2640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2649</v>
      </c>
      <c r="C45" s="5" t="s">
        <v>2650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2651</v>
      </c>
      <c r="C46" s="5" t="s">
        <v>2652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2653</v>
      </c>
      <c r="C47" s="5" t="s">
        <v>2654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2655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2656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2657</v>
      </c>
      <c r="C50" s="5" t="s">
        <v>2658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2659</v>
      </c>
      <c r="C51" s="5" t="s">
        <v>2660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2661</v>
      </c>
      <c r="C52" s="5" t="s">
        <v>2662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2663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2664</v>
      </c>
      <c r="C54" s="5" t="s">
        <v>2665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2666</v>
      </c>
      <c r="C55" s="5" t="s">
        <v>2667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2668</v>
      </c>
      <c r="C56" s="5" t="s">
        <v>2669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2670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2671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2672</v>
      </c>
      <c r="C59" s="2" t="s">
        <v>2673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2674</v>
      </c>
      <c r="C60" s="5" t="s">
        <v>2675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2676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2677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2678</v>
      </c>
      <c r="C63" s="5" t="s">
        <v>2679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2680</v>
      </c>
      <c r="C64" s="5" t="s">
        <v>2681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2682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2683</v>
      </c>
      <c r="C66" s="5" t="s">
        <v>2684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2685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2686</v>
      </c>
      <c r="C68" s="2" t="s">
        <v>2687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2688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2689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2690</v>
      </c>
      <c r="C71" s="5" t="s">
        <v>2691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2692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2693</v>
      </c>
      <c r="C73" s="5" t="s">
        <v>2694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2695</v>
      </c>
      <c r="C74" s="5" t="s">
        <v>2696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2697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2698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2699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2700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2701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2702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958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767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811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812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813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814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815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816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817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818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819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518</v>
      </c>
      <c r="C22" s="5" t="s">
        <v>519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820</v>
      </c>
      <c r="C23" s="5" t="s">
        <v>564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821</v>
      </c>
      <c r="C24" s="5" t="s">
        <v>822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823</v>
      </c>
      <c r="C25" s="5" t="s">
        <v>824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499</v>
      </c>
      <c r="C27" s="5" t="s">
        <v>499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825</v>
      </c>
      <c r="C28" s="5" t="s">
        <v>570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826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827</v>
      </c>
      <c r="C30" s="5" t="s">
        <v>828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613</v>
      </c>
      <c r="C32" s="5" t="s">
        <v>614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516</v>
      </c>
      <c r="C33" s="5" t="s">
        <v>517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829</v>
      </c>
      <c r="C34" s="5" t="s">
        <v>830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831</v>
      </c>
      <c r="C35" s="5" t="s">
        <v>832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833</v>
      </c>
      <c r="C36" s="5" t="s">
        <v>834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835</v>
      </c>
      <c r="C37" s="5" t="s">
        <v>836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837</v>
      </c>
      <c r="C38" s="5" t="s">
        <v>838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839</v>
      </c>
      <c r="C39" s="5" t="s">
        <v>474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840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841</v>
      </c>
      <c r="C42" s="5" t="s">
        <v>842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843</v>
      </c>
      <c r="C43" s="5" t="s">
        <v>676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844</v>
      </c>
      <c r="C44" s="5" t="s">
        <v>845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846</v>
      </c>
      <c r="C45" s="5" t="s">
        <v>847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625</v>
      </c>
      <c r="C46" s="5" t="s">
        <v>625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848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849</v>
      </c>
      <c r="C48" s="5" t="s">
        <v>576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850</v>
      </c>
      <c r="C49" s="5" t="s">
        <v>851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852</v>
      </c>
      <c r="C50" s="5" t="s">
        <v>853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854</v>
      </c>
      <c r="C51" s="5" t="s">
        <v>855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553</v>
      </c>
      <c r="C52" s="5" t="s">
        <v>554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524</v>
      </c>
      <c r="C53" s="5" t="s">
        <v>856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857</v>
      </c>
      <c r="C54" s="5" t="s">
        <v>858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493</v>
      </c>
      <c r="C55" s="5" t="s">
        <v>494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859</v>
      </c>
      <c r="C56" s="5" t="s">
        <v>860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861</v>
      </c>
      <c r="C57" s="5" t="s">
        <v>538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862</v>
      </c>
      <c r="C58" s="5" t="s">
        <v>863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864</v>
      </c>
      <c r="C59" s="5" t="s">
        <v>588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865</v>
      </c>
      <c r="C60" s="5" t="s">
        <v>866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653</v>
      </c>
      <c r="C61" s="5" t="s">
        <v>652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571</v>
      </c>
      <c r="C62" s="5" t="s">
        <v>572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867</v>
      </c>
      <c r="C63" s="5" t="s">
        <v>868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869</v>
      </c>
      <c r="C64" s="5" t="s">
        <v>870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871</v>
      </c>
      <c r="C65" s="5" t="s">
        <v>872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873</v>
      </c>
      <c r="C66" s="5" t="s">
        <v>592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874</v>
      </c>
      <c r="C67" s="5" t="s">
        <v>670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875</v>
      </c>
      <c r="C68" s="5" t="s">
        <v>876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877</v>
      </c>
      <c r="C69" s="5" t="s">
        <v>878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879</v>
      </c>
      <c r="C70" s="5" t="s">
        <v>880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881</v>
      </c>
      <c r="C71" s="5" t="s">
        <v>882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883</v>
      </c>
      <c r="C72" s="5" t="s">
        <v>884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885</v>
      </c>
      <c r="C73" s="5" t="s">
        <v>886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887</v>
      </c>
      <c r="C74" s="5" t="s">
        <v>887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808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888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889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890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891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892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C24" sqref="C24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957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767</v>
      </c>
      <c r="D3" s="9" t="s">
        <v>44</v>
      </c>
      <c r="E3" s="11" t="s">
        <v>2</v>
      </c>
      <c r="F3" s="11" t="s">
        <v>3</v>
      </c>
      <c r="G3" s="11" t="s">
        <v>4</v>
      </c>
      <c r="H3" s="11" t="s">
        <v>5</v>
      </c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15"/>
      <c r="G4" s="15"/>
      <c r="H4" s="32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15"/>
      <c r="G5" s="15"/>
      <c r="H5" s="32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3" si="0">+A5+1</f>
        <v>3</v>
      </c>
      <c r="B6" s="5" t="s">
        <v>893</v>
      </c>
      <c r="C6" s="5" t="s">
        <v>894</v>
      </c>
      <c r="D6" s="5" t="s">
        <v>768</v>
      </c>
      <c r="E6" s="5"/>
      <c r="F6" s="15"/>
      <c r="G6" s="15"/>
      <c r="H6" s="32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895</v>
      </c>
      <c r="C7" s="5" t="s">
        <v>896</v>
      </c>
      <c r="D7" s="5" t="s">
        <v>768</v>
      </c>
      <c r="E7" s="5"/>
      <c r="F7" s="15"/>
      <c r="G7" s="15"/>
      <c r="H7" s="32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897</v>
      </c>
      <c r="D8" s="5" t="s">
        <v>955</v>
      </c>
      <c r="E8" s="5"/>
      <c r="F8" s="15"/>
      <c r="G8" s="15"/>
      <c r="H8" s="32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898</v>
      </c>
      <c r="D9" s="5" t="s">
        <v>955</v>
      </c>
      <c r="E9" s="5"/>
      <c r="F9" s="15"/>
      <c r="G9" s="15"/>
      <c r="H9" s="32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15"/>
      <c r="G10" s="15"/>
      <c r="H10" s="32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899</v>
      </c>
      <c r="C11" s="5" t="s">
        <v>900</v>
      </c>
      <c r="D11" s="5" t="s">
        <v>45</v>
      </c>
      <c r="E11" s="5"/>
      <c r="F11" s="15"/>
      <c r="G11" s="15"/>
      <c r="H11" s="32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901</v>
      </c>
      <c r="C12" s="5" t="s">
        <v>902</v>
      </c>
      <c r="D12" s="5" t="s">
        <v>45</v>
      </c>
      <c r="E12" s="5"/>
      <c r="F12" s="15"/>
      <c r="G12" s="15"/>
      <c r="H12" s="32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903</v>
      </c>
      <c r="C13" s="5" t="s">
        <v>904</v>
      </c>
      <c r="D13" s="5" t="s">
        <v>45</v>
      </c>
      <c r="E13" s="5"/>
      <c r="F13" s="15"/>
      <c r="G13" s="15"/>
      <c r="H13" s="32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14" t="s">
        <v>905</v>
      </c>
      <c r="C14" s="5" t="s">
        <v>542</v>
      </c>
      <c r="D14" s="5" t="s">
        <v>45</v>
      </c>
      <c r="E14" s="5">
        <f>+[95]Main!$I$2</f>
        <v>38.35</v>
      </c>
      <c r="F14" s="15">
        <f>+[95]Main!$I$4</f>
        <v>9227.8593374500015</v>
      </c>
      <c r="G14" s="15">
        <f>+[95]Main!$I$6-[95]Main!$I$5</f>
        <v>3088.2860000000001</v>
      </c>
      <c r="H14" s="32">
        <f>+F14+G14</f>
        <v>12316.145337450002</v>
      </c>
      <c r="I14" s="31" t="s">
        <v>2583</v>
      </c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15"/>
      <c r="G15" s="15"/>
      <c r="H15" s="32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906</v>
      </c>
      <c r="C16" s="5" t="s">
        <v>907</v>
      </c>
      <c r="D16" s="5" t="s">
        <v>45</v>
      </c>
      <c r="E16" s="5"/>
      <c r="F16" s="15"/>
      <c r="G16" s="15"/>
      <c r="H16" s="32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908</v>
      </c>
      <c r="C17" s="5" t="s">
        <v>909</v>
      </c>
      <c r="D17" s="5" t="s">
        <v>45</v>
      </c>
      <c r="E17" s="5"/>
      <c r="F17" s="15"/>
      <c r="G17" s="15"/>
      <c r="H17" s="32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14" t="s">
        <v>697</v>
      </c>
      <c r="C18" s="5" t="s">
        <v>698</v>
      </c>
      <c r="D18" s="5" t="s">
        <v>45</v>
      </c>
      <c r="E18" s="5">
        <f>+[79]Main!$J$3</f>
        <v>15.92</v>
      </c>
      <c r="F18" s="15">
        <f>+[79]Main!$J$5</f>
        <v>3056.2842516800001</v>
      </c>
      <c r="G18" s="15">
        <f>+([79]Main!$J$7-[79]Main!$J$6)</f>
        <v>162.63800000000003</v>
      </c>
      <c r="H18" s="32">
        <f>+F18+G18</f>
        <v>3218.92225168</v>
      </c>
      <c r="I18" s="31" t="s">
        <v>2583</v>
      </c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910</v>
      </c>
      <c r="C19" s="5" t="s">
        <v>911</v>
      </c>
      <c r="D19" s="5" t="s">
        <v>45</v>
      </c>
      <c r="E19" s="5"/>
      <c r="F19" s="15"/>
      <c r="G19" s="15"/>
      <c r="H19" s="32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912</v>
      </c>
      <c r="C20" s="5" t="s">
        <v>913</v>
      </c>
      <c r="D20" s="5" t="s">
        <v>45</v>
      </c>
      <c r="E20" s="5"/>
      <c r="F20" s="15"/>
      <c r="G20" s="15"/>
      <c r="H20" s="32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914</v>
      </c>
      <c r="C21" s="5"/>
      <c r="D21" s="5" t="s">
        <v>45</v>
      </c>
      <c r="E21" s="5"/>
      <c r="F21" s="15"/>
      <c r="G21" s="15"/>
      <c r="H21" s="32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915</v>
      </c>
      <c r="C22" s="5"/>
      <c r="D22" s="5" t="s">
        <v>45</v>
      </c>
      <c r="E22" s="5"/>
      <c r="F22" s="15"/>
      <c r="G22" s="15"/>
      <c r="H22" s="32"/>
      <c r="I22" s="5"/>
      <c r="J22" s="5"/>
      <c r="K22" s="5"/>
      <c r="L22" s="5"/>
      <c r="M22" s="5"/>
      <c r="N22" s="5"/>
      <c r="O22" s="5"/>
    </row>
    <row r="23" spans="1:15" x14ac:dyDescent="0.25">
      <c r="A23" s="13">
        <f t="shared" si="0"/>
        <v>20</v>
      </c>
      <c r="B23" s="40" t="s">
        <v>3149</v>
      </c>
      <c r="C23" s="40" t="s">
        <v>3148</v>
      </c>
      <c r="D23" s="40" t="s">
        <v>3150</v>
      </c>
      <c r="E23" s="5"/>
      <c r="F23" s="15"/>
      <c r="G23" s="15"/>
      <c r="H23" s="32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5"/>
      <c r="C24" s="5"/>
      <c r="D24" s="5"/>
      <c r="E24" s="5"/>
      <c r="F24" s="15"/>
      <c r="G24" s="15"/>
      <c r="H24" s="32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17" t="s">
        <v>808</v>
      </c>
      <c r="C25" s="5"/>
      <c r="D25" s="5"/>
      <c r="E25" s="5"/>
      <c r="F25" s="15"/>
      <c r="G25" s="15"/>
      <c r="H25" s="32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916</v>
      </c>
      <c r="C26" s="5"/>
      <c r="D26" s="5"/>
      <c r="E26" s="5"/>
      <c r="F26" s="15"/>
      <c r="G26" s="15"/>
      <c r="H26" s="32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917</v>
      </c>
      <c r="C27" s="5"/>
      <c r="D27" s="5"/>
      <c r="E27" s="5"/>
      <c r="F27" s="15"/>
      <c r="G27" s="15"/>
      <c r="H27" s="32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918</v>
      </c>
      <c r="C28" s="5" t="s">
        <v>919</v>
      </c>
      <c r="D28" s="5"/>
      <c r="E28" s="5"/>
      <c r="F28" s="15"/>
      <c r="G28" s="15"/>
      <c r="H28" s="32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920</v>
      </c>
      <c r="C29" s="5"/>
      <c r="D29" s="5"/>
      <c r="E29" s="5"/>
      <c r="F29" s="15"/>
      <c r="G29" s="15"/>
      <c r="H29" s="32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921</v>
      </c>
      <c r="C30" s="5"/>
      <c r="D30" s="5"/>
      <c r="E30" s="5"/>
      <c r="F30" s="15"/>
      <c r="G30" s="15"/>
      <c r="H30" s="32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922</v>
      </c>
      <c r="C31" s="5"/>
      <c r="D31" s="5"/>
      <c r="E31" s="5"/>
      <c r="F31" s="15"/>
      <c r="G31" s="15"/>
      <c r="H31" s="32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923</v>
      </c>
      <c r="C32" s="5"/>
      <c r="D32" s="5"/>
      <c r="E32" s="5"/>
      <c r="F32" s="15"/>
      <c r="G32" s="15"/>
      <c r="H32" s="32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924</v>
      </c>
      <c r="C33" s="5"/>
      <c r="D33" s="5"/>
      <c r="E33" s="5"/>
      <c r="F33" s="15"/>
      <c r="G33" s="15"/>
      <c r="H33" s="32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925</v>
      </c>
      <c r="C34" s="5"/>
      <c r="D34" s="5"/>
      <c r="E34" s="5"/>
      <c r="F34" s="15"/>
      <c r="G34" s="15"/>
      <c r="H34" s="32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926</v>
      </c>
      <c r="C35" s="5"/>
      <c r="D35" s="5"/>
      <c r="E35" s="5"/>
      <c r="F35" s="15"/>
      <c r="G35" s="15"/>
      <c r="H35" s="32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927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928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929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930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931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932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933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934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297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935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936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937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938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939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940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941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942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943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944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945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946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947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948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949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950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951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952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953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 t="s">
        <v>954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  <row r="134" spans="1:15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439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Semiconductors</vt:lpstr>
      <vt:lpstr>Telecom</vt:lpstr>
      <vt:lpstr>Fintech</vt:lpstr>
      <vt:lpstr>E-Commerce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2026-05-01T13:59:45Z</dcterms:modified>
</cp:coreProperties>
</file>