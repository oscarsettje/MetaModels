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443F5D8-FBD9-44A3-9683-E02F855F5189}" xr6:coauthVersionLast="47" xr6:coauthVersionMax="47" xr10:uidLastSave="{00000000-0000-0000-0000-000000000000}"/>
  <bookViews>
    <workbookView xWindow="225" yWindow="273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<sst xmlns="http://schemas.openxmlformats.org/spreadsheetml/2006/main" count="5053" uniqueCount="3155">
  <si>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</si>
  <si>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</si>
  <si>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</si>
  <si>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</si>
  <si>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</si>
  <si>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</si>
  <si>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</si>
  <si>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</si>
  <si>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</si>
  <si>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</si>
  <si>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</si>
  <si>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</si>
  <si>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</si>
  <si>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</si>
  <si>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</si>
  <si>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</si>
  <si>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</si>
  <si>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</si>
  <si>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</si>
  <si>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</si>
  <si>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</si>
  <si>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</si>
  <si>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</si>
  <si>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</si>
  <si>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</si>
  <si>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</si>
  <si>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</si>
  <si>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</si>
  <si>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</si>
  <si>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</si>
  <si>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</si>
  <si>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</si>
  <si>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</si>
  <si>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</si>
  <si>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</si>
  <si>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</si>
  <si>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</si>
  <si>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</si>
  <si>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</si>
  <si>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</si>
  <si>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</si>
  <si>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</si>
  <si>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</si>
  <si>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</si>
  <si>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</si>
  <si>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</si>
  <si>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</si>
  <si>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</si>
  <si>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</si>
  <si>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</si>
  <si>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</si>
  <si>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</si>
  <si>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</si>
  <si>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</si>
  <si>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</si>
  <si>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</si>
  <si>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</si>
  <si>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</si>
  <si>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</si>
  <si>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</si>
  <si>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</si>
  <si>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</si>
  <si>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</si>
  <si>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</si>
  <si>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</si>
  <si>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</si>
  <si>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</si>
  <si>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</si>
  <si>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</si>
  <si>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</si>
  <si>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</si>
  <si>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</si>
  <si>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</si>
  <si>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</si>
  <si>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</si>
  <si>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</si>
  <si>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</si>
  <si>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</si>
  <si>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</si>
  <si>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</si>
  <si>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</si>
  <si>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</si>
  <si>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</si>
  <si>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</si>
  <si>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</si>
  <si>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</si>
  <si>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</si>
  <si>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</si>
  <si>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</si>
  <si>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</si>
  <si>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</si>
  <si>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</si>
  <si>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</si>
  <si>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</si>
  <si>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</si>
  <si>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</si>
  <si>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</si>
  <si>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</si>
  <si>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</si>
  <si>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</si>
  <si>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</si>
  <si>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</si>
  <si>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</si>
  <si>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</si>
  <si>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</si>
  <si>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</si>
  <si>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</si>
  <si>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</si>
  <si>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</si>
  <si>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</si>
  <si>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</si>
  <si>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</si>
  <si>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</si>
  <si>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</si>
  <si>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</si>
  <si>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</si>
  <si>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</si>
  <si>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</si>
  <si>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</si>
  <si>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</si>
  <si>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</si>
  <si>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</si>
  <si>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</si>
  <si>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</si>
  <si>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</si>
  <si>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</si>
  <si>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</si>
  <si>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</si>
  <si>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</si>
  <si>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</si>
  <si>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</si>
  <si>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</si>
  <si>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</si>
  <si>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</si>
  <si>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</si>
  <si>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</si>
  <si>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</si>
  <si>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</si>
  <si>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</si>
  <si>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</si>
  <si>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</si>
  <si>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</si>
  <si>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</si>
  <si>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</si>
  <si>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</si>
  <si>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</si>
  <si>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</si>
  <si>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</si>
  <si>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</si>
  <si>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</si>
  <si>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</si>
  <si>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</si>
  <si>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</si>
  <si>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</si>
  <si>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</si>
  <si>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</si>
  <si>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</si>
  <si>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</si>
  <si>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</si>
  <si>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</si>
  <si>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</si>
  <si>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</si>
  <si>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</si>
  <si>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</si>
  <si>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</si>
  <si>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</si>
  <si>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</si>
  <si>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</si>
  <si>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</si>
  <si>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</si>
  <si>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</si>
  <si>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</si>
  <si>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</si>
  <si>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</si>
  <si>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</si>
  <si>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</si>
  <si>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</si>
  <si>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</si>
  <si>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</si>
  <si>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</si>
  <si>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</si>
  <si>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</si>
  <si>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</si>
  <si>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</si>
  <si>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</si>
  <si>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</si>
  <si>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</si>
  <si>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</si>
  <si>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</si>
  <si>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</si>
  <si>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</si>
  <si>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</si>
  <si>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</si>
  <si>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</si>
  <si>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</si>
  <si>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</si>
  <si>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</si>
  <si>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</si>
  <si>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</si>
  <si>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</si>
  <si>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</si>
  <si>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</si>
  <si>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</si>
  <si>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</si>
  <si>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</si>
  <si>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</si>
  <si>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</si>
  <si>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</si>
  <si>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</si>
  <si>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</si>
  <si>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</si>
  <si>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</si>
  <si>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</si>
  <si>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</si>
  <si>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</si>
  <si>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</si>
  <si>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</si>
  <si>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</si>
  <si>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</si>
  <si>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</si>
  <si>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</si>
  <si>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</si>
  <si>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</si>
  <si>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</si>
  <si>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</si>
  <si>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</si>
  <si>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</si>
  <si>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</si>
  <si>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</si>
  <si>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</si>
  <si>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</si>
  <si>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</si>
  <si>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</si>
  <si>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</si>
  <si>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</si>
  <si>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</si>
  <si>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</si>
  <si>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</si>
  <si>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</si>
  <si>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</si>
  <si>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</si>
  <si>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</si>
  <si>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</si>
  <si>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</si>
  <si>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</si>
  <si>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</si>
  <si>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</si>
  <si>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</si>
  <si>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</si>
  <si>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</si>
  <si>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</si>
  <si>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</si>
  <si>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</si>
  <si>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</si>
  <si>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</si>
  <si>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</si>
  <si>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</si>
  <si>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</si>
  <si>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</si>
  <si>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</si>
  <si>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</si>
  <si>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</si>
  <si>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</si>
  <si>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</si>
  <si>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</si>
  <si>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</si>
  <si>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</si>
  <si>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</si>
  <si>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</si>
  <si>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</si>
  <si>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</si>
  <si>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</si>
  <si>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</si>
  <si>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</si>
  <si>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</si>
  <si>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</si>
  <si>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</si>
  <si>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</si>
  <si>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</si>
  <si>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</si>
  <si>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</si>
  <si>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</si>
  <si>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</si>
  <si>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</si>
  <si>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</si>
  <si>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</si>
  <si>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</si>
  <si>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</si>
  <si>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</si>
  <si>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</si>
  <si>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</si>
  <si>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</si>
  <si>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</si>
  <si>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</si>
  <si>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</si>
  <si>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</si>
  <si>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</si>
  <si>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</si>
  <si>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</si>
  <si>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</si>
  <si>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</si>
  <si>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</si>
  <si>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</si>
  <si>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</si>
  <si>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</si>
  <si>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</si>
  <si>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</si>
  <si>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</si>
  <si>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</si>
  <si>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</si>
  <si>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</si>
  <si>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</si>
  <si>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</si>
  <si>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</si>
  <si>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</si>
  <si>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</si>
  <si>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</si>
  <si>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</si>
  <si>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</si>
  <si>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</si>
  <si>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</si>
  <si>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</si>
  <si>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</si>
  <si>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</si>
  <si>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</si>
  <si>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</si>
  <si>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</si>
  <si>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</si>
  <si>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</si>
  <si>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</si>
  <si>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</si>
  <si>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</si>
  <si>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</si>
  <si>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</si>
  <si>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</si>
  <si>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</si>
  <si>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</si>
  <si>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</si>
  <si>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</si>
  <si>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</si>
  <si>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</si>
  <si>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</si>
  <si>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</si>
  <si>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</si>
  <si>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</si>
  <si>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</si>
  <si>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</si>
  <si>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</si>
  <si>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</si>
  <si>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</si>
  <si>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</si>
  <si>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</si>
  <si>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</si>
  <si>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</si>
  <si>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</si>
  <si>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</si>
  <si>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</si>
  <si>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</si>
  <si>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</si>
  <si>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</si>
  <si>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</si>
  <si>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</si>
  <si>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</si>
  <si>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</si>
  <si>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</si>
  <si>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</si>
  <si>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</si>
  <si>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</si>
  <si>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</si>
  <si>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</si>
  <si>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</si>
  <si>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</si>
  <si>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</si>
  <si>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</si>
  <si>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</si>
  <si>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</si>
  <si>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</si>
  <si>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</si>
  <si>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</si>
  <si>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</si>
  <si>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</si>
  <si>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</si>
  <si>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</si>
  <si>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</si>
  <si>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</si>
  <si>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</si>
  <si>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</si>
  <si>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</si>
  <si>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</si>
  <si>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</si>
  <si>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</si>
  <si>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</si>
  <si>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</si>
  <si>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</si>
  <si>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</si>
  <si>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</si>
  <si>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</si>
  <si>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</si>
  <si>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</si>
  <si>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</si>
  <si>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</si>
  <si>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</si>
  <si>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</si>
  <si>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</si>
  <si>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</si>
  <si>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</si>
  <si>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</si>
  <si>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</si>
  <si>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</si>
  <si>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</si>
  <si>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</si>
  <si>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</si>
  <si>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</si>
  <si>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</si>
  <si>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</si>
  <si>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</si>
  <si>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</si>
  <si>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</si>
  <si>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</si>
  <si>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</si>
  <si>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</si>
  <si>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</si>
  <si>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</si>
  <si>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</si>
  <si>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</si>
  <si>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</si>
  <si>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</si>
  <si>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</si>
  <si>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</si>
  <si>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</si>
  <si>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</si>
  <si>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</si>
  <si>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</si>
  <si>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</si>
  <si>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</si>
  <si>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</si>
  <si>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</si>
  <si>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</si>
  <si>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</si>
  <si>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</si>
  <si>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</si>
  <si>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</si>
  <si>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</si>
  <si>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</si>
  <si>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</si>
  <si>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</si>
  <si>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</si>
  <si>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</si>
  <si>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</si>
  <si>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</si>
  <si>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</si>
  <si>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</si>
  <si>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</si>
  <si>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</si>
  <si>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</si>
  <si>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</si>
  <si>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</si>
  <si>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</si>
  <si>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</si>
  <si>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</si>
  <si>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</si>
  <si>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</si>
  <si>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</si>
  <si>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</si>
  <si>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</si>
  <si>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</si>
  <si>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</si>
  <si>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</si>
  <si>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</si>
  <si>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</si>
  <si>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</si>
  <si>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</si>
  <si>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</si>
  <si>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</si>
  <si>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</si>
  <si>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</si>
  <si>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</si>
  <si>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</si>
  <si>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</si>
  <si>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</si>
  <si>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</si>
  <si>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</si>
  <si>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</si>
  <si>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</si>
  <si>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</si>
  <si>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</si>
  <si>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</si>
  <si>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</si>
  <si>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</si>
  <si>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</si>
  <si>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</si>
  <si>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</si>
  <si>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</si>
  <si>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</si>
  <si>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</si>
  <si>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</si>
  <si>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</si>
  <si>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</si>
  <si>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</si>
  <si>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</si>
  <si>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</si>
  <si>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</si>
  <si>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</si>
  <si>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</si>
  <si>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</si>
  <si>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</si>
  <si>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</si>
  <si>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</si>
  <si>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</si>
  <si>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</si>
  <si>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</si>
  <si>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</si>
  <si>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</si>
  <si>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</si>
  <si>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</si>
  <si>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</si>
  <si>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</si>
  <si>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</si>
  <si>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</si>
  <si>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</si>
  <si>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</si>
  <si>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</si>
  <si>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</si>
  <si>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</si>
  <si>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</si>
  <si>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</si>
  <si>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</si>
  <si>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</si>
  <si>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</si>
  <si>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</si>
  <si>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</si>
  <si>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</si>
  <si>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</si>
  <si>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</si>
  <si>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</si>
  <si>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</si>
  <si>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</si>
  <si>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</si>
  <si>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</si>
  <si>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</si>
  <si>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</si>
  <si>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</si>
  <si>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</si>
  <si>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</si>
  <si>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</si>
  <si>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</si>
  <si>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</si>
  <si>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</si>
  <si>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</si>
  <si>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</si>
  <si>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</si>
  <si>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</si>
  <si>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</si>
  <si>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</si>
  <si>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</si>
  <si>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</si>
  <si>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</si>
  <si>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</si>
  <si>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</si>
  <si>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</si>
  <si>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</si>
  <si>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</si>
  <si>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</si>
  <si>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</si>
  <si>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</si>
  <si>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</si>
  <si>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</si>
  <si>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</si>
  <si>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</si>
  <si>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</si>
  <si>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</si>
  <si>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</si>
  <si>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</si>
  <si>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</si>
  <si>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</si>
  <si>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</si>
  <si>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</si>
  <si>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</si>
  <si>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</si>
  <si>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</si>
  <si>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</si>
  <si>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</si>
  <si>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</si>
  <si>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</si>
  <si>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</si>
  <si>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</si>
  <si>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</si>
  <si>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</si>
  <si>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</si>
  <si>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</si>
  <si>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</si>
  <si>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</si>
  <si>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</si>
  <si>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</si>
  <si>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</si>
  <si>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</si>
  <si>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</si>
  <si>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</si>
  <si>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</si>
  <si>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</si>
  <si>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</si>
  <si>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</si>
  <si>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</si>
  <si>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</si>
  <si>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</si>
  <si>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</si>
  <si>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</si>
  <si>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</si>
  <si>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</si>
  <si>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</si>
  <si>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</si>
  <si>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</si>
  <si>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</si>
  <si>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</si>
  <si>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</si>
  <si>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</si>
  <si>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</si>
  <si>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</si>
  <si>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</si>
  <si>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</si>
  <si>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</si>
  <si>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</si>
  <si>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</si>
  <si>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</si>
  <si>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</si>
  <si>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</si>
  <si>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</si>
  <si>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</si>
  <si>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</si>
  <si>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</si>
  <si>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</si>
  <si>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</si>
  <si>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</si>
  <si>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</si>
  <si>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</si>
  <si>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</si>
  <si>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</si>
  <si>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</si>
  <si>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</si>
  <si>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</si>
  <si>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</si>
  <si>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</si>
  <si>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</si>
  <si>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</si>
  <si>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</si>
  <si>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</si>
  <si>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</si>
  <si>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</si>
  <si>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</si>
  <si>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</si>
  <si>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</si>
  <si>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</si>
  <si>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</si>
  <si>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</si>
  <si>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</si>
  <si>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</si>
  <si>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</si>
  <si>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</si>
  <si>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</si>
  <si>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</si>
  <si>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</si>
  <si>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</si>
  <si>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</si>
  <si>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</si>
  <si>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</si>
  <si>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</si>
  <si>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</si>
  <si>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</si>
  <si>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</si>
  <si>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</si>
  <si>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</si>
  <si>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</si>
  <si>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</si>
  <si>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</si>
  <si>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</si>
  <si>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</si>
  <si>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</si>
  <si>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</si>
  <si>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</si>
  <si>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</si>
  <si>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</si>
  <si>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</si>
  <si>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</si>
  <si>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</si>
  <si>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</si>
  <si>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</si>
  <si>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</si>
  <si>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</si>
  <si>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</si>
  <si>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</si>
  <si>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</si>
  <si>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</si>
  <si>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</si>
  <si>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</si>
  <si>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</si>
  <si>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</si>
  <si>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</si>
  <si>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</si>
  <si>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</si>
  <si>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</si>
  <si>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</si>
  <si>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</si>
  <si>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</si>
  <si>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</si>
  <si>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</si>
  <si>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</si>
  <si>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</si>
  <si>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</si>
  <si>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</si>
  <si>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</si>
  <si>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</si>
  <si>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</si>
  <si>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</si>
  <si>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</si>
  <si>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</si>
  <si>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</si>
  <si>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</si>
  <si>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</si>
  <si>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</si>
  <si>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</si>
  <si>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</si>
  <si>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</si>
  <si>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</si>
  <si>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</si>
  <si>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</si>
  <si>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</si>
  <si>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</si>
  <si>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</si>
  <si>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</si>
  <si>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</si>
  <si>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</si>
  <si>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</si>
  <si>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</si>
  <si>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</si>
  <si>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</si>
  <si>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</si>
  <si>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</si>
  <si>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</si>
  <si>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</si>
  <si>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</si>
  <si>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</si>
  <si>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</si>
  <si>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</si>
  <si>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</si>
  <si>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</si>
  <si>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</si>
  <si>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</si>
  <si>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</si>
  <si>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</si>
  <si>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</si>
  <si>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</si>
  <si>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</si>
  <si>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</si>
  <si>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</si>
  <si>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</si>
  <si>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</si>
  <si>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</si>
  <si>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</si>
  <si>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</si>
  <si>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</si>
  <si>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</si>
  <si>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</si>
  <si>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</si>
  <si>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</si>
  <si>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</si>
  <si>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</si>
  <si>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</si>
  <si>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</si>
  <si>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</si>
  <si>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</si>
  <si>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</si>
  <si>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</si>
  <si>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</si>
  <si>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</si>
  <si>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</si>
  <si>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</si>
  <si>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</si>
  <si>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</si>
  <si>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</si>
  <si>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</si>
  <si>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</si>
  <si>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</si>
  <si>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</si>
  <si>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</si>
  <si>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</si>
  <si>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</si>
  <si>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</si>
  <si>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</si>
  <si>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</si>
  <si>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</si>
  <si>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</si>
  <si>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</si>
  <si>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</si>
  <si>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</si>
  <si>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</si>
  <si>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</si>
  <si>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</si>
  <si>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</si>
  <si>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</si>
  <si>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</si>
  <si>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</si>
  <si>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</si>
  <si>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</si>
  <si>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</si>
  <si>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</si>
  <si>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</si>
  <si>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</si>
  <si>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</si>
  <si>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</si>
  <si>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</si>
  <si>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</si>
  <si>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</si>
  <si>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</si>
  <si>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</si>
  <si>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</si>
  <si>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</si>
  <si>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</si>
  <si>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</si>
  <si>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</si>
  <si>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</si>
  <si>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</si>
  <si>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</si>
  <si>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</si>
  <si>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</si>
  <si>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</si>
  <si>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</si>
  <si>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</si>
  <si>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</si>
  <si>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</si>
  <si>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</si>
  <si>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</si>
  <si>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</si>
  <si>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</si>
  <si>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</si>
  <si>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</si>
  <si>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</si>
  <si>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</si>
  <si>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</si>
  <si>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</si>
  <si>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</si>
  <si>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</si>
  <si>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</si>
  <si>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</si>
  <si>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</si>
  <si>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</si>
  <si>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</si>
  <si>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</si>
  <si>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</si>
  <si>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</si>
  <si>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</si>
  <si>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</si>
  <si>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</si>
  <si>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</si>
  <si>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</si>
  <si>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</si>
  <si>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</si>
  <si>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</si>
  <si>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</si>
  <si>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</si>
  <si>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</si>
  <si>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</si>
  <si>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</si>
  <si>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</si>
  <si>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</si>
  <si>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</si>
  <si>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</si>
  <si>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</si>
  <si>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</si>
  <si>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</si>
  <si>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</si>
  <si>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</si>
  <si>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</si>
  <si>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</si>
  <si>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</si>
  <si>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</si>
  <si>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</si>
  <si>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</si>
  <si>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</si>
  <si>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</si>
  <si>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</si>
  <si>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</si>
  <si>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</si>
  <si>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</si>
  <si>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</si>
  <si>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</si>
  <si>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</si>
  <si>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</si>
  <si>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</si>
  <si>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</si>
  <si>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</si>
  <si>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</si>
  <si>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</si>
  <si>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</si>
  <si>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</si>
  <si>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</si>
  <si>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</si>
  <si>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</si>
  <si>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</si>
  <si>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</si>
  <si>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</si>
  <si>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</si>
  <si>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</si>
  <si>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</si>
  <si>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</si>
  <si>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</si>
  <si>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</si>
  <si>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</si>
  <si>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</si>
  <si>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</si>
  <si>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</si>
  <si>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</si>
  <si>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</si>
  <si>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</si>
  <si>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</si>
  <si>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</si>
  <si>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</si>
  <si>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</si>
  <si>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</si>
  <si>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</si>
  <si>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</si>
  <si>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</si>
  <si>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</si>
  <si>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</si>
  <si>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</si>
  <si>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</si>
  <si>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</si>
  <si>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</si>
  <si>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</si>
  <si>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</si>
  <si>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</si>
  <si>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</si>
  <si>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</si>
  <si>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</si>
  <si>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</si>
  <si>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</si>
  <si>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</si>
  <si>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</si>
  <si>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</si>
  <si>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</si>
  <si>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</si>
  <si>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</si>
  <si>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</si>
  <si>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</si>
  <si>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</si>
  <si>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</si>
  <si>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</si>
  <si>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</si>
  <si>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</si>
  <si>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</si>
  <si>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</si>
  <si>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</si>
  <si>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</si>
  <si>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</si>
  <si>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</si>
  <si>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</si>
  <si>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</si>
  <si>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</si>
  <si>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</si>
  <si>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</si>
  <si>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</si>
  <si>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</si>
  <si>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</si>
  <si>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</si>
  <si>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</si>
  <si>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</si>
  <si>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</si>
  <si>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</si>
  <si>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</si>
  <si>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</si>
  <si>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</si>
  <si>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</si>
  <si>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</si>
  <si>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</si>
  <si>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</si>
  <si>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</si>
  <si>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</si>
  <si>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</si>
  <si>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</si>
  <si>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</si>
  <si>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</si>
  <si>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</si>
  <si>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</si>
  <si>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</si>
  <si>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</si>
  <si>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</si>
  <si>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</si>
  <si>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</si>
  <si>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</si>
  <si>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</si>
  <si>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</si>
  <si>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</si>
  <si>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</si>
  <si>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</si>
  <si>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</si>
  <si>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</si>
  <si>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</si>
  <si>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</si>
  <si>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</si>
  <si>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</si>
  <si>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</si>
  <si>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</si>
  <si>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</si>
  <si>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</si>
  <si>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</si>
  <si>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</si>
  <si>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</si>
  <si>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</si>
  <si>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</si>
  <si>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</si>
  <si>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</si>
  <si>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</si>
  <si>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</si>
  <si>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</si>
  <si>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</si>
  <si>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</si>
  <si>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</si>
  <si>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</si>
  <si>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</si>
  <si>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</si>
  <si>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</si>
  <si>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</si>
  <si>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</si>
  <si>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</si>
  <si>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</si>
  <si>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</si>
  <si>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</si>
  <si>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</si>
  <si>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</si>
  <si>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</si>
  <si>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</si>
  <si>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</si>
  <si>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</si>
  <si>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</si>
  <si>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</si>
  <si>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</si>
  <si>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</si>
  <si>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</si>
  <si>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</si>
  <si>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</si>
  <si>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</si>
  <si>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</si>
  <si>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</si>
  <si>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</si>
  <si>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</si>
  <si>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</si>
  <si>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</si>
  <si>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</si>
  <si>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</si>
  <si>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</si>
  <si>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</si>
  <si>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</si>
  <si>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</si>
  <si>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</si>
  <si>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</si>
  <si>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</si>
  <si>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</si>
  <si>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</si>
  <si>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</si>
  <si>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</si>
  <si>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</si>
  <si>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</si>
  <si>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</si>
  <si>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</si>
  <si>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</si>
  <si>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</si>
  <si>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</si>
  <si>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</si>
  <si>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</si>
  <si>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</si>
  <si>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</si>
  <si>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</si>
  <si>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</si>
  <si>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</si>
  <si>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</si>
  <si>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</si>
  <si>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</si>
  <si>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</si>
  <si>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</si>
  <si>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</si>
  <si>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</si>
  <si>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</si>
  <si>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</si>
  <si>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</si>
  <si>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</si>
  <si>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</si>
  <si>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</si>
  <si>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</si>
  <si>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</si>
  <si>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</si>
  <si>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</si>
  <si>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</si>
  <si>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</si>
  <si>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</si>
  <si>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</si>
  <si>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</si>
  <si>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</si>
  <si>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</si>
  <si>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</si>
  <si>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</si>
  <si>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</si>
  <si>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</si>
  <si>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</si>
  <si>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</si>
  <si>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</si>
  <si>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</si>
  <si>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</si>
  <si>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</si>
  <si>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</si>
  <si>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</si>
  <si>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</si>
  <si>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</si>
  <si>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</si>
  <si>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</si>
  <si>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</si>
  <si>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</si>
  <si>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</si>
  <si>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</si>
  <si>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</si>
  <si>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</si>
  <si>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</si>
  <si>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</si>
  <si>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</si>
  <si>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</si>
  <si>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</si>
  <si>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</si>
  <si>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</si>
  <si>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</si>
  <si>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</si>
  <si>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</si>
  <si>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</si>
  <si>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</si>
  <si>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</si>
  <si>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</si>
  <si>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</si>
  <si>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</si>
  <si>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</si>
  <si>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</si>
  <si>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</si>
  <si>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</si>
  <si>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</si>
  <si>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</si>
  <si>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</si>
  <si>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</si>
  <si>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</si>
  <si>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</si>
  <si>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</si>
  <si>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</si>
  <si>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</si>
  <si>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</si>
  <si>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</si>
  <si>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</si>
  <si>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</si>
  <si>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</si>
  <si>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</si>
  <si>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</si>
  <si>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</si>
  <si>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</si>
  <si>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</si>
  <si>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</si>
  <si>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</si>
  <si>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</si>
  <si>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</si>
  <si>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</si>
  <si>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</si>
  <si>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</si>
  <si>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</si>
  <si>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</si>
  <si>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</si>
  <si>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</si>
  <si>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</si>
  <si>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</si>
  <si>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</si>
  <si>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</si>
  <si>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</si>
  <si>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</si>
  <si>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</si>
  <si>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</si>
  <si>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</si>
  <si>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</si>
  <si>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</si>
  <si>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</si>
  <si>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</si>
  <si>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</si>
  <si>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</si>
  <si>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</si>
  <si>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</si>
  <si>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</si>
  <si>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</si>
  <si>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</si>
  <si>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</si>
  <si>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</si>
  <si>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</si>
  <si>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</si>
  <si>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</si>
  <si>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</si>
  <si>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</si>
  <si>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</si>
  <si>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</si>
  <si>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</si>
  <si>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</si>
  <si>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</si>
  <si>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</si>
  <si>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</si>
  <si>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</si>
  <si>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</si>
  <si>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</si>
  <si>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</si>
  <si>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</si>
  <si>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</si>
  <si>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</si>
  <si>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</si>
  <si>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</si>
  <si>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</si>
  <si>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</si>
  <si>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</si>
  <si>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</si>
  <si>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</si>
  <si>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</si>
  <si>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</si>
  <si>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</si>
  <si>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</si>
  <si>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</si>
  <si>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</si>
  <si>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</si>
  <si>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</si>
  <si>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</si>
  <si>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</si>
  <si>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</si>
  <si>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</si>
  <si>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</si>
  <si>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</si>
  <si>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</si>
  <si>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</si>
  <si>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</si>
  <si>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</si>
  <si>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</si>
  <si>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</si>
  <si>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</si>
  <si>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</si>
  <si>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</si>
  <si>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</si>
  <si>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</si>
  <si>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</si>
  <si>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</si>
  <si>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</si>
  <si>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</si>
  <si>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</si>
  <si>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</si>
  <si>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</si>
  <si>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</si>
  <si>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</si>
  <si>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</si>
  <si>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</si>
  <si>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</si>
  <si>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</si>
  <si>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</si>
  <si>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</si>
  <si>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</si>
  <si>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</si>
  <si>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</si>
  <si>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</si>
  <si>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</si>
  <si>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</si>
  <si>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</si>
  <si>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</si>
  <si>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</si>
  <si>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</si>
  <si>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</si>
  <si>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</si>
  <si>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</si>
  <si>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</si>
  <si>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</si>
  <si>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</si>
  <si>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</si>
  <si>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</si>
  <si>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</si>
  <si>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</si>
  <si>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</si>
  <si>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</si>
  <si>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</si>
  <si>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</si>
  <si>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</si>
  <si>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</si>
  <si>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</si>
  <si>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</si>
  <si>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</si>
  <si>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</si>
  <si>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</si>
  <si>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</si>
  <si>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</si>
  <si>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</si>
  <si>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</si>
  <si>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</si>
  <si>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</si>
  <si>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</si>
  <si>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</si>
  <si>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</si>
  <si>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</si>
  <si>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</si>
  <si>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</si>
  <si>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</si>
  <si>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</si>
  <si>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</si>
  <si>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</si>
  <si>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</si>
  <si>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</si>
  <si>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</si>
  <si>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</si>
  <si>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</si>
  <si>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</si>
  <si>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</si>
  <si>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</si>
  <si>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</si>
  <si>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</si>
  <si>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</si>
  <si>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</si>
  <si>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</si>
  <si>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</si>
  <si>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</si>
  <si>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</si>
  <si>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</si>
  <si>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</si>
  <si>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</si>
  <si>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</si>
  <si>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</si>
  <si>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</si>
  <si>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</si>
  <si>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</si>
  <si>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</si>
  <si>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</si>
  <si>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</si>
  <si>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</si>
  <si>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</si>
  <si>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</si>
  <si>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</si>
  <si>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</si>
  <si>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</si>
  <si>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</si>
  <si>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</si>
  <si>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</si>
  <si>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</si>
  <si>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</si>
  <si>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</si>
  <si>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</si>
  <si>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</si>
  <si>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</si>
  <si>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</si>
  <si>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</si>
  <si>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</si>
  <si>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</si>
  <si>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</si>
  <si>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</si>
  <si>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</si>
  <si>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</si>
  <si>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</si>
  <si>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</si>
  <si>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</si>
  <si>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</si>
  <si>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</si>
  <si>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</si>
  <si>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</si>
  <si>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</si>
  <si>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</si>
  <si>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</si>
  <si>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</si>
  <si>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</si>
  <si>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</si>
  <si>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</si>
  <si>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</si>
  <si>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</si>
  <si>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</si>
  <si>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</si>
  <si>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</si>
  <si>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</si>
  <si>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</si>
  <si>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</si>
  <si>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</si>
  <si>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</si>
  <si>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</si>
  <si>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</si>
  <si>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</si>
  <si>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</si>
  <si>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</si>
  <si>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</si>
  <si>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</si>
  <si>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</si>
  <si>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</si>
  <si>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</si>
  <si>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</si>
  <si>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</si>
  <si>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</si>
  <si>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</si>
  <si>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</si>
  <si>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</si>
  <si>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</si>
  <si>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</si>
  <si>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</si>
  <si>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</si>
  <si>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</si>
  <si>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</si>
  <si>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</si>
  <si>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</si>
  <si>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</si>
  <si>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</si>
  <si>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</si>
  <si>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</si>
  <si>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</si>
  <si>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</si>
  <si>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</si>
  <si>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</si>
  <si>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</si>
  <si>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</si>
  <si>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</si>
  <si>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</si>
  <si>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</si>
  <si>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</si>
  <si>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</si>
  <si>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</si>
  <si>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</si>
  <si>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</si>
  <si>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</si>
  <si>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</si>
  <si>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</si>
  <si>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</si>
  <si>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</si>
  <si>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</si>
  <si>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</si>
  <si>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</si>
  <si>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</si>
  <si>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</si>
  <si>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</si>
  <si>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</si>
  <si>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</si>
  <si>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</si>
  <si>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</si>
  <si>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</si>
  <si>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</si>
  <si>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</si>
  <si>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</si>
  <si>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</si>
  <si>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</si>
  <si>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</si>
  <si>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</si>
  <si>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</si>
  <si>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</si>
  <si>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</si>
  <si>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</si>
  <si>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</si>
  <si>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</si>
  <si>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</si>
  <si>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</si>
  <si>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</si>
  <si>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</si>
  <si>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</si>
  <si>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</si>
  <si>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</si>
  <si>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</si>
  <si>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</si>
  <si>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</si>
  <si>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</si>
  <si>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</si>
  <si>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</si>
  <si>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</si>
  <si>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</si>
  <si>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</si>
  <si>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</si>
  <si>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</si>
  <si>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</si>
  <si>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</si>
  <si>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</si>
  <si>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</si>
  <si>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</si>
  <si>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</si>
  <si>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</si>
  <si>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</si>
  <si>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</si>
  <si>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</si>
  <si>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</si>
  <si>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</si>
  <si>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</si>
  <si>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</si>
  <si>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</si>
  <si>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</si>
  <si>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</si>
  <si>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</si>
  <si>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</si>
  <si>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</si>
  <si>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</si>
  <si>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</si>
  <si>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</si>
  <si>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</si>
  <si>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</si>
  <si>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</si>
  <si>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</si>
  <si>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</si>
  <si>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</si>
  <si>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</si>
  <si>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</si>
  <si>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</si>
  <si>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</si>
  <si>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</si>
  <si>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</si>
  <si>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</si>
  <si>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</si>
  <si>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</si>
  <si>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</si>
  <si>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</si>
  <si>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</si>
  <si>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</si>
  <si>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</si>
  <si>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</si>
  <si>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</si>
  <si>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</si>
  <si>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</si>
  <si>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</si>
  <si>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</si>
  <si>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</si>
  <si>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</si>
  <si>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</si>
  <si>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</si>
  <si>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</si>
  <si>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</si>
  <si>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</si>
  <si>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</si>
  <si>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</si>
  <si>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</si>
  <si>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</si>
  <si>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</si>
  <si>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</si>
  <si>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</si>
  <si>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</si>
  <si>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</si>
  <si>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</si>
  <si>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</si>
  <si>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</si>
  <si>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</si>
  <si>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</si>
  <si>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</si>
  <si>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</si>
  <si>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</si>
  <si>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</si>
  <si>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</si>
  <si>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</si>
  <si>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</si>
  <si>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</si>
  <si>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</si>
  <si>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</si>
  <si>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</si>
  <si>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</si>
  <si>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</si>
  <si>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</si>
  <si>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</si>
  <si>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</si>
  <si>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</si>
  <si>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</si>
  <si>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</si>
  <si>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</si>
  <si>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</si>
  <si>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</si>
  <si>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</si>
  <si>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</si>
  <si>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</si>
  <si>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</si>
  <si>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</si>
  <si>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</si>
  <si>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</si>
  <si>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</si>
  <si>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</si>
  <si>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</si>
  <si>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</si>
  <si>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</si>
  <si>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</si>
  <si>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</si>
  <si>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</si>
  <si>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</si>
  <si>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</si>
  <si>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</si>
  <si>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</si>
  <si>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</si>
  <si>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</si>
  <si>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</si>
  <si>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</si>
  <si>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</si>
  <si>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</si>
  <si>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</si>
  <si>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</si>
  <si>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</si>
  <si>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</si>
  <si>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</si>
  <si>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</si>
  <si>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</si>
  <si>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</si>
  <si>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</si>
  <si>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</si>
  <si>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</si>
  <si>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</si>
  <si>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</si>
  <si>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</si>
  <si>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</si>
  <si>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</si>
  <si>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</si>
  <si>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</si>
  <si>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</si>
  <si>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</si>
  <si>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</si>
  <si>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</si>
  <si>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</si>
  <si>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</si>
  <si>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</si>
  <si>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</si>
  <si>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</si>
  <si>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</si>
  <si>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</si>
  <si>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</si>
  <si>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</si>
  <si>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</si>
  <si>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</si>
  <si>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</si>
  <si>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</si>
  <si>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</si>
  <si>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</si>
  <si>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</si>
  <si>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</si>
  <si>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</si>
  <si>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</si>
  <si>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</si>
  <si>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</si>
  <si>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</si>
  <si>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</si>
  <si>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</si>
  <si>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</si>
  <si>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</si>
  <si>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</si>
  <si>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</si>
  <si>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</si>
  <si>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</si>
  <si>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</si>
  <si>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</si>
  <si>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</si>
  <si>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</si>
  <si>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</si>
  <si>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</si>
  <si>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</si>
  <si>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</si>
  <si>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</si>
  <si>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</si>
  <si>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</si>
  <si>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</si>
  <si>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</si>
  <si>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</si>
  <si>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</si>
  <si>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</si>
  <si>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</si>
  <si>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</si>
  <si>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</si>
  <si>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</si>
  <si>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</si>
  <si>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</si>
  <si>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</si>
  <si>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</si>
  <si>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</si>
  <si>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</si>
  <si>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</si>
  <si>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</si>
  <si>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</si>
  <si>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</si>
  <si>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</si>
  <si>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</si>
  <si>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</si>
  <si>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</si>
  <si>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</si>
  <si>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</si>
  <si>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</si>
  <si>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</si>
  <si>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</si>
  <si>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</si>
  <si>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</si>
  <si>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</si>
  <si>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</si>
  <si>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</si>
  <si>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</si>
  <si>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</si>
  <si>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</si>
  <si>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</si>
  <si>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</si>
  <si>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</si>
  <si>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</si>
  <si>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</si>
  <si>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</si>
  <si>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</si>
  <si>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</si>
  <si>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</si>
  <si>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</si>
  <si>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</si>
  <si>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</si>
  <si>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</si>
  <si>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</si>
  <si>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</si>
  <si>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</si>
  <si>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</si>
  <si>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</si>
  <si>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</si>
  <si>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</si>
  <si>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</si>
  <si>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</si>
  <si>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</si>
  <si>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</si>
  <si>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</si>
  <si>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</si>
  <si>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</si>
  <si>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</si>
  <si>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</si>
  <si>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</si>
  <si>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</si>
  <si>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</si>
  <si>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</si>
  <si>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</si>
  <si>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</si>
  <si>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</si>
  <si>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</si>
  <si>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</si>
  <si>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</si>
  <si>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</si>
  <si>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</si>
  <si>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</si>
  <si>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</si>
  <si>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</si>
  <si>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</si>
  <si>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</si>
  <si>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</si>
  <si>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</si>
  <si>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</si>
  <si>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</si>
  <si>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</si>
  <si>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</si>
  <si>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</si>
  <si>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</si>
  <si>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</si>
  <si>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</si>
  <si>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</si>
  <si>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</si>
  <si>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</si>
  <si>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</si>
  <si>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</si>
  <si>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</si>
  <si>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</si>
  <si>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</si>
  <si>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</si>
  <si>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</si>
  <si>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</si>
  <si>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</si>
  <si>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</si>
  <si>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</si>
  <si>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</si>
  <si>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</si>
  <si>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</si>
  <si>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</si>
  <si>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</si>
  <si>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</si>
  <si>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</si>
  <si>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</si>
  <si>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</si>
  <si>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</si>
  <si>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</si>
  <si>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</si>
  <si>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</si>
  <si>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</si>
  <si>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</si>
  <si>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</si>
  <si>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</si>
  <si>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</si>
  <si>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</si>
  <si>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</si>
  <si>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</si>
  <si>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</si>
  <si>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</si>
  <si>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</si>
  <si>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</si>
  <si>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</si>
  <si>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</si>
  <si>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</si>
  <si>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</si>
  <si>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</si>
  <si>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</si>
  <si>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</si>
  <si>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</si>
  <si>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</si>
  <si>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</si>
  <si>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</si>
  <si>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</si>
  <si>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</si>
  <si>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</si>
  <si>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</si>
  <si>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</si>
  <si>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</si>
  <si>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</si>
  <si>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</si>
  <si>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</si>
  <si>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</si>
  <si>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</si>
  <si>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</si>
  <si>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</si>
  <si>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</si>
  <si>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</si>
  <si>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</si>
  <si>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</si>
  <si>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</si>
  <si>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</si>
  <si>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</si>
  <si>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</si>
  <si>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</si>
  <si>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</si>
  <si>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</si>
  <si>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</si>
  <si>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</si>
  <si>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</si>
  <si>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</si>
  <si>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</si>
  <si>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</si>
  <si>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</si>
  <si>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</si>
  <si>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</si>
  <si>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</si>
  <si>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</si>
  <si>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</si>
  <si>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</si>
  <si>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</si>
  <si>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</si>
  <si>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</si>
  <si>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</si>
  <si>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</si>
  <si>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</si>
  <si>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</si>
  <si>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</si>
  <si>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</si>
  <si>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</si>
  <si>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</si>
  <si>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</si>
  <si>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</si>
  <si>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</si>
  <si>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</si>
  <si>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</si>
  <si>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</si>
  <si>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</si>
  <si>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</si>
  <si>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</si>
  <si>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</si>
  <si>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</si>
  <si>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</si>
  <si>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</si>
  <si>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</si>
  <si>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</si>
  <si>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</si>
  <si>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</si>
  <si>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</si>
  <si>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</si>
  <si>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</si>
  <si>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</si>
  <si>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</si>
  <si>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</si>
  <si>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</si>
  <si>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</si>
  <si>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</si>
  <si>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</si>
  <si>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</si>
  <si>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</si>
  <si>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</si>
  <si>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</si>
  <si>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</si>
  <si>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</si>
  <si>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</si>
  <si>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</si>
  <si>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</si>
  <si>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</si>
  <si>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</si>
  <si>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</si>
  <si>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</si>
  <si>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</si>
  <si>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</si>
  <si>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</si>
  <si>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</si>
  <si>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</si>
  <si>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</si>
  <si>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</si>
  <si>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</si>
  <si>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</si>
  <si>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</si>
  <si>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</si>
  <si>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</si>
  <si>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</si>
  <si>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</si>
  <si>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</si>
  <si>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</si>
  <si>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</si>
  <si>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</si>
  <si>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</si>
  <si>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</si>
  <si>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</si>
  <si>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</si>
  <si>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</si>
  <si>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</si>
  <si>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</si>
  <si>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</si>
  <si>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</si>
  <si>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</si>
  <si>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</si>
  <si>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</si>
  <si>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</si>
  <si>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</si>
  <si>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</si>
  <si>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</si>
  <si>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</si>
  <si>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</si>
  <si>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</si>
  <si>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</si>
  <si>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</si>
  <si>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</si>
  <si>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</si>
  <si>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</si>
  <si>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</si>
  <si>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</si>
  <si>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</si>
  <si>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</si>
  <si>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</si>
  <si>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</si>
  <si>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</si>
  <si>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</si>
  <si>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</si>
  <si>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</si>
  <si>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</si>
  <si>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</si>
  <si>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</si>
  <si>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</si>
  <si>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</si>
  <si>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</si>
  <si>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</si>
  <si>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</si>
  <si>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</si>
  <si>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</si>
  <si>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</si>
  <si>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</si>
  <si>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</si>
  <si>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</si>
  <si>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</si>
  <si>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</si>
  <si>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</si>
  <si>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</si>
  <si>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</si>
  <si>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</si>
  <si>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</si>
  <si>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</si>
  <si>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</si>
  <si>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</si>
  <si>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</si>
  <si>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</si>
  <si>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</si>
  <si>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</si>
  <si>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</si>
  <si>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</si>
  <si>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</si>
  <si>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</si>
  <si>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</si>
  <si>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</si>
  <si>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</si>
  <si>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</si>
  <si>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</si>
  <si>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</si>
  <si>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</si>
  <si>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</si>
  <si>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</si>
  <si>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</si>
  <si>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</si>
  <si>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</si>
  <si>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</si>
  <si>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</si>
  <si>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</si>
  <si>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</si>
  <si>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</si>
  <si>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</si>
  <si>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</si>
  <si>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</si>
  <si>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</si>
  <si>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</si>
  <si>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</si>
  <si>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</si>
  <si>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</si>
  <si>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</si>
  <si>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</si>
  <si>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</si>
  <si>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</si>
  <si>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</si>
  <si>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</si>
  <si>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</si>
  <si>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</si>
  <si>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</si>
  <si>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</si>
  <si>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</si>
  <si>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</si>
  <si>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</si>
  <si>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</si>
  <si>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</si>
  <si>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</si>
  <si>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</si>
  <si>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</si>
  <si>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</si>
  <si>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</si>
  <si>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</si>
  <si>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</si>
  <si>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</si>
  <si>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</si>
  <si>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</si>
  <si>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</si>
  <si>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</si>
  <si>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</si>
  <si>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</si>
  <si>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</si>
  <si>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</si>
  <si>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</si>
  <si>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</si>
  <si>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</si>
  <si>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</si>
  <si>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</si>
  <si>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</si>
  <si>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</si>
  <si>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</si>
  <si>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</si>
  <si>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</si>
  <si>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</si>
  <si>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</si>
  <si>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</si>
  <si>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</si>
  <si>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</si>
  <si>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</si>
  <si>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</si>
  <si>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</si>
  <si>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</si>
  <si>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</si>
  <si>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</si>
  <si>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</si>
  <si>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</si>
  <si>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</si>
  <si>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</si>
  <si>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</si>
  <si>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</si>
  <si>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</si>
  <si>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</si>
  <si>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</si>
  <si>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</si>
  <si>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</si>
  <si>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</si>
  <si>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</si>
  <si>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</si>
  <si>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</si>
  <si>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</si>
  <si>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</si>
  <si>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</si>
  <si>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</si>
  <si>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</si>
  <si>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</si>
  <si>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</si>
  <si>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</si>
  <si>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</si>
  <si>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</si>
  <si>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</si>
  <si>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</si>
  <si>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</si>
  <si>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</si>
  <si>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</si>
  <si>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</si>
  <si>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</si>
  <si>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</si>
  <si>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</si>
  <si>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</si>
  <si>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</si>
  <si>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</si>
  <si>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</si>
  <si>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</si>
  <si>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</si>
  <si>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</si>
  <si>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</si>
  <si>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</si>
  <si>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</si>
  <si>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</si>
  <si>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</si>
  <si>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</si>
  <si>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</si>
  <si>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</si>
  <si>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</si>
  <si>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</si>
  <si>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</si>
  <si>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</si>
  <si>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</si>
  <si>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</si>
  <si>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</si>
  <si>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</si>
  <si>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</si>
  <si>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</si>
  <si>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</si>
  <si>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</si>
  <si>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</si>
  <si>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</si>
  <si>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</si>
  <si>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</si>
  <si>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</si>
  <si>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</si>
  <si>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</si>
  <si>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</si>
  <si>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</si>
  <si>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</si>
  <si>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</si>
  <si>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</si>
  <si>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</si>
  <si>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</si>
  <si>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</si>
  <si>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</si>
  <si>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</si>
  <si>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</si>
  <si>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</si>
  <si>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</si>
  <si>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</si>
  <si>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</si>
  <si>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</si>
  <si>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</si>
  <si>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</si>
  <si>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</si>
  <si>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</si>
  <si>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</si>
  <si>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</si>
  <si>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</si>
  <si>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</si>
  <si>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</si>
  <si>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</si>
  <si>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</si>
  <si>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</si>
  <si>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</si>
  <si>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</si>
  <si>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</si>
  <si>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</si>
  <si>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</si>
  <si>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</si>
  <si>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</si>
  <si>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</si>
  <si>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</si>
  <si>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</si>
  <si>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</si>
  <si>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</si>
  <si>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</si>
  <si>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</si>
  <si>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</si>
  <si>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</si>
  <si>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</si>
  <si>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</si>
  <si>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</si>
  <si>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</si>
  <si>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</si>
  <si>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</si>
  <si>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</si>
  <si>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</si>
  <si>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</si>
  <si>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</si>
  <si>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</si>
  <si>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</si>
  <si>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</si>
  <si>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</si>
  <si>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</si>
  <si>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</si>
  <si>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</si>
  <si>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</si>
  <si>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</si>
  <si>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</si>
  <si>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</si>
  <si>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</si>
  <si>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</si>
  <si>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</si>
  <si>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</si>
  <si>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</si>
  <si>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</si>
  <si>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</si>
  <si>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</si>
  <si>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</si>
  <si>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</si>
  <si>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</si>
  <si>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</si>
  <si>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</si>
  <si>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</si>
  <si>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</si>
  <si>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</si>
  <si>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</si>
  <si>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</si>
  <si>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</si>
  <si>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</si>
  <si>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</si>
  <si>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</si>
  <si>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</si>
  <si>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</si>
  <si>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</si>
  <si>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</si>
  <si>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</si>
  <si>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</si>
  <si>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</si>
  <si>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</si>
  <si>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</si>
  <si>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</si>
  <si>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</si>
  <si>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</si>
  <si>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</si>
  <si>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</si>
  <si>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</si>
  <si>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</si>
  <si>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</si>
  <si>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</si>
  <si>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</si>
  <si>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</si>
  <si>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</si>
  <si>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</si>
  <si>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</si>
  <si>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</si>
  <si>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</si>
  <si>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</si>
  <si>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</si>
  <si>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</si>
  <si>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</si>
  <si>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</si>
  <si>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</si>
  <si>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</si>
  <si>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</si>
  <si>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</si>
  <si>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</si>
  <si>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</si>
  <si>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</si>
  <si>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</si>
  <si>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</si>
  <si>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</si>
  <si>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</si>
  <si>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</si>
  <si>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</si>
  <si>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</si>
  <si>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</si>
  <si>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</si>
  <si>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</si>
  <si>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</si>
  <si>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</si>
  <si>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</si>
  <si>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</si>
  <si>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</si>
  <si>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</si>
  <si>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</si>
  <si>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</si>
  <si>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</si>
  <si>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</si>
  <si>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</si>
  <si>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</si>
  <si>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</si>
  <si>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</si>
  <si>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</si>
  <si>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</si>
  <si>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</si>
  <si>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</si>
  <si>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</si>
  <si>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</si>
  <si>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</si>
  <si>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</si>
  <si>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</si>
  <si>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</si>
  <si>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</si>
  <si>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</si>
  <si>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</si>
  <si>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</si>
  <si>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</si>
  <si>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</si>
  <si>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</si>
  <si>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</si>
  <si>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</si>
  <si>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</si>
  <si>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</si>
  <si>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</si>
  <si>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</si>
  <si>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</si>
  <si>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</si>
  <si>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</si>
  <si>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</si>
  <si>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</si>
  <si>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</si>
  <si>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</si>
  <si>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</si>
  <si>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</si>
  <si>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</si>
  <si>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</si>
  <si>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</si>
  <si>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</si>
  <si>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</si>
  <si>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</si>
  <si>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</si>
  <si>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</si>
  <si>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</si>
  <si>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</si>
  <si>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</si>
  <si>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</si>
  <si>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</si>
  <si>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</si>
  <si>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</si>
  <si>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</si>
  <si>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</si>
  <si>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</si>
  <si>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</si>
  <si>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</si>
  <si>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</si>
  <si>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</si>
  <si>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</si>
  <si>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</si>
  <si>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</si>
  <si>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</si>
  <si>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</si>
  <si>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</si>
  <si>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</si>
  <si>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</si>
  <si>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</si>
  <si>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</si>
  <si>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</si>
  <si>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</si>
  <si>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</si>
  <si>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</si>
  <si>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</si>
  <si>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</si>
  <si>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</si>
  <si>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</si>
  <si>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</si>
  <si>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</si>
  <si>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</si>
  <si>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</si>
  <si>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</si>
  <si>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</si>
  <si>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</si>
  <si>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</si>
  <si>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</si>
  <si>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</si>
  <si>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</si>
  <si>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</si>
  <si>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</si>
  <si>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</si>
  <si>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</si>
  <si>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</si>
  <si>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</si>
  <si>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</si>
  <si>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</si>
  <si>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</si>
  <si>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</si>
  <si>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</si>
  <si>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</si>
  <si>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</si>
  <si>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</si>
  <si>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</si>
  <si>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</si>
  <si>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</si>
  <si>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</si>
  <si>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</si>
  <si>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</si>
  <si>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</si>
  <si>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</si>
  <si>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</si>
  <si>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</si>
  <si>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</si>
  <si>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</si>
  <si>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</si>
  <si>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</si>
  <si>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</si>
  <si>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</si>
  <si>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</si>
  <si>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</si>
  <si>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</si>
  <si>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</si>
  <si>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</si>
  <si>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</si>
  <si>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</si>
  <si>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</si>
  <si>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</si>
  <si>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</si>
  <si>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</si>
  <si>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</si>
  <si>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</si>
  <si>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</si>
  <si>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</si>
  <si>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</si>
  <si>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</si>
  <si>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</si>
  <si>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</si>
  <si>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</si>
  <si>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</si>
  <si>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</si>
  <si>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</si>
  <si>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</si>
  <si>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</si>
  <si>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</si>
  <si>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</si>
  <si>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</si>
  <si>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</si>
  <si>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</si>
  <si>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</si>
  <si>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</si>
  <si>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</si>
  <si>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</si>
  <si>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</si>
  <si>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</si>
  <si>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</si>
  <si>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</si>
  <si>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</si>
  <si>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</si>
  <si>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</si>
  <si>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</si>
  <si>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</si>
  <si>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</si>
  <si>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</si>
  <si>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</si>
  <si>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</si>
  <si>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</si>
  <si>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</si>
  <si>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</si>
  <si>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</si>
  <si>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</si>
  <si>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</si>
  <si>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</si>
  <si>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</si>
  <si>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</si>
  <si>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</si>
  <si>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</si>
  <si>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</si>
  <si>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</si>
  <si>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</si>
  <si>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</si>
  <si>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</si>
  <si>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</si>
  <si>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</si>
  <si>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</si>
  <si>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</si>
  <si>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</si>
  <si>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</si>
  <si>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</si>
  <si>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</si>
  <si>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</si>
  <si>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</si>
  <si>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</si>
  <si>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</si>
  <si>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</si>
  <si>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</si>
  <si>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</si>
  <si>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</si>
  <si>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</si>
  <si>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</si>
  <si>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</si>
  <si>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</si>
  <si>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</si>
  <si>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</si>
  <si>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</si>
  <si>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</si>
  <si>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</si>
  <si>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</si>
  <si>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</si>
  <si>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</si>
  <si>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</si>
  <si>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</si>
  <si>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</si>
  <si>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</si>
  <si>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</si>
  <si>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</si>
  <si>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</si>
  <si>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</si>
  <si>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</si>
  <si>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</si>
  <si>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</si>
  <si>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</si>
  <si>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</si>
  <si>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</si>
  <si>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</si>
  <si>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</si>
  <si>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</si>
  <si>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</si>
  <si>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</si>
  <si>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</si>
  <si>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</si>
  <si>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</si>
  <si>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</si>
  <si>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</si>
  <si>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</si>
  <si>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</si>
  <si>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</si>
  <si>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</si>
  <si>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</si>
  <si>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</si>
  <si>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</si>
  <si>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</si>
  <si>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</si>
  <si>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</si>
  <si>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</si>
  <si>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</si>
  <si>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</si>
  <si>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</si>
  <si>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</si>
  <si>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</si>
  <si>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</si>
  <si>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</si>
  <si>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</si>
  <si>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</si>
  <si>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</si>
  <si>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</si>
  <si>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</si>
  <si>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</si>
  <si>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</si>
  <si>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</si>
  <si>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</si>
  <si>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</si>
  <si>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</si>
  <si>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</si>
  <si>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</si>
  <si>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</si>
  <si>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</si>
  <si>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</si>
  <si>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</si>
  <si>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</si>
  <si>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</si>
  <si>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</si>
  <si>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</si>
  <si>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</si>
  <si>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</si>
  <si>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</si>
  <si>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</si>
  <si>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</si>
  <si>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</si>
  <si>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</si>
  <si>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</si>
  <si>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</si>
  <si>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</si>
  <si>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</si>
  <si>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</si>
  <si>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</si>
  <si>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</si>
  <si>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</si>
  <si>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</si>
  <si>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</si>
  <si>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</si>
  <si>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</si>
  <si>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</si>
  <si>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</si>
  <si>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</si>
  <si>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</si>
  <si>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</si>
  <si>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</si>
  <si>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</si>
  <si>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</si>
  <si>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</si>
  <si>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</si>
  <si>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</si>
  <si>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</si>
  <si>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</si>
  <si>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</si>
  <si>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</si>
  <si>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</si>
  <si>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</si>
  <si>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</si>
  <si>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</si>
  <si>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</si>
  <si>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</si>
  <si>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</si>
  <si>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</si>
  <si>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</si>
  <si>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</si>
  <si>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</si>
  <si>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</si>
  <si>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</si>
  <si>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</si>
  <si>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</si>
  <si>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</si>
  <si>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</si>
  <si>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</si>
  <si>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</si>
  <si>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</si>
  <si>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</si>
  <si>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</si>
  <si>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</si>
  <si>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</si>
  <si>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</si>
  <si>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</si>
  <si>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</si>
  <si>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</si>
  <si>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</si>
  <si>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</si>
  <si>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</si>
  <si>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</si>
  <si>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</si>
  <si>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</si>
  <si>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</si>
  <si>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</si>
  <si>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</si>
  <si>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</si>
  <si>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</si>
  <si>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</si>
  <si>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</si>
  <si>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</si>
  <si>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</si>
  <si>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</si>
  <si>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</si>
  <si>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</si>
  <si>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</si>
  <si>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</si>
  <si>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</si>
  <si>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</si>
  <si>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</si>
  <si>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</si>
  <si>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</si>
  <si>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</si>
  <si>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</si>
  <si>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</si>
  <si>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</si>
  <si>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</si>
  <si>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</si>
  <si>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</si>
  <si>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</si>
  <si>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</si>
  <si>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</si>
  <si>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</si>
  <si>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</si>
  <si>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</si>
  <si>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</si>
  <si>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</si>
  <si>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</si>
  <si>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</si>
  <si>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</si>
  <si>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</si>
  <si>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</si>
  <si>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</si>
  <si>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</si>
  <si>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</si>
  <si>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</si>
  <si>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</si>
  <si>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</si>
  <si>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</si>
  <si>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</si>
  <si>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</si>
  <si>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</si>
  <si>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</si>
  <si>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</si>
  <si>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</si>
  <si>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</si>
  <si>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</si>
  <si>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</si>
  <si>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</si>
  <si>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</si>
  <si>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</si>
  <si>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</si>
  <si>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</si>
  <si>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</si>
  <si>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</si>
  <si>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</si>
  <si>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</si>
  <si>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</si>
  <si>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</si>
  <si>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</si>
  <si>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</si>
  <si>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</si>
  <si>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</si>
  <si>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</si>
  <si>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</si>
  <si>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</si>
  <si>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</si>
  <si>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</si>
  <si>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</si>
  <si>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</si>
  <si>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</si>
  <si>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</si>
  <si>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</si>
  <si>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</si>
  <si>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</si>
  <si>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</si>
  <si>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</si>
  <si>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</si>
  <si>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</si>
  <si>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</si>
  <si>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</si>
  <si>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</si>
  <si>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</si>
  <si>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</si>
  <si>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</si>
  <si>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</si>
  <si>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</si>
  <si>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</si>
  <si>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</si>
  <si>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</si>
  <si>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</si>
  <si>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</si>
  <si>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</si>
  <si>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</si>
  <si>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</si>
  <si>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</si>
  <si>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</si>
  <si>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</si>
  <si>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</si>
  <si>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</si>
  <si>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</si>
  <si>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</si>
  <si>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</si>
  <si>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</si>
  <si>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</si>
  <si>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</si>
  <si>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</si>
  <si>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</si>
  <si>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</si>
  <si>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</si>
  <si>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</si>
  <si>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</si>
  <si>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</si>
  <si>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</si>
  <si>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</si>
  <si>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</si>
  <si>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</si>
  <si>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</si>
  <si>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</si>
  <si>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</si>
  <si>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</si>
  <si>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</si>
  <si>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</si>
  <si>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</si>
  <si>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</si>
  <si>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</si>
  <si>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</si>
  <si>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</si>
  <si>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</si>
  <si>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</si>
  <si>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</si>
  <si>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</si>
  <si>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</si>
  <si>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</si>
  <si>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</si>
  <si>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</si>
  <si>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</si>
  <si>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</si>
  <si>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</si>
  <si>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</si>
  <si>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</si>
  <si>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</si>
  <si>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</si>
  <si>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</si>
  <si>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</si>
  <si>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</si>
  <si>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</si>
  <si>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</si>
  <si>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</si>
  <si>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</si>
  <si>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</si>
  <si>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</si>
  <si>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</si>
  <si>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</si>
  <si>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</si>
  <si>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</si>
  <si>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</si>
  <si>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</si>
  <si>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</si>
  <si>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</si>
  <si>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</si>
  <si>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</si>
  <si>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</si>
  <si>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</si>
  <si>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</si>
  <si>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</si>
  <si>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</si>
  <si>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</si>
  <si>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</si>
  <si>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</si>
  <si>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</si>
  <si>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</si>
  <si>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</si>
  <si>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</si>
  <si>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</si>
  <si>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</si>
  <si>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</si>
  <si>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</si>
  <si>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</si>
  <si>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</si>
  <si>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</si>
  <si>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</si>
  <si>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</si>
  <si>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</si>
  <si>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</si>
  <si>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</si>
  <si>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</si>
  <si>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</si>
  <si>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</si>
  <si>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</si>
  <si>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</si>
  <si>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</si>
  <si>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</si>
  <si>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</si>
  <si>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</si>
  <si>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</si>
  <si>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</si>
  <si>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</si>
  <si>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</si>
  <si>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</si>
  <si>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</si>
  <si>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</si>
  <si>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</si>
  <si>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</si>
  <si>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</si>
  <si>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</si>
  <si>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</si>
  <si>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</si>
  <si>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</si>
  <si>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</si>
  <si>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</si>
  <si>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</si>
  <si>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</si>
  <si>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</si>
  <si>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</si>
  <si>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</si>
  <si>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</si>
  <si>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</si>
  <si>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</si>
  <si>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</si>
  <si>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</si>
  <si>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</si>
  <si>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</si>
  <si>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</si>
  <si>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</si>
  <si>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</si>
  <si>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</si>
  <si>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</si>
  <si>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</si>
  <si>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</si>
  <si>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</si>
  <si>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</si>
  <si>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</si>
  <si>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</si>
  <si>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</si>
  <si>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</si>
  <si>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</si>
  <si>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</si>
  <si>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</si>
  <si>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</si>
  <si>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</si>
  <si>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</si>
  <si>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</si>
  <si>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</si>
  <si>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</si>
  <si>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</si>
  <si>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</si>
  <si>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</si>
  <si>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</si>
  <si>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</si>
  <si>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</si>
  <si>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</si>
  <si>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</si>
  <si>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</si>
  <si>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</si>
  <si>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</si>
  <si>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</si>
  <si>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</si>
  <si>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</si>
  <si>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</si>
  <si>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</si>
  <si>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</si>
  <si>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</si>
  <si>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</si>
  <si>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</si>
  <si>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</si>
  <si>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</si>
  <si>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</si>
  <si>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</si>
  <si>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</si>
  <si>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</si>
  <si>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</si>
  <si>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</si>
  <si>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</si>
  <si>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</si>
  <si>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</si>
  <si>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</si>
  <si>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</si>
  <si>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</si>
  <si>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</si>
  <si>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</si>
  <si>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</si>
  <si>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</si>
  <si>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</si>
  <si>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</si>
  <si>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</si>
  <si>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</si>
  <si>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</si>
  <si>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</si>
  <si>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</si>
  <si>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</si>
  <si>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</si>
  <si>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</si>
  <si>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</si>
  <si>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</si>
  <si>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</si>
  <si>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</si>
  <si>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</si>
  <si>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</si>
  <si>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</si>
  <si>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</si>
  <si>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</si>
  <si>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</si>
  <si>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</si>
  <si>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</si>
  <si>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</si>
  <si>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</si>
  <si>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</si>
  <si>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</si>
  <si>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</si>
  <si>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</si>
  <si>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</si>
  <si>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</si>
  <si>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</si>
  <si>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</si>
  <si>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</si>
  <si>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</si>
  <si>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</si>
  <si>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</si>
  <si>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</si>
  <si>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</si>
  <si>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</si>
  <si>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</si>
  <si>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</si>
  <si>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</si>
  <si>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</si>
  <si>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</si>
  <si>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</si>
  <si>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</si>
  <si>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</si>
  <si>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</si>
  <si>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</si>
  <si>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</si>
  <si>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</si>
  <si>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</si>
  <si>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</si>
  <si>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</si>
  <si>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</si>
  <si>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</si>
  <si>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</si>
  <si>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</si>
  <si>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</si>
  <si>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</si>
  <si>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</si>
  <si>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</si>
  <si>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</si>
  <si>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</si>
  <si>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</si>
  <si>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</si>
  <si>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</si>
  <si>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</si>
  <si>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</si>
  <si>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</si>
  <si>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</si>
  <si>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</si>
  <si>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</si>
  <si>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</si>
  <si>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</si>
  <si>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</si>
  <si>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</si>
  <si>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</si>
  <si>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</si>
  <si>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</si>
  <si>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</si>
  <si>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</si>
  <si>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</si>
  <si>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</si>
  <si>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</si>
  <si>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</si>
  <si>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</si>
  <si>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</si>
  <si>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</si>
  <si>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</si>
  <si>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</si>
  <si>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</si>
  <si>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</si>
  <si>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</si>
  <si>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</si>
  <si>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</si>
  <si>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</si>
  <si>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</si>
  <si>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</si>
  <si>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</si>
  <si>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</si>
  <si>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</si>
  <si>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</si>
  <si>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</si>
  <si>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</si>
  <si>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</si>
  <si>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</si>
  <si>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</si>
  <si>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</si>
  <si>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</si>
  <si>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</si>
  <si>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</si>
  <si>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</si>
  <si>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</si>
  <si>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</si>
  <si>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</si>
  <si>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</si>
  <si>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</si>
  <si>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</si>
  <si>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</si>
  <si>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</si>
  <si>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</si>
  <si>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</si>
  <si>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</si>
  <si>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</si>
  <si>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</si>
  <si>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</si>
  <si>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</si>
  <si>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</si>
  <si>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</si>
  <si>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</si>
  <si>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</si>
  <si>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</si>
  <si>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</si>
  <si>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</si>
  <si>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</si>
  <si>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</si>
  <si>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</si>
  <si>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</si>
  <si>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</si>
  <si>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</si>
  <si>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</si>
  <si>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</si>
  <si>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</si>
  <si>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</si>
  <si>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</si>
  <si>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</si>
  <si>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</si>
  <si>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</si>
  <si>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</si>
  <si>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</si>
  <si>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</si>
  <si>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</si>
  <si>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</si>
  <si>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</si>
  <si>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</si>
  <si>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</si>
  <si>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</si>
  <si>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</si>
  <si>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</si>
  <si>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</si>
  <si>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</si>
  <si>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</si>
  <si>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</si>
  <si>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</si>
  <si>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</si>
  <si>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</si>
  <si>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</si>
  <si>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</si>
  <si>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</si>
  <si>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</si>
  <si>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</si>
  <si>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</si>
  <si>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</si>
  <si>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</si>
  <si>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</si>
  <si>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</si>
  <si>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</si>
  <si>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</si>
  <si>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</si>
  <si>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</si>
  <si>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</si>
  <si>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</si>
  <si>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</si>
  <si>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</si>
  <si>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</si>
  <si>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</si>
  <si>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</si>
  <si>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</si>
  <si>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</si>
  <si>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</si>
  <si>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</si>
  <si>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</si>
  <si>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</si>
  <si>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</si>
  <si>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</si>
  <si>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</si>
  <si>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</si>
  <si>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</si>
  <si>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</si>
  <si>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</si>
  <si>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</si>
  <si>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</si>
  <si>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</si>
  <si>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</si>
  <si>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</si>
  <si>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</si>
  <si>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</si>
  <si>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</si>
  <si>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</si>
  <si>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</si>
  <si>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</si>
  <si>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</si>
  <si>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</si>
  <si>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</si>
  <si>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</si>
  <si>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</si>
  <si>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</si>
  <si>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</si>
  <si>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</si>
  <si>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</si>
  <si>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</si>
  <si>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</si>
  <si>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</si>
  <si>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</si>
  <si>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</si>
  <si>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</si>
  <si>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</si>
  <si>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</si>
  <si>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</si>
  <si>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</si>
  <si>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</si>
  <si>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</si>
  <si>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</si>
  <si>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</si>
  <si>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</si>
  <si>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</si>
  <si>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</si>
  <si>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</si>
  <si>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</si>
  <si>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</si>
  <si>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</si>
  <si>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</si>
  <si>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</si>
  <si>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</si>
  <si>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</si>
  <si>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</si>
  <si>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</si>
  <si>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</si>
  <si>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</si>
  <si>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</si>
  <si>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</si>
  <si>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</si>
  <si>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</si>
  <si>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</si>
  <si>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</si>
  <si>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</si>
  <si>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</si>
  <si>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</si>
  <si>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</si>
  <si>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</si>
  <si>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</si>
  <si>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</si>
  <si>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</si>
  <si>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</si>
  <si>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</si>
  <si>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</si>
  <si>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</si>
  <si>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</si>
  <si>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</si>
  <si>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</si>
  <si>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</si>
  <si>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</si>
  <si>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</si>
  <si>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Q226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</si>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</sst>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5" fillId="0" borderId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4" applyNumberFormat="0" applyFill="0" applyAlignment="0" applyProtection="0"/>
    <xf numFmtId="0" fontId="40" fillId="0" borderId="5" applyNumberFormat="0" applyFill="0" applyAlignment="0" applyProtection="0"/>
    <xf numFmtId="0" fontId="41" fillId="0" borderId="6" applyNumberFormat="0" applyFill="0" applyAlignment="0" applyProtection="0"/>
    <xf numFmtId="0" fontId="41" fillId="0" borderId="0" applyNumberFormat="0" applyFill="0" applyBorder="0" applyAlignment="0" applyProtection="0"/>
    <xf numFmtId="0" fontId="42" fillId="3" borderId="0" applyNumberFormat="0" applyBorder="0" applyAlignment="0" applyProtection="0"/>
    <xf numFmtId="0" fontId="43" fillId="4" borderId="0" applyNumberFormat="0" applyBorder="0" applyAlignment="0" applyProtection="0"/>
    <xf numFmtId="0" fontId="44" fillId="5" borderId="0" applyNumberFormat="0" applyBorder="0" applyAlignment="0" applyProtection="0"/>
    <xf numFmtId="0" fontId="45" fillId="6" borderId="7" applyNumberFormat="0" applyAlignment="0" applyProtection="0"/>
    <xf numFmtId="0" fontId="46" fillId="7" borderId="8" applyNumberFormat="0" applyAlignment="0" applyProtection="0"/>
    <xf numFmtId="0" fontId="47" fillId="7" borderId="7" applyNumberFormat="0" applyAlignment="0" applyProtection="0"/>
    <xf numFmtId="0" fontId="48" fillId="0" borderId="9" applyNumberFormat="0" applyFill="0" applyAlignment="0" applyProtection="0"/>
    <xf numFmtId="0" fontId="49" fillId="8" borderId="10" applyNumberFormat="0" applyAlignment="0" applyProtection="0"/>
    <xf numFmtId="0" fontId="50" fillId="0" borderId="0" applyNumberFormat="0" applyFill="0" applyBorder="0" applyAlignment="0" applyProtection="0"/>
    <xf numFmtId="0" fontId="37" fillId="9" borderId="11" applyNumberFormat="0" applyFont="0" applyAlignment="0" applyProtection="0"/>
    <xf numFmtId="0" fontId="51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52" fillId="10" borderId="0" applyNumberFormat="0" applyBorder="0" applyAlignment="0" applyProtection="0"/>
    <xf numFmtId="0" fontId="37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3" borderId="0" applyNumberFormat="0" applyBorder="0" applyAlignment="0" applyProtection="0"/>
    <xf numFmtId="0" fontId="52" fillId="14" borderId="0" applyNumberFormat="0" applyBorder="0" applyAlignment="0" applyProtection="0"/>
    <xf numFmtId="0" fontId="37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52" fillId="18" borderId="0" applyNumberFormat="0" applyBorder="0" applyAlignment="0" applyProtection="0"/>
    <xf numFmtId="0" fontId="37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52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52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52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</cellStyleXfs>
  <cellXfs count="56">
    <xf numFmtId="0" fontId="0" fillId="0" borderId="0" xfId="0"/>
    <xf numFmtId="0" fontId="34" fillId="0" borderId="0" xfId="0" applyFont="1"/>
    <xf numFmtId="0" fontId="35" fillId="0" borderId="0" xfId="0" applyFont="1"/>
    <xf numFmtId="0" fontId="36" fillId="0" borderId="0" xfId="0" applyFont="1"/>
    <xf numFmtId="0" fontId="53" fillId="0" borderId="0" xfId="0" applyFont="1"/>
    <xf numFmtId="0" fontId="32" fillId="0" borderId="0" xfId="0" applyFont="1"/>
    <xf numFmtId="0" fontId="32" fillId="0" borderId="0" xfId="0" applyFont="1" applyAlignment="1">
      <alignment horizontal="right"/>
    </xf>
    <xf numFmtId="0" fontId="54" fillId="0" borderId="0" xfId="0" applyFont="1"/>
    <xf numFmtId="0" fontId="35" fillId="2" borderId="1" xfId="0" applyFont="1" applyFill="1" applyBorder="1" applyAlignment="1">
      <alignment horizontal="center"/>
    </xf>
    <xf numFmtId="0" fontId="35" fillId="2" borderId="2" xfId="0" applyFont="1" applyFill="1" applyBorder="1"/>
    <xf numFmtId="0" fontId="35" fillId="2" borderId="2" xfId="0" applyFont="1" applyFill="1" applyBorder="1" applyAlignment="1">
      <alignment horizontal="center"/>
    </xf>
    <xf numFmtId="0" fontId="35" fillId="2" borderId="2" xfId="0" applyFont="1" applyFill="1" applyBorder="1" applyAlignment="1">
      <alignment horizontal="right"/>
    </xf>
    <xf numFmtId="0" fontId="32" fillId="2" borderId="3" xfId="0" applyFont="1" applyFill="1" applyBorder="1"/>
    <xf numFmtId="0" fontId="32" fillId="0" borderId="0" xfId="0" applyFont="1" applyAlignment="1">
      <alignment horizontal="center"/>
    </xf>
    <xf numFmtId="0" fontId="55" fillId="0" borderId="0" xfId="1"/>
    <xf numFmtId="164" fontId="32" fillId="0" borderId="0" xfId="0" applyNumberFormat="1" applyFont="1"/>
    <xf numFmtId="16" fontId="32" fillId="0" borderId="0" xfId="0" applyNumberFormat="1" applyFont="1"/>
    <xf numFmtId="0" fontId="56" fillId="0" borderId="0" xfId="0" applyFont="1"/>
    <xf numFmtId="0" fontId="32" fillId="0" borderId="0" xfId="0" quotePrefix="1" applyFont="1"/>
    <xf numFmtId="0" fontId="54" fillId="0" borderId="0" xfId="0" applyFont="1" applyAlignment="1">
      <alignment horizontal="right"/>
    </xf>
    <xf numFmtId="0" fontId="32" fillId="2" borderId="2" xfId="0" applyFont="1" applyFill="1" applyBorder="1"/>
    <xf numFmtId="0" fontId="35" fillId="2" borderId="3" xfId="0" applyFont="1" applyFill="1" applyBorder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/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64" fontId="23" fillId="0" borderId="0" xfId="0" applyNumberFormat="1" applyFont="1"/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256060.35</v>
          </cell>
        </row>
        <row r="5">
          <cell r="H5">
            <v>13321.9</v>
          </cell>
        </row>
        <row r="6">
          <cell r="H6">
            <v>4390.8999999999996</v>
          </cell>
        </row>
      </sheetData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411660.80962499999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74.88</v>
          </cell>
        </row>
        <row r="4">
          <cell r="H4">
            <v>155587.93892928</v>
          </cell>
        </row>
        <row r="5">
          <cell r="H5">
            <v>9086</v>
          </cell>
        </row>
        <row r="6">
          <cell r="H6">
            <v>10615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17" activePane="bottomRight" state="frozen"/>
      <selection pane="topRight" activeCell="C1" sqref="C1"/>
      <selection pane="bottomLeft" activeCell="A3" sqref="A3"/>
      <selection pane="bottomRight" activeCell="J30" sqref="J30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51" t="s">
        <v>3154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5" t="s">
        <v>3153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5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48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49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6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47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323.43</v>
      </c>
      <c r="F11" s="15">
        <f>+[8]Main!$G$5</f>
        <v>1531333.73075112</v>
      </c>
      <c r="G11" s="15">
        <f>+[8]Main!$G$7-[8]Main!$G$6</f>
        <v>51883</v>
      </c>
      <c r="H11" s="15">
        <f t="shared" si="0"/>
        <v>1583216.73075112</v>
      </c>
      <c r="I11" s="54" t="s">
        <v>3145</v>
      </c>
      <c r="J11" s="16">
        <v>46177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4" t="s">
        <v>3152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1975</v>
      </c>
      <c r="F13" s="15">
        <f>+[10]Main!$H$4*FX!C2</f>
        <v>1536411.75</v>
      </c>
      <c r="G13" s="15">
        <f>+([10]Main!$H$6-[10]Main!$H$5)*FX!C2</f>
        <v>-62263.199999999997</v>
      </c>
      <c r="H13" s="15">
        <f t="shared" si="0"/>
        <v>1474148.55</v>
      </c>
      <c r="I13" s="43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722248.25400000019</v>
      </c>
      <c r="G14" s="15">
        <f>+([11]Main!$G$7-[11]Main!$G$6)*FX!C3</f>
        <v>-18653.460000000003</v>
      </c>
      <c r="H14" s="15">
        <f t="shared" si="0"/>
        <v>703594.79400000023</v>
      </c>
      <c r="I14" s="55" t="s">
        <v>2709</v>
      </c>
      <c r="J14" s="16">
        <v>46099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261181.557</v>
      </c>
      <c r="G15" s="15">
        <f>+([12]Main!$H$6-[12]Main!$H$5)*FX!C4</f>
        <v>-9109.6200000000008</v>
      </c>
      <c r="H15" s="15">
        <f t="shared" ref="H15:H19" si="3">F15+G15</f>
        <v>252071.93700000001</v>
      </c>
      <c r="I15" s="55" t="s">
        <v>3148</v>
      </c>
      <c r="J15" s="16">
        <v>46127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4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97.5</v>
      </c>
      <c r="F17" s="15">
        <f>+[14]Main!$I$5</f>
        <v>411660.80962499999</v>
      </c>
      <c r="G17" s="15">
        <f>+[14]Main!$I$7-[14]Main!$I$6</f>
        <v>5400.476999999999</v>
      </c>
      <c r="H17" s="15">
        <f t="shared" si="3"/>
        <v>417061.28662500001</v>
      </c>
      <c r="I17" s="40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52" t="s">
        <v>3148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4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7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+[19]Main!$K$2</f>
        <v>196.4</v>
      </c>
      <c r="F22" s="15">
        <f>+[19]Main!$K$4</f>
        <v>320212.68956520001</v>
      </c>
      <c r="G22" s="15">
        <f>+[19]Main!$K$6-[19]Main!$K$5</f>
        <v>-4023</v>
      </c>
      <c r="H22" s="15">
        <f t="shared" si="4"/>
        <v>316189.68956520001</v>
      </c>
      <c r="I22" s="55" t="s">
        <v>3148</v>
      </c>
      <c r="J22" s="16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8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4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39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0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4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3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3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8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8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8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74.88</v>
      </c>
      <c r="F33" s="15">
        <f>+[30]Main!$H$4</f>
        <v>155587.93892928</v>
      </c>
      <c r="G33" s="15">
        <f>+[30]Main!$H$6-[30]Main!$H$5</f>
        <v>1529</v>
      </c>
      <c r="H33" s="15">
        <f>F33+G33</f>
        <v>157116.93892928</v>
      </c>
      <c r="I33" s="53" t="s">
        <v>2709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8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29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133.80000000000001</v>
      </c>
      <c r="F39" s="15">
        <f>+[34]Main!$I$4</f>
        <v>168492.342366</v>
      </c>
      <c r="G39" s="15">
        <f>+[34]Main!$I$6-[34]Main!$I$5</f>
        <v>-10106.200000000001</v>
      </c>
      <c r="H39" s="15">
        <f>F39+G39</f>
        <v>158386.14236599999</v>
      </c>
      <c r="I39" s="55" t="s">
        <v>2709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3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0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3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6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0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7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0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5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6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6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6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5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1" t="s">
        <v>3149</v>
      </c>
      <c r="D1101" s="41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2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6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2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2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2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2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2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2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2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2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2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2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2">
        <f>+F14+G14</f>
        <v>12316.145337450002</v>
      </c>
      <c r="I14" s="31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2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2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2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2">
        <f>+F18+G18</f>
        <v>3218.92225168</v>
      </c>
      <c r="I18" s="31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2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2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2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2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1" t="s">
        <v>3150</v>
      </c>
      <c r="C23" s="41" t="s">
        <v>3149</v>
      </c>
      <c r="D23" s="41" t="s">
        <v>3151</v>
      </c>
      <c r="E23" s="5"/>
      <c r="F23" s="15"/>
      <c r="G23" s="15"/>
      <c r="H23" s="32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2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2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2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2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2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2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2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2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2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2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2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2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2026-03-17T17:00:45Z</dcterms:modified>
</cp:coreProperties>
</file>