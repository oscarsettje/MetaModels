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5F7B142-6622-4C03-9C24-D81B1EA509AE}" xr6:coauthVersionLast="47" xr6:coauthVersionMax="47" xr10:uidLastSave="{00000000-0000-0000-0000-000000000000}"/>
  <bookViews>
    <workbookView xWindow="-120" yWindow="-120" windowWidth="38640" windowHeight="21120" xr2:uid="{99A4F583-0E14-4765-AB16-7E206A98D14D}"/>
  </bookViews>
  <sheets>
    <sheet name="Main" sheetId="1" r:id="rId1"/>
    <sheet name="AI" sheetId="10" r:id="rId2"/>
    <sheet name="Semiconductors" sheetId="4" r:id="rId3"/>
    <sheet name="Telecom" sheetId="9" r:id="rId4"/>
    <sheet name="Fintech" sheetId="3" r:id="rId5"/>
    <sheet name="E-Commerce" sheetId="7" r:id="rId6"/>
    <sheet name="Quantum" sheetId="8" r:id="rId7"/>
    <sheet name="Enterprise Cloud" sheetId="5" r:id="rId8"/>
    <sheet name="Social" sheetId="6" r:id="rId9"/>
    <sheet name="Education" sheetId="11" r:id="rId10"/>
    <sheet name="FX" sheetId="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03" i="1" l="1"/>
  <c r="F1103" i="1"/>
  <c r="E1103" i="1"/>
  <c r="H1103" i="1" l="1"/>
  <c r="G1104" i="1"/>
  <c r="F1104" i="1"/>
  <c r="E1104" i="1"/>
  <c r="A1106" i="1"/>
  <c r="A1107" i="1" s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3" i="1"/>
  <c r="A12" i="1"/>
  <c r="A11" i="1"/>
  <c r="H1104" i="1" l="1"/>
  <c r="G10" i="1"/>
  <c r="F10" i="1"/>
  <c r="E10" i="1"/>
  <c r="H10" i="1" l="1"/>
  <c r="A8" i="8"/>
  <c r="A50" i="10"/>
  <c r="A51" i="10" s="1"/>
  <c r="A52" i="10" s="1"/>
  <c r="A53" i="10" s="1"/>
  <c r="A54" i="10" s="1"/>
  <c r="A55" i="10" s="1"/>
  <c r="A56" i="10" s="1"/>
  <c r="A57" i="10" s="1"/>
  <c r="A60" i="10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A302" i="10" s="1"/>
  <c r="A303" i="10" s="1"/>
  <c r="A304" i="10" s="1"/>
  <c r="A305" i="10" s="1"/>
  <c r="A306" i="10" s="1"/>
  <c r="A307" i="10" s="1"/>
  <c r="A308" i="10" s="1"/>
  <c r="A309" i="10" s="1"/>
  <c r="A310" i="10" s="1"/>
  <c r="A311" i="10" s="1"/>
  <c r="A312" i="10" s="1"/>
  <c r="A313" i="10" s="1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A328" i="10" s="1"/>
  <c r="A329" i="10" s="1"/>
  <c r="A330" i="10" s="1"/>
  <c r="A331" i="10" s="1"/>
  <c r="A332" i="10" s="1"/>
  <c r="A333" i="10" s="1"/>
  <c r="A334" i="10" s="1"/>
  <c r="A335" i="10" s="1"/>
  <c r="A336" i="10" s="1"/>
  <c r="A337" i="10" s="1"/>
  <c r="A338" i="10" s="1"/>
  <c r="A339" i="10" s="1"/>
  <c r="A340" i="10" s="1"/>
  <c r="A341" i="10" s="1"/>
  <c r="A342" i="10" s="1"/>
  <c r="A343" i="10" s="1"/>
  <c r="A344" i="10" s="1"/>
  <c r="A345" i="10" s="1"/>
  <c r="A346" i="10" s="1"/>
  <c r="A347" i="10" s="1"/>
  <c r="A348" i="10" s="1"/>
  <c r="A349" i="10" s="1"/>
  <c r="A350" i="10" s="1"/>
  <c r="A351" i="10" s="1"/>
  <c r="A352" i="10" s="1"/>
  <c r="A353" i="10" s="1"/>
  <c r="A354" i="10" s="1"/>
  <c r="A355" i="10" s="1"/>
  <c r="A356" i="10" s="1"/>
  <c r="A357" i="10" s="1"/>
  <c r="A358" i="10" s="1"/>
  <c r="A359" i="10" s="1"/>
  <c r="A360" i="10" s="1"/>
  <c r="A361" i="10" s="1"/>
  <c r="A362" i="10" s="1"/>
  <c r="A363" i="10" s="1"/>
  <c r="A364" i="10" s="1"/>
  <c r="A365" i="10" s="1"/>
  <c r="A366" i="10" s="1"/>
  <c r="A367" i="10" s="1"/>
  <c r="A368" i="10" s="1"/>
  <c r="A369" i="10" s="1"/>
  <c r="A370" i="10" s="1"/>
  <c r="A371" i="10" s="1"/>
  <c r="A372" i="10" s="1"/>
  <c r="A373" i="10" s="1"/>
  <c r="A374" i="10" s="1"/>
  <c r="A375" i="10" s="1"/>
  <c r="A376" i="10" s="1"/>
  <c r="A377" i="10" s="1"/>
  <c r="A378" i="10" s="1"/>
  <c r="A379" i="10" s="1"/>
  <c r="A380" i="10" s="1"/>
  <c r="A381" i="10" s="1"/>
  <c r="A382" i="10" s="1"/>
  <c r="A383" i="10" s="1"/>
  <c r="A384" i="10" s="1"/>
  <c r="A385" i="10" s="1"/>
  <c r="A386" i="10" s="1"/>
  <c r="A387" i="10" s="1"/>
  <c r="A388" i="10" s="1"/>
  <c r="A389" i="10" s="1"/>
  <c r="A390" i="10" s="1"/>
  <c r="A391" i="10" s="1"/>
  <c r="A392" i="10" s="1"/>
  <c r="A393" i="10" s="1"/>
  <c r="A394" i="10" s="1"/>
  <c r="A395" i="10" s="1"/>
  <c r="A396" i="10" s="1"/>
  <c r="A397" i="10" s="1"/>
  <c r="A398" i="10" s="1"/>
  <c r="A399" i="10" s="1"/>
  <c r="A400" i="10" s="1"/>
  <c r="A401" i="10" s="1"/>
  <c r="A402" i="10" s="1"/>
  <c r="A403" i="10" s="1"/>
  <c r="A404" i="10" s="1"/>
  <c r="A405" i="10" s="1"/>
  <c r="A406" i="10" s="1"/>
  <c r="A407" i="10" s="1"/>
  <c r="A408" i="10" s="1"/>
  <c r="A409" i="10" s="1"/>
  <c r="A410" i="10" s="1"/>
  <c r="A411" i="10" s="1"/>
  <c r="A412" i="10" s="1"/>
  <c r="A413" i="10" s="1"/>
  <c r="A414" i="10" s="1"/>
  <c r="A415" i="10" s="1"/>
  <c r="A416" i="10" s="1"/>
  <c r="A417" i="10" s="1"/>
  <c r="A418" i="10" s="1"/>
  <c r="A419" i="10" s="1"/>
  <c r="A420" i="10" s="1"/>
  <c r="A421" i="10" s="1"/>
  <c r="A422" i="10" s="1"/>
  <c r="A423" i="10" s="1"/>
  <c r="A424" i="10" s="1"/>
  <c r="A425" i="10" s="1"/>
  <c r="G41" i="4"/>
  <c r="F41" i="4"/>
  <c r="E41" i="4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41" i="4"/>
  <c r="A23" i="6"/>
  <c r="G1102" i="1"/>
  <c r="F1102" i="1"/>
  <c r="E1102" i="1"/>
  <c r="G293" i="1"/>
  <c r="F293" i="1"/>
  <c r="E293" i="1"/>
  <c r="G1099" i="1"/>
  <c r="F1099" i="1"/>
  <c r="E1099" i="1"/>
  <c r="G1101" i="1"/>
  <c r="F1101" i="1"/>
  <c r="E1101" i="1"/>
  <c r="H41" i="4" l="1"/>
  <c r="H1101" i="1"/>
  <c r="H1102" i="1"/>
  <c r="H1099" i="1"/>
  <c r="H293" i="1"/>
  <c r="G14" i="6"/>
  <c r="F14" i="6"/>
  <c r="E14" i="6"/>
  <c r="H14" i="6" l="1"/>
  <c r="G18" i="6"/>
  <c r="E18" i="6"/>
  <c r="F18" i="6"/>
  <c r="H18" i="6" l="1"/>
  <c r="G209" i="1" l="1"/>
  <c r="F209" i="1"/>
  <c r="E209" i="1"/>
  <c r="H209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1" i="1" l="1"/>
  <c r="A5" i="1" l="1"/>
  <c r="A6" i="1" l="1"/>
  <c r="A7" i="1" s="1"/>
  <c r="A8" i="1" s="1"/>
  <c r="G76" i="1"/>
  <c r="F76" i="1"/>
  <c r="E76" i="1"/>
  <c r="G122" i="1"/>
  <c r="F122" i="1"/>
  <c r="E122" i="1"/>
  <c r="H76" i="1" l="1"/>
  <c r="H122" i="1"/>
  <c r="G134" i="1"/>
  <c r="F134" i="1"/>
  <c r="E134" i="1"/>
  <c r="G93" i="1"/>
  <c r="F93" i="1"/>
  <c r="E93" i="1"/>
  <c r="G78" i="1"/>
  <c r="F78" i="1"/>
  <c r="E78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2" i="1"/>
  <c r="F52" i="1"/>
  <c r="E52" i="1"/>
  <c r="H23" i="3" l="1"/>
  <c r="H93" i="1"/>
  <c r="H134" i="1"/>
  <c r="H6" i="3"/>
  <c r="H9" i="3"/>
  <c r="H78" i="1"/>
  <c r="H16" i="3"/>
  <c r="H52" i="1"/>
  <c r="H7" i="3"/>
  <c r="H10" i="3"/>
  <c r="H14" i="3"/>
  <c r="H11" i="3"/>
  <c r="H54" i="3"/>
  <c r="A5" i="8"/>
  <c r="A6" i="8" s="1"/>
  <c r="A7" i="8" s="1"/>
  <c r="G87" i="1"/>
  <c r="F87" i="1"/>
  <c r="E87" i="1"/>
  <c r="G12" i="3"/>
  <c r="F12" i="3"/>
  <c r="E12" i="3"/>
  <c r="H87" i="1" l="1"/>
  <c r="H12" i="3"/>
  <c r="G20" i="3"/>
  <c r="F20" i="3"/>
  <c r="E20" i="3"/>
  <c r="G68" i="1"/>
  <c r="F68" i="1"/>
  <c r="E68" i="1"/>
  <c r="G52" i="3"/>
  <c r="F52" i="3"/>
  <c r="E52" i="3"/>
  <c r="G50" i="3"/>
  <c r="F50" i="3"/>
  <c r="E50" i="3"/>
  <c r="G62" i="1"/>
  <c r="F62" i="1"/>
  <c r="E62" i="1"/>
  <c r="G15" i="3"/>
  <c r="F15" i="3"/>
  <c r="G38" i="1"/>
  <c r="F38" i="1"/>
  <c r="E38" i="1"/>
  <c r="G36" i="1"/>
  <c r="F36" i="1"/>
  <c r="E36" i="1"/>
  <c r="E15" i="3"/>
  <c r="H38" i="1" l="1"/>
  <c r="H68" i="1"/>
  <c r="H36" i="1"/>
  <c r="H20" i="3"/>
  <c r="H15" i="3"/>
  <c r="H62" i="1"/>
  <c r="H50" i="3"/>
  <c r="H52" i="3"/>
  <c r="G60" i="1"/>
  <c r="F60" i="1"/>
  <c r="E60" i="1"/>
  <c r="H60" i="1" l="1"/>
  <c r="G249" i="1" l="1"/>
  <c r="F249" i="1"/>
  <c r="E249" i="1"/>
  <c r="H249" i="1" l="1"/>
  <c r="G56" i="1" l="1"/>
  <c r="F56" i="1"/>
  <c r="E56" i="1"/>
  <c r="G45" i="1"/>
  <c r="F45" i="1"/>
  <c r="E45" i="1"/>
  <c r="G46" i="1"/>
  <c r="F46" i="1"/>
  <c r="E46" i="1"/>
  <c r="G5" i="3"/>
  <c r="F5" i="3"/>
  <c r="E5" i="3"/>
  <c r="G323" i="1"/>
  <c r="F323" i="1"/>
  <c r="E323" i="1"/>
  <c r="G322" i="1"/>
  <c r="F322" i="1"/>
  <c r="E322" i="1"/>
  <c r="H56" i="1" l="1"/>
  <c r="H45" i="1"/>
  <c r="H46" i="1"/>
  <c r="H5" i="3"/>
  <c r="H322" i="1"/>
  <c r="H323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8" i="1"/>
  <c r="F18" i="1"/>
  <c r="E18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3" l="1"/>
  <c r="G7" i="1"/>
  <c r="F7" i="1"/>
  <c r="E7" i="1"/>
  <c r="G8" i="1"/>
  <c r="F8" i="1"/>
  <c r="E8" i="1"/>
  <c r="G4" i="1" l="1"/>
  <c r="F4" i="1"/>
  <c r="E4" i="1"/>
  <c r="G104" i="1" l="1"/>
  <c r="F104" i="1"/>
  <c r="E104" i="1"/>
  <c r="G84" i="1"/>
  <c r="F84" i="1"/>
  <c r="E84" i="1"/>
  <c r="G12" i="1"/>
  <c r="F12" i="1"/>
  <c r="E12" i="1"/>
  <c r="H104" i="1" l="1"/>
  <c r="H84" i="1"/>
  <c r="G82" i="1"/>
  <c r="F82" i="1"/>
  <c r="E82" i="1"/>
  <c r="H82" i="1" l="1"/>
  <c r="G49" i="1"/>
  <c r="F49" i="1"/>
  <c r="E49" i="1"/>
  <c r="G11" i="1"/>
  <c r="F11" i="1"/>
  <c r="E11" i="1"/>
  <c r="G205" i="1"/>
  <c r="F205" i="1"/>
  <c r="E205" i="1"/>
  <c r="G75" i="1"/>
  <c r="F75" i="1"/>
  <c r="E75" i="1"/>
  <c r="G131" i="1"/>
  <c r="F131" i="1"/>
  <c r="E131" i="1"/>
  <c r="G22" i="1"/>
  <c r="E22" i="1"/>
  <c r="F22" i="1"/>
  <c r="G43" i="1"/>
  <c r="F43" i="1"/>
  <c r="E43" i="1"/>
  <c r="H131" i="1" l="1"/>
  <c r="H49" i="1"/>
  <c r="H205" i="1"/>
  <c r="H11" i="1"/>
  <c r="H75" i="1"/>
  <c r="H22" i="1"/>
  <c r="H43" i="1"/>
  <c r="G19" i="1"/>
  <c r="F19" i="1"/>
  <c r="E19" i="1"/>
  <c r="G148" i="1"/>
  <c r="F148" i="1"/>
  <c r="E148" i="1"/>
  <c r="G66" i="1"/>
  <c r="E66" i="1"/>
  <c r="F66" i="1"/>
  <c r="G47" i="1"/>
  <c r="F47" i="1"/>
  <c r="E47" i="1"/>
  <c r="G41" i="1"/>
  <c r="F41" i="1"/>
  <c r="E41" i="1"/>
  <c r="G92" i="1"/>
  <c r="F92" i="1"/>
  <c r="E92" i="1"/>
  <c r="G30" i="1"/>
  <c r="F30" i="1"/>
  <c r="E30" i="1"/>
  <c r="G155" i="1"/>
  <c r="F155" i="1"/>
  <c r="E155" i="1"/>
  <c r="H41" i="1" l="1"/>
  <c r="H47" i="1"/>
  <c r="H92" i="1"/>
  <c r="H19" i="1"/>
  <c r="H148" i="1"/>
  <c r="H66" i="1"/>
  <c r="H30" i="1"/>
  <c r="H155" i="1"/>
  <c r="G156" i="1"/>
  <c r="F156" i="1"/>
  <c r="E156" i="1"/>
  <c r="G89" i="1"/>
  <c r="F89" i="1"/>
  <c r="E89" i="1"/>
  <c r="H156" i="1" l="1"/>
  <c r="H89" i="1"/>
  <c r="G51" i="1"/>
  <c r="F51" i="1"/>
  <c r="E51" i="1"/>
  <c r="G61" i="1"/>
  <c r="F61" i="1"/>
  <c r="H61" i="1" l="1"/>
  <c r="H51" i="1"/>
  <c r="G42" i="1"/>
  <c r="F42" i="1"/>
  <c r="E42" i="1"/>
  <c r="G34" i="1"/>
  <c r="F34" i="1"/>
  <c r="E34" i="1"/>
  <c r="H34" i="1" l="1"/>
  <c r="H42" i="1"/>
  <c r="F27" i="1"/>
  <c r="G28" i="1"/>
  <c r="G27" i="1"/>
  <c r="E27" i="1"/>
  <c r="G20" i="1"/>
  <c r="F20" i="1"/>
  <c r="E20" i="1"/>
  <c r="H27" i="1" l="1"/>
  <c r="G33" i="1"/>
  <c r="F33" i="1"/>
  <c r="E33" i="1"/>
  <c r="G40" i="1"/>
  <c r="F40" i="1"/>
  <c r="E40" i="1"/>
  <c r="G59" i="1"/>
  <c r="F59" i="1"/>
  <c r="E59" i="1"/>
  <c r="G58" i="1"/>
  <c r="F58" i="1"/>
  <c r="E58" i="1"/>
  <c r="G29" i="1"/>
  <c r="F29" i="1"/>
  <c r="E29" i="1"/>
  <c r="F28" i="1"/>
  <c r="H28" i="1" s="1"/>
  <c r="E28" i="1"/>
  <c r="G50" i="1"/>
  <c r="F50" i="1"/>
  <c r="E50" i="1"/>
  <c r="G26" i="1"/>
  <c r="F26" i="1"/>
  <c r="E26" i="1"/>
  <c r="G14" i="1"/>
  <c r="F14" i="1"/>
  <c r="E14" i="1"/>
  <c r="G25" i="1"/>
  <c r="F25" i="1"/>
  <c r="E25" i="1"/>
  <c r="G23" i="1"/>
  <c r="F23" i="1"/>
  <c r="E23" i="1"/>
  <c r="G17" i="1"/>
  <c r="F17" i="1"/>
  <c r="E17" i="1"/>
  <c r="E5" i="1"/>
  <c r="F5" i="1"/>
  <c r="G5" i="1"/>
  <c r="H14" i="1" l="1"/>
  <c r="H58" i="1"/>
  <c r="H33" i="1"/>
  <c r="H59" i="1"/>
  <c r="H50" i="1"/>
  <c r="H40" i="1"/>
  <c r="H29" i="1"/>
  <c r="H26" i="1"/>
  <c r="H25" i="1"/>
  <c r="H23" i="1"/>
  <c r="H5" i="1"/>
  <c r="H17" i="1"/>
  <c r="F16" i="1"/>
  <c r="G16" i="1" l="1"/>
  <c r="H16" i="1" s="1"/>
  <c r="E16" i="1"/>
  <c r="G123" i="1" l="1"/>
  <c r="F123" i="1"/>
  <c r="E123" i="1"/>
  <c r="H123" i="1" l="1"/>
  <c r="G108" i="1"/>
  <c r="F108" i="1"/>
  <c r="E108" i="1"/>
  <c r="G98" i="1" l="1"/>
  <c r="F98" i="1"/>
  <c r="E98" i="1"/>
  <c r="H98" i="1" l="1"/>
  <c r="G73" i="1"/>
  <c r="F73" i="1"/>
  <c r="E73" i="1"/>
  <c r="G57" i="1"/>
  <c r="F57" i="1"/>
  <c r="E57" i="1"/>
  <c r="G21" i="1"/>
  <c r="F21" i="1"/>
  <c r="E21" i="1"/>
  <c r="G48" i="1" l="1"/>
  <c r="F48" i="1"/>
  <c r="E48" i="1"/>
  <c r="G35" i="1" l="1"/>
  <c r="F35" i="1"/>
  <c r="E35" i="1"/>
  <c r="G32" i="1" l="1"/>
  <c r="F32" i="1"/>
  <c r="E32" i="1"/>
  <c r="G31" i="1"/>
  <c r="F31" i="1"/>
  <c r="E31" i="1"/>
  <c r="G24" i="1"/>
  <c r="F24" i="1"/>
  <c r="E24" i="1"/>
  <c r="G15" i="1"/>
  <c r="F15" i="1"/>
  <c r="E15" i="1"/>
  <c r="H24" i="1" l="1"/>
  <c r="G9" i="1" l="1"/>
  <c r="F9" i="1"/>
  <c r="E9" i="1"/>
  <c r="G13" i="1" l="1"/>
  <c r="F13" i="1"/>
  <c r="E13" i="1"/>
  <c r="F6" i="1"/>
  <c r="G6" i="1" l="1"/>
  <c r="E6" i="1"/>
  <c r="H57" i="1" l="1"/>
  <c r="H35" i="1" l="1"/>
  <c r="H108" i="1"/>
  <c r="H15" i="1"/>
  <c r="H18" i="1"/>
  <c r="H32" i="1" l="1"/>
  <c r="H31" i="1"/>
  <c r="H12" i="1"/>
  <c r="H73" i="1"/>
  <c r="H48" i="1"/>
  <c r="H21" i="1"/>
  <c r="H7" i="1"/>
  <c r="H4" i="1"/>
  <c r="H13" i="1"/>
  <c r="H8" i="1"/>
  <c r="H20" i="1"/>
  <c r="H9" i="1" l="1"/>
  <c r="H6" i="1" l="1"/>
  <c r="A9" i="1" l="1"/>
  <c r="A10" i="1" s="1"/>
</calcChain>
</file>

<file path=xl/sharedStrings.xml><?xml version="1.0" encoding="utf-8"?>
<sst xmlns="http://schemas.openxmlformats.org/spreadsheetml/2006/main" count="5937" uniqueCount="3564">
  <si>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</si>
  <si>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</si>
  <si>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</si>
  <si>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</si>
  <si>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</si>
  <si>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</si>
  <si>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</si>
  <si>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</si>
  <si>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</si>
  <si>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</si>
  <si>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</si>
  <si>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</si>
  <si>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</si>
  <si>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</si>
  <si>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</si>
  <si>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</si>
  <si>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</si>
  <si>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</si>
  <si>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</si>
  <si>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</si>
  <si>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</si>
  <si>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</si>
  <si>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</si>
  <si>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</si>
  <si>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</si>
  <si>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</si>
  <si>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</si>
  <si>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</si>
  <si>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</si>
  <si>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</si>
  <si>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</si>
  <si>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</si>
  <si>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</si>
  <si>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</si>
  <si>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</si>
  <si>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</si>
  <si>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</si>
  <si>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</si>
  <si>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</si>
  <si>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</si>
  <si>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</si>
  <si>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</si>
  <si>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</si>
  <si>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</si>
  <si>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</si>
  <si>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</si>
  <si>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</si>
  <si>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</si>
  <si>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</si>
  <si>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</si>
  <si>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</si>
  <si>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</si>
  <si>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</si>
  <si>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</si>
  <si>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</si>
  <si>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</si>
  <si>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</si>
  <si>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</si>
  <si>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</si>
  <si>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</si>
  <si>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</si>
  <si>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</si>
  <si>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</si>
  <si>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</si>
  <si>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</si>
  <si>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</si>
  <si>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</si>
  <si>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</si>
  <si>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</si>
  <si>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</si>
  <si>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</si>
  <si>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</si>
  <si>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</si>
  <si>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</si>
  <si>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</si>
  <si>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</si>
  <si>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</si>
  <si>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</si>
  <si>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</si>
  <si>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</si>
  <si>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</si>
  <si>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</si>
  <si>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</si>
  <si>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</si>
  <si>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</si>
  <si>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</si>
  <si>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</si>
  <si>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</si>
  <si>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</si>
  <si>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</si>
  <si>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</si>
  <si>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</si>
  <si>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</si>
  <si>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</si>
  <si>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</si>
  <si>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</si>
  <si>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</si>
  <si>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</si>
  <si>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</si>
  <si>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</si>
  <si>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</si>
  <si>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</si>
  <si>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</si>
  <si>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</si>
  <si>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</si>
  <si>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</si>
  <si>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</si>
  <si>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</si>
  <si>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</si>
  <si>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</si>
  <si>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</si>
  <si>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</si>
  <si>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</si>
  <si>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</si>
  <si>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</si>
  <si>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</si>
  <si>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</si>
  <si>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</si>
  <si>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</si>
  <si>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</si>
  <si>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</si>
  <si>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</si>
  <si>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</si>
  <si>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</si>
  <si>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</si>
  <si>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</si>
  <si>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</si>
  <si>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</si>
  <si>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</si>
  <si>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</si>
  <si>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</si>
  <si>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</si>
  <si>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</si>
  <si>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</si>
  <si>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</si>
  <si>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</si>
  <si>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</si>
  <si>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</si>
  <si>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</si>
  <si>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</si>
  <si>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</si>
  <si>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</si>
  <si>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</si>
  <si>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</si>
  <si>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</si>
  <si>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</si>
  <si>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</si>
  <si>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</si>
  <si>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</si>
  <si>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</si>
  <si>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</si>
  <si>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</si>
  <si>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</si>
  <si>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</si>
  <si>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</si>
  <si>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</si>
  <si>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</si>
  <si>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</si>
  <si>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</si>
  <si>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</si>
  <si>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</si>
  <si>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</si>
  <si>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</si>
  <si>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</si>
  <si>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</si>
  <si>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</si>
  <si>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</si>
  <si>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</si>
  <si>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</si>
  <si>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</si>
  <si>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</si>
  <si>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</si>
  <si>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</si>
  <si>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</si>
  <si>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</si>
  <si>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</si>
  <si>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</si>
  <si>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</si>
  <si>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</si>
  <si>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</si>
  <si>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</si>
  <si>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</si>
  <si>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</si>
  <si>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</si>
  <si>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</si>
  <si>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</si>
  <si>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</si>
  <si>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</si>
  <si>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</si>
  <si>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</si>
  <si>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</si>
  <si>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</si>
  <si>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</si>
  <si>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</si>
  <si>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</si>
  <si>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</si>
  <si>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</si>
  <si>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</si>
  <si>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</si>
  <si>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</si>
  <si>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</si>
  <si>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</si>
  <si>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</si>
  <si>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</si>
  <si>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</si>
  <si>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</si>
  <si>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</si>
  <si>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</si>
  <si>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</si>
  <si>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</si>
  <si>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</si>
  <si>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</si>
  <si>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</si>
  <si>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</si>
  <si>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</si>
  <si>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</si>
  <si>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</si>
  <si>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</si>
  <si>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</si>
  <si>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</si>
  <si>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</si>
  <si>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</si>
  <si>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</si>
  <si>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</si>
  <si>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</si>
  <si>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</si>
  <si>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</si>
  <si>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</si>
  <si>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</si>
  <si>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</si>
  <si>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</si>
  <si>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</si>
  <si>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</si>
  <si>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</si>
  <si>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</si>
  <si>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</si>
  <si>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</si>
  <si>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</si>
  <si>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</si>
  <si>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</si>
  <si>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</si>
  <si>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</si>
  <si>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</si>
  <si>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</si>
  <si>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</si>
  <si>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</si>
  <si>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</si>
  <si>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</si>
  <si>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</si>
  <si>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</si>
  <si>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</si>
  <si>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</si>
  <si>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</si>
  <si>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</si>
  <si>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</si>
  <si>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</si>
  <si>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</si>
  <si>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</si>
  <si>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</si>
  <si>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</si>
  <si>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</si>
  <si>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</si>
  <si>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</si>
  <si>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</si>
  <si>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</si>
  <si>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</si>
  <si>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</si>
  <si>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</si>
  <si>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</si>
  <si>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</si>
  <si>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</si>
  <si>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</si>
  <si>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</si>
  <si>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</si>
  <si>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</si>
  <si>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</si>
  <si>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</si>
  <si>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</si>
  <si>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</si>
  <si>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</si>
  <si>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</si>
  <si>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</si>
  <si>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</si>
  <si>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</si>
  <si>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</si>
  <si>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</si>
  <si>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</si>
  <si>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</si>
  <si>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</si>
  <si>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</si>
  <si>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</si>
  <si>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</si>
  <si>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</si>
  <si>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</si>
  <si>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</si>
  <si>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</si>
  <si>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</si>
  <si>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</si>
  <si>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</si>
  <si>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</si>
  <si>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</si>
  <si>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</si>
  <si>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</si>
  <si>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</si>
  <si>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</si>
  <si>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</si>
  <si>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</si>
  <si>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</si>
  <si>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</si>
  <si>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</si>
  <si>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</si>
  <si>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</si>
  <si>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</si>
  <si>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</si>
  <si>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</si>
  <si>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</si>
  <si>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</si>
  <si>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</si>
  <si>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</si>
  <si>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</si>
  <si>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</si>
  <si>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</si>
  <si>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</si>
  <si>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</si>
  <si>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</si>
  <si>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</si>
  <si>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</si>
  <si>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</si>
  <si>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</si>
  <si>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</si>
  <si>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</si>
  <si>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</si>
  <si>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</si>
  <si>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</si>
  <si>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</si>
  <si>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</si>
  <si>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</si>
  <si>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</si>
  <si>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</si>
  <si>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</si>
  <si>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</si>
  <si>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</si>
  <si>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</si>
  <si>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</si>
  <si>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</si>
  <si>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</si>
  <si>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</si>
  <si>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</si>
  <si>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</si>
  <si>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</si>
  <si>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</si>
  <si>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</si>
  <si>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</si>
  <si>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</si>
  <si>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</si>
  <si>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</si>
  <si>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</si>
  <si>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</si>
  <si>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</si>
  <si>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</si>
  <si>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</si>
  <si>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</si>
  <si>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</si>
  <si>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</si>
  <si>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</si>
  <si>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</si>
  <si>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</si>
  <si>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</si>
  <si>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</si>
  <si>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</si>
  <si>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</si>
  <si>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</si>
  <si>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</si>
  <si>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</si>
  <si>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</si>
  <si>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</si>
  <si>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</si>
  <si>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</si>
  <si>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</si>
  <si>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</si>
  <si>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</si>
  <si>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</si>
  <si>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</si>
  <si>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</si>
  <si>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</si>
  <si>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</si>
  <si>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</si>
  <si>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</si>
  <si>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</si>
  <si>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</si>
  <si>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</si>
  <si>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</si>
  <si>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</si>
  <si>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</si>
  <si>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</si>
  <si>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</si>
  <si>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</si>
  <si>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</si>
  <si>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</si>
  <si>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</si>
  <si>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</si>
  <si>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</si>
  <si>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</si>
  <si>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</si>
  <si>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</si>
  <si>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</si>
  <si>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</si>
  <si>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</si>
  <si>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</si>
  <si>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</si>
  <si>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</si>
  <si>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</si>
  <si>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</si>
  <si>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</si>
  <si>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</si>
  <si>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</si>
  <si>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</si>
  <si>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</si>
  <si>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</si>
  <si>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</si>
  <si>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</si>
  <si>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</si>
  <si>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</si>
  <si>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</si>
  <si>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</si>
  <si>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</si>
  <si>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</si>
  <si>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</si>
  <si>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</si>
  <si>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</si>
  <si>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</si>
  <si>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</si>
  <si>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</si>
  <si>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</si>
  <si>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</si>
  <si>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</si>
  <si>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</si>
  <si>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</si>
  <si>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</si>
  <si>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</si>
  <si>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</si>
  <si>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</si>
  <si>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</si>
  <si>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</si>
  <si>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</si>
  <si>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</si>
  <si>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</si>
  <si>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</si>
  <si>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</si>
  <si>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</si>
  <si>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</si>
  <si>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</si>
  <si>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</si>
  <si>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</si>
  <si>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</si>
  <si>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</si>
  <si>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</si>
  <si>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</si>
  <si>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</si>
  <si>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</si>
  <si>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</si>
  <si>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</si>
  <si>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</si>
  <si>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</si>
  <si>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</si>
  <si>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</si>
  <si>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</si>
  <si>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</si>
  <si>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</si>
  <si>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</si>
  <si>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</si>
  <si>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</si>
  <si>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</si>
  <si>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</si>
  <si>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</si>
  <si>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</si>
  <si>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</si>
  <si>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</si>
  <si>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</si>
  <si>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</si>
  <si>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</si>
  <si>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</si>
  <si>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</si>
  <si>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</si>
  <si>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</si>
  <si>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</si>
  <si>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</si>
  <si>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</si>
  <si>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</si>
  <si>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</si>
  <si>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</si>
  <si>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</si>
  <si>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</si>
  <si>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</si>
  <si>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</si>
  <si>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</si>
  <si>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</si>
  <si>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</si>
  <si>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</si>
  <si>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</si>
  <si>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</si>
  <si>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</si>
  <si>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</si>
  <si>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</si>
  <si>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</si>
  <si>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</si>
  <si>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</si>
  <si>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</si>
  <si>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</si>
  <si>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</si>
  <si>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</si>
  <si>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</si>
  <si>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</si>
  <si>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</si>
  <si>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</si>
  <si>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</si>
  <si>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</si>
  <si>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</si>
  <si>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</si>
  <si>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</si>
  <si>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</si>
  <si>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</si>
  <si>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</si>
  <si>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</si>
  <si>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</si>
  <si>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</si>
  <si>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</si>
  <si>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</si>
  <si>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</si>
  <si>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</si>
  <si>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</si>
  <si>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</si>
  <si>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</si>
  <si>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</si>
  <si>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</si>
  <si>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</si>
  <si>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</si>
  <si>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</si>
  <si>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</si>
  <si>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</si>
  <si>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</si>
  <si>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</si>
  <si>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</si>
  <si>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</si>
  <si>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</si>
  <si>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</si>
  <si>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</si>
  <si>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</si>
  <si>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</si>
  <si>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</si>
  <si>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</si>
  <si>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</si>
  <si>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</si>
  <si>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</si>
  <si>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</si>
  <si>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</si>
  <si>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</si>
  <si>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</si>
  <si>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</si>
  <si>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</si>
  <si>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</si>
  <si>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</si>
  <si>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</si>
  <si>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</si>
  <si>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</si>
  <si>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</si>
  <si>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</si>
  <si>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</si>
  <si>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</si>
  <si>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</si>
  <si>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</si>
  <si>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</si>
  <si>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</si>
  <si>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</si>
  <si>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</si>
  <si>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</si>
  <si>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</si>
  <si>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</si>
  <si>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</si>
  <si>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</si>
  <si>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</si>
  <si>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</si>
  <si>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</si>
  <si>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</si>
  <si>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</si>
  <si>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</si>
  <si>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</si>
  <si>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</si>
  <si>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</si>
  <si>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</si>
  <si>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</si>
  <si>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</si>
  <si>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</si>
  <si>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</si>
  <si>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</si>
  <si>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</si>
  <si>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</si>
  <si>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</si>
  <si>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</si>
  <si>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</si>
  <si>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</si>
  <si>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</si>
  <si>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</si>
  <si>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</si>
  <si>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</si>
  <si>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</si>
  <si>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</si>
  <si>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</si>
  <si>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</si>
  <si>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</si>
  <si>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</si>
  <si>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</si>
  <si>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</si>
  <si>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</si>
  <si>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</si>
  <si>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</si>
  <si>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</si>
  <si>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</si>
  <si>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</si>
  <si>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</si>
  <si>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</si>
  <si>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</si>
  <si>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</si>
  <si>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</si>
  <si>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</si>
  <si>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</si>
  <si>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</si>
  <si>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</si>
  <si>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</si>
  <si>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</si>
  <si>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</si>
  <si>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</si>
  <si>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</si>
  <si>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</si>
  <si>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</si>
  <si>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</si>
  <si>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</si>
  <si>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</si>
  <si>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</si>
  <si>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</si>
  <si>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</si>
  <si>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</si>
  <si>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</si>
  <si>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</si>
  <si>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</si>
  <si>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</si>
  <si>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</si>
  <si>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</si>
  <si>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</si>
  <si>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</si>
  <si>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</si>
  <si>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</si>
  <si>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</si>
  <si>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</si>
  <si>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</si>
  <si>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</si>
  <si>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</si>
  <si>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</si>
  <si>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</si>
  <si>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</si>
  <si>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</si>
  <si>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</si>
  <si>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</si>
  <si>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</si>
  <si>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</si>
  <si>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</si>
  <si>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</si>
  <si>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</si>
  <si>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</si>
  <si>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</si>
  <si>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</si>
  <si>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</si>
  <si>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</si>
  <si>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</si>
  <si>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</si>
  <si>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</si>
  <si>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</si>
  <si>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</si>
  <si>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</si>
  <si>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</si>
  <si>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</si>
  <si>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</si>
  <si>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</si>
  <si>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</si>
  <si>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</si>
  <si>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</si>
  <si>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</si>
  <si>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</si>
  <si>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</si>
  <si>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</si>
  <si>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</si>
  <si>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</si>
  <si>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</si>
  <si>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</si>
  <si>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</si>
  <si>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</si>
  <si>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</si>
  <si>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</si>
  <si>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</si>
  <si>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</si>
  <si>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</si>
  <si>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</si>
  <si>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</si>
  <si>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</si>
  <si>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</si>
  <si>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</si>
  <si>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</si>
  <si>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</si>
  <si>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</si>
  <si>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</si>
  <si>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</si>
  <si>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</si>
  <si>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</si>
  <si>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</si>
  <si>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</si>
  <si>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</si>
  <si>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</si>
  <si>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</si>
  <si>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</si>
  <si>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</si>
  <si>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</si>
  <si>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</si>
  <si>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</si>
  <si>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</si>
  <si>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</si>
  <si>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</si>
  <si>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</si>
  <si>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</si>
  <si>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</si>
  <si>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</si>
  <si>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</si>
  <si>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</si>
  <si>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</si>
  <si>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</si>
  <si>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</si>
  <si>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</si>
  <si>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</si>
  <si>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</si>
  <si>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</si>
  <si>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</si>
  <si>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</si>
  <si>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</si>
  <si>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</si>
  <si>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</si>
  <si>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</si>
  <si>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</si>
  <si>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</si>
  <si>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</si>
  <si>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</si>
  <si>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</si>
  <si>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</si>
  <si>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</si>
  <si>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</si>
  <si>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</si>
  <si>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</si>
  <si>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</si>
  <si>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</si>
  <si>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</si>
  <si>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</si>
  <si>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</si>
  <si>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</si>
  <si>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</si>
  <si>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</si>
  <si>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</si>
  <si>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</si>
  <si>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</si>
  <si>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</si>
  <si>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</si>
  <si>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</si>
  <si>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</si>
  <si>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</si>
  <si>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</si>
  <si>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</si>
  <si>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</si>
  <si>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</si>
  <si>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</si>
  <si>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</si>
  <si>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</si>
  <si>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</si>
  <si>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</si>
  <si>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</si>
  <si>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</si>
  <si>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</si>
  <si>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</si>
  <si>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</si>
  <si>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</si>
  <si>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</si>
  <si>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</si>
  <si>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</si>
  <si>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</si>
  <si>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</si>
  <si>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</si>
  <si>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</si>
  <si>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</si>
  <si>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</si>
  <si>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</si>
  <si>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</si>
  <si>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</si>
  <si>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</si>
  <si>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</si>
  <si>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</si>
  <si>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</si>
  <si>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</si>
  <si>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</si>
  <si>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</si>
  <si>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</si>
  <si>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</si>
  <si>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</si>
  <si>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</si>
  <si>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</si>
  <si>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</si>
  <si>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</si>
  <si>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</si>
  <si>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</si>
  <si>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</si>
  <si>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</si>
  <si>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</si>
  <si>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</si>
  <si>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</si>
  <si>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</si>
  <si>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</si>
  <si>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</si>
  <si>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</si>
  <si>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</si>
  <si>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</si>
  <si>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</si>
  <si>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</si>
  <si>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</si>
  <si>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</si>
  <si>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</si>
  <si>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</si>
  <si>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</si>
  <si>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</si>
  <si>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</si>
  <si>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</si>
  <si>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</si>
  <si>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</si>
  <si>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</si>
  <si>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</si>
  <si>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</si>
  <si>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</si>
  <si>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</si>
  <si>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</si>
  <si>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</si>
  <si>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</si>
  <si>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</si>
  <si>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</si>
  <si>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</si>
  <si>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</si>
  <si>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</si>
  <si>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</si>
  <si>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</si>
  <si>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</si>
  <si>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</si>
  <si>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</si>
  <si>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</si>
  <si>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</si>
  <si>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</si>
  <si>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</si>
  <si>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</si>
  <si>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</si>
  <si>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</si>
  <si>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</si>
  <si>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</si>
  <si>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</si>
  <si>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</si>
  <si>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</si>
  <si>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</si>
  <si>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</si>
  <si>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</si>
  <si>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</si>
  <si>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</si>
  <si>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</si>
  <si>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</si>
  <si>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</si>
  <si>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</si>
  <si>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</si>
  <si>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</si>
  <si>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</si>
  <si>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</si>
  <si>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</si>
  <si>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</si>
  <si>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</si>
  <si>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</si>
  <si>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</si>
  <si>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</si>
  <si>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</si>
  <si>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</si>
  <si>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</si>
  <si>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</si>
  <si>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</si>
  <si>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</si>
  <si>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</si>
  <si>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</si>
  <si>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</si>
  <si>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</si>
  <si>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</si>
  <si>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</si>
  <si>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</si>
  <si>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</si>
  <si>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</si>
  <si>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</si>
  <si>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</si>
  <si>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</si>
  <si>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</si>
  <si>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</si>
  <si>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</si>
  <si>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</si>
  <si>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</si>
  <si>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</si>
  <si>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</si>
  <si>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</si>
  <si>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</si>
  <si>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</si>
  <si>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</si>
  <si>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</si>
  <si>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</si>
  <si>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</si>
  <si>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</si>
  <si>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</si>
  <si>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</si>
  <si>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</si>
  <si>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</si>
  <si>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</si>
  <si>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</si>
  <si>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</si>
  <si>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</si>
  <si>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</si>
  <si>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</si>
  <si>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</si>
  <si>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</si>
  <si>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</si>
  <si>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</si>
  <si>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</si>
  <si>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</si>
  <si>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</si>
  <si>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</si>
  <si>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</si>
  <si>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</si>
  <si>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</si>
  <si>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</si>
  <si>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</si>
  <si>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</si>
  <si>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</si>
  <si>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</si>
  <si>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</si>
  <si>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</si>
  <si>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</si>
  <si>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</si>
  <si>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</si>
  <si>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</si>
  <si>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</si>
  <si>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</si>
  <si>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</si>
  <si>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</si>
  <si>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</si>
  <si>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</si>
  <si>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</si>
  <si>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</si>
  <si>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</si>
  <si>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</si>
  <si>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</si>
  <si>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</si>
  <si>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</si>
  <si>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</si>
  <si>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</si>
  <si>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</si>
  <si>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</si>
  <si>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</si>
  <si>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</si>
  <si>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</si>
  <si>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</si>
  <si>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</si>
  <si>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</si>
  <si>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</si>
  <si>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</si>
  <si>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</si>
  <si>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</si>
  <si>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</si>
  <si>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</si>
  <si>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</si>
  <si>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</si>
  <si>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</si>
  <si>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</si>
  <si>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</si>
  <si>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</si>
  <si>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</si>
  <si>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</si>
  <si>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</si>
  <si>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</si>
  <si>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</si>
  <si>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</si>
  <si>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</si>
  <si>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</si>
  <si>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</si>
  <si>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</si>
  <si>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</si>
  <si>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</si>
  <si>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</si>
  <si>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</si>
  <si>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</si>
  <si>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</si>
  <si>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</si>
  <si>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</si>
  <si>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</si>
  <si>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</si>
  <si>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</si>
  <si>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</si>
  <si>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</si>
  <si>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</si>
  <si>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</si>
  <si>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</si>
  <si>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</si>
  <si>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</si>
  <si>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</si>
  <si>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</si>
  <si>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</si>
  <si>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</si>
  <si>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</si>
  <si>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</si>
  <si>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</si>
  <si>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</si>
  <si>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</si>
  <si>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</si>
  <si>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</si>
  <si>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</si>
  <si>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</si>
  <si>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</si>
  <si>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</si>
  <si>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</si>
  <si>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</si>
  <si>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</si>
  <si>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</si>
  <si>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</si>
  <si>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</si>
  <si>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</si>
  <si>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</si>
  <si>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</si>
  <si>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</si>
  <si>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</si>
  <si>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</si>
  <si>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</si>
  <si>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</si>
  <si>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</si>
  <si>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</si>
  <si>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</si>
  <si>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</si>
  <si>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</si>
  <si>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</si>
  <si>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</si>
  <si>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</si>
  <si>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</si>
  <si>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</si>
  <si>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</si>
  <si>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</si>
  <si>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</si>
  <si>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</si>
  <si>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</si>
  <si>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</si>
  <si>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</si>
  <si>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</si>
  <si>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</si>
  <si>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</si>
  <si>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</si>
  <si>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</si>
  <si>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</si>
  <si>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</si>
  <si>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</si>
  <si>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</si>
  <si>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</si>
  <si>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</si>
  <si>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</si>
  <si>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</si>
  <si>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</si>
  <si>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</si>
  <si>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</si>
  <si>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</si>
  <si>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</si>
  <si>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</si>
  <si>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</si>
  <si>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</si>
  <si>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</si>
  <si>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</si>
  <si>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</si>
  <si>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</si>
  <si>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</si>
  <si>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</si>
  <si>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</si>
  <si>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</si>
  <si>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</si>
  <si>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</si>
  <si>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</si>
  <si>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</si>
  <si>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</si>
  <si>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</si>
  <si>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</si>
  <si>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</si>
  <si>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</si>
  <si>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</si>
  <si>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</si>
  <si>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</si>
  <si>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</si>
  <si>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</si>
  <si>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</si>
  <si>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</si>
  <si>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</si>
  <si>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</si>
  <si>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</si>
  <si>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</si>
  <si>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</si>
  <si>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</si>
  <si>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</si>
  <si>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</si>
  <si>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</si>
  <si>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</si>
  <si>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</si>
  <si>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</si>
  <si>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</si>
  <si>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</si>
  <si>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</si>
  <si>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</si>
  <si>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</si>
  <si>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</si>
  <si>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</si>
  <si>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</si>
  <si>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</si>
  <si>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</si>
  <si>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</si>
  <si>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</si>
  <si>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</si>
  <si>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</si>
  <si>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</si>
  <si>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</si>
  <si>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</si>
  <si>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</si>
  <si>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</si>
  <si>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</si>
  <si>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</si>
  <si>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</si>
  <si>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</si>
  <si>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</si>
  <si>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</si>
  <si>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</si>
  <si>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</si>
  <si>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</si>
  <si>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</si>
  <si>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</si>
  <si>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</si>
  <si>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</si>
  <si>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</si>
  <si>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</si>
  <si>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</si>
  <si>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</si>
  <si>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</si>
  <si>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</si>
  <si>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</si>
  <si>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</si>
  <si>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</si>
  <si>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</si>
  <si>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</si>
  <si>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</si>
  <si>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</si>
  <si>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</si>
  <si>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</si>
  <si>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</si>
  <si>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</si>
  <si>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</si>
  <si>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</si>
  <si>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</si>
  <si>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</si>
  <si>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</si>
  <si>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</si>
  <si>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</si>
  <si>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</si>
  <si>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</si>
  <si>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</si>
  <si>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</si>
  <si>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</si>
  <si>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</si>
  <si>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</si>
  <si>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</si>
  <si>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</si>
  <si>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</si>
  <si>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</si>
  <si>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</si>
  <si>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</si>
  <si>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</si>
  <si>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</si>
  <si>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</si>
  <si>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</si>
  <si>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</si>
  <si>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</si>
  <si>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</si>
  <si>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</si>
  <si>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</si>
  <si>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</si>
  <si>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</si>
  <si>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</si>
  <si>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</si>
  <si>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</si>
  <si>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</si>
  <si>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</si>
  <si>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</si>
  <si>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</si>
  <si>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</si>
  <si>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</si>
  <si>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</si>
  <si>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</si>
  <si>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</si>
  <si>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</si>
  <si>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</si>
  <si>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</si>
  <si>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</si>
  <si>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</si>
  <si>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</si>
  <si>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</si>
  <si>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</si>
  <si>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</si>
  <si>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</si>
  <si>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</si>
  <si>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</si>
  <si>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</si>
  <si>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</si>
  <si>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</si>
  <si>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</si>
  <si>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</si>
  <si>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</si>
  <si>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</si>
  <si>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</si>
  <si>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</si>
  <si>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</si>
  <si>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</si>
  <si>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</si>
  <si>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</si>
  <si>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</si>
  <si>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</si>
  <si>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</si>
  <si>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</si>
  <si>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</si>
  <si>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</si>
  <si>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</si>
  <si>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</si>
  <si>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</si>
  <si>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</si>
  <si>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</si>
  <si>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</si>
  <si>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</si>
  <si>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</si>
  <si>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</si>
  <si>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</si>
  <si>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</si>
  <si>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</si>
  <si>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</si>
  <si>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</si>
  <si>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</si>
  <si>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</si>
  <si>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</si>
  <si>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</si>
  <si>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</si>
  <si>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</si>
  <si>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</si>
  <si>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</si>
  <si>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</si>
  <si>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</si>
  <si>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</si>
  <si>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</si>
  <si>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</si>
  <si>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</si>
  <si>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</si>
  <si>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</si>
  <si>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</si>
  <si>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</si>
  <si>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</si>
  <si>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</si>
  <si>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</si>
  <si>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</si>
  <si>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</si>
  <si>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</si>
  <si>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</si>
  <si>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</si>
  <si>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</si>
  <si>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</si>
  <si>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</si>
  <si>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</si>
  <si>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</si>
  <si>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</si>
  <si>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</si>
  <si>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</si>
  <si>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</si>
  <si>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</si>
  <si>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</si>
  <si>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</si>
  <si>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</si>
  <si>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</si>
  <si>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</si>
  <si>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</si>
  <si>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</si>
  <si>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</si>
  <si>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</si>
  <si>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</si>
  <si>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</si>
  <si>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</si>
  <si>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</si>
  <si>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</si>
  <si>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</si>
  <si>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</si>
  <si>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</si>
  <si>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</si>
  <si>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</si>
  <si>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</si>
  <si>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</si>
  <si>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</si>
  <si>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</si>
  <si>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</si>
  <si>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</si>
  <si>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</si>
  <si>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</si>
  <si>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</si>
  <si>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</si>
  <si>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</si>
  <si>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</si>
  <si>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</si>
  <si>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</si>
  <si>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</si>
  <si>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</si>
  <si>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</si>
  <si>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</si>
  <si>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</si>
  <si>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</si>
  <si>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</si>
  <si>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</si>
  <si>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</si>
  <si>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</si>
  <si>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</si>
  <si>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</si>
  <si>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</si>
  <si>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</si>
  <si>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</si>
  <si>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</si>
  <si>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</si>
  <si>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</si>
  <si>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</si>
  <si>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</si>
  <si>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</si>
  <si>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</si>
  <si>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</si>
  <si>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</si>
  <si>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</si>
  <si>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</si>
  <si>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</si>
  <si>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</si>
  <si>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</si>
  <si>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</si>
  <si>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</si>
  <si>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</si>
  <si>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</si>
  <si>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</si>
  <si>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</si>
  <si>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</si>
  <si>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</si>
  <si>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</si>
  <si>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</si>
  <si>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</si>
  <si>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</si>
  <si>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</si>
  <si>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</si>
  <si>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</si>
  <si>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</si>
  <si>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</si>
  <si>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</si>
  <si>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</si>
  <si>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</si>
  <si>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</si>
  <si>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</si>
  <si>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</si>
  <si>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</si>
  <si>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</si>
  <si>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</si>
  <si>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</si>
  <si>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</si>
  <si>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</si>
  <si>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</si>
  <si>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</si>
  <si>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</si>
  <si>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</si>
  <si>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</si>
  <si>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</si>
  <si>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</si>
  <si>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</si>
  <si>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</si>
  <si>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</si>
  <si>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</si>
  <si>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</si>
  <si>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</si>
  <si>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</si>
  <si>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</si>
  <si>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</si>
  <si>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</si>
  <si>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</si>
  <si>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</si>
  <si>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</si>
  <si>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</si>
  <si>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</si>
  <si>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</si>
  <si>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</si>
  <si>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</si>
  <si>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</si>
  <si>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</si>
  <si>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</si>
  <si>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</si>
  <si>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</si>
  <si>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</si>
  <si>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</si>
  <si>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</si>
  <si>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</si>
  <si>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</si>
  <si>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</si>
  <si>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</si>
  <si>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</si>
  <si>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</si>
  <si>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</si>
  <si>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</si>
  <si>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</si>
  <si>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</si>
  <si>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</si>
  <si>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</si>
  <si>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</si>
  <si>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</si>
  <si>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</si>
  <si>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</si>
  <si>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</si>
  <si>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</si>
  <si>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</si>
  <si>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</si>
  <si>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</si>
  <si>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</si>
  <si>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</si>
  <si>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</si>
  <si>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</si>
  <si>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</si>
  <si>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</si>
  <si>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</si>
  <si>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</si>
  <si>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</si>
  <si>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</si>
  <si>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</si>
  <si>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</si>
  <si>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</si>
  <si>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</si>
  <si>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</si>
  <si>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</si>
  <si>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</si>
  <si>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</si>
  <si>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</si>
  <si>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</si>
  <si>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</si>
  <si>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</si>
  <si>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</si>
  <si>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</si>
  <si>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</si>
  <si>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</si>
  <si>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</si>
  <si>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</si>
  <si>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</si>
  <si>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</si>
  <si>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</si>
  <si>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</si>
  <si>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</si>
  <si>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</si>
  <si>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</si>
  <si>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</si>
  <si>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</si>
  <si>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</si>
  <si>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</si>
  <si>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</si>
  <si>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</si>
  <si>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</si>
  <si>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</si>
  <si>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</si>
  <si>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</si>
  <si>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</si>
  <si>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</si>
  <si>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</si>
  <si>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</si>
  <si>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</si>
  <si>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</si>
  <si>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</si>
  <si>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</si>
  <si>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</si>
  <si>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</si>
  <si>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</si>
  <si>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</si>
  <si>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</si>
  <si>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</si>
  <si>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</si>
  <si>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</si>
  <si>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</si>
  <si>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</si>
  <si>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</si>
  <si>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</si>
  <si>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</si>
  <si>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</si>
  <si>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</si>
  <si>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</si>
  <si>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</si>
  <si>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</si>
  <si>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</si>
  <si>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</si>
  <si>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</si>
  <si>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</si>
  <si>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</si>
  <si>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</si>
  <si>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</si>
  <si>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</si>
  <si>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</si>
  <si>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</si>
  <si>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</si>
  <si>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</si>
  <si>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</si>
  <si>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</si>
  <si>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</si>
  <si>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</si>
  <si>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</si>
  <si>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</si>
  <si>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</si>
  <si>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</si>
  <si>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</si>
  <si>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</si>
  <si>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</si>
  <si>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</si>
  <si>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</si>
  <si>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</si>
  <si>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</si>
  <si>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</si>
  <si>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</si>
  <si>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</si>
  <si>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</si>
  <si>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</si>
  <si>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</si>
  <si>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</si>
  <si>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</si>
  <si>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</si>
  <si>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</si>
  <si>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</si>
  <si>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</si>
  <si>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</si>
  <si>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</si>
  <si>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</si>
  <si>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</si>
  <si>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</si>
  <si>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</si>
  <si>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</si>
  <si>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</si>
  <si>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</si>
  <si>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</si>
  <si>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</si>
  <si>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</si>
  <si>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</si>
  <si>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</si>
  <si>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</si>
  <si>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</si>
  <si>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</si>
  <si>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</si>
  <si>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</si>
  <si>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</si>
  <si>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</si>
  <si>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</si>
  <si>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</si>
  <si>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</si>
  <si>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</si>
  <si>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</si>
  <si>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</si>
  <si>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</si>
  <si>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</si>
  <si>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</si>
  <si>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</si>
  <si>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</si>
  <si>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</si>
  <si>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</si>
  <si>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</si>
  <si>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</si>
  <si>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</si>
  <si>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</si>
  <si>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</si>
  <si>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</si>
  <si>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</si>
  <si>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</si>
  <si>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</si>
  <si>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</si>
  <si>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</si>
  <si>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</si>
  <si>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</si>
  <si>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</si>
  <si>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</si>
  <si>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</si>
  <si>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</si>
  <si>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</si>
  <si>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</si>
  <si>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</si>
  <si>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</si>
  <si>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</si>
  <si>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</si>
  <si>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</si>
  <si>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</si>
  <si>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</si>
  <si>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</si>
  <si>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</si>
  <si>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</si>
  <si>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</si>
  <si>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</si>
  <si>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</si>
  <si>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</si>
  <si>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</si>
  <si>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</si>
  <si>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</si>
  <si>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</si>
  <si>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</si>
  <si>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</si>
  <si>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</si>
  <si>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</si>
  <si>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</si>
  <si>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</si>
  <si>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</si>
  <si>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</si>
  <si>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</si>
  <si>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</si>
  <si>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</si>
  <si>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</si>
  <si>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</si>
  <si>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</si>
  <si>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</si>
  <si>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</si>
  <si>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</si>
  <si>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</si>
  <si>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</si>
  <si>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</si>
  <si>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</si>
  <si>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</si>
  <si>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</si>
  <si>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</si>
  <si>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</si>
  <si>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</si>
  <si>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</si>
  <si>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</si>
  <si>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</si>
  <si>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</si>
  <si>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</si>
  <si>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</si>
  <si>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</si>
  <si>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</si>
  <si>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</si>
  <si>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</si>
  <si>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</si>
  <si>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</si>
  <si>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</si>
  <si>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</si>
  <si>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</si>
  <si>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</si>
  <si>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</si>
  <si>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</si>
  <si>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</si>
  <si>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</si>
  <si>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</si>
  <si>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</si>
  <si>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</si>
  <si>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</si>
  <si>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</si>
  <si>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</si>
  <si>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</si>
  <si>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</si>
  <si>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</si>
  <si>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</si>
  <si>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</si>
  <si>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</si>
  <si>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</si>
  <si>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</si>
  <si>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</si>
  <si>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</si>
  <si>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</si>
  <si>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</si>
  <si>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</si>
  <si>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</si>
  <si>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</si>
  <si>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</si>
  <si>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</si>
  <si>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</si>
  <si>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</si>
  <si>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</si>
  <si>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</si>
  <si>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</si>
  <si>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</si>
  <si>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</si>
  <si>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</si>
  <si>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</si>
  <si>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</si>
  <si>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</si>
  <si>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</si>
  <si>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</si>
  <si>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</si>
  <si>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</si>
  <si>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</si>
  <si>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</si>
  <si>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</si>
  <si>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</si>
  <si>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</si>
  <si>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</si>
  <si>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</si>
  <si>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</si>
  <si>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</si>
  <si>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</si>
  <si>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</si>
  <si>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</si>
  <si>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</si>
  <si>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</si>
  <si>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</si>
  <si>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</si>
  <si>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</si>
  <si>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</si>
  <si>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</si>
  <si>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</si>
  <si>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</si>
  <si>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</si>
  <si>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</si>
  <si>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</si>
  <si>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</si>
  <si>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</si>
  <si>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</si>
  <si>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</si>
  <si>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</si>
  <si>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</si>
  <si>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</si>
  <si>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</si>
  <si>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</si>
  <si>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</si>
  <si>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</si>
  <si>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</si>
  <si>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</si>
  <si>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</si>
  <si>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</si>
  <si>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</si>
  <si>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</si>
  <si>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</si>
  <si>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</si>
  <si>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</si>
  <si>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</si>
  <si>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</si>
  <si>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</si>
  <si>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</si>
  <si>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</si>
  <si>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</si>
  <si>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</si>
  <si>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</si>
  <si>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</si>
  <si>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</si>
  <si>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</si>
  <si>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</si>
  <si>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</si>
  <si>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</si>
  <si>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</si>
  <si>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</si>
  <si>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</si>
  <si>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</si>
  <si>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</si>
  <si>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</si>
  <si>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</si>
  <si>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</si>
  <si>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</si>
  <si>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</si>
  <si>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</si>
  <si>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</si>
  <si>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</si>
  <si>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</si>
  <si>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</si>
  <si>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</si>
  <si>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</si>
  <si>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</si>
  <si>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</si>
  <si>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</si>
  <si>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</si>
  <si>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</si>
  <si>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</si>
  <si>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</si>
  <si>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</si>
  <si>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</si>
  <si>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</si>
  <si>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</si>
  <si>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</si>
  <si>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</si>
  <si>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</si>
  <si>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</si>
  <si>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</si>
  <si>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</si>
  <si>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</si>
  <si>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</si>
  <si>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</si>
  <si>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</si>
  <si>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</si>
  <si>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</si>
  <si>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</si>
  <si>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</si>
  <si>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</si>
  <si>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</si>
  <si>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</si>
  <si>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</si>
  <si>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</si>
  <si>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</si>
  <si>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</si>
  <si>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</si>
  <si>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</si>
  <si>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</si>
  <si>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</si>
  <si>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</si>
  <si>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</si>
  <si>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</si>
  <si>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</si>
  <si>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</si>
  <si>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</si>
  <si>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</si>
  <si>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</si>
  <si>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</si>
  <si>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</si>
  <si>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</si>
  <si>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</si>
  <si>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</si>
  <si>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</si>
  <si>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</si>
  <si>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</si>
  <si>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</si>
  <si>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</si>
  <si>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</si>
  <si>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</si>
  <si>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</si>
  <si>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</si>
  <si>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</si>
  <si>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</si>
  <si>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</si>
  <si>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</si>
  <si>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</si>
  <si>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</si>
  <si>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</si>
  <si>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</si>
  <si>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</si>
  <si>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</si>
  <si>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</si>
  <si>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</si>
  <si>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</si>
  <si>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</si>
  <si>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</si>
  <si>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</si>
  <si>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</si>
  <si>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</si>
  <si>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</si>
  <si>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</si>
  <si>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</si>
  <si>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</si>
  <si>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</si>
  <si>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</si>
  <si>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</si>
  <si>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</si>
  <si>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</si>
  <si>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</si>
  <si>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</si>
  <si>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</si>
  <si>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</si>
  <si>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</si>
  <si>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</si>
  <si>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</si>
  <si>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</si>
  <si>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</si>
  <si>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</si>
  <si>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</si>
  <si>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</si>
  <si>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</si>
  <si>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</si>
  <si>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</si>
  <si>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</si>
  <si>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</si>
  <si>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</si>
  <si>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</si>
  <si>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</si>
  <si>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</si>
  <si>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</si>
  <si>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</si>
  <si>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</si>
  <si>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</si>
  <si>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</si>
  <si>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</si>
  <si>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</si>
  <si>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</si>
  <si>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</si>
  <si>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</si>
  <si>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</si>
  <si>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</si>
  <si>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</si>
  <si>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</si>
  <si>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</si>
  <si>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</si>
  <si>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</si>
  <si>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</si>
  <si>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</si>
  <si>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</si>
  <si>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</si>
  <si>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</si>
  <si>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</si>
  <si>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</si>
  <si>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</si>
  <si>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</si>
  <si>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</si>
  <si>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</si>
  <si>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</si>
  <si>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</si>
  <si>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</si>
  <si>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</si>
  <si>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</si>
  <si>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</si>
  <si>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</si>
  <si>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</si>
  <si>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</si>
  <si>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</si>
  <si>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</si>
  <si>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</si>
  <si>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</si>
  <si>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</si>
  <si>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</si>
  <si>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</si>
  <si>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</si>
  <si>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</si>
  <si>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</si>
  <si>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</si>
  <si>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</si>
  <si>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</si>
  <si>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</si>
  <si>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</si>
  <si>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</si>
  <si>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</si>
  <si>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</si>
  <si>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</si>
  <si>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</si>
  <si>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</si>
  <si>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</si>
  <si>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</si>
  <si>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</si>
  <si>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</si>
  <si>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</si>
  <si>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</si>
  <si>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</si>
  <si>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</si>
  <si>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</si>
  <si>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</si>
  <si>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</si>
  <si>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</si>
  <si>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</si>
  <si>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</si>
  <si>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</si>
  <si>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</si>
  <si>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</si>
  <si>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</si>
  <si>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</si>
  <si>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</si>
  <si>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</si>
  <si>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</si>
  <si>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</si>
  <si>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</si>
  <si>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</si>
  <si>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</si>
  <si>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</si>
  <si>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</si>
  <si>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</si>
  <si>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</si>
  <si>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</si>
  <si>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</si>
  <si>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</si>
  <si>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</si>
  <si>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</si>
  <si>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</si>
  <si>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</si>
  <si>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</si>
  <si>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</si>
  <si>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</si>
  <si>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</si>
  <si>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</si>
  <si>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</si>
  <si>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</si>
  <si>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</si>
  <si>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</si>
  <si>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</si>
  <si>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</si>
  <si>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</si>
  <si>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</si>
  <si>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</si>
  <si>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</si>
  <si>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</si>
  <si>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</si>
  <si>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</si>
  <si>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</si>
  <si>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</si>
  <si>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</si>
  <si>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</si>
  <si>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</si>
  <si>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</si>
  <si>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</si>
  <si>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</si>
  <si>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</si>
  <si>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</si>
  <si>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</si>
  <si>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</si>
  <si>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</si>
  <si>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</si>
  <si>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</si>
  <si>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</si>
  <si>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</si>
  <si>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</si>
  <si>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</si>
  <si>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</si>
  <si>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</si>
  <si>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</si>
  <si>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</si>
  <si>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</si>
  <si>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</si>
  <si>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</si>
  <si>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</si>
  <si>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</si>
  <si>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</si>
  <si>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</si>
  <si>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</si>
  <si>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</si>
  <si>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</si>
  <si>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</si>
  <si>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</si>
  <si>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</si>
  <si>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</si>
  <si>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</si>
  <si>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</si>
  <si>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</si>
  <si>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</si>
  <si>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</si>
  <si>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</si>
  <si>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</si>
  <si>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</si>
  <si>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</si>
  <si>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</si>
  <si>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</si>
  <si>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</si>
  <si>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</si>
  <si>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</si>
  <si>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</si>
  <si>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</si>
  <si>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</si>
  <si>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</si>
  <si>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</si>
  <si>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</si>
  <si>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</si>
  <si>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</si>
  <si>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</si>
  <si>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</si>
  <si>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</si>
  <si>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</si>
  <si>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</si>
  <si>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</si>
  <si>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</si>
  <si>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</si>
  <si>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</si>
  <si>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</si>
  <si>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</si>
  <si>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</si>
  <si>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</si>
  <si>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</si>
  <si>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</si>
  <si>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</si>
  <si>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</si>
  <si>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</si>
  <si>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</si>
  <si>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</si>
  <si>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</si>
  <si>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</si>
  <si>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</si>
  <si>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</si>
  <si>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</si>
  <si>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</si>
  <si>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</si>
  <si>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</si>
  <si>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</si>
  <si>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</si>
  <si>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</si>
  <si>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</si>
  <si>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</si>
  <si>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</si>
  <si>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</si>
  <si>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</si>
  <si>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</si>
  <si>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</si>
  <si>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</si>
  <si>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</si>
  <si>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</si>
  <si>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</si>
  <si>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</si>
  <si>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</si>
  <si>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</si>
  <si>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</si>
  <si>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</si>
  <si>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</si>
  <si>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</si>
  <si>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</si>
  <si>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</si>
  <si>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</si>
  <si>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</si>
  <si>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</si>
  <si>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</si>
  <si>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</si>
  <si>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</si>
  <si>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</si>
  <si>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</si>
  <si>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</si>
  <si>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</si>
  <si>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</si>
  <si>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</si>
  <si>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</si>
  <si>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</si>
  <si>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</si>
  <si>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</si>
  <si>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</si>
  <si>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</si>
  <si>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</si>
  <si>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</si>
  <si>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</si>
  <si>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</si>
  <si>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</si>
  <si>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</si>
  <si>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</si>
  <si>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</si>
  <si>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</si>
  <si>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</si>
  <si>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</si>
  <si>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</si>
  <si>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</si>
  <si>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</si>
  <si>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</si>
  <si>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</si>
  <si>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</si>
  <si>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</si>
  <si>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</si>
  <si>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</si>
  <si>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</si>
  <si>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</si>
  <si>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</si>
  <si>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</si>
  <si>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</si>
  <si>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</si>
  <si>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</si>
  <si>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</si>
  <si>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</si>
  <si>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</si>
  <si>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</si>
  <si>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</si>
  <si>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</si>
  <si>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</si>
  <si>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</si>
  <si>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</si>
  <si>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</si>
  <si>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</si>
  <si>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</si>
  <si>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</si>
  <si>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</si>
  <si>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</si>
  <si>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</si>
  <si>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</si>
  <si>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</si>
  <si>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</si>
  <si>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</si>
  <si>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</si>
  <si>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</si>
  <si>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</si>
  <si>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</si>
  <si>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</si>
  <si>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</si>
  <si>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</si>
  <si>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</si>
  <si>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</si>
  <si>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</si>
  <si>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</si>
  <si>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</si>
  <si>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</si>
  <si>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</si>
  <si>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</si>
  <si>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</si>
  <si>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</si>
  <si>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</si>
  <si>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</si>
  <si>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</si>
  <si>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</si>
  <si>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</si>
  <si>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</si>
  <si>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</si>
  <si>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</si>
  <si>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</si>
  <si>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</si>
  <si>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</si>
  <si>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</si>
  <si>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</si>
  <si>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</si>
  <si>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</si>
  <si>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</si>
  <si>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</si>
  <si>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</si>
  <si>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</si>
  <si>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</si>
  <si>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</si>
  <si>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</si>
  <si>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</si>
  <si>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</si>
  <si>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</si>
  <si>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</si>
  <si>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</si>
  <si>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</si>
  <si>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</si>
  <si>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</si>
  <si>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</si>
  <si>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</si>
  <si>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</si>
  <si>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</si>
  <si>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</si>
  <si>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</si>
  <si>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</si>
  <si>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</si>
  <si>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</si>
  <si>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</si>
  <si>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</si>
  <si>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</si>
  <si>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</si>
  <si>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</si>
  <si>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</si>
  <si>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</si>
  <si>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</si>
  <si>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</si>
  <si>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</si>
  <si>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</si>
  <si>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</si>
  <si>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</si>
  <si>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</si>
  <si>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</si>
  <si>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</si>
  <si>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</si>
  <si>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</si>
  <si>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</si>
  <si>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</si>
  <si>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</si>
  <si>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</si>
  <si>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</si>
  <si>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</si>
  <si>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</si>
  <si>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</si>
  <si>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</si>
  <si>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</si>
  <si>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</si>
  <si>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</si>
  <si>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</si>
  <si>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</si>
  <si>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</si>
  <si>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</si>
  <si>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</si>
  <si>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</si>
  <si>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</si>
  <si>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</si>
  <si>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</si>
  <si>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</si>
  <si>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</si>
  <si>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</si>
  <si>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</si>
  <si>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</si>
  <si>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</si>
  <si>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</si>
  <si>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</si>
  <si>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</si>
  <si>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</si>
  <si>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</si>
  <si>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</si>
  <si>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</si>
  <si>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</si>
  <si>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</si>
  <si>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</si>
  <si>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</si>
  <si>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</si>
  <si>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</si>
  <si>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</si>
  <si>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</si>
  <si>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</si>
  <si>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</si>
  <si>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</si>
  <si>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</si>
  <si>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</si>
  <si>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</si>
  <si>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</si>
  <si>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</si>
  <si>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</si>
  <si>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</si>
  <si>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</si>
  <si>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</si>
  <si>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</si>
  <si>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</si>
  <si>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</si>
  <si>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</si>
  <si>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</si>
  <si>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</si>
  <si>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</si>
  <si>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</si>
  <si>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</si>
  <si>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</si>
  <si>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</si>
  <si>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</si>
  <si>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</si>
  <si>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</si>
  <si>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</si>
  <si>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</si>
  <si>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</si>
  <si>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</si>
  <si>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</si>
  <si>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</si>
  <si>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</si>
  <si>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</si>
  <si>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</si>
  <si>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</si>
  <si>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</si>
  <si>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</si>
  <si>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</si>
  <si>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</si>
  <si>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</si>
  <si>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</si>
  <si>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</si>
  <si>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</si>
  <si>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</si>
  <si>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</si>
  <si>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</si>
  <si>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</si>
  <si>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</si>
  <si>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</si>
  <si>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</si>
  <si>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</si>
  <si>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</si>
  <si>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</si>
  <si>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</si>
  <si>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</si>
  <si>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</si>
  <si>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</si>
  <si>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</si>
  <si>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</si>
  <si>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</si>
  <si>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</si>
  <si>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</si>
  <si>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</si>
  <si>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</si>
  <si>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</si>
  <si>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</si>
  <si>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</si>
  <si>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</si>
  <si>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</si>
  <si>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</si>
  <si>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</si>
  <si>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</si>
  <si>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</si>
  <si>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</si>
  <si>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</si>
  <si>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</si>
  <si>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</si>
  <si>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</si>
  <si>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</si>
  <si>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</si>
  <si>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</si>
  <si>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</si>
  <si>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</si>
  <si>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</si>
  <si>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</si>
  <si>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</si>
  <si>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</si>
  <si>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</si>
  <si>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</si>
  <si>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</si>
  <si>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</si>
  <si>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</si>
  <si>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</si>
  <si>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</si>
  <si>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</si>
  <si>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</si>
  <si>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</si>
  <si>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</si>
  <si>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</si>
  <si>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</si>
  <si>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</si>
  <si>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</si>
  <si>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</si>
  <si>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</si>
  <si>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</si>
  <si>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</si>
  <si>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</si>
  <si>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</si>
  <si>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</si>
  <si>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</si>
  <si>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</si>
  <si>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</si>
  <si>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</si>
  <si>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</si>
  <si>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</si>
  <si>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</si>
  <si>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</si>
  <si>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</si>
  <si>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</si>
  <si>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</si>
  <si>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</si>
  <si>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</si>
  <si>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</si>
  <si>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</si>
  <si>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</si>
  <si>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</si>
  <si>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</si>
  <si>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</si>
  <si>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</si>
  <si>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</si>
  <si>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</si>
  <si>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</si>
  <si>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</si>
  <si>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</si>
  <si>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</si>
  <si>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</si>
  <si>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</si>
  <si>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</si>
  <si>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</si>
  <si>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</si>
  <si>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</si>
  <si>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</si>
  <si>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</si>
  <si>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</si>
  <si>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</si>
  <si>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</si>
  <si>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</si>
  <si>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</si>
  <si>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</si>
  <si>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</si>
  <si>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</si>
  <si>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</si>
  <si>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</si>
  <si>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</si>
  <si>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</si>
  <si>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</si>
  <si>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</si>
  <si>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</si>
  <si>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</si>
  <si>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</si>
  <si>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</si>
  <si>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</si>
  <si>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</si>
  <si>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</si>
  <si>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</si>
  <si>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</si>
  <si>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</si>
  <si>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</si>
  <si>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</si>
  <si>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</si>
  <si>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</si>
  <si>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</si>
  <si>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</si>
  <si>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</si>
  <si>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</si>
  <si>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</si>
  <si>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</si>
  <si>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</si>
  <si>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</si>
  <si>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</si>
  <si>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</si>
  <si>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</si>
  <si>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</si>
  <si>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</si>
  <si>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</si>
  <si>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</si>
  <si>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</si>
  <si>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</si>
  <si>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</si>
  <si>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</si>
  <si>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</si>
  <si>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</si>
  <si>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</si>
  <si>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</si>
  <si>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</si>
  <si>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</si>
  <si>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</si>
  <si>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</si>
  <si>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</si>
  <si>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</si>
  <si>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</si>
  <si>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</si>
  <si>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</si>
  <si>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</si>
  <si>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</si>
  <si>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</si>
  <si>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</si>
  <si>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</si>
  <si>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</si>
  <si>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</si>
  <si>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</si>
  <si>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</si>
  <si>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</si>
  <si>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</si>
  <si>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</si>
  <si>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</si>
  <si>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</si>
  <si>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</si>
  <si>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</si>
  <si>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</si>
  <si>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</si>
  <si>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</si>
  <si>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</si>
  <si>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</si>
  <si>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</si>
  <si>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</si>
  <si>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</si>
  <si>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</si>
  <si>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</si>
  <si>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</si>
  <si>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</si>
  <si>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</si>
  <si>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</si>
  <si>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</si>
  <si>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</si>
  <si>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</si>
  <si>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</si>
  <si>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</si>
  <si>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</si>
  <si>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</si>
  <si>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</si>
  <si>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</si>
  <si>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</si>
  <si>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</si>
  <si>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</si>
  <si>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</si>
  <si>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</si>
  <si>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</si>
  <si>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</si>
  <si>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</si>
  <si>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</si>
  <si>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</si>
  <si>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</si>
  <si>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</si>
  <si>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</si>
  <si>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</si>
  <si>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</si>
  <si>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</si>
  <si>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</si>
  <si>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</si>
  <si>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</si>
  <si>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</si>
  <si>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</si>
  <si>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</si>
  <si>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</si>
  <si>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</si>
  <si>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</si>
  <si>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</si>
  <si>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</si>
  <si>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</si>
  <si>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</si>
  <si>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</si>
  <si>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</si>
  <si>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</si>
  <si>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</si>
  <si>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</si>
  <si>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</si>
  <si>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</si>
  <si>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</si>
  <si>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</si>
  <si>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</si>
  <si>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</si>
  <si>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</si>
  <si>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</si>
  <si>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</si>
  <si>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</si>
  <si>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</si>
  <si>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</si>
  <si>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</si>
  <si>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</si>
  <si>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</si>
  <si>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</si>
  <si>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</si>
  <si>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</si>
  <si>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</si>
  <si>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</si>
  <si>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</si>
  <si>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</si>
  <si>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</si>
  <si>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</si>
  <si>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</si>
  <si>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</si>
  <si>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</si>
  <si>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</si>
  <si>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</si>
  <si>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</si>
  <si>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</si>
  <si>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</si>
  <si>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</si>
  <si>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</si>
  <si>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</si>
  <si>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</si>
  <si>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</si>
  <si>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</si>
  <si>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</si>
  <si>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</si>
  <si>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</si>
  <si>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</si>
  <si>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</si>
  <si>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</si>
  <si>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</si>
  <si>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</si>
  <si>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</si>
  <si>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</si>
  <si>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</si>
  <si>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</si>
  <si>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</si>
  <si>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</si>
  <si>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</si>
  <si>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</si>
  <si>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</si>
  <si>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</si>
  <si>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</si>
  <si>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</si>
  <si>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</si>
  <si>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</si>
  <si>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</si>
  <si>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</si>
  <si>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</si>
  <si>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</si>
  <si>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</si>
  <si>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</si>
  <si>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</si>
  <si>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</si>
  <si>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</si>
  <si>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</si>
  <si>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</si>
  <si>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</si>
  <si>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</si>
  <si>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</si>
  <si>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</si>
  <si>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</si>
  <si>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</si>
  <si>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</si>
  <si>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</si>
  <si>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</si>
  <si>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</si>
  <si>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</si>
  <si>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</si>
  <si>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</si>
  <si>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</si>
  <si>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</si>
  <si>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</si>
  <si>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</si>
  <si>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</si>
  <si>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</si>
  <si>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</si>
  <si>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</si>
  <si>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</si>
  <si>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</si>
  <si>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</si>
  <si>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</si>
  <si>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</si>
  <si>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</si>
  <si>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</si>
  <si>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</si>
  <si>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</si>
  <si>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</si>
  <si>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</si>
  <si>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</si>
  <si>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</si>
  <si>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</si>
  <si>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</si>
  <si>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</si>
  <si>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</si>
  <si>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</si>
  <si>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</si>
  <si>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</si>
  <si>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</si>
  <si>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</si>
  <si>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</si>
  <si>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</si>
  <si>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</si>
  <si>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</si>
  <si>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</si>
  <si>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</si>
  <si>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</si>
  <si>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</si>
  <si>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</si>
  <si>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</si>
  <si>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</si>
  <si>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</si>
  <si>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</si>
  <si>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</si>
  <si>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</si>
  <si>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</si>
  <si>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</si>
  <si>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</si>
  <si>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</si>
  <si>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</si>
  <si>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</si>
  <si>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</si>
  <si>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</si>
  <si>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</si>
  <si>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</si>
  <si>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</si>
  <si>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</si>
  <si>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</si>
  <si>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</si>
  <si>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</si>
  <si>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</si>
  <si>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</si>
  <si>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</si>
  <si>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</si>
  <si>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</si>
  <si>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</si>
  <si>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</si>
  <si>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</si>
  <si>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</si>
  <si>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</si>
  <si>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</si>
  <si>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</si>
  <si>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</si>
  <si>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</si>
  <si>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</si>
  <si>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</si>
  <si>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</si>
  <si>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</si>
  <si>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</si>
  <si>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</si>
  <si>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</si>
  <si>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</si>
  <si>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</si>
  <si>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</si>
  <si>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</si>
  <si>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</si>
  <si>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</si>
  <si>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</si>
  <si>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</si>
  <si>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</si>
  <si>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</si>
  <si>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</si>
  <si>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</si>
  <si>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</si>
  <si>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</si>
  <si>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</si>
  <si>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</si>
  <si>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</si>
  <si>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</si>
  <si>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</si>
  <si>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</si>
  <si>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</si>
  <si>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</si>
  <si>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</si>
  <si>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</si>
  <si>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</si>
  <si>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</si>
  <si>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</si>
  <si>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</si>
  <si>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</si>
  <si>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</si>
  <si>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</si>
  <si>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</si>
  <si>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</si>
  <si>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</si>
  <si>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</si>
  <si>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</si>
  <si>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</si>
  <si>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</si>
  <si>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</si>
  <si>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</si>
  <si>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</si>
  <si>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</si>
  <si>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</si>
  <si>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</si>
  <si>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</si>
  <si>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</si>
  <si>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</si>
  <si>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</si>
  <si>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</si>
  <si>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</si>
  <si>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</si>
  <si>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</si>
  <si>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</si>
  <si>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</si>
  <si>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</si>
  <si>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</si>
  <si>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</si>
  <si>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</si>
  <si>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</si>
  <si>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</si>
  <si>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</si>
  <si>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</si>
  <si>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</si>
  <si>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</si>
  <si>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</si>
  <si>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</si>
  <si>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</si>
  <si>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</si>
  <si>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</si>
  <si>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</si>
  <si>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</si>
  <si>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</si>
  <si>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</si>
  <si>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</si>
  <si>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</si>
  <si>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</si>
  <si>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</si>
  <si>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</si>
  <si>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</si>
  <si>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</si>
  <si>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</si>
  <si>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</si>
  <si>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</si>
  <si>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</si>
  <si>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</si>
  <si>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</si>
  <si>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</si>
  <si>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</si>
  <si>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</si>
  <si>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</si>
  <si>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</si>
  <si>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</si>
  <si>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</si>
  <si>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</si>
  <si>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</si>
  <si>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</si>
  <si>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</si>
  <si>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</si>
  <si>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</si>
  <si>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</si>
  <si>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</si>
  <si>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</si>
  <si>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</si>
  <si>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</si>
  <si>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</si>
  <si>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</si>
  <si>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</si>
  <si>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</si>
  <si>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</si>
  <si>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</si>
  <si>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</si>
  <si>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</si>
  <si>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</si>
  <si>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</si>
  <si>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</si>
  <si>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</si>
  <si>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</si>
  <si>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</si>
  <si>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</si>
  <si>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</si>
  <si>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</si>
  <si>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</si>
  <si>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</si>
  <si>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</si>
  <si>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</si>
  <si>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</si>
  <si>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</si>
  <si>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</si>
  <si>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</si>
  <si>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</si>
  <si>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</si>
  <si>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</si>
  <si>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</si>
  <si>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</si>
  <si>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</si>
  <si>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</si>
  <si>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</si>
  <si>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</si>
  <si>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</si>
  <si>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</si>
  <si>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</si>
  <si>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</si>
  <si>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</si>
  <si>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</si>
  <si>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</si>
  <si>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</si>
  <si>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</si>
  <si>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</si>
  <si>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</si>
  <si>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</si>
  <si>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</si>
  <si>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</si>
  <si>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</si>
  <si>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</si>
  <si>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</si>
  <si>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</si>
  <si>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</si>
  <si>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</si>
  <si>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</si>
  <si>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</si>
  <si>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</si>
  <si>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</si>
  <si>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</si>
  <si>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</si>
  <si>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</si>
  <si>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</si>
  <si>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</si>
  <si>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</si>
  <si>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</si>
  <si>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</si>
  <si>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</si>
  <si>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</si>
  <si>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</si>
  <si>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</si>
  <si>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</si>
  <si>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</si>
  <si>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</si>
  <si>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</si>
  <si>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</si>
  <si>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</si>
  <si>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</si>
  <si>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</si>
  <si>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</si>
  <si>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</si>
  <si>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</si>
  <si>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</si>
  <si>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</si>
  <si>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</si>
  <si>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</si>
  <si>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</si>
  <si>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</si>
  <si>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</si>
  <si>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</si>
  <si>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</si>
  <si>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</si>
  <si>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</si>
  <si>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</si>
  <si>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</si>
  <si>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</si>
  <si>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</si>
  <si>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</si>
  <si>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</si>
  <si>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</si>
  <si>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</si>
  <si>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</si>
  <si>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</si>
  <si>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</si>
  <si>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</si>
  <si>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</si>
  <si>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</si>
  <si>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</si>
  <si>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</si>
  <si>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</si>
  <si>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</si>
  <si>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</si>
  <si>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</si>
  <si>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</si>
  <si>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</si>
  <si>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</si>
  <si>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</si>
  <si>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</si>
  <si>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</si>
  <si>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</si>
  <si>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</si>
  <si>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</si>
  <si>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</si>
  <si>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</si>
  <si>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</si>
  <si>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</si>
  <si>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</si>
  <si>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</si>
  <si>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</si>
  <si>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</si>
  <si>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</si>
  <si>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</si>
  <si>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</si>
  <si>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</si>
  <si>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</si>
  <si>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</si>
  <si>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</si>
  <si>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</si>
  <si>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</si>
  <si>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</si>
  <si>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</si>
  <si>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</si>
  <si>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</si>
  <si>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</si>
  <si>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</si>
  <si>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</si>
  <si>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</si>
  <si>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</si>
  <si>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</si>
  <si>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</si>
  <si>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</si>
  <si>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</si>
  <si>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</si>
  <si>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</si>
  <si>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</si>
  <si>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</si>
  <si>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</si>
  <si>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</si>
  <si>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</si>
  <si>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</si>
  <si>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</si>
  <si>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</si>
  <si>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</si>
  <si>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</si>
  <si>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</si>
  <si>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</si>
  <si>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</si>
  <si>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</si>
  <si>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</si>
  <si>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</si>
  <si>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</si>
  <si>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</si>
  <si>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</si>
  <si>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</si>
  <si>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</si>
  <si>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</si>
  <si>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</si>
  <si>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</si>
  <si>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</si>
  <si>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</si>
  <si>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</si>
  <si>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</si>
  <si>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</si>
  <si>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</si>
  <si>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</si>
  <si>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</si>
  <si>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</si>
  <si>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</si>
  <si>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</si>
  <si>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</si>
  <si>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</si>
  <si>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</si>
  <si>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</si>
  <si>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</si>
  <si>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</si>
  <si>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</si>
  <si>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</si>
  <si>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</si>
  <si>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</si>
  <si>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</si>
  <si>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</si>
  <si>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</si>
  <si>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</si>
  <si>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</si>
  <si>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</si>
  <si>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</si>
  <si>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</si>
  <si>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</si>
  <si>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</si>
  <si>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</si>
  <si>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</si>
  <si>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</si>
  <si>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</si>
  <si>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</si>
  <si>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</si>
  <si>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</si>
  <si>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</si>
  <si>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</si>
  <si>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</si>
  <si>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</si>
  <si>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</si>
  <si>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</si>
  <si>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</si>
  <si>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</si>
  <si>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</si>
  <si>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</si>
  <si>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</si>
  <si>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</si>
  <si>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</si>
  <si>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</si>
  <si>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</si>
  <si>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</si>
  <si>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</si>
  <si>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</si>
  <si>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</si>
  <si>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</si>
  <si>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</si>
  <si>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</si>
  <si>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</si>
  <si>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</si>
  <si>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</si>
  <si>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</si>
  <si>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</si>
  <si>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</si>
  <si>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</si>
  <si>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</si>
  <si>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</si>
  <si>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</si>
  <si>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</si>
  <si>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</si>
  <si>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</si>
  <si>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</si>
  <si>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</si>
  <si>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</si>
  <si>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</si>
  <si>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</si>
  <si>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</si>
  <si>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</si>
  <si>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</si>
  <si>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</si>
  <si>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</si>
  <si>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</si>
  <si>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</si>
  <si>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</si>
  <si>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</si>
  <si>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</si>
  <si>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</si>
  <si>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</si>
  <si>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</si>
  <si>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</si>
  <si>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</si>
  <si>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</si>
  <si>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</si>
  <si>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</si>
  <si>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</si>
  <si>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</si>
  <si>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</si>
  <si>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</si>
  <si>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</si>
  <si>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</si>
  <si>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</si>
  <si>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</si>
  <si>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</si>
  <si>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</si>
  <si>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</si>
  <si>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</si>
  <si>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</si>
  <si>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</si>
  <si>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</si>
  <si>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</si>
  <si>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</si>
  <si>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</si>
  <si>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</si>
  <si>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</si>
  <si>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</si>
  <si>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</si>
  <si>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</si>
  <si>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</si>
  <si>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</si>
  <si>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</si>
  <si>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</si>
  <si>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</si>
  <si>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</si>
  <si>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</si>
  <si>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</si>
  <si>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</si>
  <si>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</si>
  <si>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</si>
  <si>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</si>
  <si>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</si>
  <si>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</si>
  <si>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</si>
  <si>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</si>
  <si>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</si>
  <si>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</si>
  <si>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</si>
  <si>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</si>
  <si>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</si>
  <si>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</si>
  <si>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</si>
  <si>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</si>
  <si>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CBRS</t>
  </si>
  <si>
    <t>Shares</t>
  </si>
  <si>
    <t>Q326</t>
  </si>
  <si>
    <t>Q226</t>
  </si>
  <si>
    <t>SpaceX</t>
  </si>
  <si>
    <t>Anthropic</t>
  </si>
  <si>
    <t>OpenAI</t>
  </si>
  <si>
    <t>Link</t>
  </si>
  <si>
    <t>Glossar</t>
  </si>
  <si>
    <t>Books</t>
  </si>
  <si>
    <t>AWS</t>
  </si>
  <si>
    <t>Waymo</t>
  </si>
  <si>
    <t>Cruise</t>
  </si>
  <si>
    <t>iFlyTek</t>
  </si>
  <si>
    <t>002230 CH</t>
  </si>
  <si>
    <t>Nice (nice.com)</t>
  </si>
  <si>
    <t>SenseTime</t>
  </si>
  <si>
    <t>20 HK</t>
  </si>
  <si>
    <t>VAST Data</t>
  </si>
  <si>
    <t>Pony.ai</t>
  </si>
  <si>
    <t>Nuro</t>
  </si>
  <si>
    <t>Gong.io</t>
  </si>
  <si>
    <t>SSI</t>
  </si>
  <si>
    <t>Hugging Face</t>
  </si>
  <si>
    <t>UBTech Robotics</t>
  </si>
  <si>
    <t>Inflection AI</t>
  </si>
  <si>
    <t>C3</t>
  </si>
  <si>
    <t>4Paradigm</t>
  </si>
  <si>
    <t>Applied Intuition</t>
  </si>
  <si>
    <t>Dataiku</t>
  </si>
  <si>
    <t>MEGVII</t>
  </si>
  <si>
    <t>SymphonyAI</t>
  </si>
  <si>
    <t>Momenta</t>
  </si>
  <si>
    <t>Shield AI</t>
  </si>
  <si>
    <t>Uniphore (Jacada)</t>
  </si>
  <si>
    <t>Cohere</t>
  </si>
  <si>
    <t>Skydio</t>
  </si>
  <si>
    <t>Moveworks</t>
  </si>
  <si>
    <t>Character AI</t>
  </si>
  <si>
    <t>ElevenLabs</t>
  </si>
  <si>
    <t>Wayve</t>
  </si>
  <si>
    <t>Plus</t>
  </si>
  <si>
    <t>Xiaoice (fka Bombax)</t>
  </si>
  <si>
    <t>Hive (thehive.ai)</t>
  </si>
  <si>
    <t>Squirrel AI Learning</t>
  </si>
  <si>
    <t>SambaNova Systems</t>
  </si>
  <si>
    <t>EightFold AI</t>
  </si>
  <si>
    <t>ThoughtSpot</t>
  </si>
  <si>
    <t>Enflame</t>
  </si>
  <si>
    <t>Jasper</t>
  </si>
  <si>
    <t>Builder.ai</t>
  </si>
  <si>
    <t>Runway</t>
  </si>
  <si>
    <t>Paradox</t>
  </si>
  <si>
    <t>AI21 Labs</t>
  </si>
  <si>
    <t>Together AI (together.ai)</t>
  </si>
  <si>
    <t>Weights and Biases</t>
  </si>
  <si>
    <t>Tractable</t>
  </si>
  <si>
    <t>K Health</t>
  </si>
  <si>
    <t>Soterea</t>
  </si>
  <si>
    <t>Ada.cx (Toronto)</t>
  </si>
  <si>
    <t>Synthesia</t>
  </si>
  <si>
    <t>Stability AI</t>
  </si>
  <si>
    <t>Midjourney</t>
  </si>
  <si>
    <t>Adept AI</t>
  </si>
  <si>
    <t>Anyscale</t>
  </si>
  <si>
    <t>Typeface</t>
  </si>
  <si>
    <t>People.ai</t>
  </si>
  <si>
    <t>Glean</t>
  </si>
  <si>
    <t>Snorkel AI</t>
  </si>
  <si>
    <t>Tecton</t>
  </si>
  <si>
    <t>Deeproute</t>
  </si>
  <si>
    <t>Oosto (fka AnyVision)</t>
  </si>
  <si>
    <t>Parametrix AI</t>
  </si>
  <si>
    <t>Perplexity AI</t>
  </si>
  <si>
    <t>Vastai Technologies</t>
  </si>
  <si>
    <t>DeepL</t>
  </si>
  <si>
    <t>Observe.AI</t>
  </si>
  <si>
    <t>OpenSpace</t>
  </si>
  <si>
    <t>Shift Technology</t>
  </si>
  <si>
    <t>Labelbox</t>
  </si>
  <si>
    <t>Meero</t>
  </si>
  <si>
    <t>OctoML</t>
  </si>
  <si>
    <t>Pinecone</t>
  </si>
  <si>
    <t>Groq</t>
  </si>
  <si>
    <t>Weka</t>
  </si>
  <si>
    <t>Dataminr</t>
  </si>
  <si>
    <t>Descript</t>
  </si>
  <si>
    <t>Aisera</t>
  </si>
  <si>
    <t>Datarobot</t>
  </si>
  <si>
    <t>Domino Data Lab</t>
  </si>
  <si>
    <t>Path Robotics</t>
  </si>
  <si>
    <t>ContractpodAI</t>
  </si>
  <si>
    <t>Primer</t>
  </si>
  <si>
    <t>Digits</t>
  </si>
  <si>
    <t>Covariant</t>
  </si>
  <si>
    <t>Vianai</t>
  </si>
  <si>
    <t>Petuum</t>
  </si>
  <si>
    <t>Supremind</t>
  </si>
  <si>
    <t>Zhipu</t>
  </si>
  <si>
    <t>AMP Robotics</t>
  </si>
  <si>
    <t>H2O.ai</t>
  </si>
  <si>
    <t>ArteraAI (artera.ai)</t>
  </si>
  <si>
    <t>CloudFactory</t>
  </si>
  <si>
    <t>Rewind.ai</t>
  </si>
  <si>
    <t>Ada Health</t>
  </si>
  <si>
    <t>Sima.AI</t>
  </si>
  <si>
    <t>Voicemod</t>
  </si>
  <si>
    <t>Rossum</t>
  </si>
  <si>
    <t>Climavision</t>
  </si>
  <si>
    <t>Run:AI</t>
  </si>
  <si>
    <t>Relational.ai</t>
  </si>
  <si>
    <t>Cresta</t>
  </si>
  <si>
    <t>Helsing</t>
  </si>
  <si>
    <t>Akasa</t>
  </si>
  <si>
    <t>PolyAI</t>
  </si>
  <si>
    <t>Tome</t>
  </si>
  <si>
    <t>Abacus.AI</t>
  </si>
  <si>
    <t>Unlearn</t>
  </si>
  <si>
    <t>Replicate</t>
  </si>
  <si>
    <t>Fetch.ai</t>
  </si>
  <si>
    <t>Vedrai</t>
  </si>
  <si>
    <t>Infinitus Systems (infinitus.ai)</t>
  </si>
  <si>
    <t>Mistral AI</t>
  </si>
  <si>
    <t>Ascertain</t>
  </si>
  <si>
    <t>Ambi Robotics</t>
  </si>
  <si>
    <t>Gretel</t>
  </si>
  <si>
    <t>Comet</t>
  </si>
  <si>
    <t>Playground.ai</t>
  </si>
  <si>
    <t>Langchain</t>
  </si>
  <si>
    <t>Janitor AI</t>
  </si>
  <si>
    <t>D-ID.ai</t>
  </si>
  <si>
    <t>Reka</t>
  </si>
  <si>
    <t>Woebot Health</t>
  </si>
  <si>
    <t>Syllable</t>
  </si>
  <si>
    <t>GraphCore</t>
  </si>
  <si>
    <t>Artera (artera.io, Well Health)</t>
  </si>
  <si>
    <t>Skan.ai</t>
  </si>
  <si>
    <t>HarveyAI</t>
  </si>
  <si>
    <t>Weaviate</t>
  </si>
  <si>
    <t>Landing AI</t>
  </si>
  <si>
    <t>AssemblyAI</t>
  </si>
  <si>
    <t>Lightning AI</t>
  </si>
  <si>
    <t>AI Rudder</t>
  </si>
  <si>
    <t>Otter.ai</t>
  </si>
  <si>
    <t>Arthur</t>
  </si>
  <si>
    <t>Kumo.AI</t>
  </si>
  <si>
    <t>Fiddler AI</t>
  </si>
  <si>
    <t>d-Matrix</t>
  </si>
  <si>
    <t>Seekr Technologies</t>
  </si>
  <si>
    <t>Generally Intelligent</t>
  </si>
  <si>
    <t>Arize AI</t>
  </si>
  <si>
    <t>Mem</t>
  </si>
  <si>
    <t>Capacity</t>
  </si>
  <si>
    <t>Nabla</t>
  </si>
  <si>
    <t>Deci AI</t>
  </si>
  <si>
    <t>Aleph Alpha</t>
  </si>
  <si>
    <t>V7</t>
  </si>
  <si>
    <t>Inworld</t>
  </si>
  <si>
    <t>Magic (magic.dev)</t>
  </si>
  <si>
    <t>ExpressSteuer</t>
  </si>
  <si>
    <t>Datagen</t>
  </si>
  <si>
    <t>Merlyn Mind</t>
  </si>
  <si>
    <t>Unsupervised</t>
  </si>
  <si>
    <t>Curai Health</t>
  </si>
  <si>
    <t>Jina AI</t>
  </si>
  <si>
    <t>Modular</t>
  </si>
  <si>
    <t>Kili Technology</t>
  </si>
  <si>
    <t>John Snow Labs</t>
  </si>
  <si>
    <t>Rad AI</t>
  </si>
  <si>
    <t>The Applied AI Company</t>
  </si>
  <si>
    <t>Irreverant Labs</t>
  </si>
  <si>
    <t>Neo Cybernetica</t>
  </si>
  <si>
    <t>Keen Technologies</t>
  </si>
  <si>
    <t>AXON Networks</t>
  </si>
  <si>
    <t>Aiola</t>
  </si>
  <si>
    <t>Conjecture</t>
  </si>
  <si>
    <t>Eigen Technologies</t>
  </si>
  <si>
    <t>Exafunction</t>
  </si>
  <si>
    <t>Speak (usespeak.com) or speak.com?</t>
  </si>
  <si>
    <t>CLARA Analytics</t>
  </si>
  <si>
    <t>TruEra</t>
  </si>
  <si>
    <t>Workera</t>
  </si>
  <si>
    <t>Aporia</t>
  </si>
  <si>
    <t>Wizard</t>
  </si>
  <si>
    <t>Imagen</t>
  </si>
  <si>
    <t>Modal Labs</t>
  </si>
  <si>
    <t>Quantiphi</t>
  </si>
  <si>
    <t>Surge AI</t>
  </si>
  <si>
    <t>Upstage AI</t>
  </si>
  <si>
    <t>Hippocratic</t>
  </si>
  <si>
    <t>Predibase</t>
  </si>
  <si>
    <t>HumanSignal (fka Heartex)</t>
  </si>
  <si>
    <t>Aible</t>
  </si>
  <si>
    <t>Phaidra</t>
  </si>
  <si>
    <t>Protex AI</t>
  </si>
  <si>
    <t>Robust Intelligence</t>
  </si>
  <si>
    <t>Spicychat.ai</t>
  </si>
  <si>
    <t>NovelAI</t>
  </si>
  <si>
    <t>Nastia ai</t>
  </si>
  <si>
    <t>Anima ai (myanima.ai)</t>
  </si>
  <si>
    <t>Dreamily</t>
  </si>
  <si>
    <t>Chub.ai (chub.ai)</t>
  </si>
  <si>
    <t>Crushon.ai</t>
  </si>
  <si>
    <t>Chatfai</t>
  </si>
  <si>
    <t>Nr2</t>
  </si>
  <si>
    <t>Enlitic</t>
  </si>
  <si>
    <t>Writer (writer.com)</t>
  </si>
  <si>
    <t>Coiled</t>
  </si>
  <si>
    <t>Hebbia</t>
  </si>
  <si>
    <t>Outerbounds</t>
  </si>
  <si>
    <t>Superb AI</t>
  </si>
  <si>
    <t>Hyro</t>
  </si>
  <si>
    <t>Hour One</t>
  </si>
  <si>
    <t>Paravision</t>
  </si>
  <si>
    <t>hOS</t>
  </si>
  <si>
    <t>Spring Discovery</t>
  </si>
  <si>
    <t>Tonic</t>
  </si>
  <si>
    <t>Seldon</t>
  </si>
  <si>
    <t>Parallel Domain</t>
  </si>
  <si>
    <t>Replika</t>
  </si>
  <si>
    <t>Gantry</t>
  </si>
  <si>
    <t>Anyword</t>
  </si>
  <si>
    <t>Bardeen</t>
  </si>
  <si>
    <t>Mostly AI</t>
  </si>
  <si>
    <t>Axios HQ</t>
  </si>
  <si>
    <t>prezent.ai</t>
  </si>
  <si>
    <t>Wysa</t>
  </si>
  <si>
    <t>Utilidata</t>
  </si>
  <si>
    <t>HireEz</t>
  </si>
  <si>
    <t>Pieces</t>
  </si>
  <si>
    <t>Navina</t>
  </si>
  <si>
    <t>Relyance</t>
  </si>
  <si>
    <t>Pactum</t>
  </si>
  <si>
    <t>Wiz.ai</t>
  </si>
  <si>
    <t>Deepdub</t>
  </si>
  <si>
    <t>Daloopa</t>
  </si>
  <si>
    <t>Two Platforms (two.ai)</t>
  </si>
  <si>
    <t>Roboflow</t>
  </si>
  <si>
    <t>Rasgo</t>
  </si>
  <si>
    <t>Enchanted Tools</t>
  </si>
  <si>
    <t>Chroma</t>
  </si>
  <si>
    <t>Synthesis AI</t>
  </si>
  <si>
    <t>Alethea AI</t>
  </si>
  <si>
    <t>Torre</t>
  </si>
  <si>
    <t>WhyLabs</t>
  </si>
  <si>
    <t>Neural Magic</t>
  </si>
  <si>
    <t>Zuva</t>
  </si>
  <si>
    <t>Facet.ai</t>
  </si>
  <si>
    <t>Swapp</t>
  </si>
  <si>
    <t>EnCharge AI</t>
  </si>
  <si>
    <t>Ava</t>
  </si>
  <si>
    <t>Rain Neuromorphics</t>
  </si>
  <si>
    <t>ZeroEyes</t>
  </si>
  <si>
    <t>Essential AI</t>
  </si>
  <si>
    <t>Galileo</t>
  </si>
  <si>
    <t>Tabnine</t>
  </si>
  <si>
    <t>Noogata</t>
  </si>
  <si>
    <t>Regie.ai</t>
  </si>
  <si>
    <t>Botpress</t>
  </si>
  <si>
    <t>Spellbook (Rally)</t>
  </si>
  <si>
    <t>Xembly</t>
  </si>
  <si>
    <t>Abridge</t>
  </si>
  <si>
    <t>Gan.ai</t>
  </si>
  <si>
    <t>Tenyx</t>
  </si>
  <si>
    <t>Encord</t>
  </si>
  <si>
    <t>SuperAnnotate</t>
  </si>
  <si>
    <t>Graft</t>
  </si>
  <si>
    <t>Zowie</t>
  </si>
  <si>
    <t>Mind Foundry</t>
  </si>
  <si>
    <t>Haiper</t>
  </si>
  <si>
    <t>Hume AI</t>
  </si>
  <si>
    <t>Bridgewise</t>
  </si>
  <si>
    <t>Vectice</t>
  </si>
  <si>
    <t>Numbers Station</t>
  </si>
  <si>
    <t>Credo AI</t>
  </si>
  <si>
    <t>Voxel51</t>
  </si>
  <si>
    <t>Synthetaic</t>
  </si>
  <si>
    <t>Faros AI</t>
  </si>
  <si>
    <t>Paperspace</t>
  </si>
  <si>
    <t>Baseten</t>
  </si>
  <si>
    <t>LatticeFlow</t>
  </si>
  <si>
    <t>Fixie.ai</t>
  </si>
  <si>
    <t>CopyAI</t>
  </si>
  <si>
    <t>ClearML (fka Allegro AI)</t>
  </si>
  <si>
    <t>Lavender</t>
  </si>
  <si>
    <t>Rephrase.ai</t>
  </si>
  <si>
    <t>CodiumAI</t>
  </si>
  <si>
    <t>Robin AI</t>
  </si>
  <si>
    <t>Kinetix</t>
  </si>
  <si>
    <t>Capitol</t>
  </si>
  <si>
    <t>Wispr</t>
  </si>
  <si>
    <t>Copysmith</t>
  </si>
  <si>
    <t>Kogniz</t>
  </si>
  <si>
    <t>Wellsaid</t>
  </si>
  <si>
    <t>Ask-AI</t>
  </si>
  <si>
    <t>Wonder Dynamics</t>
  </si>
  <si>
    <t>Yembo</t>
  </si>
  <si>
    <t>One AI</t>
  </si>
  <si>
    <t>Vcat.ai (Pion)</t>
  </si>
  <si>
    <t>Hopsworks (Logical Clocks)</t>
  </si>
  <si>
    <t>Hidden Door</t>
  </si>
  <si>
    <t>Rosebud</t>
  </si>
  <si>
    <t>Kognitos</t>
  </si>
  <si>
    <t>Birdie</t>
  </si>
  <si>
    <t>Orby AI</t>
  </si>
  <si>
    <t>Telmai</t>
  </si>
  <si>
    <t>NinjaTech AI</t>
  </si>
  <si>
    <t>Kubiya.ai</t>
  </si>
  <si>
    <t>Dust</t>
  </si>
  <si>
    <t>Yoodli</t>
  </si>
  <si>
    <t>Mimica Automation</t>
  </si>
  <si>
    <t>Waymark</t>
  </si>
  <si>
    <t>DarwinAI</t>
  </si>
  <si>
    <t>Common Sense Machines</t>
  </si>
  <si>
    <t>Writesonic</t>
  </si>
  <si>
    <t>Workhack</t>
  </si>
  <si>
    <t>Booth AI</t>
  </si>
  <si>
    <t>Play.HT</t>
  </si>
  <si>
    <t>Voice AI</t>
  </si>
  <si>
    <t>Arithmer</t>
  </si>
  <si>
    <t>Koxy AI</t>
  </si>
  <si>
    <t>Supernormal</t>
  </si>
  <si>
    <t>MURF.AI</t>
  </si>
  <si>
    <t>Got It AI</t>
  </si>
  <si>
    <t>Docugami</t>
  </si>
  <si>
    <t>Glass Health</t>
  </si>
  <si>
    <t>SapientAI</t>
  </si>
  <si>
    <t>Autonomize AI</t>
  </si>
  <si>
    <t>Twosense.ai</t>
  </si>
  <si>
    <t>Fabi.ai</t>
  </si>
  <si>
    <t>Neptune AI</t>
  </si>
  <si>
    <t>Omneky</t>
  </si>
  <si>
    <t>OthersideAI</t>
  </si>
  <si>
    <t>norby.io</t>
  </si>
  <si>
    <t>Tymely</t>
  </si>
  <si>
    <t>Retrocausal</t>
  </si>
  <si>
    <t>Resemble.ai</t>
  </si>
  <si>
    <t>Consensus</t>
  </si>
  <si>
    <t>Pictory</t>
  </si>
  <si>
    <t>Datrics</t>
  </si>
  <si>
    <t>DeepMotion</t>
  </si>
  <si>
    <t>Intrinsic</t>
  </si>
  <si>
    <t>Bravo</t>
  </si>
  <si>
    <t>DL Software</t>
  </si>
  <si>
    <t>Mason</t>
  </si>
  <si>
    <t>Luminai</t>
  </si>
  <si>
    <t>Inceptive</t>
  </si>
  <si>
    <t>Fellow AI</t>
  </si>
  <si>
    <t>Lovo</t>
  </si>
  <si>
    <t>togetherAI</t>
  </si>
  <si>
    <t>Verta.ai</t>
  </si>
  <si>
    <t>Pirr.app</t>
  </si>
  <si>
    <t>Ada (ada.place, rental AI)</t>
  </si>
  <si>
    <t>RizzGPT (rizzgpt.app)</t>
  </si>
  <si>
    <t>Faraday.dev</t>
  </si>
  <si>
    <t>GooseAI</t>
  </si>
  <si>
    <t>Goose-AI</t>
  </si>
  <si>
    <t>Holo</t>
  </si>
  <si>
    <t>Chai (app, Chai Research Corp, Chai.ml)</t>
  </si>
  <si>
    <t>KoboldAI (Github)</t>
  </si>
  <si>
    <t>Agnaistic</t>
  </si>
  <si>
    <t>InferKit</t>
  </si>
  <si>
    <t>Rad AI (Santa Monica, CA)</t>
  </si>
  <si>
    <t>TextSynth</t>
  </si>
  <si>
    <t>ElevateAI</t>
  </si>
  <si>
    <t>Coachvox AI</t>
  </si>
  <si>
    <t>Sidney.ai</t>
  </si>
  <si>
    <t>Hemison.ai</t>
  </si>
  <si>
    <t>sudowrite</t>
  </si>
  <si>
    <t>Banana.dev</t>
  </si>
  <si>
    <t>Grit</t>
  </si>
  <si>
    <t>Censius</t>
  </si>
  <si>
    <t>https://course.fast.ai/Resources/book.html</t>
  </si>
  <si>
    <t>https://github.com/fastai/fastbook</t>
  </si>
  <si>
    <t>Courses</t>
  </si>
  <si>
    <t>https://www.youtube.com/playlist?list=PL_iWQOsE6TfVmKkQHucjPAoRtIJYt8a5A</t>
  </si>
  <si>
    <t>Cambricon Technologies</t>
  </si>
  <si>
    <t>688256.SS</t>
  </si>
  <si>
    <t>ABE</t>
  </si>
  <si>
    <t>CoreWeave</t>
  </si>
  <si>
    <t>CRBS</t>
  </si>
  <si>
    <t>Aurora Innovation</t>
  </si>
  <si>
    <t>AUR</t>
  </si>
  <si>
    <t>Mobileeye</t>
  </si>
  <si>
    <t>ISR</t>
  </si>
  <si>
    <t>PonyAI</t>
  </si>
  <si>
    <t>CHI</t>
  </si>
  <si>
    <t>SoundHoundAI</t>
  </si>
  <si>
    <t>AMSL</t>
  </si>
  <si>
    <t>SandDisk</t>
  </si>
  <si>
    <t>Seagate Tech</t>
  </si>
  <si>
    <t>DeepSeek</t>
  </si>
  <si>
    <t>Moonshot AI</t>
  </si>
  <si>
    <t>NBSE</t>
  </si>
  <si>
    <t>OpenRexr</t>
  </si>
  <si>
    <t>C3.Ai</t>
  </si>
  <si>
    <t>Arm Holdings</t>
  </si>
  <si>
    <t>Marvell Tech</t>
  </si>
  <si>
    <t>Palp Alto</t>
  </si>
  <si>
    <t>Thinking Machine Labs</t>
  </si>
  <si>
    <t>Safe Superintelligence</t>
  </si>
  <si>
    <t>Reka AI</t>
  </si>
  <si>
    <t>SPCX</t>
  </si>
  <si>
    <t>Q127</t>
  </si>
  <si>
    <t xml:space="preserve">Quantinuum </t>
  </si>
  <si>
    <t>QNT</t>
  </si>
  <si>
    <t>Bending Spoons</t>
  </si>
  <si>
    <t>FQ426</t>
  </si>
  <si>
    <t xml:space="preserve">Lime </t>
  </si>
  <si>
    <t>BSP</t>
  </si>
  <si>
    <t>ITA</t>
  </si>
  <si>
    <t>LIME</t>
  </si>
  <si>
    <t>Q227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</si>
</sst>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63" fillId="0" borderId="0" applyFill="0" applyBorder="0" applyAlignment="0" applyProtection="0"/>
    <xf numFmtId="0" fontId="47" fillId="0" borderId="0" applyNumberFormat="0" applyFill="0" applyBorder="0" applyAlignment="0" applyProtection="0"/>
    <xf numFmtId="0" fontId="48" fillId="0" borderId="4" applyNumberFormat="0" applyFill="0" applyAlignment="0" applyProtection="0"/>
    <xf numFmtId="0" fontId="49" fillId="0" borderId="5" applyNumberFormat="0" applyFill="0" applyAlignment="0" applyProtection="0"/>
    <xf numFmtId="0" fontId="50" fillId="0" borderId="6" applyNumberFormat="0" applyFill="0" applyAlignment="0" applyProtection="0"/>
    <xf numFmtId="0" fontId="50" fillId="0" borderId="0" applyNumberFormat="0" applyFill="0" applyBorder="0" applyAlignment="0" applyProtection="0"/>
    <xf numFmtId="0" fontId="51" fillId="3" borderId="0" applyNumberFormat="0" applyBorder="0" applyAlignment="0" applyProtection="0"/>
    <xf numFmtId="0" fontId="52" fillId="4" borderId="0" applyNumberFormat="0" applyBorder="0" applyAlignment="0" applyProtection="0"/>
    <xf numFmtId="0" fontId="53" fillId="5" borderId="0" applyNumberFormat="0" applyBorder="0" applyAlignment="0" applyProtection="0"/>
    <xf numFmtId="0" fontId="54" fillId="6" borderId="7" applyNumberFormat="0" applyAlignment="0" applyProtection="0"/>
    <xf numFmtId="0" fontId="55" fillId="7" borderId="8" applyNumberFormat="0" applyAlignment="0" applyProtection="0"/>
    <xf numFmtId="0" fontId="56" fillId="7" borderId="7" applyNumberFormat="0" applyAlignment="0" applyProtection="0"/>
    <xf numFmtId="0" fontId="57" fillId="0" borderId="9" applyNumberFormat="0" applyFill="0" applyAlignment="0" applyProtection="0"/>
    <xf numFmtId="0" fontId="58" fillId="8" borderId="10" applyNumberFormat="0" applyAlignment="0" applyProtection="0"/>
    <xf numFmtId="0" fontId="59" fillId="0" borderId="0" applyNumberFormat="0" applyFill="0" applyBorder="0" applyAlignment="0" applyProtection="0"/>
    <xf numFmtId="0" fontId="46" fillId="9" borderId="11" applyNumberFormat="0" applyFont="0" applyAlignment="0" applyProtection="0"/>
    <xf numFmtId="0" fontId="60" fillId="0" borderId="0" applyNumberFormat="0" applyFill="0" applyBorder="0" applyAlignment="0" applyProtection="0"/>
    <xf numFmtId="0" fontId="42" fillId="0" borderId="12" applyNumberFormat="0" applyFill="0" applyAlignment="0" applyProtection="0"/>
    <xf numFmtId="0" fontId="61" fillId="10" borderId="0" applyNumberFormat="0" applyBorder="0" applyAlignment="0" applyProtection="0"/>
    <xf numFmtId="0" fontId="46" fillId="11" borderId="0" applyNumberFormat="0" applyBorder="0" applyAlignment="0" applyProtection="0"/>
    <xf numFmtId="0" fontId="46" fillId="12" borderId="0" applyNumberFormat="0" applyBorder="0" applyAlignment="0" applyProtection="0"/>
    <xf numFmtId="0" fontId="46" fillId="13" borderId="0" applyNumberFormat="0" applyBorder="0" applyAlignment="0" applyProtection="0"/>
    <xf numFmtId="0" fontId="61" fillId="14" borderId="0" applyNumberFormat="0" applyBorder="0" applyAlignment="0" applyProtection="0"/>
    <xf numFmtId="0" fontId="46" fillId="15" borderId="0" applyNumberFormat="0" applyBorder="0" applyAlignment="0" applyProtection="0"/>
    <xf numFmtId="0" fontId="46" fillId="16" borderId="0" applyNumberFormat="0" applyBorder="0" applyAlignment="0" applyProtection="0"/>
    <xf numFmtId="0" fontId="46" fillId="17" borderId="0" applyNumberFormat="0" applyBorder="0" applyAlignment="0" applyProtection="0"/>
    <xf numFmtId="0" fontId="61" fillId="18" borderId="0" applyNumberFormat="0" applyBorder="0" applyAlignment="0" applyProtection="0"/>
    <xf numFmtId="0" fontId="46" fillId="19" borderId="0" applyNumberFormat="0" applyBorder="0" applyAlignment="0" applyProtection="0"/>
    <xf numFmtId="0" fontId="46" fillId="20" borderId="0" applyNumberFormat="0" applyBorder="0" applyAlignment="0" applyProtection="0"/>
    <xf numFmtId="0" fontId="46" fillId="21" borderId="0" applyNumberFormat="0" applyBorder="0" applyAlignment="0" applyProtection="0"/>
    <xf numFmtId="0" fontId="61" fillId="22" borderId="0" applyNumberFormat="0" applyBorder="0" applyAlignment="0" applyProtection="0"/>
    <xf numFmtId="0" fontId="46" fillId="23" borderId="0" applyNumberFormat="0" applyBorder="0" applyAlignment="0" applyProtection="0"/>
    <xf numFmtId="0" fontId="46" fillId="24" borderId="0" applyNumberFormat="0" applyBorder="0" applyAlignment="0" applyProtection="0"/>
    <xf numFmtId="0" fontId="46" fillId="25" borderId="0" applyNumberFormat="0" applyBorder="0" applyAlignment="0" applyProtection="0"/>
    <xf numFmtId="0" fontId="61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29" borderId="0" applyNumberFormat="0" applyBorder="0" applyAlignment="0" applyProtection="0"/>
    <xf numFmtId="0" fontId="61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3" borderId="0" applyNumberFormat="0" applyBorder="0" applyAlignment="0" applyProtection="0"/>
    <xf numFmtId="0" fontId="14" fillId="0" borderId="0"/>
    <xf numFmtId="0" fontId="46" fillId="0" borderId="0"/>
  </cellStyleXfs>
  <cellXfs count="75">
    <xf numFmtId="0" fontId="0" fillId="0" borderId="0" xfId="0"/>
    <xf numFmtId="0" fontId="43" fillId="0" borderId="0" xfId="0" applyFont="1"/>
    <xf numFmtId="0" fontId="44" fillId="0" borderId="0" xfId="0" applyFont="1"/>
    <xf numFmtId="0" fontId="45" fillId="0" borderId="0" xfId="0" applyFont="1"/>
    <xf numFmtId="0" fontId="41" fillId="0" borderId="0" xfId="0" applyFont="1"/>
    <xf numFmtId="0" fontId="41" fillId="0" borderId="0" xfId="0" applyFont="1" applyAlignment="1">
      <alignment horizontal="right"/>
    </xf>
    <xf numFmtId="0" fontId="62" fillId="0" borderId="0" xfId="0" applyFont="1"/>
    <xf numFmtId="0" fontId="44" fillId="2" borderId="1" xfId="0" applyFont="1" applyFill="1" applyBorder="1" applyAlignment="1">
      <alignment horizontal="center"/>
    </xf>
    <xf numFmtId="0" fontId="44" fillId="2" borderId="2" xfId="0" applyFont="1" applyFill="1" applyBorder="1"/>
    <xf numFmtId="0" fontId="44" fillId="2" borderId="2" xfId="0" applyFont="1" applyFill="1" applyBorder="1" applyAlignment="1">
      <alignment horizontal="center"/>
    </xf>
    <xf numFmtId="0" fontId="44" fillId="2" borderId="2" xfId="0" applyFont="1" applyFill="1" applyBorder="1" applyAlignment="1">
      <alignment horizontal="right"/>
    </xf>
    <xf numFmtId="0" fontId="41" fillId="2" borderId="3" xfId="0" applyFont="1" applyFill="1" applyBorder="1"/>
    <xf numFmtId="0" fontId="41" fillId="0" borderId="0" xfId="0" applyFont="1" applyAlignment="1">
      <alignment horizontal="center"/>
    </xf>
    <xf numFmtId="0" fontId="63" fillId="0" borderId="0" xfId="1"/>
    <xf numFmtId="164" fontId="41" fillId="0" borderId="0" xfId="0" applyNumberFormat="1" applyFont="1"/>
    <xf numFmtId="16" fontId="41" fillId="0" borderId="0" xfId="0" applyNumberFormat="1" applyFont="1"/>
    <xf numFmtId="0" fontId="64" fillId="0" borderId="0" xfId="0" applyFont="1"/>
    <xf numFmtId="0" fontId="41" fillId="0" borderId="0" xfId="0" quotePrefix="1" applyFont="1"/>
    <xf numFmtId="0" fontId="62" fillId="0" borderId="0" xfId="0" applyFont="1" applyAlignment="1">
      <alignment horizontal="right"/>
    </xf>
    <xf numFmtId="0" fontId="41" fillId="2" borderId="2" xfId="0" applyFont="1" applyFill="1" applyBorder="1"/>
    <xf numFmtId="0" fontId="44" fillId="2" borderId="3" xfId="0" applyFont="1" applyFill="1" applyBorder="1"/>
    <xf numFmtId="0" fontId="40" fillId="0" borderId="0" xfId="0" applyFont="1" applyAlignment="1">
      <alignment horizontal="right"/>
    </xf>
    <xf numFmtId="0" fontId="39" fillId="0" borderId="0" xfId="0" applyFont="1" applyAlignment="1">
      <alignment horizontal="right"/>
    </xf>
    <xf numFmtId="0" fontId="38" fillId="0" borderId="0" xfId="0" applyFont="1" applyAlignment="1">
      <alignment horizontal="right"/>
    </xf>
    <xf numFmtId="0" fontId="37" fillId="0" borderId="0" xfId="0" applyFont="1"/>
    <xf numFmtId="0" fontId="37" fillId="0" borderId="0" xfId="0" applyFont="1" applyAlignment="1">
      <alignment horizontal="right"/>
    </xf>
    <xf numFmtId="0" fontId="36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 applyAlignment="1">
      <alignment horizontal="right"/>
    </xf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164" fontId="32" fillId="0" borderId="0" xfId="0" applyNumberFormat="1" applyFont="1"/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7" fillId="0" borderId="0" xfId="0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/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18" fillId="0" borderId="0" xfId="0" applyFont="1"/>
    <xf numFmtId="0" fontId="17" fillId="0" borderId="0" xfId="0" applyFont="1"/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12" fillId="0" borderId="0" xfId="0" applyFont="1" applyAlignment="1">
      <alignment horizontal="center"/>
    </xf>
    <xf numFmtId="0" fontId="12" fillId="0" borderId="0" xfId="44" applyFont="1"/>
    <xf numFmtId="0" fontId="12" fillId="0" borderId="0" xfId="44" applyFont="1" applyAlignment="1">
      <alignment horizontal="center"/>
    </xf>
    <xf numFmtId="0" fontId="44" fillId="0" borderId="0" xfId="44" applyFont="1"/>
    <xf numFmtId="0" fontId="44" fillId="0" borderId="0" xfId="44" applyFont="1" applyAlignment="1">
      <alignment horizontal="center"/>
    </xf>
    <xf numFmtId="0" fontId="65" fillId="0" borderId="0" xfId="44" applyFont="1"/>
    <xf numFmtId="0" fontId="65" fillId="0" borderId="0" xfId="44" applyFont="1" applyAlignment="1">
      <alignment horizontal="center"/>
    </xf>
    <xf numFmtId="3" fontId="12" fillId="0" borderId="0" xfId="44" applyNumberFormat="1" applyFont="1" applyAlignment="1">
      <alignment horizontal="right"/>
    </xf>
    <xf numFmtId="0" fontId="12" fillId="0" borderId="0" xfId="43" applyFont="1"/>
    <xf numFmtId="0" fontId="11" fillId="0" borderId="0" xfId="0" applyFont="1"/>
    <xf numFmtId="0" fontId="10" fillId="0" borderId="0" xfId="0" applyFont="1" applyAlignment="1">
      <alignment horizontal="right"/>
    </xf>
    <xf numFmtId="0" fontId="9" fillId="0" borderId="0" xfId="0" applyFont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16" fontId="4" fillId="0" borderId="0" xfId="0" applyNumberFormat="1" applyFont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4" xr:uid="{D2919AD1-436A-4B1E-967A-C57DB758254C}"/>
    <cellStyle name="Normal 3" xfId="43" xr:uid="{2581BC2D-B881-4A18-BF21-93A904FE738B}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63" Type="http://schemas.openxmlformats.org/officeDocument/2006/relationships/externalLink" Target="externalLinks/externalLink52.xml"/><Relationship Id="rId68" Type="http://schemas.openxmlformats.org/officeDocument/2006/relationships/externalLink" Target="externalLinks/externalLink57.xml"/><Relationship Id="rId84" Type="http://schemas.openxmlformats.org/officeDocument/2006/relationships/externalLink" Target="externalLinks/externalLink73.xml"/><Relationship Id="rId89" Type="http://schemas.openxmlformats.org/officeDocument/2006/relationships/externalLink" Target="externalLinks/externalLink78.xml"/><Relationship Id="rId112" Type="http://schemas.openxmlformats.org/officeDocument/2006/relationships/sharedStrings" Target="sharedStrings.xml"/><Relationship Id="rId16" Type="http://schemas.openxmlformats.org/officeDocument/2006/relationships/externalLink" Target="externalLinks/externalLink5.xml"/><Relationship Id="rId107" Type="http://schemas.openxmlformats.org/officeDocument/2006/relationships/externalLink" Target="externalLinks/externalLink9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74" Type="http://schemas.openxmlformats.org/officeDocument/2006/relationships/externalLink" Target="externalLinks/externalLink63.xml"/><Relationship Id="rId79" Type="http://schemas.openxmlformats.org/officeDocument/2006/relationships/externalLink" Target="externalLinks/externalLink68.xml"/><Relationship Id="rId102" Type="http://schemas.openxmlformats.org/officeDocument/2006/relationships/externalLink" Target="externalLinks/externalLink91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9.xml"/><Relationship Id="rId95" Type="http://schemas.openxmlformats.org/officeDocument/2006/relationships/externalLink" Target="externalLinks/externalLink84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64" Type="http://schemas.openxmlformats.org/officeDocument/2006/relationships/externalLink" Target="externalLinks/externalLink53.xml"/><Relationship Id="rId69" Type="http://schemas.openxmlformats.org/officeDocument/2006/relationships/externalLink" Target="externalLinks/externalLink58.xml"/><Relationship Id="rId113" Type="http://schemas.openxmlformats.org/officeDocument/2006/relationships/calcChain" Target="calcChain.xml"/><Relationship Id="rId80" Type="http://schemas.openxmlformats.org/officeDocument/2006/relationships/externalLink" Target="externalLinks/externalLink69.xml"/><Relationship Id="rId85" Type="http://schemas.openxmlformats.org/officeDocument/2006/relationships/externalLink" Target="externalLinks/externalLink74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59" Type="http://schemas.openxmlformats.org/officeDocument/2006/relationships/externalLink" Target="externalLinks/externalLink48.xml"/><Relationship Id="rId103" Type="http://schemas.openxmlformats.org/officeDocument/2006/relationships/externalLink" Target="externalLinks/externalLink92.xml"/><Relationship Id="rId108" Type="http://schemas.openxmlformats.org/officeDocument/2006/relationships/externalLink" Target="externalLinks/externalLink97.xml"/><Relationship Id="rId54" Type="http://schemas.openxmlformats.org/officeDocument/2006/relationships/externalLink" Target="externalLinks/externalLink43.xml"/><Relationship Id="rId70" Type="http://schemas.openxmlformats.org/officeDocument/2006/relationships/externalLink" Target="externalLinks/externalLink59.xml"/><Relationship Id="rId75" Type="http://schemas.openxmlformats.org/officeDocument/2006/relationships/externalLink" Target="externalLinks/externalLink64.xml"/><Relationship Id="rId91" Type="http://schemas.openxmlformats.org/officeDocument/2006/relationships/externalLink" Target="externalLinks/externalLink80.xml"/><Relationship Id="rId96" Type="http://schemas.openxmlformats.org/officeDocument/2006/relationships/externalLink" Target="externalLinks/externalLink8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6" Type="http://schemas.openxmlformats.org/officeDocument/2006/relationships/externalLink" Target="externalLinks/externalLink9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externalLink" Target="externalLinks/externalLink54.xml"/><Relationship Id="rId73" Type="http://schemas.openxmlformats.org/officeDocument/2006/relationships/externalLink" Target="externalLinks/externalLink62.xml"/><Relationship Id="rId78" Type="http://schemas.openxmlformats.org/officeDocument/2006/relationships/externalLink" Target="externalLinks/externalLink67.xml"/><Relationship Id="rId81" Type="http://schemas.openxmlformats.org/officeDocument/2006/relationships/externalLink" Target="externalLinks/externalLink70.xml"/><Relationship Id="rId86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83.xml"/><Relationship Id="rId99" Type="http://schemas.openxmlformats.org/officeDocument/2006/relationships/externalLink" Target="externalLinks/externalLink88.xml"/><Relationship Id="rId101" Type="http://schemas.openxmlformats.org/officeDocument/2006/relationships/externalLink" Target="externalLinks/externalLink9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Relationship Id="rId109" Type="http://schemas.openxmlformats.org/officeDocument/2006/relationships/externalLink" Target="externalLinks/externalLink98.xml"/><Relationship Id="rId34" Type="http://schemas.openxmlformats.org/officeDocument/2006/relationships/externalLink" Target="externalLinks/externalLink23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6" Type="http://schemas.openxmlformats.org/officeDocument/2006/relationships/externalLink" Target="externalLinks/externalLink65.xml"/><Relationship Id="rId97" Type="http://schemas.openxmlformats.org/officeDocument/2006/relationships/externalLink" Target="externalLinks/externalLink86.xml"/><Relationship Id="rId104" Type="http://schemas.openxmlformats.org/officeDocument/2006/relationships/externalLink" Target="externalLinks/externalLink9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0.xml"/><Relationship Id="rId92" Type="http://schemas.openxmlformats.org/officeDocument/2006/relationships/externalLink" Target="externalLinks/externalLink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8.xml"/><Relationship Id="rId24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55.xml"/><Relationship Id="rId87" Type="http://schemas.openxmlformats.org/officeDocument/2006/relationships/externalLink" Target="externalLinks/externalLink76.xml"/><Relationship Id="rId110" Type="http://schemas.openxmlformats.org/officeDocument/2006/relationships/theme" Target="theme/theme1.xml"/><Relationship Id="rId61" Type="http://schemas.openxmlformats.org/officeDocument/2006/relationships/externalLink" Target="externalLinks/externalLink50.xml"/><Relationship Id="rId82" Type="http://schemas.openxmlformats.org/officeDocument/2006/relationships/externalLink" Target="externalLinks/externalLink71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45.xml"/><Relationship Id="rId77" Type="http://schemas.openxmlformats.org/officeDocument/2006/relationships/externalLink" Target="externalLinks/externalLink66.xml"/><Relationship Id="rId100" Type="http://schemas.openxmlformats.org/officeDocument/2006/relationships/externalLink" Target="externalLinks/externalLink89.xml"/><Relationship Id="rId105" Type="http://schemas.openxmlformats.org/officeDocument/2006/relationships/externalLink" Target="externalLinks/externalLink9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72" Type="http://schemas.openxmlformats.org/officeDocument/2006/relationships/externalLink" Target="externalLinks/externalLink61.xml"/><Relationship Id="rId93" Type="http://schemas.openxmlformats.org/officeDocument/2006/relationships/externalLink" Target="externalLinks/externalLink82.xml"/><Relationship Id="rId98" Type="http://schemas.openxmlformats.org/officeDocument/2006/relationships/externalLink" Target="externalLinks/externalLink87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35.xml"/><Relationship Id="rId67" Type="http://schemas.openxmlformats.org/officeDocument/2006/relationships/externalLink" Target="externalLinks/externalLink56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62" Type="http://schemas.openxmlformats.org/officeDocument/2006/relationships/externalLink" Target="externalLinks/externalLink51.xml"/><Relationship Id="rId83" Type="http://schemas.openxmlformats.org/officeDocument/2006/relationships/externalLink" Target="externalLinks/externalLink72.xml"/><Relationship Id="rId88" Type="http://schemas.openxmlformats.org/officeDocument/2006/relationships/externalLink" Target="externalLinks/externalLink77.xml"/><Relationship Id="rId111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CX.xlsx" TargetMode="External"/><Relationship Id="rId2" Type="http://schemas.openxmlformats.org/officeDocument/2006/relationships/externalLinkPath" Target="file:///E:\1.Finance\Anaylsen\Models\SPCX.xlsx" TargetMode="External"/><Relationship Id="rId1" Type="http://schemas.openxmlformats.org/officeDocument/2006/relationships/externalLinkPath" Target="/1.Finance/Anaylsen/Models/SPCX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BRS.xlsx" TargetMode="External"/><Relationship Id="rId2" Type="http://schemas.openxmlformats.org/officeDocument/2006/relationships/externalLinkPath" Target="file:///E:\1.Finance\Anaylsen\Models\CBRS.xlsx" TargetMode="External"/><Relationship Id="rId1" Type="http://schemas.openxmlformats.org/officeDocument/2006/relationships/externalLinkPath" Target="/1.Finance/Anaylsen/Models/CBRS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SP.xlsx" TargetMode="External"/><Relationship Id="rId2" Type="http://schemas.openxmlformats.org/officeDocument/2006/relationships/externalLinkPath" Target="file:///E:\1.Finance\Anaylsen\Models\BSP.xlsx" TargetMode="External"/><Relationship Id="rId1" Type="http://schemas.openxmlformats.org/officeDocument/2006/relationships/externalLinkPath" Target="/1.Finance/Anaylsen/Models/BSP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217.23</v>
          </cell>
        </row>
        <row r="4">
          <cell r="I4">
            <v>5275647.7799999993</v>
          </cell>
        </row>
        <row r="5">
          <cell r="I5">
            <v>80572</v>
          </cell>
        </row>
        <row r="6">
          <cell r="I6">
            <v>8470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405.1</v>
          </cell>
        </row>
        <row r="4">
          <cell r="H4">
            <v>3009258.8985904003</v>
          </cell>
        </row>
        <row r="5">
          <cell r="H5">
            <v>78272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283.95999999999998</v>
          </cell>
        </row>
        <row r="5">
          <cell r="H5">
            <v>4170621.6097599994</v>
          </cell>
        </row>
        <row r="6">
          <cell r="H6">
            <v>68507</v>
          </cell>
        </row>
        <row r="7">
          <cell r="H7">
            <v>82714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329.2</v>
          </cell>
        </row>
        <row r="4">
          <cell r="I4">
            <v>4000109.1999999997</v>
          </cell>
        </row>
        <row r="5">
          <cell r="I5">
            <v>242474</v>
          </cell>
        </row>
        <row r="6">
          <cell r="I6">
            <v>98165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257.5</v>
          </cell>
        </row>
        <row r="5">
          <cell r="I5">
            <v>2769955.6797700003</v>
          </cell>
        </row>
        <row r="6">
          <cell r="I6">
            <v>143089</v>
          </cell>
        </row>
        <row r="7">
          <cell r="I7">
            <v>119074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606.92999999999995</v>
          </cell>
        </row>
        <row r="4">
          <cell r="I4">
            <v>1540645.2558967199</v>
          </cell>
        </row>
        <row r="5">
          <cell r="I5">
            <v>81180</v>
          </cell>
        </row>
        <row r="6">
          <cell r="I6">
            <v>58748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166.83</v>
          </cell>
        </row>
        <row r="4">
          <cell r="K4">
            <v>2302254</v>
          </cell>
        </row>
        <row r="5">
          <cell r="K5">
            <v>24747</v>
          </cell>
        </row>
        <row r="6">
          <cell r="K6">
            <v>22896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1133.5</v>
          </cell>
        </row>
        <row r="4">
          <cell r="H4">
            <v>1280167.1366584999</v>
          </cell>
        </row>
        <row r="5">
          <cell r="H5">
            <v>26022</v>
          </cell>
        </row>
        <row r="6">
          <cell r="H6">
            <v>5722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352.05</v>
          </cell>
        </row>
        <row r="4">
          <cell r="K4">
            <v>1139585.8500000001</v>
          </cell>
        </row>
        <row r="5">
          <cell r="K5">
            <v>43524</v>
          </cell>
        </row>
        <row r="6">
          <cell r="K6">
            <v>9342</v>
          </cell>
        </row>
      </sheetData>
      <sheetData sheetId="1"/>
      <sheetData sheetId="2"/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385.02</v>
          </cell>
        </row>
        <row r="5">
          <cell r="G5">
            <v>1831763.5278339598</v>
          </cell>
        </row>
        <row r="6">
          <cell r="G6">
            <v>19628</v>
          </cell>
        </row>
        <row r="7">
          <cell r="G7">
            <v>64907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514.87</v>
          </cell>
        </row>
        <row r="4">
          <cell r="K4">
            <v>839547.35100192996</v>
          </cell>
        </row>
        <row r="5">
          <cell r="K5">
            <v>12337</v>
          </cell>
        </row>
        <row r="6">
          <cell r="K6">
            <v>3224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183.94</v>
          </cell>
        </row>
        <row r="5">
          <cell r="H5">
            <v>529379.31999999995</v>
          </cell>
        </row>
        <row r="6">
          <cell r="H6">
            <v>31894</v>
          </cell>
        </row>
        <row r="7">
          <cell r="H7">
            <v>122342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2290</v>
          </cell>
        </row>
        <row r="4">
          <cell r="H4">
            <v>59384280</v>
          </cell>
        </row>
        <row r="5">
          <cell r="H5">
            <v>3518013</v>
          </cell>
        </row>
        <row r="6">
          <cell r="H6">
            <v>982447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1537</v>
          </cell>
        </row>
        <row r="4">
          <cell r="H4">
            <v>590976.5</v>
          </cell>
        </row>
        <row r="5">
          <cell r="H5">
            <v>7581.5</v>
          </cell>
        </row>
        <row r="6">
          <cell r="H6">
            <v>1984.4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69.17</v>
          </cell>
        </row>
        <row r="5">
          <cell r="I5">
            <v>288019.70738892001</v>
          </cell>
        </row>
        <row r="6">
          <cell r="I6">
            <v>9127.91</v>
          </cell>
        </row>
        <row r="7">
          <cell r="I7">
            <v>14309.306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133.06</v>
          </cell>
        </row>
        <row r="5">
          <cell r="G5">
            <v>318986.33165962005</v>
          </cell>
        </row>
        <row r="6">
          <cell r="G6">
            <v>8026.4130000000005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111</v>
          </cell>
        </row>
        <row r="5">
          <cell r="J5">
            <v>1937593.7999999998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210.52</v>
          </cell>
        </row>
        <row r="4">
          <cell r="H4">
            <v>196103.43082584001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50.7</v>
          </cell>
        </row>
        <row r="4">
          <cell r="I4">
            <v>27269.090670900005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58.7</v>
          </cell>
        </row>
        <row r="4">
          <cell r="I4">
            <v>52066.9</v>
          </cell>
        </row>
        <row r="5">
          <cell r="I5">
            <v>11256</v>
          </cell>
        </row>
        <row r="6">
          <cell r="I6">
            <v>13400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107.58</v>
          </cell>
        </row>
        <row r="4">
          <cell r="H4">
            <v>48195.839999999997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4.42</v>
          </cell>
        </row>
        <row r="4">
          <cell r="I4">
            <v>7599.5650606200006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Patents"/>
    </sheetNames>
    <sheetDataSet>
      <sheetData sheetId="0">
        <row r="2">
          <cell r="L2">
            <v>204.45</v>
          </cell>
        </row>
        <row r="4">
          <cell r="L4">
            <v>46314.58332315</v>
          </cell>
        </row>
        <row r="5">
          <cell r="L5">
            <v>1716.0160000000001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35.5</v>
          </cell>
        </row>
        <row r="4">
          <cell r="J4">
            <v>22549.600000000002</v>
          </cell>
        </row>
        <row r="5">
          <cell r="J5">
            <v>629.94399999999996</v>
          </cell>
        </row>
        <row r="6">
          <cell r="J6">
            <v>2670.8819999999996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59.96</v>
          </cell>
        </row>
        <row r="4">
          <cell r="H4">
            <v>9165.7399503199995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89" Type="http://schemas.openxmlformats.org/officeDocument/2006/relationships/hyperlink" Target="..\Models\BSP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88" Type="http://schemas.openxmlformats.org/officeDocument/2006/relationships/hyperlink" Target="..\Models\SPCX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87" Type="http://schemas.openxmlformats.org/officeDocument/2006/relationships/hyperlink" Target="..\Models\CBRS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13" Type="http://schemas.openxmlformats.org/officeDocument/2006/relationships/hyperlink" Target="..\Models\CBRS.xlsx" TargetMode="External"/><Relationship Id="rId3" Type="http://schemas.openxmlformats.org/officeDocument/2006/relationships/hyperlink" Target="..\Models\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..\Models\ASML.xlsx" TargetMode="External"/><Relationship Id="rId2" Type="http://schemas.openxmlformats.org/officeDocument/2006/relationships/hyperlink" Target="..\Models\TXN.xlsx" TargetMode="External"/><Relationship Id="rId1" Type="http://schemas.openxmlformats.org/officeDocument/2006/relationships/hyperlink" Target="..\Models\NVDA.xlsx" TargetMode="External"/><Relationship Id="rId6" Type="http://schemas.openxmlformats.org/officeDocument/2006/relationships/hyperlink" Target="..\Models\AVGO.xlsx" TargetMode="External"/><Relationship Id="rId11" Type="http://schemas.openxmlformats.org/officeDocument/2006/relationships/hyperlink" Target="..\Models\QCOM.xlsx" TargetMode="External"/><Relationship Id="rId5" Type="http://schemas.openxmlformats.org/officeDocument/2006/relationships/hyperlink" Target="..\Models\TSM.xlsx" TargetMode="External"/><Relationship Id="rId15" Type="http://schemas.openxmlformats.org/officeDocument/2006/relationships/hyperlink" Target="..\Models\AMAT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..\Models\AMD.xlsx" TargetMode="External"/><Relationship Id="rId9" Type="http://schemas.openxmlformats.org/officeDocument/2006/relationships/hyperlink" Target="ENPH.xlsx" TargetMode="External"/><Relationship Id="rId14" Type="http://schemas.openxmlformats.org/officeDocument/2006/relationships/hyperlink" Target="..\Models\005930.KS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ai_glossary_v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43" activePane="bottomRight" state="frozen"/>
      <selection pane="topRight" activeCell="C1" sqref="C1"/>
      <selection pane="bottomLeft" activeCell="A3" sqref="A3"/>
      <selection pane="bottomRight" activeCell="J60" sqref="J60"/>
    </sheetView>
  </sheetViews>
  <sheetFormatPr defaultColWidth="8.85546875" defaultRowHeight="13.5" x14ac:dyDescent="0.25"/>
  <cols>
    <col min="1" max="1" width="5" style="6" customWidth="1"/>
    <col min="2" max="2" width="23" style="6" bestFit="1" customWidth="1"/>
    <col min="3" max="3" width="10.42578125" style="6" bestFit="1" customWidth="1"/>
    <col min="4" max="4" width="8.85546875" style="6"/>
    <col min="5" max="5" width="9" style="6" bestFit="1" customWidth="1"/>
    <col min="6" max="6" width="10.28515625" style="6" bestFit="1" customWidth="1"/>
    <col min="7" max="7" width="9.28515625" style="6" bestFit="1" customWidth="1"/>
    <col min="8" max="8" width="10.28515625" style="6" bestFit="1" customWidth="1"/>
    <col min="9" max="9" width="8.85546875" style="18"/>
    <col min="10" max="10" width="10.42578125" style="6" bestFit="1" customWidth="1"/>
    <col min="11" max="17" width="8.85546875" style="6"/>
    <col min="18" max="18" width="9" style="6" bestFit="1" customWidth="1"/>
    <col min="19" max="16384" width="8.85546875" style="6"/>
  </cols>
  <sheetData>
    <row r="1" spans="1:86" x14ac:dyDescent="0.25">
      <c r="A1" s="2" t="s">
        <v>30</v>
      </c>
      <c r="B1" s="4"/>
      <c r="C1" s="4"/>
      <c r="D1" s="4"/>
      <c r="E1" s="4"/>
      <c r="F1" s="4"/>
      <c r="G1" s="4"/>
      <c r="H1" s="4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</row>
    <row r="2" spans="1:86" x14ac:dyDescent="0.25">
      <c r="A2" s="4" t="s">
        <v>51</v>
      </c>
      <c r="B2" s="4"/>
      <c r="C2" s="4"/>
      <c r="D2" s="4"/>
      <c r="E2" s="4"/>
      <c r="F2" s="4"/>
      <c r="G2" s="4"/>
      <c r="H2" s="4"/>
      <c r="I2" s="5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</row>
    <row r="3" spans="1:86" x14ac:dyDescent="0.25">
      <c r="A3" s="7" t="s">
        <v>54</v>
      </c>
      <c r="B3" s="8" t="s">
        <v>0</v>
      </c>
      <c r="C3" s="8" t="s">
        <v>1</v>
      </c>
      <c r="D3" s="8" t="s">
        <v>44</v>
      </c>
      <c r="E3" s="8" t="s">
        <v>2</v>
      </c>
      <c r="F3" s="9" t="s">
        <v>3</v>
      </c>
      <c r="G3" s="8" t="s">
        <v>4</v>
      </c>
      <c r="H3" s="9" t="s">
        <v>5</v>
      </c>
      <c r="I3" s="10" t="s">
        <v>2580</v>
      </c>
      <c r="J3" s="8" t="s">
        <v>38</v>
      </c>
      <c r="K3" s="8" t="s">
        <v>39</v>
      </c>
      <c r="L3" s="8" t="s">
        <v>40</v>
      </c>
      <c r="M3" s="8" t="s">
        <v>41</v>
      </c>
      <c r="N3" s="8" t="s">
        <v>42</v>
      </c>
      <c r="O3" s="8" t="s">
        <v>43</v>
      </c>
      <c r="P3" s="8" t="s">
        <v>432</v>
      </c>
      <c r="Q3" s="8" t="s">
        <v>52</v>
      </c>
      <c r="R3" s="8" t="s">
        <v>427</v>
      </c>
      <c r="S3" s="8" t="s">
        <v>426</v>
      </c>
      <c r="T3" s="11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</row>
    <row r="4" spans="1:86" x14ac:dyDescent="0.25">
      <c r="A4" s="12">
        <v>1</v>
      </c>
      <c r="B4" s="13" t="s">
        <v>8</v>
      </c>
      <c r="C4" s="4" t="s">
        <v>428</v>
      </c>
      <c r="D4" s="4" t="s">
        <v>45</v>
      </c>
      <c r="E4" s="14">
        <f>+[1]Main!$I$2</f>
        <v>217.23</v>
      </c>
      <c r="F4" s="14">
        <f>+[1]Main!$I$4</f>
        <v>5275647.7799999993</v>
      </c>
      <c r="G4" s="14">
        <f>+[1]Main!$I$6-[1]Main!$I$5</f>
        <v>-72102</v>
      </c>
      <c r="H4" s="14">
        <f>F4+G4</f>
        <v>5203545.7799999993</v>
      </c>
      <c r="I4" s="63" t="s">
        <v>3554</v>
      </c>
      <c r="J4" s="15">
        <v>46260</v>
      </c>
      <c r="K4" s="4"/>
      <c r="L4" s="4"/>
      <c r="M4" s="4"/>
      <c r="N4" s="4"/>
      <c r="O4" s="4"/>
      <c r="P4" s="4"/>
      <c r="Q4" s="4"/>
      <c r="R4" s="4">
        <v>1993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</row>
    <row r="5" spans="1:86" x14ac:dyDescent="0.25">
      <c r="A5" s="12">
        <f>+A4+1</f>
        <v>2</v>
      </c>
      <c r="B5" s="13" t="s">
        <v>6</v>
      </c>
      <c r="C5" s="4" t="s">
        <v>31</v>
      </c>
      <c r="D5" s="4" t="s">
        <v>45</v>
      </c>
      <c r="E5" s="14">
        <f>+[2]Main!$H$2</f>
        <v>405.1</v>
      </c>
      <c r="F5" s="14">
        <f>+[2]Main!$H$4</f>
        <v>3009258.8985904003</v>
      </c>
      <c r="G5" s="14">
        <f>+[2]Main!$H$6-[2]Main!$H$5</f>
        <v>-38010</v>
      </c>
      <c r="H5" s="14">
        <f>F5+G5</f>
        <v>2971248.8985904003</v>
      </c>
      <c r="I5" s="48" t="s">
        <v>3153</v>
      </c>
      <c r="J5" s="15">
        <v>46232</v>
      </c>
      <c r="K5" s="4"/>
      <c r="L5" s="4"/>
      <c r="M5" s="4"/>
      <c r="N5" s="4"/>
      <c r="O5" s="4"/>
      <c r="P5" s="4"/>
      <c r="Q5" s="4"/>
      <c r="R5" s="4">
        <v>1975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</row>
    <row r="6" spans="1:86" x14ac:dyDescent="0.25">
      <c r="A6" s="12">
        <f>+A5+1</f>
        <v>3</v>
      </c>
      <c r="B6" s="13" t="s">
        <v>7</v>
      </c>
      <c r="C6" s="4" t="s">
        <v>32</v>
      </c>
      <c r="D6" s="4" t="s">
        <v>45</v>
      </c>
      <c r="E6" s="14">
        <f>+[3]Main!$H$3</f>
        <v>283.95999999999998</v>
      </c>
      <c r="F6" s="14">
        <f>+[3]Main!$H$5</f>
        <v>4170621.6097599994</v>
      </c>
      <c r="G6" s="14">
        <f>+[3]Main!$H$6-[3]Main!$H$7</f>
        <v>-14207</v>
      </c>
      <c r="H6" s="14">
        <f t="shared" ref="H6:H17" si="0">F6+G6</f>
        <v>4156414.6097599994</v>
      </c>
      <c r="I6" s="49" t="s">
        <v>3154</v>
      </c>
      <c r="J6" s="15">
        <v>46233</v>
      </c>
      <c r="K6" s="16"/>
      <c r="L6" s="16"/>
      <c r="M6" s="16"/>
      <c r="N6" s="16"/>
      <c r="O6" s="16"/>
      <c r="P6" s="16"/>
      <c r="Q6" s="16"/>
      <c r="R6" s="4">
        <v>1976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</row>
    <row r="7" spans="1:86" x14ac:dyDescent="0.25">
      <c r="A7" s="12">
        <f>+A6+1</f>
        <v>4</v>
      </c>
      <c r="B7" s="13" t="s">
        <v>12</v>
      </c>
      <c r="C7" s="4" t="s">
        <v>34</v>
      </c>
      <c r="D7" s="4" t="s">
        <v>45</v>
      </c>
      <c r="E7" s="14">
        <f>+[4]Main!$I$2</f>
        <v>329.2</v>
      </c>
      <c r="F7" s="14">
        <f>+[4]Main!$I$4</f>
        <v>4000109.1999999997</v>
      </c>
      <c r="G7" s="14">
        <f>+[4]Main!$I$6-[4]Main!$I$5</f>
        <v>-144309</v>
      </c>
      <c r="H7" s="14">
        <f t="shared" si="0"/>
        <v>3855800.1999999997</v>
      </c>
      <c r="I7" s="73" t="s">
        <v>3154</v>
      </c>
      <c r="J7" s="15">
        <v>46323</v>
      </c>
      <c r="K7" s="4"/>
      <c r="L7" s="4"/>
      <c r="M7" s="4"/>
      <c r="N7" s="4"/>
      <c r="O7" s="4"/>
      <c r="P7" s="4"/>
      <c r="Q7" s="4"/>
      <c r="R7" s="4">
        <v>1998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</row>
    <row r="8" spans="1:86" x14ac:dyDescent="0.25">
      <c r="A8" s="12">
        <f t="shared" ref="A8" si="1">+A7+1</f>
        <v>5</v>
      </c>
      <c r="B8" s="13" t="s">
        <v>9</v>
      </c>
      <c r="C8" s="4" t="s">
        <v>33</v>
      </c>
      <c r="D8" s="4" t="s">
        <v>45</v>
      </c>
      <c r="E8" s="14">
        <f>+[5]Main!$I$3</f>
        <v>257.5</v>
      </c>
      <c r="F8" s="14">
        <f>+[5]Main!$I$5</f>
        <v>2769955.6797700003</v>
      </c>
      <c r="G8" s="14">
        <f>+[5]Main!$I$7-[5]Main!$I$6</f>
        <v>-24015</v>
      </c>
      <c r="H8" s="14">
        <f t="shared" si="0"/>
        <v>2745940.6797700003</v>
      </c>
      <c r="I8" s="48" t="s">
        <v>3144</v>
      </c>
      <c r="J8" s="15">
        <v>46233</v>
      </c>
      <c r="K8" s="4"/>
      <c r="L8" s="4"/>
      <c r="M8" s="4"/>
      <c r="N8" s="4"/>
      <c r="O8" s="4"/>
      <c r="P8" s="4"/>
      <c r="Q8" s="4"/>
      <c r="R8" s="4">
        <v>1994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</row>
    <row r="9" spans="1:86" x14ac:dyDescent="0.25">
      <c r="A9" s="12">
        <f t="shared" ref="A9:A73" si="2">+A8+1</f>
        <v>6</v>
      </c>
      <c r="B9" s="13" t="s">
        <v>11</v>
      </c>
      <c r="C9" s="4" t="s">
        <v>37</v>
      </c>
      <c r="D9" s="4" t="s">
        <v>45</v>
      </c>
      <c r="E9" s="14">
        <f>+[6]Main!$I$2</f>
        <v>606.92999999999995</v>
      </c>
      <c r="F9" s="14">
        <f>+[6]Main!$I$4</f>
        <v>1540645.2558967199</v>
      </c>
      <c r="G9" s="14">
        <f>+[6]Main!$I$6-[6]Main!$I$5</f>
        <v>-22432</v>
      </c>
      <c r="H9" s="14">
        <f t="shared" si="0"/>
        <v>1518213.2558967199</v>
      </c>
      <c r="I9" s="48" t="s">
        <v>3144</v>
      </c>
      <c r="J9" s="15">
        <v>46232</v>
      </c>
      <c r="K9" s="4"/>
      <c r="L9" s="4"/>
      <c r="M9" s="4"/>
      <c r="N9" s="4"/>
      <c r="O9" s="4"/>
      <c r="P9" s="4"/>
      <c r="Q9" s="4"/>
      <c r="R9" s="4">
        <v>2004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</row>
    <row r="10" spans="1:86" x14ac:dyDescent="0.25">
      <c r="A10" s="12">
        <f t="shared" si="2"/>
        <v>7</v>
      </c>
      <c r="B10" s="13" t="s">
        <v>3155</v>
      </c>
      <c r="C10" s="62" t="s">
        <v>3553</v>
      </c>
      <c r="D10" s="62" t="s">
        <v>45</v>
      </c>
      <c r="E10" s="14">
        <f>+[7]Main!$K$2</f>
        <v>166.83</v>
      </c>
      <c r="F10" s="14">
        <f>+[7]Main!$K$4</f>
        <v>2302254</v>
      </c>
      <c r="G10" s="14">
        <f>+[7]Main!$K$6-[7]Main!$K$5</f>
        <v>-1851</v>
      </c>
      <c r="H10" s="14">
        <f t="shared" si="0"/>
        <v>2300403</v>
      </c>
      <c r="I10" s="65" t="s">
        <v>3147</v>
      </c>
      <c r="J10" s="15">
        <v>46238</v>
      </c>
      <c r="K10" s="4"/>
      <c r="L10" s="4"/>
      <c r="M10" s="4"/>
      <c r="N10" s="4"/>
      <c r="O10" s="4"/>
      <c r="P10" s="4"/>
      <c r="Q10" s="4"/>
      <c r="R10" s="4">
        <v>2002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</row>
    <row r="11" spans="1:86" x14ac:dyDescent="0.25">
      <c r="A11" s="12">
        <f t="shared" si="2"/>
        <v>8</v>
      </c>
      <c r="B11" s="13" t="s">
        <v>93</v>
      </c>
      <c r="C11" s="4" t="s">
        <v>94</v>
      </c>
      <c r="D11" s="4" t="s">
        <v>45</v>
      </c>
      <c r="E11" s="14">
        <f>+[8]Main!$H$2</f>
        <v>1133.5</v>
      </c>
      <c r="F11" s="14">
        <f>+[8]Main!$H$4</f>
        <v>1280167.1366584999</v>
      </c>
      <c r="G11" s="14">
        <f>+[8]Main!$H$6-[8]Main!$H$5</f>
        <v>-20300</v>
      </c>
      <c r="H11" s="14">
        <f>+F11+G11</f>
        <v>1259867.1366584999</v>
      </c>
      <c r="I11" s="67" t="s">
        <v>3153</v>
      </c>
      <c r="J11" s="15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</row>
    <row r="12" spans="1:86" x14ac:dyDescent="0.25">
      <c r="A12" s="12">
        <f t="shared" si="2"/>
        <v>9</v>
      </c>
      <c r="B12" s="13" t="s">
        <v>14</v>
      </c>
      <c r="C12" s="4" t="s">
        <v>36</v>
      </c>
      <c r="D12" s="4" t="s">
        <v>45</v>
      </c>
      <c r="E12" s="14">
        <f>+[9]Main!$K$2</f>
        <v>352.05</v>
      </c>
      <c r="F12" s="14">
        <f>+[9]Main!$K$4</f>
        <v>1139585.8500000001</v>
      </c>
      <c r="G12" s="14">
        <f>+[9]Main!$K$6-[9]Main!$K$5</f>
        <v>-34182</v>
      </c>
      <c r="H12" s="14">
        <f t="shared" si="0"/>
        <v>1105403.8500000001</v>
      </c>
      <c r="I12" s="73" t="s">
        <v>3154</v>
      </c>
      <c r="J12" s="15">
        <v>46316</v>
      </c>
      <c r="K12" s="4"/>
      <c r="L12" s="4"/>
      <c r="M12" s="4"/>
      <c r="N12" s="4"/>
      <c r="O12" s="4"/>
      <c r="P12" s="4"/>
      <c r="Q12" s="4"/>
      <c r="R12" s="4">
        <v>2003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</row>
    <row r="13" spans="1:86" x14ac:dyDescent="0.25">
      <c r="A13" s="12">
        <f t="shared" si="2"/>
        <v>10</v>
      </c>
      <c r="B13" s="13" t="s">
        <v>10</v>
      </c>
      <c r="C13" s="4" t="s">
        <v>35</v>
      </c>
      <c r="D13" s="4" t="s">
        <v>45</v>
      </c>
      <c r="E13" s="14">
        <f>+[10]Main!$G$3</f>
        <v>385.02</v>
      </c>
      <c r="F13" s="14">
        <f>+[10]Main!$G$5</f>
        <v>1831763.5278339598</v>
      </c>
      <c r="G13" s="14">
        <f>+[10]Main!$G$7-[10]Main!$G$6</f>
        <v>45279</v>
      </c>
      <c r="H13" s="14">
        <f t="shared" si="0"/>
        <v>1877042.5278339598</v>
      </c>
      <c r="I13" s="66" t="s">
        <v>3154</v>
      </c>
      <c r="J13" s="15">
        <v>46268</v>
      </c>
      <c r="K13" s="4"/>
      <c r="L13" s="4"/>
      <c r="M13" s="4"/>
      <c r="N13" s="4"/>
      <c r="O13" s="4"/>
      <c r="P13" s="4"/>
      <c r="Q13" s="4"/>
      <c r="R13" s="4">
        <v>1991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</row>
    <row r="14" spans="1:86" x14ac:dyDescent="0.25">
      <c r="A14" s="12">
        <f t="shared" si="2"/>
        <v>11</v>
      </c>
      <c r="B14" s="13" t="s">
        <v>64</v>
      </c>
      <c r="C14" s="4" t="s">
        <v>64</v>
      </c>
      <c r="D14" s="4" t="s">
        <v>45</v>
      </c>
      <c r="E14" s="14">
        <f>+[11]Main!$K$2</f>
        <v>514.87</v>
      </c>
      <c r="F14" s="14">
        <f>+[11]Main!$K$4</f>
        <v>839547.35100192996</v>
      </c>
      <c r="G14" s="14">
        <f>+[11]Main!$K$6-[11]Main!$K$5</f>
        <v>-9113</v>
      </c>
      <c r="H14" s="14">
        <f>F14+G14</f>
        <v>830434.35100192996</v>
      </c>
      <c r="I14" s="66" t="s">
        <v>3144</v>
      </c>
      <c r="J14" s="15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</row>
    <row r="15" spans="1:86" x14ac:dyDescent="0.25">
      <c r="A15" s="12">
        <f t="shared" si="2"/>
        <v>12</v>
      </c>
      <c r="B15" s="13" t="s">
        <v>15</v>
      </c>
      <c r="C15" s="4" t="s">
        <v>57</v>
      </c>
      <c r="D15" s="4" t="s">
        <v>45</v>
      </c>
      <c r="E15" s="14">
        <f>+[12]Main!$H$3</f>
        <v>183.94</v>
      </c>
      <c r="F15" s="14">
        <f>+[12]Main!$H$5</f>
        <v>529379.31999999995</v>
      </c>
      <c r="G15" s="14">
        <f>+[12]Main!$H$7-[12]Main!$H$6</f>
        <v>90448</v>
      </c>
      <c r="H15" s="14">
        <f>F15+G15</f>
        <v>619827.31999999995</v>
      </c>
      <c r="I15" s="66" t="s">
        <v>3558</v>
      </c>
      <c r="J15" s="15">
        <v>46273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</row>
    <row r="16" spans="1:86" x14ac:dyDescent="0.25">
      <c r="A16" s="12">
        <f t="shared" si="2"/>
        <v>13</v>
      </c>
      <c r="B16" s="13" t="s">
        <v>13</v>
      </c>
      <c r="C16" s="4" t="s">
        <v>53</v>
      </c>
      <c r="D16" s="4" t="s">
        <v>1126</v>
      </c>
      <c r="E16" s="14">
        <f>+[13]Main!$H$2</f>
        <v>2290</v>
      </c>
      <c r="F16" s="14">
        <f>+[13]Main!$H$4*FX!C2</f>
        <v>1781528.4</v>
      </c>
      <c r="G16" s="14">
        <f>+([13]Main!$H$6-[13]Main!$H$5)*FX!C2</f>
        <v>-76066.98</v>
      </c>
      <c r="H16" s="14">
        <f t="shared" si="0"/>
        <v>1705461.42</v>
      </c>
      <c r="I16" s="70" t="s">
        <v>3154</v>
      </c>
      <c r="J16" s="15">
        <v>46310</v>
      </c>
      <c r="K16" s="4"/>
      <c r="L16" s="4"/>
      <c r="M16" s="4"/>
      <c r="N16" s="4"/>
      <c r="O16" s="4"/>
      <c r="P16" s="4"/>
      <c r="Q16" s="4"/>
      <c r="R16" s="4">
        <v>1987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</row>
    <row r="17" spans="1:86" x14ac:dyDescent="0.25">
      <c r="A17" s="12">
        <f t="shared" si="2"/>
        <v>14</v>
      </c>
      <c r="B17" s="13" t="s">
        <v>55</v>
      </c>
      <c r="C17" s="4" t="s">
        <v>56</v>
      </c>
      <c r="D17" s="4" t="s">
        <v>768</v>
      </c>
      <c r="E17" s="14">
        <f>+[14]Main!$G$2</f>
        <v>617.5</v>
      </c>
      <c r="F17" s="14">
        <f>+[14]Main!$G$5*FX!C3</f>
        <v>722248.25400000019</v>
      </c>
      <c r="G17" s="14">
        <f>+([14]Main!$G$7-[14]Main!$G$6)*FX!C3</f>
        <v>-18653.460000000003</v>
      </c>
      <c r="H17" s="14">
        <f t="shared" si="0"/>
        <v>703594.79400000023</v>
      </c>
      <c r="I17" s="44" t="s">
        <v>2708</v>
      </c>
      <c r="J17" s="15">
        <v>46099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</row>
    <row r="18" spans="1:86" x14ac:dyDescent="0.25">
      <c r="A18" s="12">
        <f t="shared" si="2"/>
        <v>15</v>
      </c>
      <c r="B18" s="13" t="s">
        <v>58</v>
      </c>
      <c r="C18" s="4" t="s">
        <v>58</v>
      </c>
      <c r="D18" s="4" t="s">
        <v>46</v>
      </c>
      <c r="E18" s="14">
        <f>+[15]Main!$H$2</f>
        <v>1537</v>
      </c>
      <c r="F18" s="14">
        <f>+[15]Main!$H$4*FX!C4</f>
        <v>602796.03</v>
      </c>
      <c r="G18" s="14">
        <f>+([15]Main!$H$6-[15]Main!$H$5)*FX!C4</f>
        <v>-5709.0420000000004</v>
      </c>
      <c r="H18" s="14">
        <f t="shared" ref="H18:H22" si="3">F18+G18</f>
        <v>597086.98800000001</v>
      </c>
      <c r="I18" s="70" t="s">
        <v>3154</v>
      </c>
      <c r="J18" s="71">
        <v>46309</v>
      </c>
      <c r="K18" s="4"/>
      <c r="L18" s="4"/>
      <c r="M18" s="4"/>
      <c r="N18" s="4"/>
      <c r="O18" s="4"/>
      <c r="P18" s="4"/>
      <c r="Q18" s="4"/>
      <c r="R18" s="4">
        <v>1984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</row>
    <row r="19" spans="1:86" x14ac:dyDescent="0.25">
      <c r="A19" s="12">
        <f t="shared" si="2"/>
        <v>16</v>
      </c>
      <c r="B19" s="13" t="s">
        <v>16</v>
      </c>
      <c r="C19" s="17" t="s">
        <v>60</v>
      </c>
      <c r="D19" s="4" t="s">
        <v>59</v>
      </c>
      <c r="E19" s="14">
        <f>+[16]Main!$J$2</f>
        <v>71500</v>
      </c>
      <c r="F19" s="14">
        <f>+[16]Main!$J$4*FX!C5</f>
        <v>285727.36377900001</v>
      </c>
      <c r="G19" s="14">
        <f>+([16]Main!$J$6-[16]Main!$J$5)*FX!C5</f>
        <v>-59763.892360000005</v>
      </c>
      <c r="H19" s="14">
        <f t="shared" si="3"/>
        <v>225963.47141900001</v>
      </c>
      <c r="I19" s="23" t="s">
        <v>2583</v>
      </c>
      <c r="J19" s="15">
        <v>45960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</row>
    <row r="20" spans="1:86" x14ac:dyDescent="0.25">
      <c r="A20" s="12">
        <f t="shared" si="2"/>
        <v>17</v>
      </c>
      <c r="B20" s="13" t="s">
        <v>17</v>
      </c>
      <c r="C20" s="4" t="s">
        <v>50</v>
      </c>
      <c r="D20" s="4" t="s">
        <v>45</v>
      </c>
      <c r="E20" s="14">
        <f>+[17]Main!$I$3</f>
        <v>69.17</v>
      </c>
      <c r="F20" s="14">
        <f>+[17]Main!$I$5</f>
        <v>288019.70738892001</v>
      </c>
      <c r="G20" s="14">
        <f>+[17]Main!$I$7-[17]Main!$I$6</f>
        <v>5181.3960000000006</v>
      </c>
      <c r="H20" s="14">
        <f t="shared" si="3"/>
        <v>293201.10338892002</v>
      </c>
      <c r="I20" s="72" t="s">
        <v>3154</v>
      </c>
      <c r="J20" s="15">
        <v>46315</v>
      </c>
      <c r="K20" s="4"/>
      <c r="L20" s="4"/>
      <c r="M20" s="4"/>
      <c r="N20" s="4"/>
      <c r="O20" s="4"/>
      <c r="P20" s="4"/>
      <c r="Q20" s="4"/>
      <c r="R20" s="4">
        <v>1997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</row>
    <row r="21" spans="1:86" x14ac:dyDescent="0.25">
      <c r="A21" s="12">
        <f t="shared" si="2"/>
        <v>18</v>
      </c>
      <c r="B21" s="13" t="s">
        <v>115</v>
      </c>
      <c r="C21" s="4" t="s">
        <v>116</v>
      </c>
      <c r="D21" s="4" t="s">
        <v>45</v>
      </c>
      <c r="E21" s="14">
        <f>+[18]Main!$G$3</f>
        <v>133.06</v>
      </c>
      <c r="F21" s="14">
        <f>+[18]Main!$G$5</f>
        <v>318986.33165962005</v>
      </c>
      <c r="G21" s="14">
        <f>+[18]Main!$G$7-[18]Main!$G$6</f>
        <v>-8026.4130000000005</v>
      </c>
      <c r="H21" s="14">
        <f t="shared" si="3"/>
        <v>310959.91865962005</v>
      </c>
      <c r="I21" s="51" t="s">
        <v>3144</v>
      </c>
      <c r="J21" s="15">
        <v>46237</v>
      </c>
      <c r="K21" s="4"/>
      <c r="L21" s="4"/>
      <c r="M21" s="4"/>
      <c r="N21" s="4"/>
      <c r="O21" s="4"/>
      <c r="P21" s="4"/>
      <c r="Q21" s="4"/>
      <c r="R21" s="4">
        <v>2003</v>
      </c>
      <c r="S21" s="4" t="s">
        <v>453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</row>
    <row r="22" spans="1:86" x14ac:dyDescent="0.25">
      <c r="A22" s="12">
        <f t="shared" si="2"/>
        <v>19</v>
      </c>
      <c r="B22" s="13" t="s">
        <v>61</v>
      </c>
      <c r="C22" s="4" t="s">
        <v>62</v>
      </c>
      <c r="D22" s="4" t="s">
        <v>768</v>
      </c>
      <c r="E22" s="14">
        <f>+[19]Main!$J$2</f>
        <v>111</v>
      </c>
      <c r="F22" s="14">
        <f>+[19]Main!$J$5*FX!C3</f>
        <v>271263.13199999998</v>
      </c>
      <c r="G22" s="14">
        <f>+([19]Main!$J$7-[19]Main!$J$6)*FX!C3</f>
        <v>-41909.560000000005</v>
      </c>
      <c r="H22" s="14">
        <f t="shared" si="3"/>
        <v>229353.57199999999</v>
      </c>
      <c r="I22" s="22" t="s">
        <v>3144</v>
      </c>
      <c r="J22" s="15">
        <v>45981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</row>
    <row r="23" spans="1:86" x14ac:dyDescent="0.25">
      <c r="A23" s="12">
        <f t="shared" si="2"/>
        <v>20</v>
      </c>
      <c r="B23" s="13" t="s">
        <v>20</v>
      </c>
      <c r="C23" s="4" t="s">
        <v>20</v>
      </c>
      <c r="D23" s="4" t="s">
        <v>47</v>
      </c>
      <c r="E23" s="14">
        <f>+[20]Main!$H$2</f>
        <v>237.8</v>
      </c>
      <c r="F23" s="14">
        <f>+[20]Main!$H$4*FX!C4</f>
        <v>282820.29599999997</v>
      </c>
      <c r="G23" s="14">
        <f>(+[20]Main!$H$6-[20]Main!$H$5)*FX!C4</f>
        <v>-812.94</v>
      </c>
      <c r="H23" s="14">
        <f t="shared" ref="H23:H34" si="4">F23+G23</f>
        <v>282007.35599999997</v>
      </c>
      <c r="I23" s="23" t="s">
        <v>2583</v>
      </c>
      <c r="J23" s="15">
        <v>45952</v>
      </c>
      <c r="K23" s="4"/>
      <c r="L23" s="4"/>
      <c r="M23" s="4"/>
      <c r="N23" s="4"/>
      <c r="O23" s="4"/>
      <c r="P23" s="4"/>
      <c r="Q23" s="4"/>
      <c r="R23" s="4">
        <v>1999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</row>
    <row r="24" spans="1:86" x14ac:dyDescent="0.25">
      <c r="A24" s="12">
        <f t="shared" si="2"/>
        <v>21</v>
      </c>
      <c r="B24" s="13" t="s">
        <v>19</v>
      </c>
      <c r="C24" s="4" t="s">
        <v>63</v>
      </c>
      <c r="D24" s="4" t="s">
        <v>45</v>
      </c>
      <c r="E24" s="14">
        <f>+[21]Main!$F$3</f>
        <v>246.6</v>
      </c>
      <c r="F24" s="14">
        <f>+[21]Main!$F$5</f>
        <v>234763.19999999998</v>
      </c>
      <c r="G24" s="14">
        <f>+[21]Main!$F$7-[21]Main!$F$6</f>
        <v>-6936</v>
      </c>
      <c r="H24" s="14">
        <f t="shared" si="4"/>
        <v>227827.19999999998</v>
      </c>
      <c r="I24" s="26" t="s">
        <v>2583</v>
      </c>
      <c r="J24" s="15">
        <v>45993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</row>
    <row r="25" spans="1:86" x14ac:dyDescent="0.25">
      <c r="A25" s="12">
        <f t="shared" si="2"/>
        <v>22</v>
      </c>
      <c r="B25" s="13" t="s">
        <v>18</v>
      </c>
      <c r="C25" s="4" t="s">
        <v>65</v>
      </c>
      <c r="D25" s="4" t="s">
        <v>45</v>
      </c>
      <c r="E25" s="14">
        <f>+[22]Main!$G$2</f>
        <v>349.25</v>
      </c>
      <c r="F25" s="14">
        <f>+[22]Main!$G$4</f>
        <v>148151.85</v>
      </c>
      <c r="G25" s="14">
        <f>+[22]Main!$G$6-[22]Main!$G$5</f>
        <v>260</v>
      </c>
      <c r="H25" s="14">
        <f t="shared" si="4"/>
        <v>148411.85</v>
      </c>
      <c r="I25" s="27" t="s">
        <v>2708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</row>
    <row r="26" spans="1:86" x14ac:dyDescent="0.25">
      <c r="A26" s="12">
        <f t="shared" si="2"/>
        <v>23</v>
      </c>
      <c r="B26" s="13" t="s">
        <v>22</v>
      </c>
      <c r="C26" s="4" t="s">
        <v>66</v>
      </c>
      <c r="D26" s="4" t="s">
        <v>45</v>
      </c>
      <c r="E26" s="14">
        <f>+[23]Main!$G$2</f>
        <v>67.2</v>
      </c>
      <c r="F26" s="14">
        <f>+[23]Main!$G$4</f>
        <v>265654.8352416</v>
      </c>
      <c r="G26" s="14">
        <f>+[23]Main!$G$6-[23]Main!$G$5</f>
        <v>11993</v>
      </c>
      <c r="H26" s="14">
        <f t="shared" si="4"/>
        <v>277647.8352416</v>
      </c>
      <c r="I26" s="33" t="s">
        <v>2707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</row>
    <row r="27" spans="1:86" x14ac:dyDescent="0.25">
      <c r="A27" s="12">
        <f t="shared" si="2"/>
        <v>24</v>
      </c>
      <c r="B27" s="13" t="s">
        <v>67</v>
      </c>
      <c r="C27" s="4" t="s">
        <v>68</v>
      </c>
      <c r="D27" s="4" t="s">
        <v>768</v>
      </c>
      <c r="E27" s="14">
        <f>+[24]Main!$I$2</f>
        <v>130.96</v>
      </c>
      <c r="F27" s="14">
        <f>+[24]Main!$I$5*FX!C3</f>
        <v>156332.59056749998</v>
      </c>
      <c r="G27" s="14">
        <f>+([24]Main!$I$7-[24]Main!$I$6)*FX!C3</f>
        <v>-53458.08986</v>
      </c>
      <c r="H27" s="14">
        <f t="shared" si="4"/>
        <v>102874.50070749997</v>
      </c>
      <c r="I27" s="38" t="s">
        <v>2583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</row>
    <row r="28" spans="1:86" x14ac:dyDescent="0.25">
      <c r="A28" s="12">
        <f t="shared" si="2"/>
        <v>25</v>
      </c>
      <c r="B28" s="13" t="s">
        <v>25</v>
      </c>
      <c r="C28" s="4" t="s">
        <v>25</v>
      </c>
      <c r="D28" s="4" t="s">
        <v>45</v>
      </c>
      <c r="E28" s="14">
        <f>+[25]Main!$H$2</f>
        <v>210.52</v>
      </c>
      <c r="F28" s="14">
        <f>+[25]Main!$H$4</f>
        <v>196103.43082584001</v>
      </c>
      <c r="G28" s="14">
        <f>+[25]Main!$H$6-[25]Main!$H$5</f>
        <v>48717</v>
      </c>
      <c r="H28" s="14">
        <f t="shared" si="4"/>
        <v>244820.43082584001</v>
      </c>
      <c r="I28" s="29" t="s">
        <v>2583</v>
      </c>
      <c r="J28" s="15">
        <v>45952</v>
      </c>
      <c r="K28" s="4"/>
      <c r="L28" s="4"/>
      <c r="M28" s="4"/>
      <c r="N28" s="4"/>
      <c r="O28" s="4"/>
      <c r="P28" s="4"/>
      <c r="Q28" s="4"/>
      <c r="R28" s="4"/>
      <c r="S28" s="4" t="s">
        <v>460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</row>
    <row r="29" spans="1:86" x14ac:dyDescent="0.25">
      <c r="A29" s="12">
        <f t="shared" si="2"/>
        <v>26</v>
      </c>
      <c r="B29" s="13" t="s">
        <v>21</v>
      </c>
      <c r="C29" s="4" t="s">
        <v>69</v>
      </c>
      <c r="D29" s="4" t="s">
        <v>45</v>
      </c>
      <c r="E29" s="14">
        <f>+[26]Main!$H$2</f>
        <v>171.39</v>
      </c>
      <c r="F29" s="14">
        <f>+[26]Main!$H$4</f>
        <v>184929.81</v>
      </c>
      <c r="G29" s="14">
        <f>+[26]Main!$H$6-[26]Main!$H$5</f>
        <v>4777</v>
      </c>
      <c r="H29" s="14">
        <f t="shared" si="4"/>
        <v>189706.81</v>
      </c>
      <c r="I29" s="33" t="s">
        <v>3145</v>
      </c>
      <c r="J29" s="4"/>
      <c r="K29" s="4"/>
      <c r="L29" s="4"/>
      <c r="M29" s="4"/>
      <c r="N29" s="4"/>
      <c r="O29" s="4"/>
      <c r="P29" s="4"/>
      <c r="Q29" s="4"/>
      <c r="R29" s="4">
        <v>1930</v>
      </c>
      <c r="S29" s="4" t="s">
        <v>459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</row>
    <row r="30" spans="1:86" x14ac:dyDescent="0.25">
      <c r="A30" s="12">
        <f t="shared" si="2"/>
        <v>27</v>
      </c>
      <c r="B30" s="13" t="s">
        <v>29</v>
      </c>
      <c r="C30" s="4" t="s">
        <v>106</v>
      </c>
      <c r="D30" s="4" t="s">
        <v>107</v>
      </c>
      <c r="E30" s="14">
        <f>+[27]Main!$I$2</f>
        <v>122.04</v>
      </c>
      <c r="F30" s="14">
        <f>+[27]Main!$I$4</f>
        <v>159153.75196092</v>
      </c>
      <c r="G30" s="14">
        <f>+[27]Main!$I$6-[27]Main!$I$5</f>
        <v>-4901</v>
      </c>
      <c r="H30" s="14">
        <f>+F30+G30</f>
        <v>154252.75196092</v>
      </c>
      <c r="I30" s="45" t="s">
        <v>3147</v>
      </c>
      <c r="J30" s="15">
        <v>46149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</row>
    <row r="31" spans="1:86" x14ac:dyDescent="0.25">
      <c r="A31" s="12">
        <f t="shared" si="2"/>
        <v>28</v>
      </c>
      <c r="B31" s="13" t="s">
        <v>23</v>
      </c>
      <c r="C31" s="4" t="s">
        <v>166</v>
      </c>
      <c r="D31" s="4" t="s">
        <v>45</v>
      </c>
      <c r="E31" s="14">
        <f>+[28]Main!$G$3</f>
        <v>182.49</v>
      </c>
      <c r="F31" s="14">
        <f>+[28]Main!$G$5</f>
        <v>165908.44197081</v>
      </c>
      <c r="G31" s="14">
        <f>+[28]Main!$G$7-[28]Main!$G$6</f>
        <v>8684</v>
      </c>
      <c r="H31" s="14">
        <f t="shared" si="4"/>
        <v>174592.44197081</v>
      </c>
      <c r="I31" s="32" t="s">
        <v>2583</v>
      </c>
      <c r="J31" s="4"/>
      <c r="K31" s="4"/>
      <c r="L31" s="4"/>
      <c r="M31" s="4"/>
      <c r="N31" s="4"/>
      <c r="O31" s="4"/>
      <c r="P31" s="4"/>
      <c r="Q31" s="4"/>
      <c r="R31" s="4">
        <v>2004</v>
      </c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</row>
    <row r="32" spans="1:86" x14ac:dyDescent="0.25">
      <c r="A32" s="12">
        <f t="shared" si="2"/>
        <v>29</v>
      </c>
      <c r="B32" s="13" t="s">
        <v>26</v>
      </c>
      <c r="C32" s="4" t="s">
        <v>70</v>
      </c>
      <c r="D32" s="4" t="s">
        <v>45</v>
      </c>
      <c r="E32" s="14">
        <f>+[29]Main!$H$3</f>
        <v>947.74</v>
      </c>
      <c r="F32" s="14">
        <f>+[29]Main!$H$5</f>
        <v>197129.92</v>
      </c>
      <c r="G32" s="14">
        <f>+[29]Main!$H$7-[29]Main!$H$6</f>
        <v>-4642</v>
      </c>
      <c r="H32" s="14">
        <f t="shared" si="4"/>
        <v>192487.92</v>
      </c>
      <c r="I32" s="37" t="s">
        <v>2583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</row>
    <row r="33" spans="1:86" x14ac:dyDescent="0.25">
      <c r="A33" s="12">
        <f t="shared" si="2"/>
        <v>30</v>
      </c>
      <c r="B33" s="13" t="s">
        <v>24</v>
      </c>
      <c r="C33" s="4" t="s">
        <v>71</v>
      </c>
      <c r="D33" s="4" t="s">
        <v>45</v>
      </c>
      <c r="E33" s="14">
        <f>+[30]Main!$I$2</f>
        <v>670.1</v>
      </c>
      <c r="F33" s="14">
        <f>+[30]Main!$I$4</f>
        <v>186827.23050000001</v>
      </c>
      <c r="G33" s="14">
        <f>+[30]Main!$I$6-[30]Main!$I$5</f>
        <v>6178</v>
      </c>
      <c r="H33" s="14">
        <f t="shared" si="4"/>
        <v>193005.23050000001</v>
      </c>
      <c r="I33" s="37" t="s">
        <v>3147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</row>
    <row r="34" spans="1:86" x14ac:dyDescent="0.25">
      <c r="A34" s="12">
        <f t="shared" si="2"/>
        <v>31</v>
      </c>
      <c r="B34" s="13" t="s">
        <v>72</v>
      </c>
      <c r="C34" s="4" t="s">
        <v>73</v>
      </c>
      <c r="D34" s="4" t="s">
        <v>45</v>
      </c>
      <c r="E34" s="14">
        <f>+[31]Main!$I$2</f>
        <v>225.73</v>
      </c>
      <c r="F34" s="14">
        <f>+[31]Main!$I$4</f>
        <v>179826.09504670999</v>
      </c>
      <c r="G34" s="14">
        <f>+[31]Main!$I$6-[31]Main!$I$5</f>
        <v>-2846</v>
      </c>
      <c r="H34" s="14">
        <f t="shared" si="4"/>
        <v>176980.09504670999</v>
      </c>
      <c r="I34" s="37" t="s">
        <v>3145</v>
      </c>
      <c r="J34" s="4"/>
      <c r="K34" s="4"/>
      <c r="L34" s="4"/>
      <c r="M34" s="4"/>
      <c r="N34" s="4"/>
      <c r="O34" s="4"/>
      <c r="P34" s="4"/>
      <c r="Q34" s="4"/>
      <c r="R34" s="4">
        <v>2009</v>
      </c>
      <c r="S34" s="4" t="s">
        <v>456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</row>
    <row r="35" spans="1:86" x14ac:dyDescent="0.25">
      <c r="A35" s="12">
        <f t="shared" si="2"/>
        <v>32</v>
      </c>
      <c r="B35" s="13" t="s">
        <v>74</v>
      </c>
      <c r="C35" s="4" t="s">
        <v>74</v>
      </c>
      <c r="D35" s="4" t="s">
        <v>45</v>
      </c>
      <c r="E35" s="14">
        <f>+[32]Main!$H$2</f>
        <v>75.69</v>
      </c>
      <c r="F35" s="14">
        <f>+[32]Main!$H$4</f>
        <v>155778.79875327001</v>
      </c>
      <c r="G35" s="14">
        <f>+[32]Main!$H$6-[32]Main!$H$5</f>
        <v>2888</v>
      </c>
      <c r="H35" s="14">
        <f>F35+G35</f>
        <v>158666.79875327001</v>
      </c>
      <c r="I35" s="43" t="s">
        <v>2708</v>
      </c>
      <c r="J35" s="15">
        <v>45784</v>
      </c>
      <c r="K35" s="4"/>
      <c r="L35" s="4"/>
      <c r="M35" s="4"/>
      <c r="N35" s="4"/>
      <c r="O35" s="4"/>
      <c r="P35" s="4"/>
      <c r="Q35" s="4"/>
      <c r="R35" s="4"/>
      <c r="S35" s="4" t="s">
        <v>458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</row>
    <row r="36" spans="1:86" x14ac:dyDescent="0.25">
      <c r="A36" s="12">
        <f t="shared" si="2"/>
        <v>33</v>
      </c>
      <c r="B36" s="13" t="s">
        <v>130</v>
      </c>
      <c r="C36" s="4" t="s">
        <v>2588</v>
      </c>
      <c r="D36" s="4" t="s">
        <v>768</v>
      </c>
      <c r="E36" s="14">
        <f>+[33]Main!$I$2</f>
        <v>56.2</v>
      </c>
      <c r="F36" s="14">
        <f>+[33]Main!$I$5*FX!C3</f>
        <v>187067.70580176005</v>
      </c>
      <c r="G36" s="14">
        <f>+([33]Main!$I$7-[33]Main!$I$6)*FX!C3</f>
        <v>-11416.8614</v>
      </c>
      <c r="H36" s="14">
        <f>+F36+G36</f>
        <v>175650.84440176006</v>
      </c>
      <c r="I36" s="27" t="s">
        <v>2583</v>
      </c>
      <c r="J36" s="15">
        <v>45978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</row>
    <row r="37" spans="1:86" x14ac:dyDescent="0.25">
      <c r="A37" s="12">
        <f t="shared" si="2"/>
        <v>34</v>
      </c>
      <c r="B37" s="4" t="s">
        <v>75</v>
      </c>
      <c r="C37" s="4" t="s">
        <v>76</v>
      </c>
      <c r="D37" s="4" t="s">
        <v>768</v>
      </c>
      <c r="E37" s="1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</row>
    <row r="38" spans="1:86" x14ac:dyDescent="0.25">
      <c r="A38" s="12">
        <f t="shared" si="2"/>
        <v>35</v>
      </c>
      <c r="B38" s="13" t="s">
        <v>77</v>
      </c>
      <c r="C38" s="4" t="s">
        <v>78</v>
      </c>
      <c r="D38" s="4" t="s">
        <v>79</v>
      </c>
      <c r="E38" s="14">
        <f>+[34]Main!$J$2</f>
        <v>227.65</v>
      </c>
      <c r="F38" s="14">
        <f>+[34]Main!$J$4*FX!C4</f>
        <v>133014.210772452</v>
      </c>
      <c r="G38" s="14">
        <f>+([34]Main!$J$6-[34]Main!$J$5)*FX!C4</f>
        <v>8102.88</v>
      </c>
      <c r="H38" s="14">
        <f>+F38+G38</f>
        <v>141117.09077245201</v>
      </c>
      <c r="I38" s="5" t="s">
        <v>430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</row>
    <row r="39" spans="1:86" x14ac:dyDescent="0.25">
      <c r="A39" s="12">
        <f t="shared" si="2"/>
        <v>36</v>
      </c>
      <c r="B39" s="4" t="s">
        <v>80</v>
      </c>
      <c r="C39" s="4" t="s">
        <v>81</v>
      </c>
      <c r="D39" s="4" t="s">
        <v>84</v>
      </c>
      <c r="E39" s="1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</row>
    <row r="40" spans="1:86" x14ac:dyDescent="0.25">
      <c r="A40" s="12">
        <f t="shared" si="2"/>
        <v>37</v>
      </c>
      <c r="B40" s="13" t="s">
        <v>82</v>
      </c>
      <c r="C40" s="4" t="s">
        <v>83</v>
      </c>
      <c r="D40" s="4" t="s">
        <v>45</v>
      </c>
      <c r="E40" s="14">
        <f>+[35]Main!$I$2</f>
        <v>5475.01</v>
      </c>
      <c r="F40" s="14">
        <f>+[35]Main!$I$4</f>
        <v>177444.44447385002</v>
      </c>
      <c r="G40" s="14">
        <f>+[35]Main!$I$6-[35]Main!$I$5</f>
        <v>877</v>
      </c>
      <c r="H40" s="14">
        <f>F40+G40</f>
        <v>178321.44447385002</v>
      </c>
      <c r="I40" s="28" t="s">
        <v>2583</v>
      </c>
      <c r="J40" s="4"/>
      <c r="K40" s="4"/>
      <c r="L40" s="4"/>
      <c r="M40" s="4"/>
      <c r="N40" s="4"/>
      <c r="O40" s="4"/>
      <c r="P40" s="4"/>
      <c r="Q40" s="4"/>
      <c r="R40" s="4"/>
      <c r="S40" s="4" t="s">
        <v>452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</row>
    <row r="41" spans="1:86" x14ac:dyDescent="0.25">
      <c r="A41" s="12">
        <f t="shared" si="2"/>
        <v>38</v>
      </c>
      <c r="B41" s="13" t="s">
        <v>959</v>
      </c>
      <c r="C41" s="4" t="s">
        <v>85</v>
      </c>
      <c r="D41" s="4" t="s">
        <v>45</v>
      </c>
      <c r="E41" s="14">
        <f>+[36]Main!$I$2</f>
        <v>133.80000000000001</v>
      </c>
      <c r="F41" s="14">
        <f>+[36]Main!$I$4</f>
        <v>168492.342366</v>
      </c>
      <c r="G41" s="14">
        <f>+[36]Main!$I$6-[36]Main!$I$5</f>
        <v>-10106.200000000001</v>
      </c>
      <c r="H41" s="14">
        <f>F41+G41</f>
        <v>158386.14236599999</v>
      </c>
      <c r="I41" s="44" t="s">
        <v>2708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</row>
    <row r="42" spans="1:86" x14ac:dyDescent="0.25">
      <c r="A42" s="12">
        <f t="shared" si="2"/>
        <v>39</v>
      </c>
      <c r="B42" s="13" t="s">
        <v>86</v>
      </c>
      <c r="C42" s="4" t="s">
        <v>88</v>
      </c>
      <c r="D42" s="4" t="s">
        <v>87</v>
      </c>
      <c r="E42" s="14">
        <f>+[37]Main!$H$2</f>
        <v>3214</v>
      </c>
      <c r="F42" s="14">
        <f>+[37]Main!$H$4*FX!C6</f>
        <v>126918.76080161199</v>
      </c>
      <c r="G42" s="14">
        <f>+([37]Main!$H$6-[37]Main!$H$5)*FX!C6</f>
        <v>12746.721</v>
      </c>
      <c r="H42" s="14">
        <f>F42+G42</f>
        <v>139665.48180161198</v>
      </c>
      <c r="I42" s="5" t="s">
        <v>440</v>
      </c>
      <c r="J42" s="4"/>
      <c r="K42" s="4"/>
      <c r="L42" s="4"/>
      <c r="M42" s="4"/>
      <c r="N42" s="4"/>
      <c r="O42" s="4"/>
      <c r="P42" s="4"/>
      <c r="Q42" s="4"/>
      <c r="R42" s="4"/>
      <c r="S42" s="4" t="s">
        <v>457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</row>
    <row r="43" spans="1:86" x14ac:dyDescent="0.25">
      <c r="A43" s="12">
        <f t="shared" si="2"/>
        <v>40</v>
      </c>
      <c r="B43" s="13" t="s">
        <v>135</v>
      </c>
      <c r="C43" s="4" t="s">
        <v>136</v>
      </c>
      <c r="D43" s="4" t="s">
        <v>45</v>
      </c>
      <c r="E43" s="14">
        <f>+[38]Main!$I$2</f>
        <v>481.5</v>
      </c>
      <c r="F43" s="14">
        <f>+[38]Main!$I$4</f>
        <v>120834.89990999999</v>
      </c>
      <c r="G43" s="14">
        <f>+[38]Main!$I$6-[38]Main!$I$5</f>
        <v>-4227.7089999999998</v>
      </c>
      <c r="H43" s="14">
        <f>+F43+G43</f>
        <v>116607.19090999999</v>
      </c>
      <c r="I43" s="32" t="s">
        <v>2583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</row>
    <row r="44" spans="1:86" x14ac:dyDescent="0.25">
      <c r="A44" s="12">
        <f t="shared" si="2"/>
        <v>41</v>
      </c>
      <c r="B44" s="4" t="s">
        <v>89</v>
      </c>
      <c r="C44" s="4" t="s">
        <v>90</v>
      </c>
      <c r="D44" s="4" t="s">
        <v>87</v>
      </c>
      <c r="E44" s="1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</row>
    <row r="45" spans="1:86" x14ac:dyDescent="0.25">
      <c r="A45" s="12">
        <f t="shared" si="2"/>
        <v>42</v>
      </c>
      <c r="B45" s="13" t="s">
        <v>91</v>
      </c>
      <c r="C45" s="4" t="s">
        <v>92</v>
      </c>
      <c r="D45" s="4" t="s">
        <v>45</v>
      </c>
      <c r="E45" s="14">
        <f>+[39]Main!$I$2</f>
        <v>284.85000000000002</v>
      </c>
      <c r="F45" s="14">
        <f>+[39]Main!$I$4</f>
        <v>115897.17387105002</v>
      </c>
      <c r="G45" s="14">
        <f>+[39]Main!$I$6-[39]Main!$I$5</f>
        <v>1766.1</v>
      </c>
      <c r="H45" s="14">
        <f>+F45+G45</f>
        <v>117663.27387105003</v>
      </c>
      <c r="I45" s="5" t="s">
        <v>431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</row>
    <row r="46" spans="1:86" x14ac:dyDescent="0.25">
      <c r="A46" s="12">
        <f t="shared" si="2"/>
        <v>43</v>
      </c>
      <c r="B46" s="13" t="s">
        <v>95</v>
      </c>
      <c r="C46" s="4" t="s">
        <v>96</v>
      </c>
      <c r="D46" s="4" t="s">
        <v>45</v>
      </c>
      <c r="E46" s="14">
        <f>+[40]Main!$J$2</f>
        <v>176.33</v>
      </c>
      <c r="F46" s="14">
        <f>+[40]Main!$J$4</f>
        <v>105088.53324739002</v>
      </c>
      <c r="G46" s="14">
        <f>+[40]Main!$J$6-[40]Main!$J$5</f>
        <v>4296.9570000000003</v>
      </c>
      <c r="H46" s="14">
        <f>+F46+G46</f>
        <v>109385.49024739001</v>
      </c>
      <c r="I46" s="5" t="s">
        <v>708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</row>
    <row r="47" spans="1:86" x14ac:dyDescent="0.25">
      <c r="A47" s="12">
        <f t="shared" si="2"/>
        <v>44</v>
      </c>
      <c r="B47" s="13" t="s">
        <v>97</v>
      </c>
      <c r="C47" s="4" t="s">
        <v>98</v>
      </c>
      <c r="D47" s="4" t="s">
        <v>45</v>
      </c>
      <c r="E47" s="14">
        <f>+[41]Main!$H$3</f>
        <v>171.05</v>
      </c>
      <c r="F47" s="14">
        <f>+[41]Main!$H$5</f>
        <v>56121.505000000005</v>
      </c>
      <c r="G47" s="14">
        <f>+[41]Main!$H$7-[41]Main!$H$6</f>
        <v>-2745.2</v>
      </c>
      <c r="H47" s="14">
        <f t="shared" ref="H47:H52" si="5">+F47+G47</f>
        <v>53376.305000000008</v>
      </c>
      <c r="I47" s="5" t="s">
        <v>49</v>
      </c>
      <c r="J47" s="4"/>
      <c r="K47" s="4"/>
      <c r="L47" s="4"/>
      <c r="M47" s="4"/>
      <c r="N47" s="4"/>
      <c r="O47" s="4"/>
      <c r="P47" s="4"/>
      <c r="Q47" s="4"/>
      <c r="R47" s="4"/>
      <c r="S47" s="4" t="s">
        <v>456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</row>
    <row r="48" spans="1:86" x14ac:dyDescent="0.25">
      <c r="A48" s="12">
        <f t="shared" si="2"/>
        <v>45</v>
      </c>
      <c r="B48" s="13" t="s">
        <v>99</v>
      </c>
      <c r="C48" s="4" t="s">
        <v>100</v>
      </c>
      <c r="D48" s="4" t="s">
        <v>101</v>
      </c>
      <c r="E48" s="14">
        <f>+[42]Main!$H$3</f>
        <v>3216</v>
      </c>
      <c r="F48" s="14">
        <f>+[42]Main!$H$5</f>
        <v>163042.758</v>
      </c>
      <c r="G48" s="14">
        <f>+[42]Main!$H$7-[42]Main!$H$6</f>
        <v>-7567</v>
      </c>
      <c r="H48" s="14">
        <f t="shared" si="5"/>
        <v>155475.758</v>
      </c>
      <c r="I48" s="29" t="s">
        <v>2583</v>
      </c>
      <c r="J48" s="4"/>
      <c r="K48" s="4"/>
      <c r="L48" s="4"/>
      <c r="M48" s="4"/>
      <c r="N48" s="4"/>
      <c r="O48" s="4"/>
      <c r="P48" s="4"/>
      <c r="Q48" s="4"/>
      <c r="R48" s="4">
        <v>1999</v>
      </c>
      <c r="S48" s="4" t="s">
        <v>455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</row>
    <row r="49" spans="1:86" x14ac:dyDescent="0.25">
      <c r="A49" s="12">
        <f t="shared" si="2"/>
        <v>46</v>
      </c>
      <c r="B49" s="13" t="s">
        <v>102</v>
      </c>
      <c r="C49" s="4" t="s">
        <v>103</v>
      </c>
      <c r="D49" s="4" t="s">
        <v>45</v>
      </c>
      <c r="E49" s="14">
        <f>+[43]Main!$I$2</f>
        <v>50.7</v>
      </c>
      <c r="F49" s="14">
        <f>+[43]Main!$I$4</f>
        <v>27269.090670900005</v>
      </c>
      <c r="G49" s="14">
        <f>+[43]Main!$I$6-[43]Main!$I$5</f>
        <v>29131</v>
      </c>
      <c r="H49" s="14">
        <f t="shared" si="5"/>
        <v>56400.090670900005</v>
      </c>
      <c r="I49" s="5" t="s">
        <v>430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</row>
    <row r="50" spans="1:86" x14ac:dyDescent="0.25">
      <c r="A50" s="12">
        <f t="shared" si="2"/>
        <v>47</v>
      </c>
      <c r="B50" s="13" t="s">
        <v>104</v>
      </c>
      <c r="C50" s="4" t="s">
        <v>105</v>
      </c>
      <c r="D50" s="4" t="s">
        <v>45</v>
      </c>
      <c r="E50" s="14">
        <f>+[44]Main!$H$2</f>
        <v>73.2</v>
      </c>
      <c r="F50" s="14">
        <f>+[44]Main!$H$4</f>
        <v>94185.342000000004</v>
      </c>
      <c r="G50" s="14">
        <f>+[44]Main!$H$6-[44]Main!$H$5</f>
        <v>-1083.7019999999993</v>
      </c>
      <c r="H50" s="14">
        <f t="shared" si="5"/>
        <v>93101.64</v>
      </c>
      <c r="I50" s="5" t="s">
        <v>429</v>
      </c>
      <c r="J50" s="4"/>
      <c r="K50" s="4"/>
      <c r="L50" s="4"/>
      <c r="M50" s="4"/>
      <c r="N50" s="4"/>
      <c r="O50" s="4"/>
      <c r="P50" s="4"/>
      <c r="Q50" s="4"/>
      <c r="R50" s="4"/>
      <c r="S50" s="4" t="s">
        <v>438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</row>
    <row r="51" spans="1:86" x14ac:dyDescent="0.25">
      <c r="A51" s="12">
        <f t="shared" si="2"/>
        <v>48</v>
      </c>
      <c r="B51" s="13" t="s">
        <v>109</v>
      </c>
      <c r="C51" s="4" t="s">
        <v>108</v>
      </c>
      <c r="D51" s="4" t="s">
        <v>45</v>
      </c>
      <c r="E51" s="14">
        <f>+[45]Main!$I$2</f>
        <v>739.7</v>
      </c>
      <c r="F51" s="14">
        <f>+[45]Main!$I$4</f>
        <v>98296.326016199993</v>
      </c>
      <c r="G51" s="14">
        <f>+[45]Main!$I$6-[45]Main!$I$5</f>
        <v>2101.982</v>
      </c>
      <c r="H51" s="14">
        <f t="shared" si="5"/>
        <v>100398.3080162</v>
      </c>
      <c r="I51" s="5" t="s">
        <v>431</v>
      </c>
      <c r="J51" s="4"/>
      <c r="K51" s="4"/>
      <c r="L51" s="4"/>
      <c r="M51" s="4"/>
      <c r="N51" s="4"/>
      <c r="O51" s="4"/>
      <c r="P51" s="4"/>
      <c r="Q51" s="4"/>
      <c r="R51" s="4"/>
      <c r="S51" s="4" t="s">
        <v>438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</row>
    <row r="52" spans="1:86" x14ac:dyDescent="0.25">
      <c r="A52" s="12">
        <f t="shared" si="2"/>
        <v>49</v>
      </c>
      <c r="B52" s="13" t="s">
        <v>27</v>
      </c>
      <c r="C52" s="4" t="s">
        <v>110</v>
      </c>
      <c r="D52" s="4" t="s">
        <v>45</v>
      </c>
      <c r="E52" s="14">
        <f>+[46]Main!$K$2</f>
        <v>82.72</v>
      </c>
      <c r="F52" s="14">
        <f>+[46]Main!$K$4</f>
        <v>85340</v>
      </c>
      <c r="G52" s="14">
        <f>+[46]Main!$K$6-[46]Main!$K$5</f>
        <v>12242</v>
      </c>
      <c r="H52" s="14">
        <f t="shared" si="5"/>
        <v>97582</v>
      </c>
      <c r="I52" s="51" t="s">
        <v>3144</v>
      </c>
      <c r="J52" s="4"/>
      <c r="K52" s="4"/>
      <c r="L52" s="4"/>
      <c r="M52" s="4"/>
      <c r="N52" s="4"/>
      <c r="O52" s="4"/>
      <c r="P52" s="4"/>
      <c r="Q52" s="4"/>
      <c r="R52" s="4"/>
      <c r="S52" s="4" t="s">
        <v>454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</row>
    <row r="53" spans="1:86" x14ac:dyDescent="0.25">
      <c r="A53" s="12">
        <f t="shared" si="2"/>
        <v>50</v>
      </c>
      <c r="B53" s="4" t="s">
        <v>111</v>
      </c>
      <c r="C53" s="17" t="s">
        <v>112</v>
      </c>
      <c r="D53" s="4" t="s">
        <v>59</v>
      </c>
      <c r="E53" s="14"/>
      <c r="F53" s="14"/>
      <c r="G53" s="14"/>
      <c r="H53" s="1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</row>
    <row r="54" spans="1:86" x14ac:dyDescent="0.25">
      <c r="A54" s="12">
        <f t="shared" si="2"/>
        <v>51</v>
      </c>
      <c r="B54" s="4" t="s">
        <v>113</v>
      </c>
      <c r="C54" s="4" t="s">
        <v>114</v>
      </c>
      <c r="D54" s="4" t="s">
        <v>45</v>
      </c>
      <c r="E54" s="14"/>
      <c r="F54" s="14"/>
      <c r="G54" s="14"/>
      <c r="H54" s="14"/>
      <c r="I54" s="5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</row>
    <row r="55" spans="1:86" x14ac:dyDescent="0.25">
      <c r="A55" s="12">
        <f t="shared" si="2"/>
        <v>52</v>
      </c>
      <c r="B55" s="4" t="s">
        <v>117</v>
      </c>
      <c r="C55" s="4" t="s">
        <v>118</v>
      </c>
      <c r="D55" s="4" t="s">
        <v>87</v>
      </c>
      <c r="E55" s="14"/>
      <c r="F55" s="14"/>
      <c r="G55" s="14"/>
      <c r="H55" s="1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</row>
    <row r="56" spans="1:86" x14ac:dyDescent="0.25">
      <c r="A56" s="12">
        <f t="shared" si="2"/>
        <v>53</v>
      </c>
      <c r="B56" s="13" t="s">
        <v>2582</v>
      </c>
      <c r="C56" s="4" t="s">
        <v>119</v>
      </c>
      <c r="D56" s="4" t="s">
        <v>1126</v>
      </c>
      <c r="E56" s="14">
        <f>+[47]Main!$J$2</f>
        <v>142.5</v>
      </c>
      <c r="F56" s="14">
        <f>+[47]Main!$J$4*FX!C2</f>
        <v>59264.286524999996</v>
      </c>
      <c r="G56" s="14">
        <f>+([47]Main!$J$6-[47]Main!$J$5)*FX!C2</f>
        <v>-8207.3572199999999</v>
      </c>
      <c r="H56" s="14">
        <f t="shared" ref="H56:H62" si="6">+F56+G56</f>
        <v>51056.929304999998</v>
      </c>
      <c r="I56" s="5" t="s">
        <v>49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</row>
    <row r="57" spans="1:86" x14ac:dyDescent="0.25">
      <c r="A57" s="12">
        <f t="shared" si="2"/>
        <v>54</v>
      </c>
      <c r="B57" s="13" t="s">
        <v>28</v>
      </c>
      <c r="C57" s="4" t="s">
        <v>120</v>
      </c>
      <c r="D57" s="4" t="s">
        <v>45</v>
      </c>
      <c r="E57" s="14">
        <f>+[48]Main!$H$2</f>
        <v>119.01</v>
      </c>
      <c r="F57" s="14">
        <f>+[48]Main!$H$4</f>
        <v>83361.643560510012</v>
      </c>
      <c r="G57" s="14">
        <f>+[48]Main!$H$6-[48]Main!$H$5</f>
        <v>19797</v>
      </c>
      <c r="H57" s="14">
        <f t="shared" si="6"/>
        <v>103158.64356051001</v>
      </c>
      <c r="I57" s="5" t="s">
        <v>49</v>
      </c>
      <c r="J57" s="4"/>
      <c r="K57" s="4"/>
      <c r="L57" s="4"/>
      <c r="M57" s="4"/>
      <c r="N57" s="4"/>
      <c r="O57" s="4"/>
      <c r="P57" s="4"/>
      <c r="Q57" s="4"/>
      <c r="R57" s="4"/>
      <c r="S57" s="4" t="s">
        <v>441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</row>
    <row r="58" spans="1:86" x14ac:dyDescent="0.25">
      <c r="A58" s="12">
        <f t="shared" si="2"/>
        <v>55</v>
      </c>
      <c r="B58" s="13" t="s">
        <v>121</v>
      </c>
      <c r="C58" s="4" t="s">
        <v>122</v>
      </c>
      <c r="D58" s="4" t="s">
        <v>45</v>
      </c>
      <c r="E58" s="14">
        <f>+[49]Main!$H$2</f>
        <v>123.56</v>
      </c>
      <c r="F58" s="14">
        <f>+[49]Main!$H$4</f>
        <v>76784.591385200009</v>
      </c>
      <c r="G58" s="14">
        <f>+[49]Main!$H$6-[49]Main!$H$5</f>
        <v>-9359</v>
      </c>
      <c r="H58" s="14">
        <f t="shared" si="6"/>
        <v>67425.591385200009</v>
      </c>
      <c r="I58" s="32" t="s">
        <v>2583</v>
      </c>
      <c r="J58" s="4"/>
      <c r="K58" s="4"/>
      <c r="L58" s="4"/>
      <c r="M58" s="4"/>
      <c r="N58" s="4"/>
      <c r="O58" s="4"/>
      <c r="P58" s="4"/>
      <c r="Q58" s="4"/>
      <c r="R58" s="4"/>
      <c r="S58" s="4" t="s">
        <v>452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</row>
    <row r="59" spans="1:86" x14ac:dyDescent="0.25">
      <c r="A59" s="12">
        <f t="shared" si="2"/>
        <v>56</v>
      </c>
      <c r="B59" s="13" t="s">
        <v>123</v>
      </c>
      <c r="C59" s="4" t="s">
        <v>124</v>
      </c>
      <c r="D59" s="4" t="s">
        <v>45</v>
      </c>
      <c r="E59" s="14">
        <f>+[50]Main!$I$2</f>
        <v>58.7</v>
      </c>
      <c r="F59" s="14">
        <f>+[50]Main!$I$4</f>
        <v>52066.9</v>
      </c>
      <c r="G59" s="14">
        <f>+[50]Main!$I$6-[50]Main!$I$5</f>
        <v>2144</v>
      </c>
      <c r="H59" s="14">
        <f t="shared" si="6"/>
        <v>54210.9</v>
      </c>
      <c r="I59" s="74" t="s">
        <v>3563</v>
      </c>
      <c r="J59" s="15">
        <v>46322</v>
      </c>
      <c r="K59" s="4"/>
      <c r="L59" s="4"/>
      <c r="M59" s="4"/>
      <c r="N59" s="4"/>
      <c r="O59" s="4"/>
      <c r="P59" s="4"/>
      <c r="Q59" s="4"/>
      <c r="R59" s="4"/>
      <c r="S59" s="4" t="s">
        <v>451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</row>
    <row r="60" spans="1:86" x14ac:dyDescent="0.25">
      <c r="A60" s="12">
        <f t="shared" si="2"/>
        <v>57</v>
      </c>
      <c r="B60" s="13" t="s">
        <v>125</v>
      </c>
      <c r="C60" s="4" t="s">
        <v>126</v>
      </c>
      <c r="D60" s="4" t="s">
        <v>45</v>
      </c>
      <c r="E60" s="14">
        <f>+[51]Main!$I$2</f>
        <v>512.14</v>
      </c>
      <c r="F60" s="14">
        <f>+[51]Main!$I$4</f>
        <v>79187.125722640005</v>
      </c>
      <c r="G60" s="14">
        <f>+[51]Main!$I$6-[51]Main!$I$5</f>
        <v>-3795.1490000000003</v>
      </c>
      <c r="H60" s="14">
        <f t="shared" si="6"/>
        <v>75391.97672264</v>
      </c>
      <c r="I60" s="5" t="s">
        <v>708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</row>
    <row r="61" spans="1:86" x14ac:dyDescent="0.25">
      <c r="A61" s="12">
        <f t="shared" si="2"/>
        <v>58</v>
      </c>
      <c r="B61" s="13" t="s">
        <v>127</v>
      </c>
      <c r="C61" s="4" t="s">
        <v>129</v>
      </c>
      <c r="D61" s="4" t="s">
        <v>128</v>
      </c>
      <c r="E61" s="14">
        <f>+[52]Main!$H$2</f>
        <v>627.5</v>
      </c>
      <c r="F61" s="14">
        <f>+[52]Main!$H$5*FX!C4</f>
        <v>131483.55070995001</v>
      </c>
      <c r="G61" s="14">
        <f>+([52]Main!$H$7-[52]Main!$H$6)*FX!C4</f>
        <v>-8510.880000000001</v>
      </c>
      <c r="H61" s="14">
        <f t="shared" si="6"/>
        <v>122972.67070995001</v>
      </c>
      <c r="I61" s="5" t="s">
        <v>2583</v>
      </c>
      <c r="J61" s="15"/>
      <c r="K61" s="4"/>
      <c r="L61" s="4"/>
      <c r="M61" s="4"/>
      <c r="N61" s="4"/>
      <c r="O61" s="4"/>
      <c r="P61" s="4"/>
      <c r="Q61" s="4"/>
      <c r="R61" s="4"/>
      <c r="S61" s="4" t="s">
        <v>450</v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</row>
    <row r="62" spans="1:86" x14ac:dyDescent="0.25">
      <c r="A62" s="12">
        <f t="shared" si="2"/>
        <v>59</v>
      </c>
      <c r="B62" s="13" t="s">
        <v>131</v>
      </c>
      <c r="C62" s="4" t="s">
        <v>132</v>
      </c>
      <c r="D62" s="4" t="s">
        <v>45</v>
      </c>
      <c r="E62" s="14">
        <f>+[53]Main!$J$2</f>
        <v>304.60000000000002</v>
      </c>
      <c r="F62" s="14">
        <f>+[53]Main!$J$4</f>
        <v>83168.593200000003</v>
      </c>
      <c r="G62" s="14">
        <f>+[53]Main!$J$6-[53]Main!$J$5</f>
        <v>-300.51499999999987</v>
      </c>
      <c r="H62" s="14">
        <f t="shared" si="6"/>
        <v>82868.078200000004</v>
      </c>
      <c r="I62" s="5" t="s">
        <v>708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</row>
    <row r="63" spans="1:86" x14ac:dyDescent="0.25">
      <c r="A63" s="12">
        <f t="shared" si="2"/>
        <v>60</v>
      </c>
      <c r="B63" s="4" t="s">
        <v>133</v>
      </c>
      <c r="C63" s="4" t="s">
        <v>134</v>
      </c>
      <c r="D63" s="4" t="s">
        <v>107</v>
      </c>
      <c r="E63" s="14"/>
      <c r="F63" s="14"/>
      <c r="G63" s="14"/>
      <c r="H63" s="14"/>
      <c r="I63" s="5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</row>
    <row r="64" spans="1:86" x14ac:dyDescent="0.25">
      <c r="A64" s="12">
        <f t="shared" si="2"/>
        <v>61</v>
      </c>
      <c r="B64" s="4" t="s">
        <v>137</v>
      </c>
      <c r="C64" s="4" t="s">
        <v>138</v>
      </c>
      <c r="D64" s="4" t="s">
        <v>768</v>
      </c>
      <c r="E64" s="14"/>
      <c r="F64" s="14"/>
      <c r="G64" s="14"/>
      <c r="H64" s="14"/>
      <c r="I64" s="5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</row>
    <row r="65" spans="1:86" x14ac:dyDescent="0.25">
      <c r="A65" s="12">
        <f t="shared" si="2"/>
        <v>62</v>
      </c>
      <c r="B65" s="4" t="s">
        <v>140</v>
      </c>
      <c r="C65" s="4" t="s">
        <v>139</v>
      </c>
      <c r="D65" s="4" t="s">
        <v>45</v>
      </c>
      <c r="E65" s="14"/>
      <c r="F65" s="14"/>
      <c r="G65" s="14"/>
      <c r="H65" s="14"/>
      <c r="I65" s="5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</row>
    <row r="66" spans="1:86" x14ac:dyDescent="0.25">
      <c r="A66" s="12">
        <f t="shared" si="2"/>
        <v>63</v>
      </c>
      <c r="B66" s="13" t="s">
        <v>141</v>
      </c>
      <c r="C66" s="4" t="s">
        <v>142</v>
      </c>
      <c r="D66" s="4" t="s">
        <v>87</v>
      </c>
      <c r="E66" s="14">
        <f>+[54]Main!$I$2</f>
        <v>12800</v>
      </c>
      <c r="F66" s="14">
        <f>+[54]Main!$I$4*FX!C6</f>
        <v>108051.008</v>
      </c>
      <c r="G66" s="14">
        <f>+([54]Main!$I$6-[54]Main!$I$5)*FX!C6</f>
        <v>-10310.7875</v>
      </c>
      <c r="H66" s="14">
        <f>+F66+G66</f>
        <v>97740.220499999996</v>
      </c>
      <c r="I66" s="5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</row>
    <row r="67" spans="1:86" x14ac:dyDescent="0.25">
      <c r="A67" s="12">
        <f t="shared" si="2"/>
        <v>64</v>
      </c>
      <c r="B67" s="4" t="s">
        <v>143</v>
      </c>
      <c r="C67" s="4" t="s">
        <v>144</v>
      </c>
      <c r="D67" s="4" t="s">
        <v>768</v>
      </c>
      <c r="E67" s="14"/>
      <c r="F67" s="14"/>
      <c r="G67" s="14"/>
      <c r="H67" s="14"/>
      <c r="I67" s="5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</row>
    <row r="68" spans="1:86" x14ac:dyDescent="0.25">
      <c r="A68" s="12">
        <f t="shared" si="2"/>
        <v>65</v>
      </c>
      <c r="B68" s="13" t="s">
        <v>146</v>
      </c>
      <c r="C68" s="4" t="s">
        <v>145</v>
      </c>
      <c r="D68" s="4" t="s">
        <v>45</v>
      </c>
      <c r="E68" s="14">
        <f>+[55]Main!$I$2</f>
        <v>70.2</v>
      </c>
      <c r="F68" s="14">
        <f>+[55]Main!$I$4</f>
        <v>60526.44</v>
      </c>
      <c r="G68" s="14">
        <f>+[55]Main!$I$6-[55]Main!$I$5</f>
        <v>3346.7000000000003</v>
      </c>
      <c r="H68" s="14">
        <f>+F68+G68</f>
        <v>63873.14</v>
      </c>
      <c r="I68" s="5" t="s">
        <v>708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</row>
    <row r="69" spans="1:86" x14ac:dyDescent="0.25">
      <c r="A69" s="12">
        <f t="shared" si="2"/>
        <v>66</v>
      </c>
      <c r="B69" s="4" t="s">
        <v>147</v>
      </c>
      <c r="C69" s="4" t="s">
        <v>148</v>
      </c>
      <c r="D69" s="4" t="s">
        <v>1126</v>
      </c>
      <c r="E69" s="14"/>
      <c r="F69" s="14"/>
      <c r="G69" s="14"/>
      <c r="H69" s="14"/>
      <c r="I69" s="5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</row>
    <row r="70" spans="1:86" x14ac:dyDescent="0.25">
      <c r="A70" s="12">
        <f t="shared" si="2"/>
        <v>67</v>
      </c>
      <c r="B70" s="4" t="s">
        <v>149</v>
      </c>
      <c r="C70" s="4" t="s">
        <v>150</v>
      </c>
      <c r="D70" s="4" t="s">
        <v>46</v>
      </c>
      <c r="E70" s="14"/>
      <c r="F70" s="14"/>
      <c r="G70" s="14"/>
      <c r="H70" s="14"/>
      <c r="I70" s="5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</row>
    <row r="71" spans="1:86" x14ac:dyDescent="0.25">
      <c r="A71" s="12">
        <f t="shared" si="2"/>
        <v>68</v>
      </c>
      <c r="B71" s="4" t="s">
        <v>151</v>
      </c>
      <c r="C71" s="4" t="s">
        <v>152</v>
      </c>
      <c r="D71" s="4" t="s">
        <v>45</v>
      </c>
      <c r="E71" s="14"/>
      <c r="F71" s="14"/>
      <c r="G71" s="14"/>
      <c r="H71" s="14"/>
      <c r="I71" s="5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</row>
    <row r="72" spans="1:86" x14ac:dyDescent="0.25">
      <c r="A72" s="12">
        <f t="shared" si="2"/>
        <v>69</v>
      </c>
      <c r="B72" s="4" t="s">
        <v>153</v>
      </c>
      <c r="C72" s="4" t="s">
        <v>154</v>
      </c>
      <c r="D72" s="4" t="s">
        <v>45</v>
      </c>
      <c r="E72" s="14"/>
      <c r="F72" s="14"/>
      <c r="G72" s="14"/>
      <c r="H72" s="14"/>
      <c r="I72" s="5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</row>
    <row r="73" spans="1:86" x14ac:dyDescent="0.25">
      <c r="A73" s="12">
        <f t="shared" si="2"/>
        <v>70</v>
      </c>
      <c r="B73" s="13" t="s">
        <v>155</v>
      </c>
      <c r="C73" s="4" t="s">
        <v>157</v>
      </c>
      <c r="D73" s="4" t="s">
        <v>45</v>
      </c>
      <c r="E73" s="14">
        <f>+[56]Main!$G$3</f>
        <v>267.60000000000002</v>
      </c>
      <c r="F73" s="14">
        <f>+[56]Main!$G$5</f>
        <v>114317.33704320001</v>
      </c>
      <c r="G73" s="14">
        <f>+[56]Main!$G$7-[56]Main!$G$6</f>
        <v>-2278</v>
      </c>
      <c r="H73" s="14">
        <f>F73+G73</f>
        <v>112039.33704320001</v>
      </c>
      <c r="I73" s="29" t="s">
        <v>2583</v>
      </c>
      <c r="J73" s="4"/>
      <c r="K73" s="4"/>
      <c r="L73" s="4"/>
      <c r="M73" s="4"/>
      <c r="N73" s="4"/>
      <c r="O73" s="4"/>
      <c r="P73" s="4"/>
      <c r="Q73" s="4"/>
      <c r="R73" s="4"/>
      <c r="S73" s="4" t="s">
        <v>449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</row>
    <row r="74" spans="1:86" x14ac:dyDescent="0.25">
      <c r="A74" s="12">
        <f t="shared" ref="A74:A137" si="7">+A73+1</f>
        <v>71</v>
      </c>
      <c r="B74" s="4" t="s">
        <v>156</v>
      </c>
      <c r="C74" s="4" t="s">
        <v>158</v>
      </c>
      <c r="D74" s="4" t="s">
        <v>45</v>
      </c>
      <c r="E74" s="14"/>
      <c r="F74" s="14"/>
      <c r="G74" s="14"/>
      <c r="H74" s="14"/>
      <c r="I74" s="5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</row>
    <row r="75" spans="1:86" x14ac:dyDescent="0.25">
      <c r="A75" s="12">
        <f t="shared" si="7"/>
        <v>72</v>
      </c>
      <c r="B75" s="13" t="s">
        <v>160</v>
      </c>
      <c r="C75" s="4" t="s">
        <v>159</v>
      </c>
      <c r="D75" s="4" t="s">
        <v>161</v>
      </c>
      <c r="E75" s="14">
        <f>+[57]Main!$I$2</f>
        <v>141.63</v>
      </c>
      <c r="F75" s="14">
        <f>+[57]Main!$I$4</f>
        <v>82151.979704910002</v>
      </c>
      <c r="G75" s="14">
        <f>+[57]Main!$I$6-[57]Main!$I$5</f>
        <v>1013.5080000000007</v>
      </c>
      <c r="H75" s="14">
        <f>+F75+G75</f>
        <v>83165.487704910003</v>
      </c>
      <c r="I75" s="5" t="s">
        <v>430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</row>
    <row r="76" spans="1:86" x14ac:dyDescent="0.25">
      <c r="A76" s="12">
        <f t="shared" si="7"/>
        <v>73</v>
      </c>
      <c r="B76" s="13" t="s">
        <v>162</v>
      </c>
      <c r="C76" s="4" t="s">
        <v>163</v>
      </c>
      <c r="D76" s="4" t="s">
        <v>45</v>
      </c>
      <c r="E76" s="14">
        <f>+[58]Main!$J$2</f>
        <v>81.150000000000006</v>
      </c>
      <c r="F76" s="14">
        <f>+[58]Main!$J$4</f>
        <v>39872.214139349999</v>
      </c>
      <c r="G76" s="14">
        <f>+[58]Main!$J$6-[58]Main!$J$5</f>
        <v>-1740.3710000000001</v>
      </c>
      <c r="H76" s="14">
        <f>+F76+G76</f>
        <v>38131.84313935</v>
      </c>
      <c r="I76" s="5" t="s">
        <v>708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</row>
    <row r="77" spans="1:86" x14ac:dyDescent="0.25">
      <c r="A77" s="12">
        <f t="shared" si="7"/>
        <v>74</v>
      </c>
      <c r="B77" s="4" t="s">
        <v>164</v>
      </c>
      <c r="C77" s="4" t="s">
        <v>165</v>
      </c>
      <c r="D77" s="4" t="s">
        <v>79</v>
      </c>
      <c r="E77" s="14"/>
      <c r="F77" s="14"/>
      <c r="G77" s="14"/>
      <c r="H77" s="14"/>
      <c r="I77" s="5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</row>
    <row r="78" spans="1:86" x14ac:dyDescent="0.25">
      <c r="A78" s="12">
        <f t="shared" si="7"/>
        <v>75</v>
      </c>
      <c r="B78" s="13" t="s">
        <v>167</v>
      </c>
      <c r="C78" s="4" t="s">
        <v>167</v>
      </c>
      <c r="D78" s="4" t="s">
        <v>45</v>
      </c>
      <c r="E78" s="14">
        <f>+[59]Main!$I$2</f>
        <v>1790.2</v>
      </c>
      <c r="F78" s="14">
        <f>+[59]Main!$I$4</f>
        <v>43576.493437999998</v>
      </c>
      <c r="G78" s="14">
        <f>+[59]Main!$I$6-[59]Main!$I$5</f>
        <v>2381.538</v>
      </c>
      <c r="H78" s="14">
        <f>+F78+G78</f>
        <v>45958.031437999998</v>
      </c>
      <c r="I78" s="5" t="s">
        <v>431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</row>
    <row r="79" spans="1:86" x14ac:dyDescent="0.25">
      <c r="A79" s="12">
        <f t="shared" si="7"/>
        <v>76</v>
      </c>
      <c r="B79" s="4" t="s">
        <v>168</v>
      </c>
      <c r="C79" s="4" t="s">
        <v>169</v>
      </c>
      <c r="D79" s="4" t="s">
        <v>46</v>
      </c>
      <c r="E79" s="14"/>
      <c r="F79" s="14"/>
      <c r="G79" s="14"/>
      <c r="H79" s="14"/>
      <c r="I79" s="5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</row>
    <row r="80" spans="1:86" x14ac:dyDescent="0.25">
      <c r="A80" s="12">
        <f t="shared" si="7"/>
        <v>77</v>
      </c>
      <c r="B80" s="4" t="s">
        <v>170</v>
      </c>
      <c r="C80" s="4" t="s">
        <v>171</v>
      </c>
      <c r="D80" s="4" t="s">
        <v>45</v>
      </c>
      <c r="E80" s="14"/>
      <c r="F80" s="14"/>
      <c r="G80" s="14"/>
      <c r="H80" s="14"/>
      <c r="I80" s="5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</row>
    <row r="81" spans="1:86" x14ac:dyDescent="0.25">
      <c r="A81" s="12">
        <f t="shared" si="7"/>
        <v>78</v>
      </c>
      <c r="B81" s="4" t="s">
        <v>172</v>
      </c>
      <c r="C81" s="4" t="s">
        <v>174</v>
      </c>
      <c r="D81" s="4" t="s">
        <v>173</v>
      </c>
      <c r="E81" s="14"/>
      <c r="F81" s="14"/>
      <c r="G81" s="14"/>
      <c r="H81" s="14"/>
      <c r="I81" s="5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</row>
    <row r="82" spans="1:86" x14ac:dyDescent="0.25">
      <c r="A82" s="12">
        <f t="shared" si="7"/>
        <v>79</v>
      </c>
      <c r="B82" s="13" t="s">
        <v>175</v>
      </c>
      <c r="C82" s="4" t="s">
        <v>176</v>
      </c>
      <c r="D82" s="4" t="s">
        <v>59</v>
      </c>
      <c r="E82" s="14">
        <f>+[60]Main!$I$2</f>
        <v>22.51</v>
      </c>
      <c r="F82" s="14">
        <f>+[60]Main!$I$4</f>
        <v>40518</v>
      </c>
      <c r="G82" s="14">
        <f>+[60]Main!$I$6-[60]Main!$I$5</f>
        <v>-4497</v>
      </c>
      <c r="H82" s="14">
        <f>+F82+G82</f>
        <v>36021</v>
      </c>
      <c r="I82" s="5" t="s">
        <v>430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</row>
    <row r="83" spans="1:86" x14ac:dyDescent="0.25">
      <c r="A83" s="12">
        <f t="shared" si="7"/>
        <v>80</v>
      </c>
      <c r="B83" s="4" t="s">
        <v>177</v>
      </c>
      <c r="C83" s="4" t="s">
        <v>178</v>
      </c>
      <c r="D83" s="4" t="s">
        <v>47</v>
      </c>
      <c r="E83" s="14"/>
      <c r="F83" s="14"/>
      <c r="G83" s="14"/>
      <c r="H83" s="14"/>
      <c r="I83" s="5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</row>
    <row r="84" spans="1:86" x14ac:dyDescent="0.25">
      <c r="A84" s="12">
        <f t="shared" si="7"/>
        <v>81</v>
      </c>
      <c r="B84" s="13" t="s">
        <v>179</v>
      </c>
      <c r="C84" s="4" t="s">
        <v>180</v>
      </c>
      <c r="D84" s="4" t="s">
        <v>45</v>
      </c>
      <c r="E84" s="14">
        <f>+[61]Main!$I$2</f>
        <v>355.99</v>
      </c>
      <c r="F84" s="14">
        <f>+[61]Main!$I$4</f>
        <v>121021.73065369001</v>
      </c>
      <c r="G84" s="14">
        <f>+[61]Main!$I$6-[61]Main!$I$5</f>
        <v>2767.482</v>
      </c>
      <c r="H84" s="14">
        <f>+F84+G84</f>
        <v>123789.21265369002</v>
      </c>
      <c r="I84" s="5" t="s">
        <v>430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</row>
    <row r="85" spans="1:86" x14ac:dyDescent="0.25">
      <c r="A85" s="12">
        <f t="shared" si="7"/>
        <v>82</v>
      </c>
      <c r="B85" s="4" t="s">
        <v>181</v>
      </c>
      <c r="C85" s="4" t="s">
        <v>182</v>
      </c>
      <c r="D85" s="4" t="s">
        <v>45</v>
      </c>
      <c r="E85" s="14"/>
      <c r="F85" s="14"/>
      <c r="G85" s="14"/>
      <c r="H85" s="14"/>
      <c r="I85" s="5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</row>
    <row r="86" spans="1:86" x14ac:dyDescent="0.25">
      <c r="A86" s="12">
        <f t="shared" si="7"/>
        <v>83</v>
      </c>
      <c r="B86" s="4" t="s">
        <v>183</v>
      </c>
      <c r="C86" s="4" t="s">
        <v>184</v>
      </c>
      <c r="D86" s="4" t="s">
        <v>45</v>
      </c>
      <c r="E86" s="14"/>
      <c r="F86" s="14"/>
      <c r="G86" s="14"/>
      <c r="H86" s="14"/>
      <c r="I86" s="5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</row>
    <row r="87" spans="1:86" x14ac:dyDescent="0.25">
      <c r="A87" s="12">
        <f t="shared" si="7"/>
        <v>84</v>
      </c>
      <c r="B87" s="13" t="s">
        <v>307</v>
      </c>
      <c r="C87" s="4" t="s">
        <v>308</v>
      </c>
      <c r="D87" s="4" t="s">
        <v>45</v>
      </c>
      <c r="E87" s="14">
        <f>+[62]Main!$J$2</f>
        <v>117.07</v>
      </c>
      <c r="F87" s="14">
        <f>+[62]Main!$J$4</f>
        <v>104037.19313750998</v>
      </c>
      <c r="G87" s="14">
        <f>+[62]Main!$J$6-[62]Main!$J$5</f>
        <v>-4332</v>
      </c>
      <c r="H87" s="14">
        <f>+F87+G87</f>
        <v>99705.193137509981</v>
      </c>
      <c r="I87" s="5" t="s">
        <v>2583</v>
      </c>
      <c r="J87" s="4"/>
      <c r="K87" s="4"/>
      <c r="L87" s="4"/>
      <c r="M87" s="4"/>
      <c r="N87" s="4"/>
      <c r="O87" s="4"/>
      <c r="P87" s="4"/>
      <c r="Q87" s="4"/>
      <c r="R87" s="4"/>
      <c r="S87" s="4" t="s">
        <v>445</v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</row>
    <row r="88" spans="1:86" x14ac:dyDescent="0.25">
      <c r="A88" s="12">
        <f t="shared" si="7"/>
        <v>85</v>
      </c>
      <c r="B88" s="4" t="s">
        <v>185</v>
      </c>
      <c r="C88" s="4" t="s">
        <v>187</v>
      </c>
      <c r="D88" s="4" t="s">
        <v>186</v>
      </c>
      <c r="E88" s="14"/>
      <c r="F88" s="14"/>
      <c r="G88" s="14"/>
      <c r="H88" s="14"/>
      <c r="I88" s="5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</row>
    <row r="89" spans="1:86" x14ac:dyDescent="0.25">
      <c r="A89" s="12">
        <f t="shared" si="7"/>
        <v>86</v>
      </c>
      <c r="B89" s="13" t="s">
        <v>442</v>
      </c>
      <c r="C89" s="4" t="s">
        <v>222</v>
      </c>
      <c r="D89" s="4" t="s">
        <v>45</v>
      </c>
      <c r="E89" s="14">
        <f>+[63]Main!$I$2</f>
        <v>337.5</v>
      </c>
      <c r="F89" s="14">
        <f>+[63]Main!$I$4</f>
        <v>78536.25</v>
      </c>
      <c r="G89" s="14">
        <f>+[63]Main!$I$6-[63]Main!$I$5</f>
        <v>-42129.569890000006</v>
      </c>
      <c r="H89" s="14">
        <f>+F89+G89</f>
        <v>36406.680109999994</v>
      </c>
      <c r="I89" s="5" t="s">
        <v>430</v>
      </c>
      <c r="J89" s="4"/>
      <c r="K89" s="4"/>
      <c r="L89" s="4"/>
      <c r="M89" s="4"/>
      <c r="N89" s="4"/>
      <c r="O89" s="4"/>
      <c r="P89" s="4"/>
      <c r="Q89" s="4"/>
      <c r="R89" s="4"/>
      <c r="S89" s="4" t="s">
        <v>448</v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</row>
    <row r="90" spans="1:86" x14ac:dyDescent="0.25">
      <c r="A90" s="12">
        <f t="shared" si="7"/>
        <v>87</v>
      </c>
      <c r="B90" s="4" t="s">
        <v>188</v>
      </c>
      <c r="C90" s="4" t="s">
        <v>189</v>
      </c>
      <c r="D90" s="4" t="s">
        <v>45</v>
      </c>
      <c r="E90" s="14"/>
      <c r="F90" s="14"/>
      <c r="G90" s="14"/>
      <c r="H90" s="14"/>
      <c r="I90" s="5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</row>
    <row r="91" spans="1:86" x14ac:dyDescent="0.25">
      <c r="A91" s="12">
        <f t="shared" si="7"/>
        <v>88</v>
      </c>
      <c r="B91" s="4" t="s">
        <v>190</v>
      </c>
      <c r="C91" s="4" t="s">
        <v>191</v>
      </c>
      <c r="D91" s="4" t="s">
        <v>768</v>
      </c>
      <c r="E91" s="14"/>
      <c r="F91" s="14"/>
      <c r="G91" s="14"/>
      <c r="H91" s="14"/>
      <c r="I91" s="5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</row>
    <row r="92" spans="1:86" x14ac:dyDescent="0.25">
      <c r="A92" s="12">
        <f t="shared" si="7"/>
        <v>89</v>
      </c>
      <c r="B92" s="13" t="s">
        <v>192</v>
      </c>
      <c r="C92" s="4" t="s">
        <v>193</v>
      </c>
      <c r="D92" s="4" t="s">
        <v>45</v>
      </c>
      <c r="E92" s="14">
        <f>+[64]Main!$H$2</f>
        <v>276.01</v>
      </c>
      <c r="F92" s="14">
        <f>+[64]Main!$H$4</f>
        <v>69099.22577243</v>
      </c>
      <c r="G92" s="14">
        <f>+[64]Main!$H$6-[64]Main!$H$5</f>
        <v>-3259.3870999999999</v>
      </c>
      <c r="H92" s="14">
        <f>+F92+G92</f>
        <v>65839.838672429993</v>
      </c>
      <c r="I92" s="5" t="s">
        <v>49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</row>
    <row r="93" spans="1:86" x14ac:dyDescent="0.25">
      <c r="A93" s="12">
        <f t="shared" si="7"/>
        <v>90</v>
      </c>
      <c r="B93" s="13" t="s">
        <v>194</v>
      </c>
      <c r="C93" s="4" t="s">
        <v>707</v>
      </c>
      <c r="D93" s="4" t="s">
        <v>45</v>
      </c>
      <c r="E93" s="14">
        <f>+[65]Main!$J$2</f>
        <v>53.86</v>
      </c>
      <c r="F93" s="14">
        <f>+[65]Main!$J$4</f>
        <v>33365.192799999997</v>
      </c>
      <c r="G93" s="14">
        <f>+[65]Main!$J$6-[65]Main!$J$5</f>
        <v>-2373.2370000000001</v>
      </c>
      <c r="H93" s="14">
        <f>+F93+G93</f>
        <v>30991.955799999996</v>
      </c>
      <c r="I93" s="5" t="s">
        <v>430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</row>
    <row r="94" spans="1:86" x14ac:dyDescent="0.25">
      <c r="A94" s="12">
        <f t="shared" si="7"/>
        <v>91</v>
      </c>
      <c r="B94" s="4" t="s">
        <v>195</v>
      </c>
      <c r="C94" s="4" t="s">
        <v>197</v>
      </c>
      <c r="D94" s="4" t="s">
        <v>196</v>
      </c>
      <c r="E94" s="14"/>
      <c r="F94" s="14"/>
      <c r="G94" s="14"/>
      <c r="H94" s="14"/>
      <c r="I94" s="5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</row>
    <row r="95" spans="1:86" x14ac:dyDescent="0.25">
      <c r="A95" s="12">
        <f t="shared" si="7"/>
        <v>92</v>
      </c>
      <c r="B95" s="4" t="s">
        <v>198</v>
      </c>
      <c r="C95" s="4" t="s">
        <v>199</v>
      </c>
      <c r="D95" s="4" t="s">
        <v>46</v>
      </c>
      <c r="E95" s="14"/>
      <c r="F95" s="14"/>
      <c r="G95" s="14"/>
      <c r="H95" s="14"/>
      <c r="I95" s="5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</row>
    <row r="96" spans="1:86" x14ac:dyDescent="0.25">
      <c r="A96" s="12">
        <f t="shared" si="7"/>
        <v>93</v>
      </c>
      <c r="B96" s="4" t="s">
        <v>200</v>
      </c>
      <c r="C96" s="4" t="s">
        <v>201</v>
      </c>
      <c r="D96" s="4" t="s">
        <v>45</v>
      </c>
      <c r="E96" s="14"/>
      <c r="F96" s="14"/>
      <c r="G96" s="14"/>
      <c r="H96" s="14"/>
      <c r="I96" s="5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</row>
    <row r="97" spans="1:86" x14ac:dyDescent="0.25">
      <c r="A97" s="12">
        <f t="shared" si="7"/>
        <v>94</v>
      </c>
      <c r="B97" s="4" t="s">
        <v>202</v>
      </c>
      <c r="C97" s="4" t="s">
        <v>203</v>
      </c>
      <c r="D97" s="4" t="s">
        <v>768</v>
      </c>
      <c r="E97" s="14"/>
      <c r="F97" s="14"/>
      <c r="G97" s="14"/>
      <c r="H97" s="14"/>
      <c r="I97" s="5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</row>
    <row r="98" spans="1:86" x14ac:dyDescent="0.25">
      <c r="A98" s="12">
        <f t="shared" si="7"/>
        <v>95</v>
      </c>
      <c r="B98" s="13" t="s">
        <v>204</v>
      </c>
      <c r="C98" s="4" t="s">
        <v>205</v>
      </c>
      <c r="D98" s="4" t="s">
        <v>45</v>
      </c>
      <c r="E98" s="14">
        <f>+[66]Main!$I$2</f>
        <v>202.53</v>
      </c>
      <c r="F98" s="14">
        <f>+[66]Main!$I$4</f>
        <v>50674.485076589997</v>
      </c>
      <c r="G98" s="14">
        <f>+[66]Main!$I$6-[66]Main!$I$5</f>
        <v>-1230</v>
      </c>
      <c r="H98" s="14">
        <f>+F98+G98</f>
        <v>49444.485076589997</v>
      </c>
      <c r="I98" s="5" t="s">
        <v>431</v>
      </c>
      <c r="J98" s="36" t="s">
        <v>3146</v>
      </c>
      <c r="K98" s="4"/>
      <c r="L98" s="4"/>
      <c r="M98" s="4"/>
      <c r="N98" s="4"/>
      <c r="O98" s="4"/>
      <c r="P98" s="4"/>
      <c r="Q98" s="4"/>
      <c r="R98" s="4"/>
      <c r="S98" s="4" t="s">
        <v>446</v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</row>
    <row r="99" spans="1:86" x14ac:dyDescent="0.25">
      <c r="A99" s="12">
        <f t="shared" si="7"/>
        <v>96</v>
      </c>
      <c r="B99" s="4" t="s">
        <v>206</v>
      </c>
      <c r="C99" s="4" t="s">
        <v>207</v>
      </c>
      <c r="D99" s="4" t="s">
        <v>45</v>
      </c>
      <c r="E99" s="14"/>
      <c r="F99" s="14"/>
      <c r="G99" s="14"/>
      <c r="H99" s="14"/>
      <c r="I99" s="5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</row>
    <row r="100" spans="1:86" x14ac:dyDescent="0.25">
      <c r="A100" s="12">
        <f t="shared" si="7"/>
        <v>97</v>
      </c>
      <c r="B100" s="4" t="s">
        <v>208</v>
      </c>
      <c r="C100" s="4" t="s">
        <v>209</v>
      </c>
      <c r="D100" s="4" t="s">
        <v>87</v>
      </c>
      <c r="E100" s="14"/>
      <c r="F100" s="14"/>
      <c r="G100" s="14"/>
      <c r="H100" s="14"/>
      <c r="I100" s="5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</row>
    <row r="101" spans="1:86" x14ac:dyDescent="0.25">
      <c r="A101" s="12">
        <f t="shared" si="7"/>
        <v>98</v>
      </c>
      <c r="B101" s="4" t="s">
        <v>210</v>
      </c>
      <c r="C101" s="17" t="s">
        <v>211</v>
      </c>
      <c r="D101" s="4" t="s">
        <v>768</v>
      </c>
      <c r="E101" s="14"/>
      <c r="F101" s="14"/>
      <c r="G101" s="14"/>
      <c r="H101" s="14"/>
      <c r="I101" s="5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</row>
    <row r="102" spans="1:86" x14ac:dyDescent="0.25">
      <c r="A102" s="12">
        <f t="shared" si="7"/>
        <v>99</v>
      </c>
      <c r="B102" s="4" t="s">
        <v>212</v>
      </c>
      <c r="C102" s="4" t="s">
        <v>213</v>
      </c>
      <c r="D102" s="4" t="s">
        <v>87</v>
      </c>
      <c r="E102" s="14"/>
      <c r="F102" s="14"/>
      <c r="G102" s="14"/>
      <c r="H102" s="14"/>
      <c r="I102" s="5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</row>
    <row r="103" spans="1:86" x14ac:dyDescent="0.25">
      <c r="A103" s="12">
        <f t="shared" si="7"/>
        <v>100</v>
      </c>
      <c r="B103" s="4" t="s">
        <v>214</v>
      </c>
      <c r="C103" s="4" t="s">
        <v>215</v>
      </c>
      <c r="D103" s="4" t="s">
        <v>45</v>
      </c>
      <c r="E103" s="14"/>
      <c r="F103" s="14"/>
      <c r="G103" s="14"/>
      <c r="H103" s="14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</row>
    <row r="104" spans="1:86" x14ac:dyDescent="0.25">
      <c r="A104" s="12">
        <f t="shared" si="7"/>
        <v>101</v>
      </c>
      <c r="B104" s="13" t="s">
        <v>216</v>
      </c>
      <c r="C104" s="4" t="s">
        <v>217</v>
      </c>
      <c r="D104" s="4" t="s">
        <v>45</v>
      </c>
      <c r="E104" s="14">
        <f>+[67]Main!$I$2</f>
        <v>28.82</v>
      </c>
      <c r="F104" s="14">
        <f>+[67]Main!$I$4</f>
        <v>27027.330751519999</v>
      </c>
      <c r="G104" s="14">
        <f>+[67]Main!$I$6-[67]Main!$I$5</f>
        <v>6416</v>
      </c>
      <c r="H104" s="14">
        <f>+F104+G104</f>
        <v>33443.330751519999</v>
      </c>
      <c r="I104" s="5" t="s">
        <v>430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</row>
    <row r="105" spans="1:86" x14ac:dyDescent="0.25">
      <c r="A105" s="12">
        <f t="shared" si="7"/>
        <v>102</v>
      </c>
      <c r="B105" s="4" t="s">
        <v>218</v>
      </c>
      <c r="C105" s="4" t="s">
        <v>219</v>
      </c>
      <c r="D105" s="4" t="s">
        <v>173</v>
      </c>
      <c r="E105" s="14"/>
      <c r="F105" s="14"/>
      <c r="G105" s="14"/>
      <c r="H105" s="14"/>
      <c r="I105" s="5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</row>
    <row r="106" spans="1:86" x14ac:dyDescent="0.25">
      <c r="A106" s="12">
        <f t="shared" si="7"/>
        <v>103</v>
      </c>
      <c r="B106" s="4" t="s">
        <v>220</v>
      </c>
      <c r="C106" s="4" t="s">
        <v>221</v>
      </c>
      <c r="D106" s="4" t="s">
        <v>768</v>
      </c>
      <c r="E106" s="14"/>
      <c r="F106" s="14"/>
      <c r="G106" s="14"/>
      <c r="H106" s="14"/>
      <c r="I106" s="5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</row>
    <row r="107" spans="1:86" x14ac:dyDescent="0.25">
      <c r="A107" s="12">
        <f t="shared" si="7"/>
        <v>104</v>
      </c>
      <c r="B107" s="4" t="s">
        <v>223</v>
      </c>
      <c r="C107" s="4" t="s">
        <v>224</v>
      </c>
      <c r="D107" s="4" t="s">
        <v>1126</v>
      </c>
      <c r="E107" s="14"/>
      <c r="F107" s="14"/>
      <c r="G107" s="14"/>
      <c r="H107" s="14"/>
      <c r="I107" s="5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</row>
    <row r="108" spans="1:86" x14ac:dyDescent="0.25">
      <c r="A108" s="12">
        <f t="shared" si="7"/>
        <v>105</v>
      </c>
      <c r="B108" s="13" t="s">
        <v>225</v>
      </c>
      <c r="C108" s="4" t="s">
        <v>226</v>
      </c>
      <c r="D108" s="4" t="s">
        <v>45</v>
      </c>
      <c r="E108" s="14">
        <f>+[68]Main!$H$2</f>
        <v>107.58</v>
      </c>
      <c r="F108" s="14">
        <f>+[68]Main!$H$4</f>
        <v>48195.839999999997</v>
      </c>
      <c r="G108" s="14">
        <f>+[68]Main!$H$6-[68]Main!$H$5</f>
        <v>3827</v>
      </c>
      <c r="H108" s="14">
        <f>+F108+G108</f>
        <v>52022.84</v>
      </c>
      <c r="I108" s="42" t="s">
        <v>3147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</row>
    <row r="109" spans="1:86" x14ac:dyDescent="0.25">
      <c r="A109" s="12">
        <f t="shared" si="7"/>
        <v>106</v>
      </c>
      <c r="B109" s="4" t="s">
        <v>227</v>
      </c>
      <c r="C109" s="4" t="s">
        <v>228</v>
      </c>
      <c r="D109" s="4" t="s">
        <v>46</v>
      </c>
      <c r="E109" s="14"/>
      <c r="F109" s="14"/>
      <c r="G109" s="14"/>
      <c r="H109" s="14"/>
      <c r="I109" s="5"/>
      <c r="J109" s="4"/>
      <c r="K109" s="4"/>
      <c r="L109" s="4"/>
      <c r="M109" s="4"/>
      <c r="N109" s="4"/>
      <c r="O109" s="4"/>
      <c r="P109" s="4"/>
      <c r="Q109" s="4"/>
      <c r="R109" s="4"/>
      <c r="S109" s="4" t="s">
        <v>447</v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</row>
    <row r="110" spans="1:86" x14ac:dyDescent="0.25">
      <c r="A110" s="12">
        <f t="shared" si="7"/>
        <v>107</v>
      </c>
      <c r="B110" s="4" t="s">
        <v>229</v>
      </c>
      <c r="C110" s="4" t="s">
        <v>230</v>
      </c>
      <c r="D110" s="4" t="s">
        <v>87</v>
      </c>
      <c r="E110" s="14"/>
      <c r="F110" s="14"/>
      <c r="G110" s="14"/>
      <c r="H110" s="14"/>
      <c r="I110" s="5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</row>
    <row r="111" spans="1:86" x14ac:dyDescent="0.25">
      <c r="A111" s="12">
        <f t="shared" si="7"/>
        <v>108</v>
      </c>
      <c r="B111" s="4" t="s">
        <v>195</v>
      </c>
      <c r="C111" s="4" t="s">
        <v>231</v>
      </c>
      <c r="D111" s="4" t="s">
        <v>1126</v>
      </c>
      <c r="E111" s="14"/>
      <c r="F111" s="14"/>
      <c r="G111" s="14"/>
      <c r="H111" s="14"/>
      <c r="I111" s="5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</row>
    <row r="112" spans="1:86" x14ac:dyDescent="0.25">
      <c r="A112" s="12">
        <f t="shared" si="7"/>
        <v>109</v>
      </c>
      <c r="B112" s="4" t="s">
        <v>232</v>
      </c>
      <c r="C112" s="4" t="s">
        <v>234</v>
      </c>
      <c r="D112" s="4" t="s">
        <v>233</v>
      </c>
      <c r="E112" s="14"/>
      <c r="F112" s="14"/>
      <c r="G112" s="14"/>
      <c r="H112" s="14"/>
      <c r="I112" s="5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</row>
    <row r="113" spans="1:86" x14ac:dyDescent="0.25">
      <c r="A113" s="12">
        <f t="shared" si="7"/>
        <v>110</v>
      </c>
      <c r="B113" s="4" t="s">
        <v>235</v>
      </c>
      <c r="C113" s="4" t="s">
        <v>236</v>
      </c>
      <c r="D113" s="4" t="s">
        <v>186</v>
      </c>
      <c r="E113" s="14"/>
      <c r="F113" s="14"/>
      <c r="G113" s="14"/>
      <c r="H113" s="14"/>
      <c r="I113" s="5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</row>
    <row r="114" spans="1:86" x14ac:dyDescent="0.25">
      <c r="A114" s="12">
        <f t="shared" si="7"/>
        <v>111</v>
      </c>
      <c r="B114" s="4" t="s">
        <v>237</v>
      </c>
      <c r="C114" s="4" t="s">
        <v>238</v>
      </c>
      <c r="D114" s="4" t="s">
        <v>45</v>
      </c>
      <c r="E114" s="14"/>
      <c r="F114" s="14"/>
      <c r="G114" s="14"/>
      <c r="H114" s="14"/>
      <c r="I114" s="5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</row>
    <row r="115" spans="1:86" x14ac:dyDescent="0.25">
      <c r="A115" s="12">
        <f t="shared" si="7"/>
        <v>112</v>
      </c>
      <c r="B115" s="4" t="s">
        <v>239</v>
      </c>
      <c r="C115" s="4" t="s">
        <v>240</v>
      </c>
      <c r="D115" s="4" t="s">
        <v>45</v>
      </c>
      <c r="E115" s="14"/>
      <c r="F115" s="14"/>
      <c r="G115" s="14"/>
      <c r="H115" s="14"/>
      <c r="I115" s="5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</row>
    <row r="116" spans="1:86" x14ac:dyDescent="0.25">
      <c r="A116" s="12">
        <f t="shared" si="7"/>
        <v>113</v>
      </c>
      <c r="B116" s="4" t="s">
        <v>241</v>
      </c>
      <c r="C116" s="4" t="s">
        <v>242</v>
      </c>
      <c r="D116" s="4" t="s">
        <v>87</v>
      </c>
      <c r="E116" s="14"/>
      <c r="F116" s="14"/>
      <c r="G116" s="14"/>
      <c r="H116" s="14"/>
      <c r="I116" s="5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</row>
    <row r="117" spans="1:86" x14ac:dyDescent="0.25">
      <c r="A117" s="12">
        <f t="shared" si="7"/>
        <v>114</v>
      </c>
      <c r="B117" s="4" t="s">
        <v>243</v>
      </c>
      <c r="C117" s="4" t="s">
        <v>244</v>
      </c>
      <c r="D117" s="4" t="s">
        <v>245</v>
      </c>
      <c r="E117" s="14"/>
      <c r="F117" s="14"/>
      <c r="G117" s="14"/>
      <c r="H117" s="14"/>
      <c r="I117" s="5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</row>
    <row r="118" spans="1:86" x14ac:dyDescent="0.25">
      <c r="A118" s="12">
        <f t="shared" si="7"/>
        <v>115</v>
      </c>
      <c r="B118" s="4" t="s">
        <v>246</v>
      </c>
      <c r="C118" s="4" t="s">
        <v>247</v>
      </c>
      <c r="D118" s="4" t="s">
        <v>45</v>
      </c>
      <c r="E118" s="14"/>
      <c r="F118" s="14"/>
      <c r="G118" s="14"/>
      <c r="H118" s="14"/>
      <c r="I118" s="5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</row>
    <row r="119" spans="1:86" x14ac:dyDescent="0.25">
      <c r="A119" s="12">
        <f t="shared" si="7"/>
        <v>116</v>
      </c>
      <c r="B119" s="4" t="s">
        <v>248</v>
      </c>
      <c r="C119" s="4" t="s">
        <v>249</v>
      </c>
      <c r="D119" s="4" t="s">
        <v>45</v>
      </c>
      <c r="E119" s="14"/>
      <c r="F119" s="14"/>
      <c r="G119" s="14"/>
      <c r="H119" s="14"/>
      <c r="I119" s="5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</row>
    <row r="120" spans="1:86" x14ac:dyDescent="0.25">
      <c r="A120" s="12">
        <f t="shared" si="7"/>
        <v>117</v>
      </c>
      <c r="B120" s="4" t="s">
        <v>250</v>
      </c>
      <c r="C120" s="4" t="s">
        <v>251</v>
      </c>
      <c r="D120" s="4" t="s">
        <v>45</v>
      </c>
      <c r="E120" s="14"/>
      <c r="F120" s="14"/>
      <c r="G120" s="14"/>
      <c r="H120" s="14"/>
      <c r="I120" s="5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</row>
    <row r="121" spans="1:86" x14ac:dyDescent="0.25">
      <c r="A121" s="12">
        <f t="shared" si="7"/>
        <v>118</v>
      </c>
      <c r="B121" s="4" t="s">
        <v>252</v>
      </c>
      <c r="C121" s="4" t="s">
        <v>253</v>
      </c>
      <c r="D121" s="4" t="s">
        <v>173</v>
      </c>
      <c r="E121" s="14"/>
      <c r="F121" s="14"/>
      <c r="G121" s="14"/>
      <c r="H121" s="14"/>
      <c r="I121" s="5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</row>
    <row r="122" spans="1:86" x14ac:dyDescent="0.25">
      <c r="A122" s="12">
        <f t="shared" si="7"/>
        <v>119</v>
      </c>
      <c r="B122" s="13" t="s">
        <v>257</v>
      </c>
      <c r="C122" s="4" t="s">
        <v>254</v>
      </c>
      <c r="D122" s="4" t="s">
        <v>45</v>
      </c>
      <c r="E122" s="14">
        <f>+[69]Main!$I$2</f>
        <v>194.53</v>
      </c>
      <c r="F122" s="14">
        <f>+[69]Main!$I$4</f>
        <v>67601.194415930004</v>
      </c>
      <c r="G122" s="14">
        <f>+[69]Main!$I$6-[69]Main!$I$5</f>
        <v>-204.459</v>
      </c>
      <c r="H122" s="14">
        <f>+F122+G122</f>
        <v>67396.735415930001</v>
      </c>
      <c r="I122" s="5" t="s">
        <v>708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</row>
    <row r="123" spans="1:86" x14ac:dyDescent="0.25">
      <c r="A123" s="12">
        <f t="shared" si="7"/>
        <v>120</v>
      </c>
      <c r="B123" s="13" t="s">
        <v>255</v>
      </c>
      <c r="C123" s="4" t="s">
        <v>256</v>
      </c>
      <c r="D123" s="4" t="s">
        <v>45</v>
      </c>
      <c r="E123" s="14">
        <f>+[70]Main!$L$3</f>
        <v>228.01</v>
      </c>
      <c r="F123" s="14">
        <f>+[70]Main!$L$5</f>
        <v>42061.053038120001</v>
      </c>
      <c r="G123" s="14">
        <f>+[70]Main!$L$7-[70]Main!$L$6</f>
        <v>1030</v>
      </c>
      <c r="H123" s="14">
        <f>+F123+G123</f>
        <v>43091.053038120001</v>
      </c>
      <c r="I123" s="5" t="s">
        <v>429</v>
      </c>
      <c r="J123" s="4"/>
      <c r="K123" s="4"/>
      <c r="L123" s="4"/>
      <c r="M123" s="4"/>
      <c r="N123" s="4"/>
      <c r="O123" s="4"/>
      <c r="P123" s="4"/>
      <c r="Q123" s="4"/>
      <c r="R123" s="4"/>
      <c r="S123" s="4" t="s">
        <v>446</v>
      </c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</row>
    <row r="124" spans="1:86" x14ac:dyDescent="0.25">
      <c r="A124" s="12">
        <f t="shared" si="7"/>
        <v>121</v>
      </c>
      <c r="B124" s="4" t="s">
        <v>258</v>
      </c>
      <c r="C124" s="4" t="s">
        <v>259</v>
      </c>
      <c r="D124" s="4" t="s">
        <v>87</v>
      </c>
      <c r="E124" s="14"/>
      <c r="F124" s="14"/>
      <c r="G124" s="14"/>
      <c r="H124" s="14"/>
      <c r="I124" s="5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</row>
    <row r="125" spans="1:86" x14ac:dyDescent="0.25">
      <c r="A125" s="12">
        <f t="shared" si="7"/>
        <v>122</v>
      </c>
      <c r="B125" s="4" t="s">
        <v>260</v>
      </c>
      <c r="C125" s="4" t="s">
        <v>261</v>
      </c>
      <c r="D125" s="4" t="s">
        <v>87</v>
      </c>
      <c r="E125" s="14"/>
      <c r="F125" s="14"/>
      <c r="G125" s="14"/>
      <c r="H125" s="14"/>
      <c r="I125" s="5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</row>
    <row r="126" spans="1:86" x14ac:dyDescent="0.25">
      <c r="A126" s="12">
        <f t="shared" si="7"/>
        <v>123</v>
      </c>
      <c r="B126" s="4" t="s">
        <v>262</v>
      </c>
      <c r="C126" s="4" t="s">
        <v>263</v>
      </c>
      <c r="D126" s="4" t="s">
        <v>45</v>
      </c>
      <c r="E126" s="14"/>
      <c r="F126" s="14"/>
      <c r="G126" s="14"/>
      <c r="H126" s="14"/>
      <c r="I126" s="5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</row>
    <row r="127" spans="1:86" x14ac:dyDescent="0.25">
      <c r="A127" s="12">
        <f t="shared" si="7"/>
        <v>124</v>
      </c>
      <c r="B127" s="4" t="s">
        <v>264</v>
      </c>
      <c r="C127" s="4" t="s">
        <v>265</v>
      </c>
      <c r="D127" s="4" t="s">
        <v>45</v>
      </c>
      <c r="E127" s="14"/>
      <c r="F127" s="14"/>
      <c r="G127" s="14"/>
      <c r="H127" s="14"/>
      <c r="I127" s="5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</row>
    <row r="128" spans="1:86" x14ac:dyDescent="0.25">
      <c r="A128" s="12">
        <f t="shared" si="7"/>
        <v>125</v>
      </c>
      <c r="B128" s="4" t="s">
        <v>266</v>
      </c>
      <c r="C128" s="4" t="s">
        <v>267</v>
      </c>
      <c r="D128" s="4" t="s">
        <v>45</v>
      </c>
      <c r="E128" s="14"/>
      <c r="F128" s="14"/>
      <c r="G128" s="14"/>
      <c r="H128" s="14"/>
      <c r="I128" s="5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</row>
    <row r="129" spans="1:86" x14ac:dyDescent="0.25">
      <c r="A129" s="12">
        <f t="shared" si="7"/>
        <v>126</v>
      </c>
      <c r="B129" s="4" t="s">
        <v>268</v>
      </c>
      <c r="C129" s="4" t="s">
        <v>269</v>
      </c>
      <c r="D129" s="4" t="s">
        <v>45</v>
      </c>
      <c r="E129" s="14"/>
      <c r="F129" s="14"/>
      <c r="G129" s="14"/>
      <c r="H129" s="14"/>
      <c r="I129" s="5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</row>
    <row r="130" spans="1:86" x14ac:dyDescent="0.25">
      <c r="A130" s="12">
        <f t="shared" si="7"/>
        <v>127</v>
      </c>
      <c r="B130" s="4" t="s">
        <v>271</v>
      </c>
      <c r="C130" s="4" t="s">
        <v>270</v>
      </c>
      <c r="D130" s="4" t="s">
        <v>45</v>
      </c>
      <c r="E130" s="14"/>
      <c r="F130" s="14"/>
      <c r="G130" s="14"/>
      <c r="H130" s="14"/>
      <c r="I130" s="5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</row>
    <row r="131" spans="1:86" x14ac:dyDescent="0.25">
      <c r="A131" s="12">
        <f t="shared" si="7"/>
        <v>128</v>
      </c>
      <c r="B131" s="13" t="s">
        <v>424</v>
      </c>
      <c r="C131" s="4" t="s">
        <v>425</v>
      </c>
      <c r="D131" s="4" t="s">
        <v>45</v>
      </c>
      <c r="E131" s="14">
        <f>+[71]Main!$I$2</f>
        <v>215</v>
      </c>
      <c r="F131" s="14">
        <f>+[71]Main!$I$4</f>
        <v>40238.578914999998</v>
      </c>
      <c r="G131" s="14">
        <f>+[71]Main!$I$6-[71]Main!$I$5</f>
        <v>-2059.9409999999998</v>
      </c>
      <c r="H131" s="14">
        <f>+F131+G131</f>
        <v>38178.637914999999</v>
      </c>
      <c r="I131" s="5" t="s">
        <v>2583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</row>
    <row r="132" spans="1:86" x14ac:dyDescent="0.25">
      <c r="A132" s="12">
        <f t="shared" si="7"/>
        <v>129</v>
      </c>
      <c r="B132" s="4" t="s">
        <v>272</v>
      </c>
      <c r="C132" s="4" t="s">
        <v>273</v>
      </c>
      <c r="D132" s="4" t="s">
        <v>128</v>
      </c>
      <c r="E132" s="14"/>
      <c r="F132" s="14"/>
      <c r="G132" s="14"/>
      <c r="H132" s="14"/>
      <c r="I132" s="5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</row>
    <row r="133" spans="1:86" x14ac:dyDescent="0.25">
      <c r="A133" s="12">
        <f t="shared" si="7"/>
        <v>130</v>
      </c>
      <c r="B133" s="4" t="s">
        <v>274</v>
      </c>
      <c r="C133" s="4" t="s">
        <v>275</v>
      </c>
      <c r="D133" s="4" t="s">
        <v>45</v>
      </c>
      <c r="E133" s="14"/>
      <c r="F133" s="14"/>
      <c r="G133" s="14"/>
      <c r="H133" s="14"/>
      <c r="I133" s="5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</row>
    <row r="134" spans="1:86" x14ac:dyDescent="0.25">
      <c r="A134" s="12">
        <f t="shared" si="7"/>
        <v>131</v>
      </c>
      <c r="B134" s="13" t="s">
        <v>276</v>
      </c>
      <c r="C134" s="4" t="s">
        <v>277</v>
      </c>
      <c r="D134" s="4" t="s">
        <v>278</v>
      </c>
      <c r="E134" s="14">
        <f>+[72]Main!$J$2</f>
        <v>4.42</v>
      </c>
      <c r="F134" s="14">
        <f>+[72]Main!$J$4*FX!C4</f>
        <v>25273.325527398003</v>
      </c>
      <c r="G134" s="14">
        <f>+([72]Main!$J$6-[72]Main!$J$5)*FX!C4</f>
        <v>-2129.7600000000002</v>
      </c>
      <c r="H134" s="14">
        <f>+F134+G134</f>
        <v>23143.565527398001</v>
      </c>
      <c r="I134" s="5" t="s">
        <v>708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</row>
    <row r="135" spans="1:86" x14ac:dyDescent="0.25">
      <c r="A135" s="12">
        <f t="shared" si="7"/>
        <v>132</v>
      </c>
      <c r="B135" s="4" t="s">
        <v>279</v>
      </c>
      <c r="C135" s="4" t="s">
        <v>280</v>
      </c>
      <c r="D135" s="4" t="s">
        <v>45</v>
      </c>
      <c r="E135" s="14"/>
      <c r="F135" s="14"/>
      <c r="G135" s="14"/>
      <c r="H135" s="14"/>
      <c r="I135" s="5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</row>
    <row r="136" spans="1:86" x14ac:dyDescent="0.25">
      <c r="A136" s="12">
        <f t="shared" si="7"/>
        <v>133</v>
      </c>
      <c r="B136" s="4" t="s">
        <v>281</v>
      </c>
      <c r="C136" s="4" t="s">
        <v>283</v>
      </c>
      <c r="D136" s="4" t="s">
        <v>282</v>
      </c>
      <c r="E136" s="14"/>
      <c r="F136" s="14"/>
      <c r="G136" s="14"/>
      <c r="H136" s="14"/>
      <c r="I136" s="5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</row>
    <row r="137" spans="1:86" x14ac:dyDescent="0.25">
      <c r="A137" s="12">
        <f t="shared" si="7"/>
        <v>134</v>
      </c>
      <c r="B137" s="4" t="s">
        <v>285</v>
      </c>
      <c r="C137" s="4" t="s">
        <v>284</v>
      </c>
      <c r="D137" s="4" t="s">
        <v>768</v>
      </c>
      <c r="E137" s="14"/>
      <c r="F137" s="14"/>
      <c r="G137" s="14"/>
      <c r="H137" s="14"/>
      <c r="I137" s="5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</row>
    <row r="138" spans="1:86" x14ac:dyDescent="0.25">
      <c r="A138" s="12">
        <f t="shared" ref="A138:A201" si="8">+A137+1</f>
        <v>135</v>
      </c>
      <c r="B138" s="4" t="s">
        <v>286</v>
      </c>
      <c r="C138" s="4" t="s">
        <v>287</v>
      </c>
      <c r="D138" s="4" t="s">
        <v>45</v>
      </c>
      <c r="E138" s="14"/>
      <c r="F138" s="14"/>
      <c r="G138" s="14"/>
      <c r="H138" s="14"/>
      <c r="I138" s="5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</row>
    <row r="139" spans="1:86" x14ac:dyDescent="0.25">
      <c r="A139" s="12">
        <f t="shared" si="8"/>
        <v>136</v>
      </c>
      <c r="B139" s="4" t="s">
        <v>288</v>
      </c>
      <c r="C139" s="4" t="s">
        <v>289</v>
      </c>
      <c r="D139" s="4" t="s">
        <v>45</v>
      </c>
      <c r="E139" s="14"/>
      <c r="F139" s="14"/>
      <c r="G139" s="14"/>
      <c r="H139" s="14"/>
      <c r="I139" s="5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</row>
    <row r="140" spans="1:86" x14ac:dyDescent="0.25">
      <c r="A140" s="12">
        <f t="shared" si="8"/>
        <v>137</v>
      </c>
      <c r="B140" s="4" t="s">
        <v>290</v>
      </c>
      <c r="C140" s="4" t="s">
        <v>291</v>
      </c>
      <c r="D140" s="4" t="s">
        <v>45</v>
      </c>
      <c r="E140" s="14"/>
      <c r="F140" s="14"/>
      <c r="G140" s="14"/>
      <c r="H140" s="14"/>
      <c r="I140" s="5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</row>
    <row r="141" spans="1:86" x14ac:dyDescent="0.25">
      <c r="A141" s="12">
        <f t="shared" si="8"/>
        <v>138</v>
      </c>
      <c r="B141" s="4" t="s">
        <v>292</v>
      </c>
      <c r="C141" s="4" t="s">
        <v>293</v>
      </c>
      <c r="D141" s="4" t="s">
        <v>1126</v>
      </c>
      <c r="E141" s="14"/>
      <c r="F141" s="14"/>
      <c r="G141" s="14"/>
      <c r="H141" s="14"/>
      <c r="I141" s="5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</row>
    <row r="142" spans="1:86" x14ac:dyDescent="0.25">
      <c r="A142" s="12">
        <f t="shared" si="8"/>
        <v>139</v>
      </c>
      <c r="B142" s="4" t="s">
        <v>295</v>
      </c>
      <c r="C142" s="4" t="s">
        <v>296</v>
      </c>
      <c r="D142" s="4" t="s">
        <v>294</v>
      </c>
      <c r="E142" s="14"/>
      <c r="F142" s="14"/>
      <c r="G142" s="14"/>
      <c r="H142" s="14"/>
      <c r="I142" s="5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</row>
    <row r="143" spans="1:86" x14ac:dyDescent="0.25">
      <c r="A143" s="12">
        <f t="shared" si="8"/>
        <v>140</v>
      </c>
      <c r="B143" s="4" t="s">
        <v>299</v>
      </c>
      <c r="C143" s="4" t="s">
        <v>299</v>
      </c>
      <c r="D143" s="4" t="s">
        <v>45</v>
      </c>
      <c r="E143" s="14"/>
      <c r="F143" s="14"/>
      <c r="G143" s="14"/>
      <c r="H143" s="14"/>
      <c r="I143" s="5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</row>
    <row r="144" spans="1:86" x14ac:dyDescent="0.25">
      <c r="A144" s="12">
        <f t="shared" si="8"/>
        <v>141</v>
      </c>
      <c r="B144" s="4" t="s">
        <v>297</v>
      </c>
      <c r="C144" s="4" t="s">
        <v>298</v>
      </c>
      <c r="D144" s="4" t="s">
        <v>45</v>
      </c>
      <c r="E144" s="14"/>
      <c r="F144" s="14"/>
      <c r="G144" s="14"/>
      <c r="H144" s="14"/>
      <c r="I144" s="5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</row>
    <row r="145" spans="1:86" x14ac:dyDescent="0.25">
      <c r="A145" s="12">
        <f t="shared" si="8"/>
        <v>142</v>
      </c>
      <c r="B145" s="4" t="s">
        <v>300</v>
      </c>
      <c r="C145" s="4" t="s">
        <v>302</v>
      </c>
      <c r="D145" s="4" t="s">
        <v>301</v>
      </c>
      <c r="E145" s="14"/>
      <c r="F145" s="14"/>
      <c r="G145" s="14"/>
      <c r="H145" s="14"/>
      <c r="I145" s="5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</row>
    <row r="146" spans="1:86" x14ac:dyDescent="0.25">
      <c r="A146" s="12">
        <f t="shared" si="8"/>
        <v>143</v>
      </c>
      <c r="B146" s="4" t="s">
        <v>303</v>
      </c>
      <c r="C146" s="4" t="s">
        <v>304</v>
      </c>
      <c r="D146" s="4" t="s">
        <v>1126</v>
      </c>
      <c r="E146" s="14"/>
      <c r="F146" s="14"/>
      <c r="G146" s="14"/>
      <c r="H146" s="14"/>
      <c r="I146" s="5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</row>
    <row r="147" spans="1:86" x14ac:dyDescent="0.25">
      <c r="A147" s="12">
        <f t="shared" si="8"/>
        <v>144</v>
      </c>
      <c r="B147" s="4" t="s">
        <v>305</v>
      </c>
      <c r="C147" s="4" t="s">
        <v>306</v>
      </c>
      <c r="D147" s="4" t="s">
        <v>87</v>
      </c>
      <c r="E147" s="14"/>
      <c r="F147" s="14"/>
      <c r="G147" s="14"/>
      <c r="H147" s="14"/>
      <c r="I147" s="5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</row>
    <row r="148" spans="1:86" x14ac:dyDescent="0.25">
      <c r="A148" s="12">
        <f t="shared" si="8"/>
        <v>145</v>
      </c>
      <c r="B148" s="13" t="s">
        <v>309</v>
      </c>
      <c r="C148" s="4" t="s">
        <v>310</v>
      </c>
      <c r="D148" s="4" t="s">
        <v>45</v>
      </c>
      <c r="E148" s="14">
        <f>+[73]Main!$I$2</f>
        <v>195.81</v>
      </c>
      <c r="F148" s="14">
        <f>+[73]Main!$I$4</f>
        <v>25231.503659940001</v>
      </c>
      <c r="G148" s="14">
        <f>+[73]Main!$I$6-[73]Main!$I$5</f>
        <v>392</v>
      </c>
      <c r="H148" s="14">
        <f>+F148+G148</f>
        <v>25623.503659940001</v>
      </c>
      <c r="I148" s="5" t="s">
        <v>430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</row>
    <row r="149" spans="1:86" x14ac:dyDescent="0.25">
      <c r="A149" s="12">
        <f t="shared" si="8"/>
        <v>146</v>
      </c>
      <c r="B149" s="4" t="s">
        <v>311</v>
      </c>
      <c r="C149" s="4" t="s">
        <v>312</v>
      </c>
      <c r="D149" s="4" t="s">
        <v>45</v>
      </c>
      <c r="E149" s="14"/>
      <c r="F149" s="14"/>
      <c r="G149" s="14"/>
      <c r="H149" s="14"/>
      <c r="I149" s="5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</row>
    <row r="150" spans="1:86" x14ac:dyDescent="0.25">
      <c r="A150" s="12">
        <f t="shared" si="8"/>
        <v>147</v>
      </c>
      <c r="B150" s="4" t="s">
        <v>313</v>
      </c>
      <c r="C150" s="17" t="s">
        <v>314</v>
      </c>
      <c r="D150" s="4" t="s">
        <v>59</v>
      </c>
      <c r="E150" s="14"/>
      <c r="F150" s="14"/>
      <c r="G150" s="14"/>
      <c r="H150" s="14"/>
      <c r="I150" s="5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</row>
    <row r="151" spans="1:86" x14ac:dyDescent="0.25">
      <c r="A151" s="12">
        <f t="shared" si="8"/>
        <v>148</v>
      </c>
      <c r="B151" s="4" t="s">
        <v>315</v>
      </c>
      <c r="C151" s="4" t="s">
        <v>316</v>
      </c>
      <c r="D151" s="4" t="s">
        <v>45</v>
      </c>
      <c r="E151" s="14"/>
      <c r="F151" s="14"/>
      <c r="G151" s="14"/>
      <c r="H151" s="14"/>
      <c r="I151" s="5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</row>
    <row r="152" spans="1:86" x14ac:dyDescent="0.25">
      <c r="A152" s="12">
        <f t="shared" si="8"/>
        <v>149</v>
      </c>
      <c r="B152" s="4" t="s">
        <v>317</v>
      </c>
      <c r="C152" s="4" t="s">
        <v>318</v>
      </c>
      <c r="D152" s="4" t="s">
        <v>45</v>
      </c>
      <c r="E152" s="14"/>
      <c r="F152" s="14"/>
      <c r="G152" s="14"/>
      <c r="H152" s="14"/>
      <c r="I152" s="5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</row>
    <row r="153" spans="1:86" x14ac:dyDescent="0.25">
      <c r="A153" s="12">
        <f t="shared" si="8"/>
        <v>150</v>
      </c>
      <c r="B153" s="4" t="s">
        <v>320</v>
      </c>
      <c r="C153" s="4" t="s">
        <v>319</v>
      </c>
      <c r="D153" s="4" t="s">
        <v>45</v>
      </c>
      <c r="E153" s="14"/>
      <c r="F153" s="14"/>
      <c r="G153" s="14"/>
      <c r="H153" s="14"/>
      <c r="I153" s="5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</row>
    <row r="154" spans="1:86" x14ac:dyDescent="0.25">
      <c r="A154" s="12">
        <f t="shared" si="8"/>
        <v>151</v>
      </c>
      <c r="B154" s="13" t="s">
        <v>321</v>
      </c>
      <c r="C154" s="17" t="s">
        <v>323</v>
      </c>
      <c r="D154" s="4" t="s">
        <v>322</v>
      </c>
      <c r="E154" s="14"/>
      <c r="F154" s="14"/>
      <c r="G154" s="14"/>
      <c r="H154" s="14"/>
      <c r="I154" s="5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</row>
    <row r="155" spans="1:86" x14ac:dyDescent="0.25">
      <c r="A155" s="12">
        <f t="shared" si="8"/>
        <v>152</v>
      </c>
      <c r="B155" s="13" t="s">
        <v>324</v>
      </c>
      <c r="C155" s="4" t="s">
        <v>325</v>
      </c>
      <c r="D155" s="4" t="s">
        <v>45</v>
      </c>
      <c r="E155" s="14">
        <f>+[74]Main!$I$2</f>
        <v>283.56</v>
      </c>
      <c r="F155" s="14">
        <f>+[74]Main!$I$4</f>
        <v>10720.488835439999</v>
      </c>
      <c r="G155" s="14">
        <f>+[74]Main!$I$6-[74]Main!$I$5</f>
        <v>1066.1519999999998</v>
      </c>
      <c r="H155" s="14">
        <f>+F155+G155</f>
        <v>11786.640835439999</v>
      </c>
      <c r="I155" s="5" t="s">
        <v>429</v>
      </c>
      <c r="J155" s="4"/>
      <c r="K155" s="4"/>
      <c r="L155" s="4"/>
      <c r="M155" s="4"/>
      <c r="N155" s="4"/>
      <c r="O155" s="4"/>
      <c r="P155" s="4"/>
      <c r="Q155" s="4"/>
      <c r="R155" s="4"/>
      <c r="S155" s="4" t="s">
        <v>443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</row>
    <row r="156" spans="1:86" x14ac:dyDescent="0.25">
      <c r="A156" s="12">
        <f t="shared" si="8"/>
        <v>153</v>
      </c>
      <c r="B156" s="13" t="s">
        <v>327</v>
      </c>
      <c r="C156" s="4" t="s">
        <v>326</v>
      </c>
      <c r="D156" s="4" t="s">
        <v>45</v>
      </c>
      <c r="E156" s="14">
        <f>+[75]Main!$I$2</f>
        <v>4.42</v>
      </c>
      <c r="F156" s="14">
        <f>+[75]Main!$I$4</f>
        <v>7599.5650606200006</v>
      </c>
      <c r="G156" s="14">
        <f>+[75]Main!$I$6-[75]Main!$I$5</f>
        <v>544.51200000000017</v>
      </c>
      <c r="H156" s="14">
        <f>+F156+G156</f>
        <v>8144.0770606200003</v>
      </c>
      <c r="I156" s="5" t="s">
        <v>2583</v>
      </c>
      <c r="J156" s="15">
        <v>45958</v>
      </c>
      <c r="K156" s="4"/>
      <c r="L156" s="4"/>
      <c r="M156" s="4"/>
      <c r="N156" s="4"/>
      <c r="O156" s="4"/>
      <c r="P156" s="4"/>
      <c r="Q156" s="4"/>
      <c r="R156" s="4"/>
      <c r="S156" s="4" t="s">
        <v>444</v>
      </c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</row>
    <row r="157" spans="1:86" x14ac:dyDescent="0.25">
      <c r="A157" s="12">
        <f t="shared" si="8"/>
        <v>154</v>
      </c>
      <c r="B157" s="4" t="s">
        <v>329</v>
      </c>
      <c r="C157" s="4" t="s">
        <v>328</v>
      </c>
      <c r="D157" s="4" t="s">
        <v>45</v>
      </c>
      <c r="E157" s="14"/>
      <c r="F157" s="14"/>
      <c r="G157" s="14"/>
      <c r="H157" s="14"/>
      <c r="I157" s="5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</row>
    <row r="158" spans="1:86" x14ac:dyDescent="0.25">
      <c r="A158" s="12">
        <f t="shared" si="8"/>
        <v>155</v>
      </c>
      <c r="B158" s="4" t="s">
        <v>330</v>
      </c>
      <c r="C158" s="4" t="s">
        <v>331</v>
      </c>
      <c r="D158" s="4" t="s">
        <v>45</v>
      </c>
      <c r="E158" s="14"/>
      <c r="F158" s="14"/>
      <c r="G158" s="14"/>
      <c r="H158" s="14"/>
      <c r="I158" s="5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</row>
    <row r="159" spans="1:86" x14ac:dyDescent="0.25">
      <c r="A159" s="12">
        <f t="shared" si="8"/>
        <v>156</v>
      </c>
      <c r="B159" s="4" t="s">
        <v>332</v>
      </c>
      <c r="C159" s="4" t="s">
        <v>333</v>
      </c>
      <c r="D159" s="4" t="s">
        <v>45</v>
      </c>
      <c r="E159" s="14"/>
      <c r="F159" s="14"/>
      <c r="G159" s="14"/>
      <c r="H159" s="14"/>
      <c r="I159" s="5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</row>
    <row r="160" spans="1:86" x14ac:dyDescent="0.25">
      <c r="A160" s="12">
        <f t="shared" si="8"/>
        <v>157</v>
      </c>
      <c r="B160" s="4" t="s">
        <v>334</v>
      </c>
      <c r="C160" s="4" t="s">
        <v>335</v>
      </c>
      <c r="D160" s="4" t="s">
        <v>87</v>
      </c>
      <c r="E160" s="14"/>
      <c r="F160" s="14"/>
      <c r="G160" s="14"/>
      <c r="H160" s="14"/>
      <c r="I160" s="5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</row>
    <row r="161" spans="1:86" x14ac:dyDescent="0.25">
      <c r="A161" s="12">
        <f t="shared" si="8"/>
        <v>158</v>
      </c>
      <c r="B161" s="4" t="s">
        <v>336</v>
      </c>
      <c r="C161" s="4" t="s">
        <v>337</v>
      </c>
      <c r="D161" s="4" t="s">
        <v>45</v>
      </c>
      <c r="E161" s="14"/>
      <c r="F161" s="14"/>
      <c r="G161" s="14"/>
      <c r="H161" s="14"/>
      <c r="I161" s="5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</row>
    <row r="162" spans="1:86" x14ac:dyDescent="0.25">
      <c r="A162" s="12">
        <f t="shared" si="8"/>
        <v>159</v>
      </c>
      <c r="B162" s="4" t="s">
        <v>338</v>
      </c>
      <c r="C162" s="4" t="s">
        <v>339</v>
      </c>
      <c r="D162" s="4" t="s">
        <v>45</v>
      </c>
      <c r="E162" s="14"/>
      <c r="F162" s="14"/>
      <c r="G162" s="14"/>
      <c r="H162" s="14"/>
      <c r="I162" s="5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</row>
    <row r="163" spans="1:86" x14ac:dyDescent="0.25">
      <c r="A163" s="12">
        <f t="shared" si="8"/>
        <v>160</v>
      </c>
      <c r="B163" s="4" t="s">
        <v>340</v>
      </c>
      <c r="C163" s="4" t="s">
        <v>341</v>
      </c>
      <c r="D163" s="4" t="s">
        <v>45</v>
      </c>
      <c r="E163" s="14"/>
      <c r="F163" s="14"/>
      <c r="G163" s="14"/>
      <c r="H163" s="14"/>
      <c r="I163" s="5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</row>
    <row r="164" spans="1:86" x14ac:dyDescent="0.25">
      <c r="A164" s="12">
        <f t="shared" si="8"/>
        <v>161</v>
      </c>
      <c r="B164" s="4" t="s">
        <v>342</v>
      </c>
      <c r="C164" s="4" t="s">
        <v>343</v>
      </c>
      <c r="D164" s="4" t="s">
        <v>186</v>
      </c>
      <c r="E164" s="14"/>
      <c r="F164" s="14"/>
      <c r="G164" s="14"/>
      <c r="H164" s="14"/>
      <c r="I164" s="5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</row>
    <row r="165" spans="1:86" x14ac:dyDescent="0.25">
      <c r="A165" s="12">
        <f t="shared" si="8"/>
        <v>162</v>
      </c>
      <c r="B165" s="4" t="s">
        <v>344</v>
      </c>
      <c r="C165" s="4" t="s">
        <v>345</v>
      </c>
      <c r="D165" s="4" t="s">
        <v>45</v>
      </c>
      <c r="E165" s="14"/>
      <c r="F165" s="14"/>
      <c r="G165" s="14"/>
      <c r="H165" s="14"/>
      <c r="I165" s="5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</row>
    <row r="166" spans="1:86" x14ac:dyDescent="0.25">
      <c r="A166" s="12">
        <f t="shared" si="8"/>
        <v>163</v>
      </c>
      <c r="B166" s="4" t="s">
        <v>346</v>
      </c>
      <c r="C166" s="4" t="s">
        <v>347</v>
      </c>
      <c r="D166" s="4" t="s">
        <v>45</v>
      </c>
      <c r="E166" s="14"/>
      <c r="F166" s="14"/>
      <c r="G166" s="14"/>
      <c r="H166" s="14"/>
      <c r="I166" s="5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</row>
    <row r="167" spans="1:86" x14ac:dyDescent="0.25">
      <c r="A167" s="12">
        <f t="shared" si="8"/>
        <v>164</v>
      </c>
      <c r="B167" s="4" t="s">
        <v>348</v>
      </c>
      <c r="C167" s="4" t="s">
        <v>349</v>
      </c>
      <c r="D167" s="4" t="s">
        <v>45</v>
      </c>
      <c r="E167" s="14"/>
      <c r="F167" s="14"/>
      <c r="G167" s="14"/>
      <c r="H167" s="14"/>
      <c r="I167" s="5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</row>
    <row r="168" spans="1:86" x14ac:dyDescent="0.25">
      <c r="A168" s="12">
        <f t="shared" si="8"/>
        <v>165</v>
      </c>
      <c r="B168" s="4" t="s">
        <v>350</v>
      </c>
      <c r="C168" s="4" t="s">
        <v>351</v>
      </c>
      <c r="D168" s="4" t="s">
        <v>45</v>
      </c>
      <c r="E168" s="14"/>
      <c r="F168" s="14"/>
      <c r="G168" s="14"/>
      <c r="H168" s="14"/>
      <c r="I168" s="5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</row>
    <row r="169" spans="1:86" x14ac:dyDescent="0.25">
      <c r="A169" s="12">
        <f t="shared" si="8"/>
        <v>166</v>
      </c>
      <c r="B169" s="4" t="s">
        <v>353</v>
      </c>
      <c r="C169" s="4" t="s">
        <v>352</v>
      </c>
      <c r="D169" s="4" t="s">
        <v>45</v>
      </c>
      <c r="E169" s="14"/>
      <c r="F169" s="14"/>
      <c r="G169" s="14"/>
      <c r="H169" s="14"/>
      <c r="I169" s="5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</row>
    <row r="170" spans="1:86" x14ac:dyDescent="0.25">
      <c r="A170" s="12">
        <f t="shared" si="8"/>
        <v>167</v>
      </c>
      <c r="B170" s="4" t="s">
        <v>354</v>
      </c>
      <c r="C170" s="4" t="s">
        <v>355</v>
      </c>
      <c r="D170" s="4" t="s">
        <v>161</v>
      </c>
      <c r="E170" s="14"/>
      <c r="F170" s="14"/>
      <c r="G170" s="14"/>
      <c r="H170" s="14"/>
      <c r="I170" s="5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</row>
    <row r="171" spans="1:86" x14ac:dyDescent="0.25">
      <c r="A171" s="12">
        <f t="shared" si="8"/>
        <v>168</v>
      </c>
      <c r="B171" s="4" t="s">
        <v>356</v>
      </c>
      <c r="C171" s="4" t="s">
        <v>357</v>
      </c>
      <c r="D171" s="4" t="s">
        <v>45</v>
      </c>
      <c r="E171" s="14"/>
      <c r="F171" s="14"/>
      <c r="G171" s="14"/>
      <c r="H171" s="14"/>
      <c r="I171" s="5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</row>
    <row r="172" spans="1:86" x14ac:dyDescent="0.25">
      <c r="A172" s="12">
        <f t="shared" si="8"/>
        <v>169</v>
      </c>
      <c r="B172" s="4" t="s">
        <v>358</v>
      </c>
      <c r="C172" s="4" t="s">
        <v>359</v>
      </c>
      <c r="D172" s="4" t="s">
        <v>45</v>
      </c>
      <c r="E172" s="14"/>
      <c r="F172" s="14"/>
      <c r="G172" s="14"/>
      <c r="H172" s="14"/>
      <c r="I172" s="5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</row>
    <row r="173" spans="1:86" x14ac:dyDescent="0.25">
      <c r="A173" s="12">
        <f t="shared" si="8"/>
        <v>170</v>
      </c>
      <c r="B173" s="4" t="s">
        <v>360</v>
      </c>
      <c r="C173" s="4" t="s">
        <v>361</v>
      </c>
      <c r="D173" s="4" t="s">
        <v>45</v>
      </c>
      <c r="E173" s="14"/>
      <c r="F173" s="14"/>
      <c r="G173" s="14"/>
      <c r="H173" s="14"/>
      <c r="I173" s="5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</row>
    <row r="174" spans="1:86" x14ac:dyDescent="0.25">
      <c r="A174" s="12">
        <f t="shared" si="8"/>
        <v>171</v>
      </c>
      <c r="B174" s="4" t="s">
        <v>362</v>
      </c>
      <c r="C174" s="4" t="s">
        <v>363</v>
      </c>
      <c r="D174" s="4" t="s">
        <v>322</v>
      </c>
      <c r="E174" s="14"/>
      <c r="F174" s="14"/>
      <c r="G174" s="14"/>
      <c r="H174" s="14"/>
      <c r="I174" s="5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</row>
    <row r="175" spans="1:86" x14ac:dyDescent="0.25">
      <c r="A175" s="12">
        <f t="shared" si="8"/>
        <v>172</v>
      </c>
      <c r="B175" s="4" t="s">
        <v>364</v>
      </c>
      <c r="C175" s="4" t="s">
        <v>365</v>
      </c>
      <c r="D175" s="4" t="s">
        <v>45</v>
      </c>
      <c r="E175" s="14"/>
      <c r="F175" s="14"/>
      <c r="G175" s="14"/>
      <c r="H175" s="14"/>
      <c r="I175" s="5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</row>
    <row r="176" spans="1:86" x14ac:dyDescent="0.25">
      <c r="A176" s="12">
        <f t="shared" si="8"/>
        <v>173</v>
      </c>
      <c r="B176" s="4" t="s">
        <v>366</v>
      </c>
      <c r="C176" s="4" t="s">
        <v>367</v>
      </c>
      <c r="D176" s="4" t="s">
        <v>768</v>
      </c>
      <c r="E176" s="14"/>
      <c r="F176" s="14"/>
      <c r="G176" s="14"/>
      <c r="H176" s="14"/>
      <c r="I176" s="5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</row>
    <row r="177" spans="1:86" x14ac:dyDescent="0.25">
      <c r="A177" s="12">
        <f t="shared" si="8"/>
        <v>174</v>
      </c>
      <c r="B177" s="4" t="s">
        <v>368</v>
      </c>
      <c r="C177" s="4" t="s">
        <v>369</v>
      </c>
      <c r="D177" s="4" t="s">
        <v>87</v>
      </c>
      <c r="E177" s="14"/>
      <c r="F177" s="14"/>
      <c r="G177" s="14"/>
      <c r="H177" s="14"/>
      <c r="I177" s="5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</row>
    <row r="178" spans="1:86" x14ac:dyDescent="0.25">
      <c r="A178" s="12">
        <f t="shared" si="8"/>
        <v>175</v>
      </c>
      <c r="B178" s="13" t="s">
        <v>371</v>
      </c>
      <c r="C178" s="4" t="s">
        <v>370</v>
      </c>
      <c r="D178" s="4" t="s">
        <v>87</v>
      </c>
      <c r="E178" s="14"/>
      <c r="F178" s="14"/>
      <c r="G178" s="14"/>
      <c r="H178" s="14"/>
      <c r="I178" s="5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</row>
    <row r="179" spans="1:86" x14ac:dyDescent="0.25">
      <c r="A179" s="12">
        <f t="shared" si="8"/>
        <v>176</v>
      </c>
      <c r="B179" s="4" t="s">
        <v>372</v>
      </c>
      <c r="C179" s="4" t="s">
        <v>373</v>
      </c>
      <c r="D179" s="4" t="s">
        <v>768</v>
      </c>
      <c r="E179" s="14"/>
      <c r="F179" s="14"/>
      <c r="G179" s="14"/>
      <c r="H179" s="14"/>
      <c r="I179" s="5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</row>
    <row r="180" spans="1:86" x14ac:dyDescent="0.25">
      <c r="A180" s="12">
        <f t="shared" si="8"/>
        <v>177</v>
      </c>
      <c r="B180" s="4" t="s">
        <v>374</v>
      </c>
      <c r="C180" s="4" t="s">
        <v>375</v>
      </c>
      <c r="D180" s="4" t="s">
        <v>45</v>
      </c>
      <c r="E180" s="14"/>
      <c r="F180" s="14"/>
      <c r="G180" s="14"/>
      <c r="H180" s="14"/>
      <c r="I180" s="5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</row>
    <row r="181" spans="1:86" x14ac:dyDescent="0.25">
      <c r="A181" s="12">
        <f t="shared" si="8"/>
        <v>178</v>
      </c>
      <c r="B181" s="4" t="s">
        <v>376</v>
      </c>
      <c r="C181" s="4" t="s">
        <v>377</v>
      </c>
      <c r="D181" s="4" t="s">
        <v>45</v>
      </c>
      <c r="E181" s="14"/>
      <c r="F181" s="14"/>
      <c r="G181" s="14"/>
      <c r="H181" s="14"/>
      <c r="I181" s="5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</row>
    <row r="182" spans="1:86" x14ac:dyDescent="0.25">
      <c r="A182" s="12">
        <f t="shared" si="8"/>
        <v>179</v>
      </c>
      <c r="B182" s="4" t="s">
        <v>378</v>
      </c>
      <c r="C182" s="4" t="s">
        <v>379</v>
      </c>
      <c r="D182" s="4" t="s">
        <v>87</v>
      </c>
      <c r="E182" s="14"/>
      <c r="F182" s="14"/>
      <c r="G182" s="14"/>
      <c r="H182" s="14"/>
      <c r="I182" s="5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</row>
    <row r="183" spans="1:86" x14ac:dyDescent="0.25">
      <c r="A183" s="12">
        <f t="shared" si="8"/>
        <v>180</v>
      </c>
      <c r="B183" s="4" t="s">
        <v>380</v>
      </c>
      <c r="C183" s="4" t="s">
        <v>381</v>
      </c>
      <c r="D183" s="4" t="s">
        <v>87</v>
      </c>
      <c r="E183" s="14"/>
      <c r="F183" s="14"/>
      <c r="G183" s="14"/>
      <c r="H183" s="14"/>
      <c r="I183" s="5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</row>
    <row r="184" spans="1:86" x14ac:dyDescent="0.25">
      <c r="A184" s="12">
        <f t="shared" si="8"/>
        <v>181</v>
      </c>
      <c r="B184" s="4" t="s">
        <v>433</v>
      </c>
      <c r="C184" s="4" t="s">
        <v>382</v>
      </c>
      <c r="D184" s="4" t="s">
        <v>301</v>
      </c>
      <c r="E184" s="14"/>
      <c r="F184" s="14"/>
      <c r="G184" s="14"/>
      <c r="H184" s="14"/>
      <c r="I184" s="5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</row>
    <row r="185" spans="1:86" x14ac:dyDescent="0.25">
      <c r="A185" s="12">
        <f t="shared" si="8"/>
        <v>182</v>
      </c>
      <c r="B185" s="4" t="s">
        <v>383</v>
      </c>
      <c r="C185" s="4" t="s">
        <v>384</v>
      </c>
      <c r="D185" s="4" t="s">
        <v>1126</v>
      </c>
      <c r="E185" s="14"/>
      <c r="F185" s="14"/>
      <c r="G185" s="14"/>
      <c r="H185" s="14"/>
      <c r="I185" s="5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</row>
    <row r="186" spans="1:86" x14ac:dyDescent="0.25">
      <c r="A186" s="12">
        <f t="shared" si="8"/>
        <v>183</v>
      </c>
      <c r="B186" s="4" t="s">
        <v>385</v>
      </c>
      <c r="C186" s="4" t="s">
        <v>386</v>
      </c>
      <c r="D186" s="4" t="s">
        <v>173</v>
      </c>
      <c r="E186" s="14"/>
      <c r="F186" s="14"/>
      <c r="G186" s="14"/>
      <c r="H186" s="14"/>
      <c r="I186" s="5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</row>
    <row r="187" spans="1:86" x14ac:dyDescent="0.25">
      <c r="A187" s="12">
        <f t="shared" si="8"/>
        <v>184</v>
      </c>
      <c r="B187" s="4" t="s">
        <v>387</v>
      </c>
      <c r="C187" s="17" t="s">
        <v>388</v>
      </c>
      <c r="D187" s="4" t="s">
        <v>59</v>
      </c>
      <c r="E187" s="14"/>
      <c r="F187" s="14"/>
      <c r="G187" s="14"/>
      <c r="H187" s="14"/>
      <c r="I187" s="5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</row>
    <row r="188" spans="1:86" x14ac:dyDescent="0.25">
      <c r="A188" s="12">
        <f t="shared" si="8"/>
        <v>185</v>
      </c>
      <c r="B188" s="4" t="s">
        <v>389</v>
      </c>
      <c r="C188" s="4" t="s">
        <v>390</v>
      </c>
      <c r="D188" s="4" t="s">
        <v>84</v>
      </c>
      <c r="E188" s="14"/>
      <c r="F188" s="14"/>
      <c r="G188" s="14"/>
      <c r="H188" s="14"/>
      <c r="I188" s="5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</row>
    <row r="189" spans="1:86" x14ac:dyDescent="0.25">
      <c r="A189" s="12">
        <f t="shared" si="8"/>
        <v>186</v>
      </c>
      <c r="B189" s="4" t="s">
        <v>391</v>
      </c>
      <c r="C189" s="4" t="s">
        <v>392</v>
      </c>
      <c r="D189" s="4" t="s">
        <v>45</v>
      </c>
      <c r="E189" s="14"/>
      <c r="F189" s="14"/>
      <c r="G189" s="14"/>
      <c r="H189" s="14"/>
      <c r="I189" s="5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</row>
    <row r="190" spans="1:86" x14ac:dyDescent="0.25">
      <c r="A190" s="12">
        <f t="shared" si="8"/>
        <v>187</v>
      </c>
      <c r="B190" s="4" t="s">
        <v>393</v>
      </c>
      <c r="C190" s="4" t="s">
        <v>394</v>
      </c>
      <c r="D190" s="4" t="s">
        <v>87</v>
      </c>
      <c r="E190" s="14"/>
      <c r="F190" s="14"/>
      <c r="G190" s="14"/>
      <c r="H190" s="14"/>
      <c r="I190" s="5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</row>
    <row r="191" spans="1:86" x14ac:dyDescent="0.25">
      <c r="A191" s="12">
        <f t="shared" si="8"/>
        <v>188</v>
      </c>
      <c r="B191" s="4" t="s">
        <v>395</v>
      </c>
      <c r="C191" s="4" t="s">
        <v>396</v>
      </c>
      <c r="D191" s="4" t="s">
        <v>45</v>
      </c>
      <c r="E191" s="14"/>
      <c r="F191" s="14"/>
      <c r="G191" s="14"/>
      <c r="H191" s="14"/>
      <c r="I191" s="5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</row>
    <row r="192" spans="1:86" x14ac:dyDescent="0.25">
      <c r="A192" s="12">
        <f t="shared" si="8"/>
        <v>189</v>
      </c>
      <c r="B192" s="4" t="s">
        <v>397</v>
      </c>
      <c r="C192" s="4" t="s">
        <v>399</v>
      </c>
      <c r="D192" s="4" t="s">
        <v>45</v>
      </c>
      <c r="E192" s="14"/>
      <c r="F192" s="14"/>
      <c r="G192" s="14"/>
      <c r="H192" s="14"/>
      <c r="I192" s="5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</row>
    <row r="193" spans="1:86" x14ac:dyDescent="0.25">
      <c r="A193" s="12">
        <f t="shared" si="8"/>
        <v>190</v>
      </c>
      <c r="B193" s="4" t="s">
        <v>400</v>
      </c>
      <c r="C193" s="4" t="s">
        <v>401</v>
      </c>
      <c r="D193" s="4" t="s">
        <v>398</v>
      </c>
      <c r="E193" s="14"/>
      <c r="F193" s="14"/>
      <c r="G193" s="14"/>
      <c r="H193" s="14"/>
      <c r="I193" s="5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</row>
    <row r="194" spans="1:86" x14ac:dyDescent="0.25">
      <c r="A194" s="12">
        <f t="shared" si="8"/>
        <v>191</v>
      </c>
      <c r="B194" s="4" t="s">
        <v>402</v>
      </c>
      <c r="C194" s="17" t="s">
        <v>403</v>
      </c>
      <c r="D194" s="4" t="s">
        <v>322</v>
      </c>
      <c r="E194" s="14"/>
      <c r="F194" s="14"/>
      <c r="G194" s="14"/>
      <c r="H194" s="14"/>
      <c r="I194" s="5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</row>
    <row r="195" spans="1:86" x14ac:dyDescent="0.25">
      <c r="A195" s="12">
        <f t="shared" si="8"/>
        <v>192</v>
      </c>
      <c r="B195" s="4" t="s">
        <v>404</v>
      </c>
      <c r="C195" s="4" t="s">
        <v>405</v>
      </c>
      <c r="D195" s="4" t="s">
        <v>186</v>
      </c>
      <c r="E195" s="14"/>
      <c r="F195" s="14"/>
      <c r="G195" s="14"/>
      <c r="H195" s="14"/>
      <c r="I195" s="5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</row>
    <row r="196" spans="1:86" x14ac:dyDescent="0.25">
      <c r="A196" s="12">
        <f t="shared" si="8"/>
        <v>193</v>
      </c>
      <c r="B196" s="4" t="s">
        <v>406</v>
      </c>
      <c r="C196" s="4" t="s">
        <v>407</v>
      </c>
      <c r="D196" s="4" t="s">
        <v>45</v>
      </c>
      <c r="E196" s="14"/>
      <c r="F196" s="14"/>
      <c r="G196" s="14"/>
      <c r="H196" s="14"/>
      <c r="I196" s="5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</row>
    <row r="197" spans="1:86" x14ac:dyDescent="0.25">
      <c r="A197" s="12">
        <f t="shared" si="8"/>
        <v>194</v>
      </c>
      <c r="B197" s="4" t="s">
        <v>408</v>
      </c>
      <c r="C197" s="4" t="s">
        <v>409</v>
      </c>
      <c r="D197" s="4" t="s">
        <v>45</v>
      </c>
      <c r="E197" s="14"/>
      <c r="F197" s="14"/>
      <c r="G197" s="14"/>
      <c r="H197" s="14"/>
      <c r="I197" s="5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</row>
    <row r="198" spans="1:86" x14ac:dyDescent="0.25">
      <c r="A198" s="12">
        <f t="shared" si="8"/>
        <v>195</v>
      </c>
      <c r="B198" s="4" t="s">
        <v>410</v>
      </c>
      <c r="C198" s="4" t="s">
        <v>411</v>
      </c>
      <c r="D198" s="4" t="s">
        <v>301</v>
      </c>
      <c r="E198" s="14"/>
      <c r="F198" s="14"/>
      <c r="G198" s="14"/>
      <c r="H198" s="14"/>
      <c r="I198" s="5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</row>
    <row r="199" spans="1:86" x14ac:dyDescent="0.25">
      <c r="A199" s="12">
        <f t="shared" si="8"/>
        <v>196</v>
      </c>
      <c r="B199" s="4" t="s">
        <v>412</v>
      </c>
      <c r="C199" s="4" t="s">
        <v>413</v>
      </c>
      <c r="D199" s="4" t="s">
        <v>45</v>
      </c>
      <c r="E199" s="14"/>
      <c r="F199" s="14"/>
      <c r="G199" s="14"/>
      <c r="H199" s="14"/>
      <c r="I199" s="5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</row>
    <row r="200" spans="1:86" x14ac:dyDescent="0.25">
      <c r="A200" s="12">
        <f t="shared" si="8"/>
        <v>197</v>
      </c>
      <c r="B200" s="4" t="s">
        <v>416</v>
      </c>
      <c r="C200" s="4" t="s">
        <v>415</v>
      </c>
      <c r="D200" s="4" t="s">
        <v>47</v>
      </c>
      <c r="E200" s="14"/>
      <c r="F200" s="14"/>
      <c r="G200" s="14"/>
      <c r="H200" s="14"/>
      <c r="I200" s="5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</row>
    <row r="201" spans="1:86" x14ac:dyDescent="0.25">
      <c r="A201" s="12">
        <f t="shared" si="8"/>
        <v>198</v>
      </c>
      <c r="B201" s="4" t="s">
        <v>417</v>
      </c>
      <c r="C201" s="17" t="s">
        <v>418</v>
      </c>
      <c r="D201" s="4" t="s">
        <v>59</v>
      </c>
      <c r="E201" s="14"/>
      <c r="F201" s="14"/>
      <c r="G201" s="14"/>
      <c r="H201" s="14"/>
      <c r="I201" s="5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</row>
    <row r="202" spans="1:86" x14ac:dyDescent="0.25">
      <c r="A202" s="12">
        <f t="shared" ref="A202:A265" si="9">+A201+1</f>
        <v>199</v>
      </c>
      <c r="B202" s="4" t="s">
        <v>419</v>
      </c>
      <c r="C202" s="4" t="s">
        <v>420</v>
      </c>
      <c r="D202" s="4" t="s">
        <v>59</v>
      </c>
      <c r="E202" s="14"/>
      <c r="F202" s="14"/>
      <c r="G202" s="14"/>
      <c r="H202" s="14"/>
      <c r="I202" s="5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</row>
    <row r="203" spans="1:86" x14ac:dyDescent="0.25">
      <c r="A203" s="12">
        <f t="shared" si="9"/>
        <v>200</v>
      </c>
      <c r="B203" s="4" t="s">
        <v>414</v>
      </c>
      <c r="C203" s="4" t="s">
        <v>421</v>
      </c>
      <c r="D203" s="4" t="s">
        <v>47</v>
      </c>
      <c r="E203" s="14"/>
      <c r="F203" s="14"/>
      <c r="G203" s="14"/>
      <c r="H203" s="14"/>
      <c r="I203" s="5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</row>
    <row r="204" spans="1:86" x14ac:dyDescent="0.25">
      <c r="A204" s="12">
        <f t="shared" si="9"/>
        <v>201</v>
      </c>
      <c r="B204" s="4" t="s">
        <v>422</v>
      </c>
      <c r="C204" s="4" t="s">
        <v>423</v>
      </c>
      <c r="D204" s="4" t="s">
        <v>45</v>
      </c>
      <c r="E204" s="14"/>
      <c r="F204" s="14"/>
      <c r="G204" s="14"/>
      <c r="H204" s="14"/>
      <c r="I204" s="5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</row>
    <row r="205" spans="1:86" x14ac:dyDescent="0.25">
      <c r="A205" s="12">
        <f t="shared" si="9"/>
        <v>202</v>
      </c>
      <c r="B205" s="13" t="s">
        <v>461</v>
      </c>
      <c r="C205" s="4" t="s">
        <v>462</v>
      </c>
      <c r="D205" s="4" t="s">
        <v>45</v>
      </c>
      <c r="E205" s="14">
        <f>+[76]Main!$I$2</f>
        <v>371.65</v>
      </c>
      <c r="F205" s="14">
        <f>+[76]Main!$I$4</f>
        <v>17029.711736549998</v>
      </c>
      <c r="G205" s="14">
        <f>+[76]Main!$I$6-[76]Main!$I$5</f>
        <v>-1097.883</v>
      </c>
      <c r="H205" s="14">
        <f>+F205+G205</f>
        <v>15931.828736549998</v>
      </c>
      <c r="I205" s="5" t="s">
        <v>2583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</row>
    <row r="206" spans="1:86" x14ac:dyDescent="0.25">
      <c r="A206" s="12">
        <f t="shared" si="9"/>
        <v>203</v>
      </c>
      <c r="B206" s="4" t="s">
        <v>463</v>
      </c>
      <c r="C206" s="4" t="s">
        <v>464</v>
      </c>
      <c r="D206" s="4" t="s">
        <v>45</v>
      </c>
      <c r="E206" s="14"/>
      <c r="F206" s="14"/>
      <c r="G206" s="14"/>
      <c r="H206" s="14"/>
      <c r="I206" s="5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</row>
    <row r="207" spans="1:86" x14ac:dyDescent="0.25">
      <c r="A207" s="12">
        <f t="shared" si="9"/>
        <v>204</v>
      </c>
      <c r="B207" s="4" t="s">
        <v>465</v>
      </c>
      <c r="C207" s="4" t="s">
        <v>466</v>
      </c>
      <c r="D207" s="4" t="s">
        <v>45</v>
      </c>
      <c r="E207" s="14"/>
      <c r="F207" s="14"/>
      <c r="G207" s="14"/>
      <c r="H207" s="14"/>
      <c r="I207" s="5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</row>
    <row r="208" spans="1:86" x14ac:dyDescent="0.25">
      <c r="A208" s="12">
        <f t="shared" si="9"/>
        <v>205</v>
      </c>
      <c r="B208" s="4" t="s">
        <v>467</v>
      </c>
      <c r="C208" s="4" t="s">
        <v>468</v>
      </c>
      <c r="D208" s="4" t="s">
        <v>45</v>
      </c>
      <c r="E208" s="14"/>
      <c r="F208" s="14"/>
      <c r="G208" s="14"/>
      <c r="H208" s="14"/>
      <c r="I208" s="5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</row>
    <row r="209" spans="1:86" x14ac:dyDescent="0.25">
      <c r="A209" s="12">
        <f t="shared" si="9"/>
        <v>206</v>
      </c>
      <c r="B209" s="13" t="s">
        <v>705</v>
      </c>
      <c r="C209" s="4" t="s">
        <v>706</v>
      </c>
      <c r="D209" s="24" t="s">
        <v>128</v>
      </c>
      <c r="E209" s="14">
        <f>+[77]Main!$I$2</f>
        <v>44</v>
      </c>
      <c r="F209" s="14">
        <f>+[77]Main!$I$4</f>
        <v>16060</v>
      </c>
      <c r="G209" s="14">
        <f>+[77]Main!$I$6-[77]Main!$I$5</f>
        <v>-4777</v>
      </c>
      <c r="H209" s="14">
        <f>+F209+G209</f>
        <v>11283</v>
      </c>
      <c r="I209" s="25" t="s">
        <v>2583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</row>
    <row r="210" spans="1:86" x14ac:dyDescent="0.25">
      <c r="A210" s="12">
        <f t="shared" si="9"/>
        <v>207</v>
      </c>
      <c r="B210" s="4" t="s">
        <v>469</v>
      </c>
      <c r="C210" s="4" t="s">
        <v>470</v>
      </c>
      <c r="D210" s="4" t="s">
        <v>1126</v>
      </c>
      <c r="E210" s="14"/>
      <c r="F210" s="14"/>
      <c r="G210" s="14"/>
      <c r="H210" s="14"/>
      <c r="I210" s="5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</row>
    <row r="211" spans="1:86" x14ac:dyDescent="0.25">
      <c r="A211" s="12">
        <f t="shared" si="9"/>
        <v>208</v>
      </c>
      <c r="B211" s="4" t="s">
        <v>471</v>
      </c>
      <c r="C211" s="4" t="s">
        <v>472</v>
      </c>
      <c r="D211" s="4" t="s">
        <v>45</v>
      </c>
      <c r="E211" s="14"/>
      <c r="F211" s="14"/>
      <c r="G211" s="14"/>
      <c r="H211" s="14"/>
      <c r="I211" s="5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</row>
    <row r="212" spans="1:86" x14ac:dyDescent="0.25">
      <c r="A212" s="12">
        <f t="shared" si="9"/>
        <v>209</v>
      </c>
      <c r="B212" s="4" t="s">
        <v>473</v>
      </c>
      <c r="C212" s="4" t="s">
        <v>474</v>
      </c>
      <c r="D212" s="4" t="s">
        <v>45</v>
      </c>
      <c r="E212" s="14"/>
      <c r="F212" s="14"/>
      <c r="G212" s="14"/>
      <c r="H212" s="14"/>
      <c r="I212" s="5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</row>
    <row r="213" spans="1:86" x14ac:dyDescent="0.25">
      <c r="A213" s="12">
        <f t="shared" si="9"/>
        <v>210</v>
      </c>
      <c r="B213" s="4" t="s">
        <v>475</v>
      </c>
      <c r="C213" s="4" t="s">
        <v>476</v>
      </c>
      <c r="D213" s="4" t="s">
        <v>45</v>
      </c>
      <c r="E213" s="14"/>
      <c r="F213" s="14"/>
      <c r="G213" s="14"/>
      <c r="H213" s="14"/>
      <c r="I213" s="5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</row>
    <row r="214" spans="1:86" x14ac:dyDescent="0.25">
      <c r="A214" s="12">
        <f t="shared" si="9"/>
        <v>211</v>
      </c>
      <c r="B214" s="4" t="s">
        <v>478</v>
      </c>
      <c r="C214" s="4" t="s">
        <v>477</v>
      </c>
      <c r="D214" s="4" t="s">
        <v>1126</v>
      </c>
      <c r="E214" s="14"/>
      <c r="F214" s="14"/>
      <c r="G214" s="14"/>
      <c r="H214" s="14"/>
      <c r="I214" s="5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</row>
    <row r="215" spans="1:86" x14ac:dyDescent="0.25">
      <c r="A215" s="12">
        <f t="shared" si="9"/>
        <v>212</v>
      </c>
      <c r="B215" s="4" t="s">
        <v>479</v>
      </c>
      <c r="C215" s="4" t="s">
        <v>480</v>
      </c>
      <c r="D215" s="4" t="s">
        <v>45</v>
      </c>
      <c r="E215" s="14"/>
      <c r="F215" s="14"/>
      <c r="G215" s="14"/>
      <c r="H215" s="14"/>
      <c r="I215" s="5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</row>
    <row r="216" spans="1:86" x14ac:dyDescent="0.25">
      <c r="A216" s="12">
        <f t="shared" si="9"/>
        <v>213</v>
      </c>
      <c r="B216" s="4" t="s">
        <v>481</v>
      </c>
      <c r="C216" s="4" t="s">
        <v>482</v>
      </c>
      <c r="D216" s="4" t="s">
        <v>45</v>
      </c>
      <c r="E216" s="14"/>
      <c r="F216" s="14"/>
      <c r="G216" s="14"/>
      <c r="H216" s="14"/>
      <c r="I216" s="5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</row>
    <row r="217" spans="1:86" x14ac:dyDescent="0.25">
      <c r="A217" s="12">
        <f t="shared" si="9"/>
        <v>214</v>
      </c>
      <c r="B217" s="4" t="s">
        <v>483</v>
      </c>
      <c r="C217" s="4" t="s">
        <v>484</v>
      </c>
      <c r="D217" s="4" t="s">
        <v>245</v>
      </c>
      <c r="E217" s="14"/>
      <c r="F217" s="14"/>
      <c r="G217" s="14"/>
      <c r="H217" s="14"/>
      <c r="I217" s="5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</row>
    <row r="218" spans="1:86" x14ac:dyDescent="0.25">
      <c r="A218" s="12">
        <f t="shared" si="9"/>
        <v>215</v>
      </c>
      <c r="B218" s="4" t="s">
        <v>485</v>
      </c>
      <c r="C218" s="4" t="s">
        <v>486</v>
      </c>
      <c r="D218" s="4" t="s">
        <v>45</v>
      </c>
      <c r="E218" s="14"/>
      <c r="F218" s="14"/>
      <c r="G218" s="14"/>
      <c r="H218" s="14"/>
      <c r="I218" s="5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</row>
    <row r="219" spans="1:86" x14ac:dyDescent="0.25">
      <c r="A219" s="12">
        <f t="shared" si="9"/>
        <v>216</v>
      </c>
      <c r="B219" s="4" t="s">
        <v>487</v>
      </c>
      <c r="C219" s="4" t="s">
        <v>488</v>
      </c>
      <c r="D219" s="4" t="s">
        <v>768</v>
      </c>
      <c r="E219" s="14"/>
      <c r="F219" s="14"/>
      <c r="G219" s="14"/>
      <c r="H219" s="14"/>
      <c r="I219" s="5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</row>
    <row r="220" spans="1:86" x14ac:dyDescent="0.25">
      <c r="A220" s="12">
        <f t="shared" si="9"/>
        <v>217</v>
      </c>
      <c r="B220" s="4" t="s">
        <v>489</v>
      </c>
      <c r="C220" s="4" t="s">
        <v>490</v>
      </c>
      <c r="D220" s="4" t="s">
        <v>45</v>
      </c>
      <c r="E220" s="14"/>
      <c r="F220" s="14"/>
      <c r="G220" s="14"/>
      <c r="H220" s="14"/>
      <c r="I220" s="5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</row>
    <row r="221" spans="1:86" x14ac:dyDescent="0.25">
      <c r="A221" s="12">
        <f t="shared" si="9"/>
        <v>218</v>
      </c>
      <c r="B221" s="4" t="s">
        <v>491</v>
      </c>
      <c r="C221" s="4" t="s">
        <v>492</v>
      </c>
      <c r="D221" s="4" t="s">
        <v>301</v>
      </c>
      <c r="E221" s="14"/>
      <c r="F221" s="14"/>
      <c r="G221" s="14"/>
      <c r="H221" s="14"/>
      <c r="I221" s="5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</row>
    <row r="222" spans="1:86" x14ac:dyDescent="0.25">
      <c r="A222" s="12">
        <f t="shared" si="9"/>
        <v>219</v>
      </c>
      <c r="B222" s="4" t="s">
        <v>493</v>
      </c>
      <c r="C222" s="4" t="s">
        <v>494</v>
      </c>
      <c r="D222" s="4" t="s">
        <v>45</v>
      </c>
      <c r="E222" s="14"/>
      <c r="F222" s="14"/>
      <c r="G222" s="14"/>
      <c r="H222" s="14"/>
      <c r="I222" s="5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</row>
    <row r="223" spans="1:86" x14ac:dyDescent="0.25">
      <c r="A223" s="12">
        <f t="shared" si="9"/>
        <v>220</v>
      </c>
      <c r="B223" s="4" t="s">
        <v>495</v>
      </c>
      <c r="C223" s="4" t="s">
        <v>496</v>
      </c>
      <c r="D223" s="4" t="s">
        <v>45</v>
      </c>
      <c r="E223" s="14"/>
      <c r="F223" s="14"/>
      <c r="G223" s="14"/>
      <c r="H223" s="14"/>
      <c r="I223" s="5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</row>
    <row r="224" spans="1:86" x14ac:dyDescent="0.25">
      <c r="A224" s="12">
        <f t="shared" si="9"/>
        <v>221</v>
      </c>
      <c r="B224" s="4" t="s">
        <v>497</v>
      </c>
      <c r="C224" s="4" t="s">
        <v>498</v>
      </c>
      <c r="D224" s="4" t="s">
        <v>46</v>
      </c>
      <c r="E224" s="14"/>
      <c r="F224" s="14"/>
      <c r="G224" s="14"/>
      <c r="H224" s="14"/>
      <c r="I224" s="5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</row>
    <row r="225" spans="1:86" x14ac:dyDescent="0.25">
      <c r="A225" s="12">
        <f t="shared" si="9"/>
        <v>222</v>
      </c>
      <c r="B225" s="4" t="s">
        <v>499</v>
      </c>
      <c r="C225" s="4" t="s">
        <v>499</v>
      </c>
      <c r="D225" s="4" t="s">
        <v>301</v>
      </c>
      <c r="E225" s="14"/>
      <c r="F225" s="14"/>
      <c r="G225" s="14"/>
      <c r="H225" s="14"/>
      <c r="I225" s="5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</row>
    <row r="226" spans="1:86" x14ac:dyDescent="0.25">
      <c r="A226" s="12">
        <f t="shared" si="9"/>
        <v>223</v>
      </c>
      <c r="B226" s="4" t="s">
        <v>500</v>
      </c>
      <c r="C226" s="4" t="s">
        <v>501</v>
      </c>
      <c r="D226" s="4" t="s">
        <v>87</v>
      </c>
      <c r="E226" s="14"/>
      <c r="F226" s="14"/>
      <c r="G226" s="14"/>
      <c r="H226" s="14"/>
      <c r="I226" s="5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</row>
    <row r="227" spans="1:86" x14ac:dyDescent="0.25">
      <c r="A227" s="12">
        <f t="shared" si="9"/>
        <v>224</v>
      </c>
      <c r="B227" s="4" t="s">
        <v>502</v>
      </c>
      <c r="C227" s="4" t="s">
        <v>503</v>
      </c>
      <c r="D227" s="4" t="s">
        <v>87</v>
      </c>
      <c r="E227" s="14"/>
      <c r="F227" s="14"/>
      <c r="G227" s="14"/>
      <c r="H227" s="14"/>
      <c r="I227" s="5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</row>
    <row r="228" spans="1:86" x14ac:dyDescent="0.25">
      <c r="A228" s="12">
        <f t="shared" si="9"/>
        <v>225</v>
      </c>
      <c r="B228" s="4" t="s">
        <v>504</v>
      </c>
      <c r="C228" s="4" t="s">
        <v>505</v>
      </c>
      <c r="D228" s="4" t="s">
        <v>87</v>
      </c>
      <c r="E228" s="14"/>
      <c r="F228" s="14"/>
      <c r="G228" s="14"/>
      <c r="H228" s="14"/>
      <c r="I228" s="5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</row>
    <row r="229" spans="1:86" x14ac:dyDescent="0.25">
      <c r="A229" s="12">
        <f t="shared" si="9"/>
        <v>226</v>
      </c>
      <c r="B229" s="4" t="s">
        <v>506</v>
      </c>
      <c r="C229" s="4" t="s">
        <v>507</v>
      </c>
      <c r="D229" s="4" t="s">
        <v>508</v>
      </c>
      <c r="E229" s="14"/>
      <c r="F229" s="14"/>
      <c r="G229" s="14"/>
      <c r="H229" s="14"/>
      <c r="I229" s="5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</row>
    <row r="230" spans="1:86" x14ac:dyDescent="0.25">
      <c r="A230" s="12">
        <f t="shared" si="9"/>
        <v>227</v>
      </c>
      <c r="B230" s="4" t="s">
        <v>509</v>
      </c>
      <c r="C230" s="4" t="s">
        <v>510</v>
      </c>
      <c r="D230" s="4" t="s">
        <v>511</v>
      </c>
      <c r="E230" s="14"/>
      <c r="F230" s="14"/>
      <c r="G230" s="14"/>
      <c r="H230" s="14"/>
      <c r="I230" s="5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</row>
    <row r="231" spans="1:86" x14ac:dyDescent="0.25">
      <c r="A231" s="12">
        <f t="shared" si="9"/>
        <v>228</v>
      </c>
      <c r="B231" s="4" t="s">
        <v>512</v>
      </c>
      <c r="C231" s="4" t="s">
        <v>513</v>
      </c>
      <c r="D231" s="4" t="s">
        <v>1126</v>
      </c>
      <c r="E231" s="14"/>
      <c r="F231" s="14"/>
      <c r="G231" s="14"/>
      <c r="H231" s="14"/>
      <c r="I231" s="5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</row>
    <row r="232" spans="1:86" x14ac:dyDescent="0.25">
      <c r="A232" s="12">
        <f t="shared" si="9"/>
        <v>229</v>
      </c>
      <c r="B232" s="4" t="s">
        <v>514</v>
      </c>
      <c r="C232" s="4" t="s">
        <v>515</v>
      </c>
      <c r="D232" s="4" t="s">
        <v>45</v>
      </c>
      <c r="E232" s="14"/>
      <c r="F232" s="14"/>
      <c r="G232" s="14"/>
      <c r="H232" s="14"/>
      <c r="I232" s="5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</row>
    <row r="233" spans="1:86" x14ac:dyDescent="0.25">
      <c r="A233" s="12">
        <f t="shared" si="9"/>
        <v>230</v>
      </c>
      <c r="B233" s="4" t="s">
        <v>516</v>
      </c>
      <c r="C233" s="4" t="s">
        <v>517</v>
      </c>
      <c r="D233" s="4" t="s">
        <v>45</v>
      </c>
      <c r="E233" s="14"/>
      <c r="F233" s="14"/>
      <c r="G233" s="14"/>
      <c r="H233" s="14"/>
      <c r="I233" s="5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</row>
    <row r="234" spans="1:86" x14ac:dyDescent="0.25">
      <c r="A234" s="12">
        <f t="shared" si="9"/>
        <v>231</v>
      </c>
      <c r="B234" s="4" t="s">
        <v>518</v>
      </c>
      <c r="C234" s="4" t="s">
        <v>519</v>
      </c>
      <c r="D234" s="4" t="s">
        <v>45</v>
      </c>
      <c r="E234" s="14"/>
      <c r="F234" s="14"/>
      <c r="G234" s="14"/>
      <c r="H234" s="14"/>
      <c r="I234" s="5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</row>
    <row r="235" spans="1:86" x14ac:dyDescent="0.25">
      <c r="A235" s="12">
        <f t="shared" si="9"/>
        <v>232</v>
      </c>
      <c r="B235" s="4" t="s">
        <v>520</v>
      </c>
      <c r="C235" s="4" t="s">
        <v>521</v>
      </c>
      <c r="D235" s="4" t="s">
        <v>45</v>
      </c>
      <c r="E235" s="14"/>
      <c r="F235" s="14"/>
      <c r="G235" s="14"/>
      <c r="H235" s="14"/>
      <c r="I235" s="5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</row>
    <row r="236" spans="1:86" x14ac:dyDescent="0.25">
      <c r="A236" s="12">
        <f t="shared" si="9"/>
        <v>233</v>
      </c>
      <c r="B236" s="4" t="s">
        <v>522</v>
      </c>
      <c r="C236" s="4" t="s">
        <v>523</v>
      </c>
      <c r="D236" s="4" t="s">
        <v>768</v>
      </c>
      <c r="E236" s="14"/>
      <c r="F236" s="14"/>
      <c r="G236" s="14"/>
      <c r="H236" s="14"/>
      <c r="I236" s="5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</row>
    <row r="237" spans="1:86" x14ac:dyDescent="0.25">
      <c r="A237" s="12">
        <f t="shared" si="9"/>
        <v>234</v>
      </c>
      <c r="B237" s="4" t="s">
        <v>524</v>
      </c>
      <c r="C237" s="4" t="s">
        <v>525</v>
      </c>
      <c r="D237" s="4" t="s">
        <v>107</v>
      </c>
      <c r="E237" s="14"/>
      <c r="F237" s="14"/>
      <c r="G237" s="14"/>
      <c r="H237" s="14"/>
      <c r="I237" s="5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</row>
    <row r="238" spans="1:86" x14ac:dyDescent="0.25">
      <c r="A238" s="12">
        <f t="shared" si="9"/>
        <v>235</v>
      </c>
      <c r="B238" s="4" t="s">
        <v>526</v>
      </c>
      <c r="C238" s="4" t="s">
        <v>527</v>
      </c>
      <c r="D238" s="4" t="s">
        <v>768</v>
      </c>
      <c r="E238" s="14"/>
      <c r="F238" s="14"/>
      <c r="G238" s="14"/>
      <c r="H238" s="14"/>
      <c r="I238" s="5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</row>
    <row r="239" spans="1:86" x14ac:dyDescent="0.25">
      <c r="A239" s="12">
        <f t="shared" si="9"/>
        <v>236</v>
      </c>
      <c r="B239" s="4" t="s">
        <v>528</v>
      </c>
      <c r="C239" s="4" t="s">
        <v>529</v>
      </c>
      <c r="D239" s="4" t="s">
        <v>186</v>
      </c>
      <c r="E239" s="14"/>
      <c r="F239" s="14"/>
      <c r="G239" s="14"/>
      <c r="H239" s="14"/>
      <c r="I239" s="5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</row>
    <row r="240" spans="1:86" x14ac:dyDescent="0.25">
      <c r="A240" s="12">
        <f t="shared" si="9"/>
        <v>237</v>
      </c>
      <c r="B240" s="4" t="s">
        <v>530</v>
      </c>
      <c r="C240" s="4" t="s">
        <v>531</v>
      </c>
      <c r="D240" s="4" t="s">
        <v>45</v>
      </c>
      <c r="E240" s="14"/>
      <c r="F240" s="14"/>
      <c r="G240" s="14"/>
      <c r="H240" s="14"/>
      <c r="I240" s="5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</row>
    <row r="241" spans="1:86" x14ac:dyDescent="0.25">
      <c r="A241" s="12">
        <f t="shared" si="9"/>
        <v>238</v>
      </c>
      <c r="B241" s="4" t="s">
        <v>532</v>
      </c>
      <c r="C241" s="4" t="s">
        <v>533</v>
      </c>
      <c r="D241" s="4" t="s">
        <v>107</v>
      </c>
      <c r="E241" s="14"/>
      <c r="F241" s="14"/>
      <c r="G241" s="14"/>
      <c r="H241" s="14"/>
      <c r="I241" s="5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</row>
    <row r="242" spans="1:86" x14ac:dyDescent="0.25">
      <c r="A242" s="12">
        <f t="shared" si="9"/>
        <v>239</v>
      </c>
      <c r="B242" s="4" t="s">
        <v>534</v>
      </c>
      <c r="C242" s="4" t="s">
        <v>535</v>
      </c>
      <c r="D242" s="4" t="s">
        <v>536</v>
      </c>
      <c r="E242" s="14"/>
      <c r="F242" s="14"/>
      <c r="G242" s="14"/>
      <c r="H242" s="14"/>
      <c r="I242" s="5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</row>
    <row r="243" spans="1:86" x14ac:dyDescent="0.25">
      <c r="A243" s="12">
        <f t="shared" si="9"/>
        <v>240</v>
      </c>
      <c r="B243" s="4" t="s">
        <v>537</v>
      </c>
      <c r="C243" s="4" t="s">
        <v>538</v>
      </c>
      <c r="D243" s="4" t="s">
        <v>45</v>
      </c>
      <c r="E243" s="14"/>
      <c r="F243" s="14"/>
      <c r="G243" s="14"/>
      <c r="H243" s="14"/>
      <c r="I243" s="5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</row>
    <row r="244" spans="1:86" x14ac:dyDescent="0.25">
      <c r="A244" s="12">
        <f t="shared" si="9"/>
        <v>241</v>
      </c>
      <c r="B244" s="4" t="s">
        <v>539</v>
      </c>
      <c r="C244" s="4" t="s">
        <v>540</v>
      </c>
      <c r="D244" s="4" t="s">
        <v>87</v>
      </c>
      <c r="E244" s="14"/>
      <c r="F244" s="14"/>
      <c r="G244" s="14"/>
      <c r="H244" s="14"/>
      <c r="I244" s="5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</row>
    <row r="245" spans="1:86" x14ac:dyDescent="0.25">
      <c r="A245" s="12">
        <f t="shared" si="9"/>
        <v>242</v>
      </c>
      <c r="B245" s="4" t="s">
        <v>541</v>
      </c>
      <c r="C245" s="4" t="s">
        <v>542</v>
      </c>
      <c r="D245" s="4" t="s">
        <v>45</v>
      </c>
      <c r="E245" s="14"/>
      <c r="F245" s="14"/>
      <c r="G245" s="14"/>
      <c r="H245" s="14"/>
      <c r="I245" s="5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</row>
    <row r="246" spans="1:86" x14ac:dyDescent="0.25">
      <c r="A246" s="12">
        <f t="shared" si="9"/>
        <v>243</v>
      </c>
      <c r="B246" s="4" t="s">
        <v>543</v>
      </c>
      <c r="C246" s="4" t="s">
        <v>544</v>
      </c>
      <c r="D246" s="4" t="s">
        <v>45</v>
      </c>
      <c r="E246" s="14"/>
      <c r="F246" s="14"/>
      <c r="G246" s="14"/>
      <c r="H246" s="14"/>
      <c r="I246" s="5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</row>
    <row r="247" spans="1:86" x14ac:dyDescent="0.25">
      <c r="A247" s="12">
        <f t="shared" si="9"/>
        <v>244</v>
      </c>
      <c r="B247" s="4" t="s">
        <v>545</v>
      </c>
      <c r="C247" s="4" t="s">
        <v>546</v>
      </c>
      <c r="D247" s="4" t="s">
        <v>45</v>
      </c>
      <c r="E247" s="14"/>
      <c r="F247" s="14"/>
      <c r="G247" s="14"/>
      <c r="H247" s="14"/>
      <c r="I247" s="5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</row>
    <row r="248" spans="1:86" x14ac:dyDescent="0.25">
      <c r="A248" s="12">
        <f t="shared" si="9"/>
        <v>245</v>
      </c>
      <c r="B248" s="4" t="s">
        <v>547</v>
      </c>
      <c r="C248" s="4" t="s">
        <v>548</v>
      </c>
      <c r="D248" s="4" t="s">
        <v>45</v>
      </c>
      <c r="E248" s="14"/>
      <c r="F248" s="14"/>
      <c r="G248" s="14"/>
      <c r="H248" s="14"/>
      <c r="I248" s="5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</row>
    <row r="249" spans="1:86" x14ac:dyDescent="0.25">
      <c r="A249" s="12">
        <f t="shared" si="9"/>
        <v>246</v>
      </c>
      <c r="B249" s="13" t="s">
        <v>2584</v>
      </c>
      <c r="C249" s="4" t="s">
        <v>2585</v>
      </c>
      <c r="D249" s="4" t="s">
        <v>301</v>
      </c>
      <c r="E249" s="14">
        <f>+[78]Main!$I$2</f>
        <v>65.7</v>
      </c>
      <c r="F249" s="14">
        <f>+[78]Main!$I$4</f>
        <v>7075.3846356000004</v>
      </c>
      <c r="G249" s="14">
        <f>+[78]Main!$I$6-[78]Main!$I$5</f>
        <v>-640.70899999999995</v>
      </c>
      <c r="H249" s="14">
        <f>+F249+G249</f>
        <v>6434.6756356000005</v>
      </c>
      <c r="I249" s="5" t="s">
        <v>430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</row>
    <row r="250" spans="1:86" x14ac:dyDescent="0.25">
      <c r="A250" s="12">
        <f t="shared" si="9"/>
        <v>247</v>
      </c>
      <c r="B250" s="4" t="s">
        <v>549</v>
      </c>
      <c r="C250" s="4" t="s">
        <v>550</v>
      </c>
      <c r="D250" s="4" t="s">
        <v>45</v>
      </c>
      <c r="E250" s="14"/>
      <c r="F250" s="14"/>
      <c r="G250" s="14"/>
      <c r="H250" s="14"/>
      <c r="I250" s="5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</row>
    <row r="251" spans="1:86" x14ac:dyDescent="0.25">
      <c r="A251" s="12">
        <f t="shared" si="9"/>
        <v>248</v>
      </c>
      <c r="B251" s="4" t="s">
        <v>551</v>
      </c>
      <c r="C251" s="4" t="s">
        <v>552</v>
      </c>
      <c r="D251" s="4" t="s">
        <v>1126</v>
      </c>
      <c r="E251" s="14"/>
      <c r="F251" s="14"/>
      <c r="G251" s="14"/>
      <c r="H251" s="14"/>
      <c r="I251" s="5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</row>
    <row r="252" spans="1:86" x14ac:dyDescent="0.25">
      <c r="A252" s="12">
        <f t="shared" si="9"/>
        <v>249</v>
      </c>
      <c r="B252" s="4" t="s">
        <v>553</v>
      </c>
      <c r="C252" s="4" t="s">
        <v>554</v>
      </c>
      <c r="D252" s="4" t="s">
        <v>45</v>
      </c>
      <c r="E252" s="14"/>
      <c r="F252" s="14"/>
      <c r="G252" s="14"/>
      <c r="H252" s="14"/>
      <c r="I252" s="5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</row>
    <row r="253" spans="1:86" x14ac:dyDescent="0.25">
      <c r="A253" s="12">
        <f t="shared" si="9"/>
        <v>250</v>
      </c>
      <c r="B253" s="4" t="s">
        <v>555</v>
      </c>
      <c r="C253" s="4" t="s">
        <v>556</v>
      </c>
      <c r="D253" s="4" t="s">
        <v>245</v>
      </c>
      <c r="E253" s="14"/>
      <c r="F253" s="14"/>
      <c r="G253" s="14"/>
      <c r="H253" s="14"/>
      <c r="I253" s="5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</row>
    <row r="254" spans="1:86" x14ac:dyDescent="0.25">
      <c r="A254" s="12">
        <f t="shared" si="9"/>
        <v>251</v>
      </c>
      <c r="B254" s="4" t="s">
        <v>557</v>
      </c>
      <c r="C254" s="4" t="s">
        <v>558</v>
      </c>
      <c r="D254" s="4" t="s">
        <v>45</v>
      </c>
      <c r="E254" s="14"/>
      <c r="F254" s="14"/>
      <c r="G254" s="14"/>
      <c r="H254" s="14"/>
      <c r="I254" s="5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</row>
    <row r="255" spans="1:86" x14ac:dyDescent="0.25">
      <c r="A255" s="12">
        <f t="shared" si="9"/>
        <v>252</v>
      </c>
      <c r="B255" s="4" t="s">
        <v>559</v>
      </c>
      <c r="C255" s="4" t="s">
        <v>560</v>
      </c>
      <c r="D255" s="4" t="s">
        <v>107</v>
      </c>
      <c r="E255" s="14"/>
      <c r="F255" s="14"/>
      <c r="G255" s="14"/>
      <c r="H255" s="14"/>
      <c r="I255" s="5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</row>
    <row r="256" spans="1:86" x14ac:dyDescent="0.25">
      <c r="A256" s="12">
        <f t="shared" si="9"/>
        <v>253</v>
      </c>
      <c r="B256" s="4" t="s">
        <v>561</v>
      </c>
      <c r="C256" s="4" t="s">
        <v>562</v>
      </c>
      <c r="D256" s="4" t="s">
        <v>768</v>
      </c>
      <c r="E256" s="14"/>
      <c r="F256" s="14"/>
      <c r="G256" s="14"/>
      <c r="H256" s="14"/>
      <c r="I256" s="5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</row>
    <row r="257" spans="1:86" x14ac:dyDescent="0.25">
      <c r="A257" s="12">
        <f t="shared" si="9"/>
        <v>254</v>
      </c>
      <c r="B257" s="4" t="s">
        <v>563</v>
      </c>
      <c r="C257" s="4" t="s">
        <v>564</v>
      </c>
      <c r="D257" s="4" t="s">
        <v>45</v>
      </c>
      <c r="E257" s="14"/>
      <c r="F257" s="14"/>
      <c r="G257" s="14"/>
      <c r="H257" s="14"/>
      <c r="I257" s="5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</row>
    <row r="258" spans="1:86" x14ac:dyDescent="0.25">
      <c r="A258" s="12">
        <f t="shared" si="9"/>
        <v>255</v>
      </c>
      <c r="B258" s="4" t="s">
        <v>565</v>
      </c>
      <c r="C258" s="4" t="s">
        <v>566</v>
      </c>
      <c r="D258" s="4" t="s">
        <v>1126</v>
      </c>
      <c r="E258" s="14"/>
      <c r="F258" s="14"/>
      <c r="G258" s="14"/>
      <c r="H258" s="14"/>
      <c r="I258" s="5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</row>
    <row r="259" spans="1:86" x14ac:dyDescent="0.25">
      <c r="A259" s="12">
        <f t="shared" si="9"/>
        <v>256</v>
      </c>
      <c r="B259" s="4" t="s">
        <v>567</v>
      </c>
      <c r="C259" s="4" t="s">
        <v>568</v>
      </c>
      <c r="D259" s="4" t="s">
        <v>45</v>
      </c>
      <c r="E259" s="14"/>
      <c r="F259" s="14"/>
      <c r="G259" s="14"/>
      <c r="H259" s="14"/>
      <c r="I259" s="5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</row>
    <row r="260" spans="1:86" x14ac:dyDescent="0.25">
      <c r="A260" s="12">
        <f t="shared" si="9"/>
        <v>257</v>
      </c>
      <c r="B260" s="4" t="s">
        <v>569</v>
      </c>
      <c r="C260" s="4" t="s">
        <v>570</v>
      </c>
      <c r="D260" s="4" t="s">
        <v>107</v>
      </c>
      <c r="E260" s="14"/>
      <c r="F260" s="14"/>
      <c r="G260" s="14"/>
      <c r="H260" s="14"/>
      <c r="I260" s="5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</row>
    <row r="261" spans="1:86" x14ac:dyDescent="0.25">
      <c r="A261" s="12">
        <f t="shared" si="9"/>
        <v>258</v>
      </c>
      <c r="B261" s="4" t="s">
        <v>571</v>
      </c>
      <c r="C261" s="4" t="s">
        <v>572</v>
      </c>
      <c r="D261" s="4" t="s">
        <v>45</v>
      </c>
      <c r="E261" s="14"/>
      <c r="F261" s="14"/>
      <c r="G261" s="14"/>
      <c r="H261" s="14"/>
      <c r="I261" s="5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</row>
    <row r="262" spans="1:86" x14ac:dyDescent="0.25">
      <c r="A262" s="12">
        <f t="shared" si="9"/>
        <v>259</v>
      </c>
      <c r="B262" s="4" t="s">
        <v>573</v>
      </c>
      <c r="C262" s="4" t="s">
        <v>574</v>
      </c>
      <c r="D262" s="4" t="s">
        <v>45</v>
      </c>
      <c r="E262" s="14"/>
      <c r="F262" s="14"/>
      <c r="G262" s="14"/>
      <c r="H262" s="14"/>
      <c r="I262" s="5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</row>
    <row r="263" spans="1:86" x14ac:dyDescent="0.25">
      <c r="A263" s="12">
        <f t="shared" si="9"/>
        <v>260</v>
      </c>
      <c r="B263" s="4" t="s">
        <v>575</v>
      </c>
      <c r="C263" s="4" t="s">
        <v>576</v>
      </c>
      <c r="D263" s="4" t="s">
        <v>45</v>
      </c>
      <c r="E263" s="14"/>
      <c r="F263" s="14"/>
      <c r="G263" s="14"/>
      <c r="H263" s="14"/>
      <c r="I263" s="5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</row>
    <row r="264" spans="1:86" x14ac:dyDescent="0.25">
      <c r="A264" s="12">
        <f t="shared" si="9"/>
        <v>261</v>
      </c>
      <c r="B264" s="4" t="s">
        <v>577</v>
      </c>
      <c r="C264" s="4" t="s">
        <v>578</v>
      </c>
      <c r="D264" s="4" t="s">
        <v>45</v>
      </c>
      <c r="E264" s="14"/>
      <c r="F264" s="14"/>
      <c r="G264" s="14"/>
      <c r="H264" s="14"/>
      <c r="I264" s="5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</row>
    <row r="265" spans="1:86" x14ac:dyDescent="0.25">
      <c r="A265" s="12">
        <f t="shared" si="9"/>
        <v>262</v>
      </c>
      <c r="B265" s="4" t="s">
        <v>579</v>
      </c>
      <c r="C265" s="4" t="s">
        <v>580</v>
      </c>
      <c r="D265" s="4" t="s">
        <v>768</v>
      </c>
      <c r="E265" s="14"/>
      <c r="F265" s="14"/>
      <c r="G265" s="14"/>
      <c r="H265" s="14"/>
      <c r="I265" s="5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</row>
    <row r="266" spans="1:86" x14ac:dyDescent="0.25">
      <c r="A266" s="12">
        <f t="shared" ref="A266:A329" si="10">+A265+1</f>
        <v>263</v>
      </c>
      <c r="B266" s="4" t="s">
        <v>581</v>
      </c>
      <c r="C266" s="4" t="s">
        <v>582</v>
      </c>
      <c r="D266" s="4" t="s">
        <v>301</v>
      </c>
      <c r="E266" s="14"/>
      <c r="F266" s="14"/>
      <c r="G266" s="14"/>
      <c r="H266" s="14"/>
      <c r="I266" s="5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</row>
    <row r="267" spans="1:86" x14ac:dyDescent="0.25">
      <c r="A267" s="12">
        <f t="shared" si="10"/>
        <v>264</v>
      </c>
      <c r="B267" s="4" t="s">
        <v>583</v>
      </c>
      <c r="C267" s="4" t="s">
        <v>584</v>
      </c>
      <c r="D267" s="4" t="s">
        <v>45</v>
      </c>
      <c r="E267" s="14"/>
      <c r="F267" s="14"/>
      <c r="G267" s="14"/>
      <c r="H267" s="14"/>
      <c r="I267" s="5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</row>
    <row r="268" spans="1:86" x14ac:dyDescent="0.25">
      <c r="A268" s="12">
        <f t="shared" si="10"/>
        <v>265</v>
      </c>
      <c r="B268" s="4" t="s">
        <v>585</v>
      </c>
      <c r="C268" s="4" t="s">
        <v>586</v>
      </c>
      <c r="D268" s="4" t="s">
        <v>301</v>
      </c>
      <c r="E268" s="14"/>
      <c r="F268" s="14"/>
      <c r="G268" s="14"/>
      <c r="H268" s="14"/>
      <c r="I268" s="5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</row>
    <row r="269" spans="1:86" x14ac:dyDescent="0.25">
      <c r="A269" s="12">
        <f t="shared" si="10"/>
        <v>266</v>
      </c>
      <c r="B269" s="4" t="s">
        <v>587</v>
      </c>
      <c r="C269" s="4" t="s">
        <v>588</v>
      </c>
      <c r="D269" s="4" t="s">
        <v>45</v>
      </c>
      <c r="E269" s="14"/>
      <c r="F269" s="14"/>
      <c r="G269" s="14"/>
      <c r="H269" s="14"/>
      <c r="I269" s="5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</row>
    <row r="270" spans="1:86" x14ac:dyDescent="0.25">
      <c r="A270" s="12">
        <f t="shared" si="10"/>
        <v>267</v>
      </c>
      <c r="B270" s="4" t="s">
        <v>589</v>
      </c>
      <c r="C270" s="4" t="s">
        <v>590</v>
      </c>
      <c r="D270" s="4" t="s">
        <v>45</v>
      </c>
      <c r="E270" s="14"/>
      <c r="F270" s="14"/>
      <c r="G270" s="14"/>
      <c r="H270" s="14"/>
      <c r="I270" s="5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</row>
    <row r="271" spans="1:86" x14ac:dyDescent="0.25">
      <c r="A271" s="12">
        <f t="shared" si="10"/>
        <v>268</v>
      </c>
      <c r="B271" s="4" t="s">
        <v>591</v>
      </c>
      <c r="C271" s="4" t="s">
        <v>592</v>
      </c>
      <c r="D271" s="4" t="s">
        <v>46</v>
      </c>
      <c r="E271" s="14"/>
      <c r="F271" s="14"/>
      <c r="G271" s="14"/>
      <c r="H271" s="14"/>
      <c r="I271" s="5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</row>
    <row r="272" spans="1:86" x14ac:dyDescent="0.25">
      <c r="A272" s="12">
        <f t="shared" si="10"/>
        <v>269</v>
      </c>
      <c r="B272" s="4" t="s">
        <v>593</v>
      </c>
      <c r="C272" s="4" t="s">
        <v>594</v>
      </c>
      <c r="D272" s="4" t="s">
        <v>45</v>
      </c>
      <c r="E272" s="14"/>
      <c r="F272" s="14"/>
      <c r="G272" s="14"/>
      <c r="H272" s="14"/>
      <c r="I272" s="5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</row>
    <row r="273" spans="1:86" x14ac:dyDescent="0.25">
      <c r="A273" s="12">
        <f t="shared" si="10"/>
        <v>270</v>
      </c>
      <c r="B273" s="4" t="s">
        <v>595</v>
      </c>
      <c r="C273" s="4" t="s">
        <v>596</v>
      </c>
      <c r="D273" s="4" t="s">
        <v>398</v>
      </c>
      <c r="E273" s="14"/>
      <c r="F273" s="14"/>
      <c r="G273" s="14"/>
      <c r="H273" s="14"/>
      <c r="I273" s="5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</row>
    <row r="274" spans="1:86" x14ac:dyDescent="0.25">
      <c r="A274" s="12">
        <f t="shared" si="10"/>
        <v>271</v>
      </c>
      <c r="B274" s="4" t="s">
        <v>597</v>
      </c>
      <c r="C274" s="4" t="s">
        <v>598</v>
      </c>
      <c r="D274" s="4" t="s">
        <v>1126</v>
      </c>
      <c r="E274" s="14"/>
      <c r="F274" s="14"/>
      <c r="G274" s="14"/>
      <c r="H274" s="14"/>
      <c r="I274" s="5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</row>
    <row r="275" spans="1:86" x14ac:dyDescent="0.25">
      <c r="A275" s="12">
        <f t="shared" si="10"/>
        <v>272</v>
      </c>
      <c r="B275" s="4" t="s">
        <v>599</v>
      </c>
      <c r="C275" s="4" t="s">
        <v>600</v>
      </c>
      <c r="D275" s="4" t="s">
        <v>601</v>
      </c>
      <c r="E275" s="14"/>
      <c r="F275" s="14"/>
      <c r="G275" s="14"/>
      <c r="H275" s="14"/>
      <c r="I275" s="5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</row>
    <row r="276" spans="1:86" x14ac:dyDescent="0.25">
      <c r="A276" s="12">
        <f t="shared" si="10"/>
        <v>273</v>
      </c>
      <c r="B276" s="4" t="s">
        <v>602</v>
      </c>
      <c r="C276" s="4" t="s">
        <v>603</v>
      </c>
      <c r="D276" s="4" t="s">
        <v>1126</v>
      </c>
      <c r="E276" s="14"/>
      <c r="F276" s="14"/>
      <c r="G276" s="14"/>
      <c r="H276" s="14"/>
      <c r="I276" s="5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</row>
    <row r="277" spans="1:86" x14ac:dyDescent="0.25">
      <c r="A277" s="12">
        <f t="shared" si="10"/>
        <v>274</v>
      </c>
      <c r="B277" s="4" t="s">
        <v>604</v>
      </c>
      <c r="C277" s="4" t="s">
        <v>605</v>
      </c>
      <c r="D277" s="4" t="s">
        <v>173</v>
      </c>
      <c r="E277" s="14"/>
      <c r="F277" s="14"/>
      <c r="G277" s="14"/>
      <c r="H277" s="14"/>
      <c r="I277" s="5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</row>
    <row r="278" spans="1:86" x14ac:dyDescent="0.25">
      <c r="A278" s="12">
        <f t="shared" si="10"/>
        <v>275</v>
      </c>
      <c r="B278" s="4" t="s">
        <v>606</v>
      </c>
      <c r="C278" s="4" t="s">
        <v>607</v>
      </c>
      <c r="D278" s="4" t="s">
        <v>1126</v>
      </c>
      <c r="E278" s="14"/>
      <c r="F278" s="14"/>
      <c r="G278" s="14"/>
      <c r="H278" s="14"/>
      <c r="I278" s="5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</row>
    <row r="279" spans="1:86" x14ac:dyDescent="0.25">
      <c r="A279" s="12">
        <f t="shared" si="10"/>
        <v>276</v>
      </c>
      <c r="B279" s="4" t="s">
        <v>608</v>
      </c>
      <c r="C279" s="4" t="s">
        <v>609</v>
      </c>
      <c r="D279" s="4" t="s">
        <v>610</v>
      </c>
      <c r="E279" s="14"/>
      <c r="F279" s="14"/>
      <c r="G279" s="14"/>
      <c r="H279" s="14"/>
      <c r="I279" s="5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</row>
    <row r="280" spans="1:86" x14ac:dyDescent="0.25">
      <c r="A280" s="12">
        <f t="shared" si="10"/>
        <v>277</v>
      </c>
      <c r="B280" s="4" t="s">
        <v>611</v>
      </c>
      <c r="C280" s="4" t="s">
        <v>612</v>
      </c>
      <c r="D280" s="4" t="s">
        <v>186</v>
      </c>
      <c r="E280" s="14"/>
      <c r="F280" s="14"/>
      <c r="G280" s="14"/>
      <c r="H280" s="14"/>
      <c r="I280" s="5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</row>
    <row r="281" spans="1:86" x14ac:dyDescent="0.25">
      <c r="A281" s="12">
        <f t="shared" si="10"/>
        <v>278</v>
      </c>
      <c r="B281" s="4" t="s">
        <v>613</v>
      </c>
      <c r="C281" s="4" t="s">
        <v>614</v>
      </c>
      <c r="D281" s="4" t="s">
        <v>45</v>
      </c>
      <c r="E281" s="14"/>
      <c r="F281" s="14"/>
      <c r="G281" s="14"/>
      <c r="H281" s="14"/>
      <c r="I281" s="5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</row>
    <row r="282" spans="1:86" x14ac:dyDescent="0.25">
      <c r="A282" s="12">
        <f t="shared" si="10"/>
        <v>279</v>
      </c>
      <c r="B282" s="4" t="s">
        <v>615</v>
      </c>
      <c r="C282" s="4" t="s">
        <v>616</v>
      </c>
      <c r="D282" s="4" t="s">
        <v>536</v>
      </c>
      <c r="E282" s="14"/>
      <c r="F282" s="14"/>
      <c r="G282" s="14"/>
      <c r="H282" s="14"/>
      <c r="I282" s="5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</row>
    <row r="283" spans="1:86" x14ac:dyDescent="0.25">
      <c r="A283" s="12">
        <f t="shared" si="10"/>
        <v>280</v>
      </c>
      <c r="B283" s="4" t="s">
        <v>617</v>
      </c>
      <c r="C283" s="4" t="s">
        <v>618</v>
      </c>
      <c r="D283" s="4" t="s">
        <v>45</v>
      </c>
      <c r="E283" s="14"/>
      <c r="F283" s="14"/>
      <c r="G283" s="14"/>
      <c r="H283" s="14"/>
      <c r="I283" s="5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</row>
    <row r="284" spans="1:86" x14ac:dyDescent="0.25">
      <c r="A284" s="12">
        <f t="shared" si="10"/>
        <v>281</v>
      </c>
      <c r="B284" s="4" t="s">
        <v>620</v>
      </c>
      <c r="C284" s="4" t="s">
        <v>619</v>
      </c>
      <c r="D284" s="4" t="s">
        <v>45</v>
      </c>
      <c r="E284" s="14"/>
      <c r="F284" s="14"/>
      <c r="G284" s="14"/>
      <c r="H284" s="14"/>
      <c r="I284" s="5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</row>
    <row r="285" spans="1:86" x14ac:dyDescent="0.25">
      <c r="A285" s="12">
        <f t="shared" si="10"/>
        <v>282</v>
      </c>
      <c r="B285" s="4" t="s">
        <v>621</v>
      </c>
      <c r="C285" s="4" t="s">
        <v>622</v>
      </c>
      <c r="D285" s="4" t="s">
        <v>623</v>
      </c>
      <c r="E285" s="14"/>
      <c r="F285" s="14"/>
      <c r="G285" s="14"/>
      <c r="H285" s="14"/>
      <c r="I285" s="5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</row>
    <row r="286" spans="1:86" x14ac:dyDescent="0.25">
      <c r="A286" s="12">
        <f t="shared" si="10"/>
        <v>283</v>
      </c>
      <c r="B286" s="4" t="s">
        <v>624</v>
      </c>
      <c r="C286" s="4" t="s">
        <v>625</v>
      </c>
      <c r="D286" s="4" t="s">
        <v>45</v>
      </c>
      <c r="E286" s="14"/>
      <c r="F286" s="14"/>
      <c r="G286" s="14"/>
      <c r="H286" s="14"/>
      <c r="I286" s="5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</row>
    <row r="287" spans="1:86" x14ac:dyDescent="0.25">
      <c r="A287" s="12">
        <f t="shared" si="10"/>
        <v>284</v>
      </c>
      <c r="B287" s="4" t="s">
        <v>627</v>
      </c>
      <c r="C287" s="4" t="s">
        <v>626</v>
      </c>
      <c r="D287" s="4" t="s">
        <v>45</v>
      </c>
      <c r="E287" s="14"/>
      <c r="F287" s="14"/>
      <c r="G287" s="14"/>
      <c r="H287" s="14"/>
      <c r="I287" s="5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</row>
    <row r="288" spans="1:86" x14ac:dyDescent="0.25">
      <c r="A288" s="12">
        <f t="shared" si="10"/>
        <v>285</v>
      </c>
      <c r="B288" s="4" t="s">
        <v>628</v>
      </c>
      <c r="C288" s="4" t="s">
        <v>629</v>
      </c>
      <c r="D288" s="4" t="s">
        <v>245</v>
      </c>
      <c r="E288" s="14"/>
      <c r="F288" s="14"/>
      <c r="G288" s="14"/>
      <c r="H288" s="14"/>
      <c r="I288" s="5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</row>
    <row r="289" spans="1:86" x14ac:dyDescent="0.25">
      <c r="A289" s="12">
        <f t="shared" si="10"/>
        <v>286</v>
      </c>
      <c r="B289" s="4" t="s">
        <v>630</v>
      </c>
      <c r="C289" s="4" t="s">
        <v>631</v>
      </c>
      <c r="D289" s="4" t="s">
        <v>1126</v>
      </c>
      <c r="E289" s="14"/>
      <c r="F289" s="14"/>
      <c r="G289" s="14"/>
      <c r="H289" s="14"/>
      <c r="I289" s="5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</row>
    <row r="290" spans="1:86" x14ac:dyDescent="0.25">
      <c r="A290" s="12">
        <f t="shared" si="10"/>
        <v>287</v>
      </c>
      <c r="B290" s="4" t="s">
        <v>632</v>
      </c>
      <c r="C290" s="4" t="s">
        <v>633</v>
      </c>
      <c r="D290" s="4" t="s">
        <v>245</v>
      </c>
      <c r="E290" s="14"/>
      <c r="F290" s="14"/>
      <c r="G290" s="14"/>
      <c r="H290" s="14"/>
      <c r="I290" s="5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</row>
    <row r="291" spans="1:86" x14ac:dyDescent="0.25">
      <c r="A291" s="12">
        <f t="shared" si="10"/>
        <v>288</v>
      </c>
      <c r="B291" s="4" t="s">
        <v>634</v>
      </c>
      <c r="C291" s="4" t="s">
        <v>635</v>
      </c>
      <c r="D291" s="4" t="s">
        <v>186</v>
      </c>
      <c r="E291" s="14"/>
      <c r="F291" s="14"/>
      <c r="G291" s="14"/>
      <c r="H291" s="14"/>
      <c r="I291" s="5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</row>
    <row r="292" spans="1:86" x14ac:dyDescent="0.25">
      <c r="A292" s="12">
        <f t="shared" si="10"/>
        <v>289</v>
      </c>
      <c r="B292" s="4" t="s">
        <v>636</v>
      </c>
      <c r="C292" s="4" t="s">
        <v>637</v>
      </c>
      <c r="D292" s="4" t="s">
        <v>45</v>
      </c>
      <c r="E292" s="14"/>
      <c r="F292" s="14"/>
      <c r="G292" s="14"/>
      <c r="H292" s="14"/>
      <c r="I292" s="5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</row>
    <row r="293" spans="1:86" x14ac:dyDescent="0.25">
      <c r="A293" s="12">
        <f t="shared" si="10"/>
        <v>290</v>
      </c>
      <c r="B293" s="13" t="s">
        <v>638</v>
      </c>
      <c r="C293" s="4" t="s">
        <v>639</v>
      </c>
      <c r="D293" s="4" t="s">
        <v>45</v>
      </c>
      <c r="E293" s="14">
        <f>+[79]Main!$I$2</f>
        <v>70.8</v>
      </c>
      <c r="F293" s="14">
        <f>+[79]Main!$I$4</f>
        <v>7016.8866144000003</v>
      </c>
      <c r="G293" s="14">
        <f>+[79]Main!$I$6-[79]Main!$I$5</f>
        <v>1566.635</v>
      </c>
      <c r="H293" s="14">
        <f>+F293+G293</f>
        <v>8583.5216144000005</v>
      </c>
      <c r="I293" s="35" t="s">
        <v>2583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</row>
    <row r="294" spans="1:86" x14ac:dyDescent="0.25">
      <c r="A294" s="12">
        <f t="shared" si="10"/>
        <v>291</v>
      </c>
      <c r="B294" s="4" t="s">
        <v>640</v>
      </c>
      <c r="C294" s="4" t="s">
        <v>641</v>
      </c>
      <c r="D294" s="4" t="s">
        <v>45</v>
      </c>
      <c r="E294" s="14"/>
      <c r="F294" s="14"/>
      <c r="G294" s="14"/>
      <c r="H294" s="14"/>
      <c r="I294" s="5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</row>
    <row r="295" spans="1:86" x14ac:dyDescent="0.25">
      <c r="A295" s="12">
        <f t="shared" si="10"/>
        <v>292</v>
      </c>
      <c r="B295" s="4" t="s">
        <v>642</v>
      </c>
      <c r="C295" s="4" t="s">
        <v>643</v>
      </c>
      <c r="D295" s="4" t="s">
        <v>45</v>
      </c>
      <c r="E295" s="14"/>
      <c r="F295" s="14"/>
      <c r="G295" s="14"/>
      <c r="H295" s="14"/>
      <c r="I295" s="5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</row>
    <row r="296" spans="1:86" x14ac:dyDescent="0.25">
      <c r="A296" s="12">
        <f t="shared" si="10"/>
        <v>293</v>
      </c>
      <c r="B296" s="4" t="s">
        <v>644</v>
      </c>
      <c r="C296" s="4" t="s">
        <v>645</v>
      </c>
      <c r="D296" s="4" t="s">
        <v>768</v>
      </c>
      <c r="E296" s="14"/>
      <c r="F296" s="14"/>
      <c r="G296" s="14"/>
      <c r="H296" s="14"/>
      <c r="I296" s="5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</row>
    <row r="297" spans="1:86" x14ac:dyDescent="0.25">
      <c r="A297" s="12">
        <f t="shared" si="10"/>
        <v>294</v>
      </c>
      <c r="B297" s="4" t="s">
        <v>646</v>
      </c>
      <c r="C297" s="4" t="s">
        <v>647</v>
      </c>
      <c r="D297" s="4" t="s">
        <v>1126</v>
      </c>
      <c r="E297" s="14"/>
      <c r="F297" s="14"/>
      <c r="G297" s="14"/>
      <c r="H297" s="14"/>
      <c r="I297" s="5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</row>
    <row r="298" spans="1:86" x14ac:dyDescent="0.25">
      <c r="A298" s="12">
        <f t="shared" si="10"/>
        <v>295</v>
      </c>
      <c r="B298" s="4" t="s">
        <v>648</v>
      </c>
      <c r="C298" s="4" t="s">
        <v>649</v>
      </c>
      <c r="D298" s="4" t="s">
        <v>45</v>
      </c>
      <c r="E298" s="14"/>
      <c r="F298" s="14"/>
      <c r="G298" s="14"/>
      <c r="H298" s="14"/>
      <c r="I298" s="5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</row>
    <row r="299" spans="1:86" x14ac:dyDescent="0.25">
      <c r="A299" s="12">
        <f t="shared" si="10"/>
        <v>296</v>
      </c>
      <c r="B299" s="4" t="s">
        <v>650</v>
      </c>
      <c r="C299" s="4" t="s">
        <v>651</v>
      </c>
      <c r="D299" s="4" t="s">
        <v>45</v>
      </c>
      <c r="E299" s="14"/>
      <c r="F299" s="14"/>
      <c r="G299" s="14"/>
      <c r="H299" s="14"/>
      <c r="I299" s="5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</row>
    <row r="300" spans="1:86" x14ac:dyDescent="0.25">
      <c r="A300" s="12">
        <f t="shared" si="10"/>
        <v>297</v>
      </c>
      <c r="B300" s="4" t="s">
        <v>653</v>
      </c>
      <c r="C300" s="4" t="s">
        <v>652</v>
      </c>
      <c r="D300" s="4" t="s">
        <v>45</v>
      </c>
      <c r="E300" s="14"/>
      <c r="F300" s="14"/>
      <c r="G300" s="14"/>
      <c r="H300" s="14"/>
      <c r="I300" s="5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</row>
    <row r="301" spans="1:86" x14ac:dyDescent="0.25">
      <c r="A301" s="12">
        <f t="shared" si="10"/>
        <v>298</v>
      </c>
      <c r="B301" s="4" t="s">
        <v>654</v>
      </c>
      <c r="C301" s="4" t="s">
        <v>655</v>
      </c>
      <c r="D301" s="4" t="s">
        <v>45</v>
      </c>
      <c r="E301" s="14"/>
      <c r="F301" s="14"/>
      <c r="G301" s="14"/>
      <c r="H301" s="14"/>
      <c r="I301" s="5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</row>
    <row r="302" spans="1:86" x14ac:dyDescent="0.25">
      <c r="A302" s="12">
        <f t="shared" si="10"/>
        <v>299</v>
      </c>
      <c r="B302" s="4" t="s">
        <v>657</v>
      </c>
      <c r="C302" s="4" t="s">
        <v>656</v>
      </c>
      <c r="D302" s="4" t="s">
        <v>768</v>
      </c>
      <c r="E302" s="14"/>
      <c r="F302" s="14"/>
      <c r="G302" s="14"/>
      <c r="H302" s="14"/>
      <c r="I302" s="5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</row>
    <row r="303" spans="1:86" x14ac:dyDescent="0.25">
      <c r="A303" s="12">
        <f t="shared" si="10"/>
        <v>300</v>
      </c>
      <c r="B303" s="4" t="s">
        <v>658</v>
      </c>
      <c r="C303" s="4" t="s">
        <v>659</v>
      </c>
      <c r="D303" s="4" t="s">
        <v>45</v>
      </c>
      <c r="E303" s="14"/>
      <c r="F303" s="14"/>
      <c r="G303" s="14"/>
      <c r="H303" s="14"/>
      <c r="I303" s="5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</row>
    <row r="304" spans="1:86" x14ac:dyDescent="0.25">
      <c r="A304" s="12">
        <f t="shared" si="10"/>
        <v>301</v>
      </c>
      <c r="B304" s="4" t="s">
        <v>660</v>
      </c>
      <c r="C304" s="4" t="s">
        <v>661</v>
      </c>
      <c r="D304" s="4" t="s">
        <v>45</v>
      </c>
      <c r="E304" s="14"/>
      <c r="F304" s="14"/>
      <c r="G304" s="14"/>
      <c r="H304" s="14"/>
      <c r="I304" s="5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</row>
    <row r="305" spans="1:86" x14ac:dyDescent="0.25">
      <c r="A305" s="12">
        <f t="shared" si="10"/>
        <v>302</v>
      </c>
      <c r="B305" s="4" t="s">
        <v>662</v>
      </c>
      <c r="C305" s="4" t="s">
        <v>663</v>
      </c>
      <c r="D305" s="4" t="s">
        <v>45</v>
      </c>
      <c r="E305" s="14"/>
      <c r="F305" s="14"/>
      <c r="G305" s="14"/>
      <c r="H305" s="14"/>
      <c r="I305" s="5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</row>
    <row r="306" spans="1:86" x14ac:dyDescent="0.25">
      <c r="A306" s="12">
        <f t="shared" si="10"/>
        <v>303</v>
      </c>
      <c r="B306" s="4" t="s">
        <v>664</v>
      </c>
      <c r="C306" s="4" t="s">
        <v>665</v>
      </c>
      <c r="D306" s="4" t="s">
        <v>45</v>
      </c>
      <c r="E306" s="14"/>
      <c r="F306" s="14"/>
      <c r="G306" s="14"/>
      <c r="H306" s="14"/>
      <c r="I306" s="5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</row>
    <row r="307" spans="1:86" x14ac:dyDescent="0.25">
      <c r="A307" s="12">
        <f t="shared" si="10"/>
        <v>304</v>
      </c>
      <c r="B307" s="4" t="s">
        <v>666</v>
      </c>
      <c r="C307" s="4" t="s">
        <v>667</v>
      </c>
      <c r="D307" s="4" t="s">
        <v>245</v>
      </c>
      <c r="E307" s="14"/>
      <c r="F307" s="14"/>
      <c r="G307" s="14"/>
      <c r="H307" s="14"/>
      <c r="I307" s="5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</row>
    <row r="308" spans="1:86" x14ac:dyDescent="0.25">
      <c r="A308" s="12">
        <f t="shared" si="10"/>
        <v>305</v>
      </c>
      <c r="B308" s="4" t="s">
        <v>668</v>
      </c>
      <c r="C308" s="4" t="s">
        <v>669</v>
      </c>
      <c r="D308" s="4" t="s">
        <v>45</v>
      </c>
      <c r="E308" s="14"/>
      <c r="F308" s="14"/>
      <c r="G308" s="14"/>
      <c r="H308" s="14"/>
      <c r="I308" s="5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</row>
    <row r="309" spans="1:86" x14ac:dyDescent="0.25">
      <c r="A309" s="12">
        <f t="shared" si="10"/>
        <v>306</v>
      </c>
      <c r="B309" s="4" t="s">
        <v>670</v>
      </c>
      <c r="C309" s="4" t="s">
        <v>670</v>
      </c>
      <c r="D309" s="4" t="s">
        <v>45</v>
      </c>
      <c r="E309" s="14"/>
      <c r="F309" s="14"/>
      <c r="G309" s="14"/>
      <c r="H309" s="14"/>
      <c r="I309" s="5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</row>
    <row r="310" spans="1:86" x14ac:dyDescent="0.25">
      <c r="A310" s="12">
        <f t="shared" si="10"/>
        <v>307</v>
      </c>
      <c r="B310" s="4" t="s">
        <v>671</v>
      </c>
      <c r="C310" s="4" t="s">
        <v>672</v>
      </c>
      <c r="D310" s="4" t="s">
        <v>45</v>
      </c>
      <c r="E310" s="14"/>
      <c r="F310" s="14"/>
      <c r="G310" s="14"/>
      <c r="H310" s="14"/>
      <c r="I310" s="5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</row>
    <row r="311" spans="1:86" x14ac:dyDescent="0.25">
      <c r="A311" s="12">
        <f t="shared" si="10"/>
        <v>308</v>
      </c>
      <c r="B311" s="4" t="s">
        <v>673</v>
      </c>
      <c r="C311" s="4" t="s">
        <v>674</v>
      </c>
      <c r="D311" s="4" t="s">
        <v>768</v>
      </c>
      <c r="E311" s="14"/>
      <c r="F311" s="14"/>
      <c r="G311" s="14"/>
      <c r="H311" s="14"/>
      <c r="I311" s="5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</row>
    <row r="312" spans="1:86" x14ac:dyDescent="0.25">
      <c r="A312" s="12">
        <f t="shared" si="10"/>
        <v>309</v>
      </c>
      <c r="B312" s="4" t="s">
        <v>675</v>
      </c>
      <c r="C312" s="4" t="s">
        <v>676</v>
      </c>
      <c r="D312" s="4" t="s">
        <v>45</v>
      </c>
      <c r="E312" s="14"/>
      <c r="F312" s="14"/>
      <c r="G312" s="14"/>
      <c r="H312" s="14"/>
      <c r="I312" s="5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</row>
    <row r="313" spans="1:86" x14ac:dyDescent="0.25">
      <c r="A313" s="12">
        <f t="shared" si="10"/>
        <v>310</v>
      </c>
      <c r="B313" s="4" t="s">
        <v>677</v>
      </c>
      <c r="C313" s="4" t="s">
        <v>678</v>
      </c>
      <c r="D313" s="4" t="s">
        <v>45</v>
      </c>
      <c r="E313" s="14"/>
      <c r="F313" s="14"/>
      <c r="G313" s="14"/>
      <c r="H313" s="14"/>
      <c r="I313" s="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</row>
    <row r="314" spans="1:86" x14ac:dyDescent="0.25">
      <c r="A314" s="12">
        <f t="shared" si="10"/>
        <v>311</v>
      </c>
      <c r="B314" s="4" t="s">
        <v>681</v>
      </c>
      <c r="C314" s="4" t="s">
        <v>682</v>
      </c>
      <c r="D314" s="4" t="s">
        <v>45</v>
      </c>
      <c r="E314" s="14"/>
      <c r="F314" s="14"/>
      <c r="G314" s="14"/>
      <c r="H314" s="14"/>
      <c r="I314" s="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</row>
    <row r="315" spans="1:86" x14ac:dyDescent="0.25">
      <c r="A315" s="12">
        <f t="shared" si="10"/>
        <v>312</v>
      </c>
      <c r="B315" s="4" t="s">
        <v>683</v>
      </c>
      <c r="C315" s="4" t="s">
        <v>684</v>
      </c>
      <c r="D315" s="4" t="s">
        <v>45</v>
      </c>
      <c r="E315" s="14"/>
      <c r="F315" s="14"/>
      <c r="G315" s="14"/>
      <c r="H315" s="14"/>
      <c r="I315" s="5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</row>
    <row r="316" spans="1:86" x14ac:dyDescent="0.25">
      <c r="A316" s="12">
        <f t="shared" si="10"/>
        <v>313</v>
      </c>
      <c r="B316" s="4" t="s">
        <v>685</v>
      </c>
      <c r="C316" s="4" t="s">
        <v>686</v>
      </c>
      <c r="D316" s="4" t="s">
        <v>45</v>
      </c>
      <c r="E316" s="14"/>
      <c r="F316" s="14"/>
      <c r="G316" s="14"/>
      <c r="H316" s="14"/>
      <c r="I316" s="5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</row>
    <row r="317" spans="1:86" x14ac:dyDescent="0.25">
      <c r="A317" s="12">
        <f t="shared" si="10"/>
        <v>314</v>
      </c>
      <c r="B317" s="4" t="s">
        <v>687</v>
      </c>
      <c r="C317" s="4" t="s">
        <v>688</v>
      </c>
      <c r="D317" s="4" t="s">
        <v>45</v>
      </c>
      <c r="E317" s="14"/>
      <c r="F317" s="14"/>
      <c r="G317" s="14"/>
      <c r="H317" s="14"/>
      <c r="I317" s="5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</row>
    <row r="318" spans="1:86" x14ac:dyDescent="0.25">
      <c r="A318" s="12">
        <f t="shared" si="10"/>
        <v>315</v>
      </c>
      <c r="B318" s="4" t="s">
        <v>689</v>
      </c>
      <c r="C318" s="4" t="s">
        <v>690</v>
      </c>
      <c r="D318" s="4" t="s">
        <v>46</v>
      </c>
      <c r="E318" s="14"/>
      <c r="F318" s="14"/>
      <c r="G318" s="14"/>
      <c r="H318" s="14"/>
      <c r="I318" s="5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</row>
    <row r="319" spans="1:86" x14ac:dyDescent="0.25">
      <c r="A319" s="12">
        <f t="shared" si="10"/>
        <v>316</v>
      </c>
      <c r="B319" s="4" t="s">
        <v>691</v>
      </c>
      <c r="C319" s="4" t="s">
        <v>692</v>
      </c>
      <c r="D319" s="4" t="s">
        <v>87</v>
      </c>
      <c r="E319" s="14"/>
      <c r="F319" s="14"/>
      <c r="G319" s="14"/>
      <c r="H319" s="14"/>
      <c r="I319" s="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</row>
    <row r="320" spans="1:86" x14ac:dyDescent="0.25">
      <c r="A320" s="12">
        <f t="shared" si="10"/>
        <v>317</v>
      </c>
      <c r="B320" s="4" t="s">
        <v>693</v>
      </c>
      <c r="C320" s="4" t="s">
        <v>694</v>
      </c>
      <c r="D320" s="4" t="s">
        <v>508</v>
      </c>
      <c r="E320" s="14"/>
      <c r="F320" s="14"/>
      <c r="G320" s="14"/>
      <c r="H320" s="14"/>
      <c r="I320" s="5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</row>
    <row r="321" spans="1:86" x14ac:dyDescent="0.25">
      <c r="A321" s="12">
        <f t="shared" si="10"/>
        <v>318</v>
      </c>
      <c r="B321" s="4" t="s">
        <v>695</v>
      </c>
      <c r="C321" s="4" t="s">
        <v>696</v>
      </c>
      <c r="D321" s="4" t="s">
        <v>1126</v>
      </c>
      <c r="E321" s="14"/>
      <c r="F321" s="14"/>
      <c r="G321" s="14"/>
      <c r="H321" s="14"/>
      <c r="I321" s="5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</row>
    <row r="322" spans="1:86" x14ac:dyDescent="0.25">
      <c r="A322" s="12">
        <f t="shared" si="10"/>
        <v>319</v>
      </c>
      <c r="B322" s="13" t="s">
        <v>697</v>
      </c>
      <c r="C322" s="4" t="s">
        <v>698</v>
      </c>
      <c r="D322" s="4" t="s">
        <v>45</v>
      </c>
      <c r="E322" s="14">
        <f>+[80]Main!$J$3</f>
        <v>15.92</v>
      </c>
      <c r="F322" s="14">
        <f>+[80]Main!$J$5</f>
        <v>3056.2842516800001</v>
      </c>
      <c r="G322" s="14">
        <f>+[80]Main!$J$7-[80]Main!$J$6</f>
        <v>162.63800000000003</v>
      </c>
      <c r="H322" s="14">
        <f>+F322+G322</f>
        <v>3218.92225168</v>
      </c>
      <c r="I322" s="5" t="s">
        <v>48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</row>
    <row r="323" spans="1:86" x14ac:dyDescent="0.25">
      <c r="A323" s="12">
        <f t="shared" si="10"/>
        <v>320</v>
      </c>
      <c r="B323" s="13" t="s">
        <v>699</v>
      </c>
      <c r="C323" s="4" t="s">
        <v>700</v>
      </c>
      <c r="D323" s="4" t="s">
        <v>45</v>
      </c>
      <c r="E323" s="14">
        <f>+[81]Main!$I$2</f>
        <v>7.36</v>
      </c>
      <c r="F323" s="14">
        <f>+[81]Main!$I$4</f>
        <v>1581.06035488</v>
      </c>
      <c r="G323" s="14">
        <f>+[81]Main!$I$6-[81]Main!$I$5</f>
        <v>-73.627598000000006</v>
      </c>
      <c r="H323" s="14">
        <f>+F323+G323</f>
        <v>1507.4327568799999</v>
      </c>
      <c r="I323" s="5" t="s">
        <v>430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</row>
    <row r="324" spans="1:86" x14ac:dyDescent="0.25">
      <c r="A324" s="12">
        <f t="shared" si="10"/>
        <v>321</v>
      </c>
      <c r="B324" s="4" t="s">
        <v>701</v>
      </c>
      <c r="C324" s="4" t="s">
        <v>702</v>
      </c>
      <c r="D324" s="4" t="s">
        <v>45</v>
      </c>
      <c r="E324" s="14"/>
      <c r="F324" s="14"/>
      <c r="G324" s="14"/>
      <c r="H324" s="14"/>
      <c r="I324" s="5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</row>
    <row r="325" spans="1:86" x14ac:dyDescent="0.25">
      <c r="A325" s="12">
        <f t="shared" si="10"/>
        <v>322</v>
      </c>
      <c r="B325" s="4" t="s">
        <v>703</v>
      </c>
      <c r="C325" s="4" t="s">
        <v>704</v>
      </c>
      <c r="D325" s="4" t="s">
        <v>508</v>
      </c>
      <c r="E325" s="14"/>
      <c r="F325" s="14"/>
      <c r="G325" s="14"/>
      <c r="H325" s="14"/>
      <c r="I325" s="5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</row>
    <row r="326" spans="1:86" x14ac:dyDescent="0.25">
      <c r="A326" s="12">
        <f t="shared" si="10"/>
        <v>323</v>
      </c>
      <c r="B326" s="4" t="s">
        <v>679</v>
      </c>
      <c r="C326" s="4" t="s">
        <v>680</v>
      </c>
      <c r="D326" s="4" t="s">
        <v>45</v>
      </c>
      <c r="E326" s="14"/>
      <c r="F326" s="14"/>
      <c r="G326" s="14"/>
      <c r="H326" s="14"/>
      <c r="I326" s="5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</row>
    <row r="327" spans="1:86" x14ac:dyDescent="0.25">
      <c r="A327" s="12">
        <f t="shared" si="10"/>
        <v>324</v>
      </c>
      <c r="B327" s="4" t="s">
        <v>1132</v>
      </c>
      <c r="C327" s="4" t="s">
        <v>1133</v>
      </c>
      <c r="D327" s="4" t="s">
        <v>128</v>
      </c>
      <c r="E327" s="14"/>
      <c r="F327" s="14"/>
      <c r="G327" s="14"/>
      <c r="H327" s="14"/>
      <c r="I327" s="5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</row>
    <row r="328" spans="1:86" x14ac:dyDescent="0.25">
      <c r="A328" s="12">
        <f t="shared" si="10"/>
        <v>325</v>
      </c>
      <c r="B328" s="4" t="s">
        <v>1134</v>
      </c>
      <c r="C328" s="4" t="s">
        <v>1135</v>
      </c>
      <c r="D328" s="4" t="s">
        <v>45</v>
      </c>
      <c r="E328" s="14"/>
      <c r="F328" s="14"/>
      <c r="G328" s="14"/>
      <c r="H328" s="14"/>
      <c r="I328" s="5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</row>
    <row r="329" spans="1:86" x14ac:dyDescent="0.25">
      <c r="A329" s="12">
        <f t="shared" si="10"/>
        <v>326</v>
      </c>
      <c r="B329" s="4" t="s">
        <v>1136</v>
      </c>
      <c r="C329" s="4" t="s">
        <v>1137</v>
      </c>
      <c r="D329" s="4" t="s">
        <v>1125</v>
      </c>
      <c r="E329" s="14"/>
      <c r="F329" s="14"/>
      <c r="G329" s="14"/>
      <c r="H329" s="14"/>
      <c r="I329" s="5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</row>
    <row r="330" spans="1:86" x14ac:dyDescent="0.25">
      <c r="A330" s="12">
        <f t="shared" ref="A330:A393" si="11">+A329+1</f>
        <v>327</v>
      </c>
      <c r="B330" s="4" t="s">
        <v>859</v>
      </c>
      <c r="C330" s="4" t="s">
        <v>860</v>
      </c>
      <c r="D330" s="4" t="s">
        <v>45</v>
      </c>
      <c r="E330" s="14"/>
      <c r="F330" s="14"/>
      <c r="G330" s="14"/>
      <c r="H330" s="14"/>
      <c r="I330" s="5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</row>
    <row r="331" spans="1:86" x14ac:dyDescent="0.25">
      <c r="A331" s="12">
        <f t="shared" si="11"/>
        <v>328</v>
      </c>
      <c r="B331" s="4" t="s">
        <v>1138</v>
      </c>
      <c r="C331" s="4" t="s">
        <v>1139</v>
      </c>
      <c r="D331" s="4" t="s">
        <v>508</v>
      </c>
      <c r="E331" s="14"/>
      <c r="F331" s="14"/>
      <c r="G331" s="14"/>
      <c r="H331" s="14"/>
      <c r="I331" s="5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</row>
    <row r="332" spans="1:86" x14ac:dyDescent="0.25">
      <c r="A332" s="12">
        <f t="shared" si="11"/>
        <v>329</v>
      </c>
      <c r="B332" s="4" t="s">
        <v>1140</v>
      </c>
      <c r="C332" s="4" t="s">
        <v>1141</v>
      </c>
      <c r="D332" s="4" t="s">
        <v>768</v>
      </c>
      <c r="E332" s="14"/>
      <c r="F332" s="14"/>
      <c r="G332" s="14"/>
      <c r="H332" s="14"/>
      <c r="I332" s="5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</row>
    <row r="333" spans="1:86" x14ac:dyDescent="0.25">
      <c r="A333" s="12">
        <f t="shared" si="11"/>
        <v>330</v>
      </c>
      <c r="B333" s="4" t="s">
        <v>1142</v>
      </c>
      <c r="C333" s="4" t="s">
        <v>1143</v>
      </c>
      <c r="D333" s="4" t="s">
        <v>45</v>
      </c>
      <c r="E333" s="14"/>
      <c r="F333" s="14"/>
      <c r="G333" s="14"/>
      <c r="H333" s="14"/>
      <c r="I333" s="5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</row>
    <row r="334" spans="1:86" x14ac:dyDescent="0.25">
      <c r="A334" s="12">
        <f t="shared" si="11"/>
        <v>331</v>
      </c>
      <c r="B334" s="4" t="s">
        <v>1144</v>
      </c>
      <c r="C334" s="4" t="s">
        <v>1145</v>
      </c>
      <c r="D334" s="4" t="s">
        <v>45</v>
      </c>
      <c r="E334" s="14"/>
      <c r="F334" s="14"/>
      <c r="G334" s="14"/>
      <c r="H334" s="14"/>
      <c r="I334" s="5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</row>
    <row r="335" spans="1:86" x14ac:dyDescent="0.25">
      <c r="A335" s="12">
        <f t="shared" si="11"/>
        <v>332</v>
      </c>
      <c r="B335" s="4" t="s">
        <v>1146</v>
      </c>
      <c r="C335" s="4" t="s">
        <v>1147</v>
      </c>
      <c r="D335" s="4" t="s">
        <v>45</v>
      </c>
      <c r="E335" s="14"/>
      <c r="F335" s="14"/>
      <c r="G335" s="14"/>
      <c r="H335" s="14"/>
      <c r="I335" s="5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</row>
    <row r="336" spans="1:86" x14ac:dyDescent="0.25">
      <c r="A336" s="12">
        <f t="shared" si="11"/>
        <v>333</v>
      </c>
      <c r="B336" s="4" t="s">
        <v>1148</v>
      </c>
      <c r="C336" s="4" t="s">
        <v>1149</v>
      </c>
      <c r="D336" s="4" t="s">
        <v>87</v>
      </c>
      <c r="E336" s="14"/>
      <c r="F336" s="14"/>
      <c r="G336" s="14"/>
      <c r="H336" s="14"/>
      <c r="I336" s="5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</row>
    <row r="337" spans="1:86" x14ac:dyDescent="0.25">
      <c r="A337" s="12">
        <f t="shared" si="11"/>
        <v>334</v>
      </c>
      <c r="B337" s="4" t="s">
        <v>1150</v>
      </c>
      <c r="C337" s="4" t="s">
        <v>1151</v>
      </c>
      <c r="D337" s="4" t="s">
        <v>84</v>
      </c>
      <c r="E337" s="14"/>
      <c r="F337" s="14"/>
      <c r="G337" s="14"/>
      <c r="H337" s="14"/>
      <c r="I337" s="5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</row>
    <row r="338" spans="1:86" x14ac:dyDescent="0.25">
      <c r="A338" s="12">
        <f t="shared" si="11"/>
        <v>335</v>
      </c>
      <c r="B338" s="4" t="s">
        <v>1152</v>
      </c>
      <c r="C338" s="4" t="s">
        <v>1153</v>
      </c>
      <c r="D338" s="4" t="s">
        <v>2569</v>
      </c>
      <c r="E338" s="14"/>
      <c r="F338" s="14"/>
      <c r="G338" s="14"/>
      <c r="H338" s="14"/>
      <c r="I338" s="5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</row>
    <row r="339" spans="1:86" x14ac:dyDescent="0.25">
      <c r="A339" s="12">
        <f t="shared" si="11"/>
        <v>336</v>
      </c>
      <c r="B339" s="4" t="s">
        <v>1154</v>
      </c>
      <c r="C339" s="4" t="s">
        <v>1155</v>
      </c>
      <c r="D339" s="4" t="s">
        <v>1125</v>
      </c>
      <c r="E339" s="14"/>
      <c r="F339" s="14"/>
      <c r="G339" s="14"/>
      <c r="H339" s="14"/>
      <c r="I339" s="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</row>
    <row r="340" spans="1:86" x14ac:dyDescent="0.25">
      <c r="A340" s="12">
        <f t="shared" si="11"/>
        <v>337</v>
      </c>
      <c r="B340" s="4" t="s">
        <v>852</v>
      </c>
      <c r="C340" s="4" t="s">
        <v>853</v>
      </c>
      <c r="D340" s="4" t="s">
        <v>45</v>
      </c>
      <c r="E340" s="14"/>
      <c r="F340" s="14"/>
      <c r="G340" s="14"/>
      <c r="H340" s="14"/>
      <c r="I340" s="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</row>
    <row r="341" spans="1:86" x14ac:dyDescent="0.25">
      <c r="A341" s="12">
        <f t="shared" si="11"/>
        <v>338</v>
      </c>
      <c r="B341" s="4" t="s">
        <v>1156</v>
      </c>
      <c r="C341" s="4" t="s">
        <v>1157</v>
      </c>
      <c r="D341" s="4" t="s">
        <v>1130</v>
      </c>
      <c r="E341" s="14"/>
      <c r="F341" s="14"/>
      <c r="G341" s="14"/>
      <c r="H341" s="14"/>
      <c r="I341" s="5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</row>
    <row r="342" spans="1:86" x14ac:dyDescent="0.25">
      <c r="A342" s="12">
        <f t="shared" si="11"/>
        <v>339</v>
      </c>
      <c r="B342" s="4" t="s">
        <v>1158</v>
      </c>
      <c r="C342" s="4" t="s">
        <v>1159</v>
      </c>
      <c r="D342" s="4" t="s">
        <v>45</v>
      </c>
      <c r="E342" s="14"/>
      <c r="F342" s="14"/>
      <c r="G342" s="14"/>
      <c r="H342" s="14"/>
      <c r="I342" s="5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</row>
    <row r="343" spans="1:86" x14ac:dyDescent="0.25">
      <c r="A343" s="12">
        <f t="shared" si="11"/>
        <v>340</v>
      </c>
      <c r="B343" s="4" t="s">
        <v>1160</v>
      </c>
      <c r="C343" s="4" t="s">
        <v>1161</v>
      </c>
      <c r="D343" s="4" t="s">
        <v>770</v>
      </c>
      <c r="E343" s="14"/>
      <c r="F343" s="14"/>
      <c r="G343" s="14"/>
      <c r="H343" s="14"/>
      <c r="I343" s="5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</row>
    <row r="344" spans="1:86" x14ac:dyDescent="0.25">
      <c r="A344" s="12">
        <f t="shared" si="11"/>
        <v>341</v>
      </c>
      <c r="B344" s="4" t="s">
        <v>1162</v>
      </c>
      <c r="C344" s="4" t="s">
        <v>1163</v>
      </c>
      <c r="D344" s="4" t="s">
        <v>87</v>
      </c>
      <c r="E344" s="14"/>
      <c r="F344" s="14"/>
      <c r="G344" s="14"/>
      <c r="H344" s="14"/>
      <c r="I344" s="5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</row>
    <row r="345" spans="1:86" x14ac:dyDescent="0.25">
      <c r="A345" s="12">
        <f t="shared" si="11"/>
        <v>342</v>
      </c>
      <c r="B345" s="4" t="s">
        <v>1164</v>
      </c>
      <c r="C345" s="4" t="s">
        <v>866</v>
      </c>
      <c r="D345" s="4" t="s">
        <v>45</v>
      </c>
      <c r="E345" s="14"/>
      <c r="F345" s="14"/>
      <c r="G345" s="14"/>
      <c r="H345" s="14"/>
      <c r="I345" s="5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</row>
    <row r="346" spans="1:86" x14ac:dyDescent="0.25">
      <c r="A346" s="12">
        <f t="shared" si="11"/>
        <v>343</v>
      </c>
      <c r="B346" s="4" t="s">
        <v>1165</v>
      </c>
      <c r="C346" s="4" t="s">
        <v>1166</v>
      </c>
      <c r="D346" s="4" t="s">
        <v>770</v>
      </c>
      <c r="E346" s="14"/>
      <c r="F346" s="14"/>
      <c r="G346" s="14"/>
      <c r="H346" s="14"/>
      <c r="I346" s="5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</row>
    <row r="347" spans="1:86" x14ac:dyDescent="0.25">
      <c r="A347" s="12">
        <f t="shared" si="11"/>
        <v>344</v>
      </c>
      <c r="B347" s="4" t="s">
        <v>1167</v>
      </c>
      <c r="C347" s="4" t="s">
        <v>1168</v>
      </c>
      <c r="D347" s="4" t="s">
        <v>128</v>
      </c>
      <c r="E347" s="14"/>
      <c r="F347" s="14"/>
      <c r="G347" s="14"/>
      <c r="H347" s="14"/>
      <c r="I347" s="5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</row>
    <row r="348" spans="1:86" x14ac:dyDescent="0.25">
      <c r="A348" s="12">
        <f t="shared" si="11"/>
        <v>345</v>
      </c>
      <c r="B348" s="4" t="s">
        <v>1169</v>
      </c>
      <c r="C348" s="4" t="s">
        <v>1170</v>
      </c>
      <c r="D348" s="4" t="s">
        <v>2572</v>
      </c>
      <c r="E348" s="14"/>
      <c r="F348" s="14"/>
      <c r="G348" s="14"/>
      <c r="H348" s="14"/>
      <c r="I348" s="5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</row>
    <row r="349" spans="1:86" x14ac:dyDescent="0.25">
      <c r="A349" s="12">
        <f t="shared" si="11"/>
        <v>346</v>
      </c>
      <c r="B349" s="4" t="s">
        <v>1171</v>
      </c>
      <c r="C349" s="4" t="s">
        <v>1172</v>
      </c>
      <c r="D349" s="4" t="s">
        <v>1130</v>
      </c>
      <c r="E349" s="14"/>
      <c r="F349" s="14"/>
      <c r="G349" s="14"/>
      <c r="H349" s="14"/>
      <c r="I349" s="5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</row>
    <row r="350" spans="1:86" x14ac:dyDescent="0.25">
      <c r="A350" s="12">
        <f t="shared" si="11"/>
        <v>347</v>
      </c>
      <c r="B350" s="4" t="s">
        <v>1173</v>
      </c>
      <c r="C350" s="4" t="s">
        <v>1174</v>
      </c>
      <c r="D350" s="4" t="s">
        <v>1123</v>
      </c>
      <c r="E350" s="14"/>
      <c r="F350" s="14"/>
      <c r="G350" s="14"/>
      <c r="H350" s="14"/>
      <c r="I350" s="5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</row>
    <row r="351" spans="1:86" x14ac:dyDescent="0.25">
      <c r="A351" s="12">
        <f t="shared" si="11"/>
        <v>348</v>
      </c>
      <c r="B351" s="4" t="s">
        <v>1175</v>
      </c>
      <c r="C351" s="4" t="s">
        <v>872</v>
      </c>
      <c r="D351" s="4" t="s">
        <v>45</v>
      </c>
      <c r="E351" s="14"/>
      <c r="F351" s="14"/>
      <c r="G351" s="14"/>
      <c r="H351" s="14"/>
      <c r="I351" s="5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</row>
    <row r="352" spans="1:86" x14ac:dyDescent="0.25">
      <c r="A352" s="12">
        <f t="shared" si="11"/>
        <v>349</v>
      </c>
      <c r="B352" s="4" t="s">
        <v>1176</v>
      </c>
      <c r="C352" s="4" t="s">
        <v>1177</v>
      </c>
      <c r="D352" s="4" t="s">
        <v>87</v>
      </c>
      <c r="E352" s="14"/>
      <c r="F352" s="14"/>
      <c r="G352" s="14"/>
      <c r="H352" s="14"/>
      <c r="I352" s="5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</row>
    <row r="353" spans="1:86" x14ac:dyDescent="0.25">
      <c r="A353" s="12">
        <f t="shared" si="11"/>
        <v>350</v>
      </c>
      <c r="B353" s="4" t="s">
        <v>1178</v>
      </c>
      <c r="C353" s="4" t="s">
        <v>173</v>
      </c>
      <c r="D353" s="4" t="s">
        <v>45</v>
      </c>
      <c r="E353" s="14"/>
      <c r="F353" s="14"/>
      <c r="G353" s="14"/>
      <c r="H353" s="14"/>
      <c r="I353" s="5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</row>
    <row r="354" spans="1:86" x14ac:dyDescent="0.25">
      <c r="A354" s="12">
        <f t="shared" si="11"/>
        <v>351</v>
      </c>
      <c r="B354" s="4" t="s">
        <v>841</v>
      </c>
      <c r="C354" s="4" t="s">
        <v>842</v>
      </c>
      <c r="D354" s="4" t="s">
        <v>45</v>
      </c>
      <c r="E354" s="14"/>
      <c r="F354" s="14"/>
      <c r="G354" s="14"/>
      <c r="H354" s="14"/>
      <c r="I354" s="5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</row>
    <row r="355" spans="1:86" x14ac:dyDescent="0.25">
      <c r="A355" s="12">
        <f t="shared" si="11"/>
        <v>352</v>
      </c>
      <c r="B355" s="4" t="s">
        <v>1179</v>
      </c>
      <c r="C355" s="4" t="s">
        <v>1180</v>
      </c>
      <c r="D355" s="4" t="s">
        <v>1126</v>
      </c>
      <c r="E355" s="14"/>
      <c r="F355" s="14"/>
      <c r="G355" s="14"/>
      <c r="H355" s="14"/>
      <c r="I355" s="5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</row>
    <row r="356" spans="1:86" x14ac:dyDescent="0.25">
      <c r="A356" s="12">
        <f t="shared" si="11"/>
        <v>353</v>
      </c>
      <c r="B356" s="4" t="s">
        <v>974</v>
      </c>
      <c r="C356" s="4" t="s">
        <v>975</v>
      </c>
      <c r="D356" s="4" t="s">
        <v>84</v>
      </c>
      <c r="E356" s="14"/>
      <c r="F356" s="14"/>
      <c r="G356" s="14"/>
      <c r="H356" s="14"/>
      <c r="I356" s="5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</row>
    <row r="357" spans="1:86" x14ac:dyDescent="0.25">
      <c r="A357" s="12">
        <f t="shared" si="11"/>
        <v>354</v>
      </c>
      <c r="B357" s="4" t="s">
        <v>1181</v>
      </c>
      <c r="C357" s="4" t="s">
        <v>1182</v>
      </c>
      <c r="D357" s="4" t="s">
        <v>45</v>
      </c>
      <c r="E357" s="14"/>
      <c r="F357" s="14"/>
      <c r="G357" s="14"/>
      <c r="H357" s="14"/>
      <c r="I357" s="5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</row>
    <row r="358" spans="1:86" x14ac:dyDescent="0.25">
      <c r="A358" s="12">
        <f t="shared" si="11"/>
        <v>355</v>
      </c>
      <c r="B358" s="4" t="s">
        <v>1183</v>
      </c>
      <c r="C358" s="4" t="s">
        <v>1184</v>
      </c>
      <c r="D358" s="4" t="s">
        <v>768</v>
      </c>
      <c r="E358" s="14"/>
      <c r="F358" s="14"/>
      <c r="G358" s="14"/>
      <c r="H358" s="14"/>
      <c r="I358" s="5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</row>
    <row r="359" spans="1:86" x14ac:dyDescent="0.25">
      <c r="A359" s="12">
        <f t="shared" si="11"/>
        <v>356</v>
      </c>
      <c r="B359" s="4" t="s">
        <v>1185</v>
      </c>
      <c r="C359" s="4" t="s">
        <v>1186</v>
      </c>
      <c r="D359" s="4" t="s">
        <v>768</v>
      </c>
      <c r="E359" s="14"/>
      <c r="F359" s="14"/>
      <c r="G359" s="14"/>
      <c r="H359" s="14"/>
      <c r="I359" s="5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</row>
    <row r="360" spans="1:86" x14ac:dyDescent="0.25">
      <c r="A360" s="12">
        <f t="shared" si="11"/>
        <v>357</v>
      </c>
      <c r="B360" s="4" t="s">
        <v>1187</v>
      </c>
      <c r="C360" s="4" t="s">
        <v>1188</v>
      </c>
      <c r="D360" s="4" t="s">
        <v>768</v>
      </c>
      <c r="E360" s="14"/>
      <c r="F360" s="14"/>
      <c r="G360" s="14"/>
      <c r="H360" s="14"/>
      <c r="I360" s="5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</row>
    <row r="361" spans="1:86" x14ac:dyDescent="0.25">
      <c r="A361" s="12">
        <f t="shared" si="11"/>
        <v>358</v>
      </c>
      <c r="B361" s="4" t="s">
        <v>875</v>
      </c>
      <c r="C361" s="4" t="s">
        <v>876</v>
      </c>
      <c r="D361" s="4" t="s">
        <v>45</v>
      </c>
      <c r="E361" s="14"/>
      <c r="F361" s="14"/>
      <c r="G361" s="14"/>
      <c r="H361" s="14"/>
      <c r="I361" s="5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</row>
    <row r="362" spans="1:86" x14ac:dyDescent="0.25">
      <c r="A362" s="12">
        <f t="shared" si="11"/>
        <v>359</v>
      </c>
      <c r="B362" s="4" t="s">
        <v>1189</v>
      </c>
      <c r="C362" s="4" t="s">
        <v>1190</v>
      </c>
      <c r="D362" s="4" t="s">
        <v>45</v>
      </c>
      <c r="E362" s="14"/>
      <c r="F362" s="14"/>
      <c r="G362" s="14"/>
      <c r="H362" s="14"/>
      <c r="I362" s="5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</row>
    <row r="363" spans="1:86" x14ac:dyDescent="0.25">
      <c r="A363" s="12">
        <f t="shared" si="11"/>
        <v>360</v>
      </c>
      <c r="B363" s="4" t="s">
        <v>1191</v>
      </c>
      <c r="C363" s="4" t="s">
        <v>1192</v>
      </c>
      <c r="D363" s="4" t="s">
        <v>610</v>
      </c>
      <c r="E363" s="14"/>
      <c r="F363" s="14"/>
      <c r="G363" s="14"/>
      <c r="H363" s="14"/>
      <c r="I363" s="5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</row>
    <row r="364" spans="1:86" x14ac:dyDescent="0.25">
      <c r="A364" s="12">
        <f t="shared" si="11"/>
        <v>361</v>
      </c>
      <c r="B364" s="4" t="s">
        <v>1193</v>
      </c>
      <c r="C364" s="4" t="s">
        <v>1194</v>
      </c>
      <c r="D364" s="4" t="s">
        <v>2571</v>
      </c>
      <c r="E364" s="14"/>
      <c r="F364" s="14"/>
      <c r="G364" s="14"/>
      <c r="H364" s="14"/>
      <c r="I364" s="5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</row>
    <row r="365" spans="1:86" x14ac:dyDescent="0.25">
      <c r="A365" s="12">
        <f t="shared" si="11"/>
        <v>362</v>
      </c>
      <c r="B365" s="4" t="s">
        <v>1195</v>
      </c>
      <c r="C365" s="4" t="s">
        <v>1196</v>
      </c>
      <c r="D365" s="4" t="s">
        <v>45</v>
      </c>
      <c r="E365" s="14"/>
      <c r="F365" s="14"/>
      <c r="G365" s="14"/>
      <c r="H365" s="14"/>
      <c r="I365" s="5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</row>
    <row r="366" spans="1:86" x14ac:dyDescent="0.25">
      <c r="A366" s="12">
        <f t="shared" si="11"/>
        <v>363</v>
      </c>
      <c r="B366" s="4" t="s">
        <v>1197</v>
      </c>
      <c r="C366" s="4" t="s">
        <v>1198</v>
      </c>
      <c r="D366" s="4" t="s">
        <v>45</v>
      </c>
      <c r="E366" s="14"/>
      <c r="F366" s="14"/>
      <c r="G366" s="14"/>
      <c r="H366" s="14"/>
      <c r="I366" s="5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</row>
    <row r="367" spans="1:86" x14ac:dyDescent="0.25">
      <c r="A367" s="12">
        <f t="shared" si="11"/>
        <v>364</v>
      </c>
      <c r="B367" s="4" t="s">
        <v>869</v>
      </c>
      <c r="C367" s="4" t="s">
        <v>870</v>
      </c>
      <c r="D367" s="4" t="s">
        <v>45</v>
      </c>
      <c r="E367" s="14"/>
      <c r="F367" s="14"/>
      <c r="G367" s="14"/>
      <c r="H367" s="14"/>
      <c r="I367" s="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</row>
    <row r="368" spans="1:86" x14ac:dyDescent="0.25">
      <c r="A368" s="12">
        <f t="shared" si="11"/>
        <v>365</v>
      </c>
      <c r="B368" s="4" t="s">
        <v>1199</v>
      </c>
      <c r="C368" s="4" t="s">
        <v>1200</v>
      </c>
      <c r="D368" s="4" t="s">
        <v>45</v>
      </c>
      <c r="E368" s="14"/>
      <c r="F368" s="14"/>
      <c r="G368" s="14"/>
      <c r="H368" s="14"/>
      <c r="I368" s="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</row>
    <row r="369" spans="1:86" x14ac:dyDescent="0.25">
      <c r="A369" s="12">
        <f t="shared" si="11"/>
        <v>366</v>
      </c>
      <c r="B369" s="4" t="s">
        <v>1201</v>
      </c>
      <c r="C369" s="4" t="s">
        <v>1202</v>
      </c>
      <c r="D369" s="4" t="s">
        <v>45</v>
      </c>
      <c r="E369" s="14"/>
      <c r="F369" s="14"/>
      <c r="G369" s="14"/>
      <c r="H369" s="14"/>
      <c r="I369" s="5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</row>
    <row r="370" spans="1:86" x14ac:dyDescent="0.25">
      <c r="A370" s="12">
        <f t="shared" si="11"/>
        <v>367</v>
      </c>
      <c r="B370" s="4" t="s">
        <v>1203</v>
      </c>
      <c r="C370" s="4" t="s">
        <v>757</v>
      </c>
      <c r="D370" s="4" t="s">
        <v>45</v>
      </c>
      <c r="E370" s="14"/>
      <c r="F370" s="14"/>
      <c r="G370" s="14"/>
      <c r="H370" s="14"/>
      <c r="I370" s="5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</row>
    <row r="371" spans="1:86" x14ac:dyDescent="0.25">
      <c r="A371" s="12">
        <f t="shared" si="11"/>
        <v>368</v>
      </c>
      <c r="B371" s="4" t="s">
        <v>1204</v>
      </c>
      <c r="C371" s="4" t="s">
        <v>1205</v>
      </c>
      <c r="D371" s="4" t="s">
        <v>45</v>
      </c>
      <c r="E371" s="14"/>
      <c r="F371" s="14"/>
      <c r="G371" s="14"/>
      <c r="H371" s="14"/>
      <c r="I371" s="5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</row>
    <row r="372" spans="1:86" x14ac:dyDescent="0.25">
      <c r="A372" s="12">
        <f t="shared" si="11"/>
        <v>369</v>
      </c>
      <c r="B372" s="4" t="s">
        <v>1206</v>
      </c>
      <c r="C372" s="4" t="s">
        <v>1207</v>
      </c>
      <c r="D372" s="4" t="s">
        <v>955</v>
      </c>
      <c r="E372" s="14"/>
      <c r="F372" s="14"/>
      <c r="G372" s="14"/>
      <c r="H372" s="14"/>
      <c r="I372" s="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</row>
    <row r="373" spans="1:86" x14ac:dyDescent="0.25">
      <c r="A373" s="12">
        <f t="shared" si="11"/>
        <v>370</v>
      </c>
      <c r="B373" s="4" t="s">
        <v>1208</v>
      </c>
      <c r="C373" s="4" t="s">
        <v>1209</v>
      </c>
      <c r="D373" s="4" t="s">
        <v>87</v>
      </c>
      <c r="E373" s="14"/>
      <c r="F373" s="14"/>
      <c r="G373" s="14"/>
      <c r="H373" s="14"/>
      <c r="I373" s="5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</row>
    <row r="374" spans="1:86" x14ac:dyDescent="0.25">
      <c r="A374" s="12">
        <f t="shared" si="11"/>
        <v>371</v>
      </c>
      <c r="B374" s="4" t="s">
        <v>1210</v>
      </c>
      <c r="C374" s="4" t="s">
        <v>1211</v>
      </c>
      <c r="D374" s="4" t="s">
        <v>1124</v>
      </c>
      <c r="E374" s="14"/>
      <c r="F374" s="14"/>
      <c r="G374" s="14"/>
      <c r="H374" s="14"/>
      <c r="I374" s="5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</row>
    <row r="375" spans="1:86" x14ac:dyDescent="0.25">
      <c r="A375" s="12">
        <f t="shared" si="11"/>
        <v>372</v>
      </c>
      <c r="B375" s="4" t="s">
        <v>1212</v>
      </c>
      <c r="C375" s="4" t="s">
        <v>1213</v>
      </c>
      <c r="D375" s="4" t="s">
        <v>536</v>
      </c>
      <c r="E375" s="14"/>
      <c r="F375" s="14"/>
      <c r="G375" s="14"/>
      <c r="H375" s="14"/>
      <c r="I375" s="5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</row>
    <row r="376" spans="1:86" x14ac:dyDescent="0.25">
      <c r="A376" s="12">
        <f t="shared" si="11"/>
        <v>373</v>
      </c>
      <c r="B376" s="4" t="s">
        <v>1214</v>
      </c>
      <c r="C376" s="4" t="s">
        <v>1215</v>
      </c>
      <c r="D376" s="4" t="s">
        <v>45</v>
      </c>
      <c r="E376" s="14"/>
      <c r="F376" s="14"/>
      <c r="G376" s="14"/>
      <c r="H376" s="14"/>
      <c r="I376" s="5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</row>
    <row r="377" spans="1:86" x14ac:dyDescent="0.25">
      <c r="A377" s="12">
        <f t="shared" si="11"/>
        <v>374</v>
      </c>
      <c r="B377" s="4" t="s">
        <v>1216</v>
      </c>
      <c r="C377" s="4" t="s">
        <v>1217</v>
      </c>
      <c r="D377" s="4" t="s">
        <v>45</v>
      </c>
      <c r="E377" s="14"/>
      <c r="F377" s="14"/>
      <c r="G377" s="14"/>
      <c r="H377" s="14"/>
      <c r="I377" s="5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</row>
    <row r="378" spans="1:86" x14ac:dyDescent="0.25">
      <c r="A378" s="12">
        <f t="shared" si="11"/>
        <v>375</v>
      </c>
      <c r="B378" s="4" t="s">
        <v>978</v>
      </c>
      <c r="C378" s="4" t="s">
        <v>979</v>
      </c>
      <c r="D378" s="4" t="s">
        <v>87</v>
      </c>
      <c r="E378" s="14"/>
      <c r="F378" s="14"/>
      <c r="G378" s="14"/>
      <c r="H378" s="14"/>
      <c r="I378" s="5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</row>
    <row r="379" spans="1:86" x14ac:dyDescent="0.25">
      <c r="A379" s="12">
        <f t="shared" si="11"/>
        <v>376</v>
      </c>
      <c r="B379" s="4" t="s">
        <v>933</v>
      </c>
      <c r="C379" s="4" t="s">
        <v>1218</v>
      </c>
      <c r="D379" s="4" t="s">
        <v>45</v>
      </c>
      <c r="E379" s="14"/>
      <c r="F379" s="14"/>
      <c r="G379" s="14"/>
      <c r="H379" s="14"/>
      <c r="I379" s="5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</row>
    <row r="380" spans="1:86" x14ac:dyDescent="0.25">
      <c r="A380" s="12">
        <f t="shared" si="11"/>
        <v>377</v>
      </c>
      <c r="B380" s="4" t="s">
        <v>980</v>
      </c>
      <c r="C380" s="4" t="s">
        <v>981</v>
      </c>
      <c r="D380" s="4" t="s">
        <v>1126</v>
      </c>
      <c r="E380" s="14"/>
      <c r="F380" s="14"/>
      <c r="G380" s="14"/>
      <c r="H380" s="14"/>
      <c r="I380" s="5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</row>
    <row r="381" spans="1:86" x14ac:dyDescent="0.25">
      <c r="A381" s="12">
        <f t="shared" si="11"/>
        <v>378</v>
      </c>
      <c r="B381" s="4" t="s">
        <v>1219</v>
      </c>
      <c r="C381" s="4" t="s">
        <v>1220</v>
      </c>
      <c r="D381" s="4" t="s">
        <v>45</v>
      </c>
      <c r="E381" s="14"/>
      <c r="F381" s="14"/>
      <c r="G381" s="14"/>
      <c r="H381" s="14"/>
      <c r="I381" s="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</row>
    <row r="382" spans="1:86" x14ac:dyDescent="0.25">
      <c r="A382" s="12">
        <f t="shared" si="11"/>
        <v>379</v>
      </c>
      <c r="B382" s="4" t="s">
        <v>1221</v>
      </c>
      <c r="C382" s="4" t="s">
        <v>1222</v>
      </c>
      <c r="D382" s="4" t="s">
        <v>45</v>
      </c>
      <c r="E382" s="14"/>
      <c r="F382" s="14"/>
      <c r="G382" s="14"/>
      <c r="H382" s="14"/>
      <c r="I382" s="5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</row>
    <row r="383" spans="1:86" x14ac:dyDescent="0.25">
      <c r="A383" s="12">
        <f t="shared" si="11"/>
        <v>380</v>
      </c>
      <c r="B383" s="4" t="s">
        <v>1223</v>
      </c>
      <c r="C383" s="4" t="s">
        <v>752</v>
      </c>
      <c r="D383" s="4" t="s">
        <v>1224</v>
      </c>
      <c r="E383" s="14"/>
      <c r="F383" s="14"/>
      <c r="G383" s="14"/>
      <c r="H383" s="14"/>
      <c r="I383" s="5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</row>
    <row r="384" spans="1:86" x14ac:dyDescent="0.25">
      <c r="A384" s="12">
        <f t="shared" si="11"/>
        <v>381</v>
      </c>
      <c r="B384" s="4" t="s">
        <v>1225</v>
      </c>
      <c r="C384" s="4" t="s">
        <v>1226</v>
      </c>
      <c r="D384" s="4" t="s">
        <v>45</v>
      </c>
      <c r="E384" s="14"/>
      <c r="F384" s="14"/>
      <c r="G384" s="14"/>
      <c r="H384" s="14"/>
      <c r="I384" s="5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</row>
    <row r="385" spans="1:86" x14ac:dyDescent="0.25">
      <c r="A385" s="12">
        <f t="shared" si="11"/>
        <v>382</v>
      </c>
      <c r="B385" s="4" t="s">
        <v>1227</v>
      </c>
      <c r="C385" s="4" t="s">
        <v>1228</v>
      </c>
      <c r="D385" s="4" t="s">
        <v>768</v>
      </c>
      <c r="E385" s="14"/>
      <c r="F385" s="14"/>
      <c r="G385" s="14"/>
      <c r="H385" s="14"/>
      <c r="I385" s="5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</row>
    <row r="386" spans="1:86" x14ac:dyDescent="0.25">
      <c r="A386" s="12">
        <f t="shared" si="11"/>
        <v>383</v>
      </c>
      <c r="B386" s="4" t="s">
        <v>1229</v>
      </c>
      <c r="C386" s="4" t="s">
        <v>1230</v>
      </c>
      <c r="D386" s="4" t="s">
        <v>128</v>
      </c>
      <c r="E386" s="14"/>
      <c r="F386" s="14"/>
      <c r="G386" s="14"/>
      <c r="H386" s="14"/>
      <c r="I386" s="5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</row>
    <row r="387" spans="1:86" x14ac:dyDescent="0.25">
      <c r="A387" s="12">
        <f t="shared" si="11"/>
        <v>384</v>
      </c>
      <c r="B387" s="4" t="s">
        <v>1231</v>
      </c>
      <c r="C387" s="4" t="s">
        <v>1232</v>
      </c>
      <c r="D387" s="4" t="s">
        <v>1124</v>
      </c>
      <c r="E387" s="14"/>
      <c r="F387" s="14"/>
      <c r="G387" s="14"/>
      <c r="H387" s="14"/>
      <c r="I387" s="5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</row>
    <row r="388" spans="1:86" x14ac:dyDescent="0.25">
      <c r="A388" s="12">
        <f t="shared" si="11"/>
        <v>385</v>
      </c>
      <c r="B388" s="4" t="s">
        <v>1233</v>
      </c>
      <c r="C388" s="4" t="s">
        <v>1234</v>
      </c>
      <c r="D388" s="4" t="s">
        <v>45</v>
      </c>
      <c r="E388" s="14"/>
      <c r="F388" s="14"/>
      <c r="G388" s="14"/>
      <c r="H388" s="14"/>
      <c r="I388" s="5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</row>
    <row r="389" spans="1:86" x14ac:dyDescent="0.25">
      <c r="A389" s="12">
        <f t="shared" si="11"/>
        <v>386</v>
      </c>
      <c r="B389" s="4" t="s">
        <v>1235</v>
      </c>
      <c r="C389" s="4" t="s">
        <v>1236</v>
      </c>
      <c r="D389" s="4" t="s">
        <v>45</v>
      </c>
      <c r="E389" s="14"/>
      <c r="F389" s="14"/>
      <c r="G389" s="14"/>
      <c r="H389" s="14"/>
      <c r="I389" s="5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</row>
    <row r="390" spans="1:86" x14ac:dyDescent="0.25">
      <c r="A390" s="12">
        <f t="shared" si="11"/>
        <v>387</v>
      </c>
      <c r="B390" s="4" t="s">
        <v>1237</v>
      </c>
      <c r="C390" s="4" t="s">
        <v>1238</v>
      </c>
      <c r="D390" s="4" t="s">
        <v>1125</v>
      </c>
      <c r="E390" s="14"/>
      <c r="F390" s="14"/>
      <c r="G390" s="14"/>
      <c r="H390" s="14"/>
      <c r="I390" s="5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</row>
    <row r="391" spans="1:86" x14ac:dyDescent="0.25">
      <c r="A391" s="12">
        <f t="shared" si="11"/>
        <v>388</v>
      </c>
      <c r="B391" s="4" t="s">
        <v>1239</v>
      </c>
      <c r="C391" s="4" t="s">
        <v>1240</v>
      </c>
      <c r="D391" s="4" t="s">
        <v>84</v>
      </c>
      <c r="E391" s="14"/>
      <c r="F391" s="14"/>
      <c r="G391" s="14"/>
      <c r="H391" s="14"/>
      <c r="I391" s="5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</row>
    <row r="392" spans="1:86" x14ac:dyDescent="0.25">
      <c r="A392" s="12">
        <f t="shared" si="11"/>
        <v>389</v>
      </c>
      <c r="B392" s="4" t="s">
        <v>1241</v>
      </c>
      <c r="C392" s="4" t="s">
        <v>1242</v>
      </c>
      <c r="D392" s="4" t="s">
        <v>128</v>
      </c>
      <c r="E392" s="14"/>
      <c r="F392" s="14"/>
      <c r="G392" s="14"/>
      <c r="H392" s="14"/>
      <c r="I392" s="5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</row>
    <row r="393" spans="1:86" x14ac:dyDescent="0.25">
      <c r="A393" s="12">
        <f t="shared" si="11"/>
        <v>390</v>
      </c>
      <c r="B393" s="4" t="s">
        <v>1243</v>
      </c>
      <c r="C393" s="4" t="s">
        <v>1244</v>
      </c>
      <c r="D393" s="4" t="s">
        <v>508</v>
      </c>
      <c r="E393" s="14"/>
      <c r="F393" s="14"/>
      <c r="G393" s="14"/>
      <c r="H393" s="14"/>
      <c r="I393" s="5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</row>
    <row r="394" spans="1:86" x14ac:dyDescent="0.25">
      <c r="A394" s="12">
        <f t="shared" ref="A394:A457" si="12">+A393+1</f>
        <v>391</v>
      </c>
      <c r="B394" s="4" t="s">
        <v>1245</v>
      </c>
      <c r="C394" s="4" t="s">
        <v>1246</v>
      </c>
      <c r="D394" s="4" t="s">
        <v>45</v>
      </c>
      <c r="E394" s="4"/>
      <c r="F394" s="14"/>
      <c r="G394" s="14"/>
      <c r="H394" s="14"/>
      <c r="I394" s="5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</row>
    <row r="395" spans="1:86" x14ac:dyDescent="0.25">
      <c r="A395" s="12">
        <f t="shared" si="12"/>
        <v>392</v>
      </c>
      <c r="B395" s="4" t="s">
        <v>1247</v>
      </c>
      <c r="C395" s="4" t="s">
        <v>1248</v>
      </c>
      <c r="D395" s="4" t="s">
        <v>45</v>
      </c>
      <c r="E395" s="4"/>
      <c r="F395" s="14"/>
      <c r="G395" s="14"/>
      <c r="H395" s="14"/>
      <c r="I395" s="5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</row>
    <row r="396" spans="1:86" x14ac:dyDescent="0.25">
      <c r="A396" s="12">
        <f t="shared" si="12"/>
        <v>393</v>
      </c>
      <c r="B396" s="4" t="s">
        <v>1249</v>
      </c>
      <c r="C396" s="4" t="s">
        <v>1250</v>
      </c>
      <c r="D396" s="4" t="s">
        <v>45</v>
      </c>
      <c r="E396" s="4"/>
      <c r="F396" s="14"/>
      <c r="G396" s="14"/>
      <c r="H396" s="14"/>
      <c r="I396" s="5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</row>
    <row r="397" spans="1:86" x14ac:dyDescent="0.25">
      <c r="A397" s="12">
        <f t="shared" si="12"/>
        <v>394</v>
      </c>
      <c r="B397" s="4" t="s">
        <v>1251</v>
      </c>
      <c r="C397" s="4" t="s">
        <v>1252</v>
      </c>
      <c r="D397" s="4" t="s">
        <v>84</v>
      </c>
      <c r="E397" s="4"/>
      <c r="F397" s="14"/>
      <c r="G397" s="14"/>
      <c r="H397" s="14"/>
      <c r="I397" s="5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</row>
    <row r="398" spans="1:86" x14ac:dyDescent="0.25">
      <c r="A398" s="12">
        <f t="shared" si="12"/>
        <v>395</v>
      </c>
      <c r="B398" s="4" t="s">
        <v>1253</v>
      </c>
      <c r="C398" s="4" t="s">
        <v>1254</v>
      </c>
      <c r="D398" s="4" t="s">
        <v>84</v>
      </c>
      <c r="E398" s="4"/>
      <c r="F398" s="14"/>
      <c r="G398" s="14"/>
      <c r="H398" s="14"/>
      <c r="I398" s="5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</row>
    <row r="399" spans="1:86" x14ac:dyDescent="0.25">
      <c r="A399" s="12">
        <f t="shared" si="12"/>
        <v>396</v>
      </c>
      <c r="B399" s="4" t="s">
        <v>1255</v>
      </c>
      <c r="C399" s="4" t="s">
        <v>1256</v>
      </c>
      <c r="D399" s="4" t="s">
        <v>45</v>
      </c>
      <c r="E399" s="4"/>
      <c r="F399" s="14"/>
      <c r="G399" s="14"/>
      <c r="H399" s="14"/>
      <c r="I399" s="5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</row>
    <row r="400" spans="1:86" x14ac:dyDescent="0.25">
      <c r="A400" s="12">
        <f t="shared" si="12"/>
        <v>397</v>
      </c>
      <c r="B400" s="4" t="s">
        <v>1257</v>
      </c>
      <c r="C400" s="4" t="s">
        <v>1258</v>
      </c>
      <c r="D400" s="4" t="s">
        <v>768</v>
      </c>
      <c r="E400" s="4"/>
      <c r="F400" s="14"/>
      <c r="G400" s="14"/>
      <c r="H400" s="14"/>
      <c r="I400" s="5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</row>
    <row r="401" spans="1:86" x14ac:dyDescent="0.25">
      <c r="A401" s="12">
        <f t="shared" si="12"/>
        <v>398</v>
      </c>
      <c r="B401" s="4" t="s">
        <v>1259</v>
      </c>
      <c r="C401" s="4" t="s">
        <v>1260</v>
      </c>
      <c r="D401" s="4" t="s">
        <v>45</v>
      </c>
      <c r="E401" s="4"/>
      <c r="F401" s="14"/>
      <c r="G401" s="14"/>
      <c r="H401" s="14"/>
      <c r="I401" s="5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</row>
    <row r="402" spans="1:86" x14ac:dyDescent="0.25">
      <c r="A402" s="12">
        <f t="shared" si="12"/>
        <v>399</v>
      </c>
      <c r="B402" s="4" t="s">
        <v>1261</v>
      </c>
      <c r="C402" s="4" t="s">
        <v>1262</v>
      </c>
      <c r="D402" s="4" t="s">
        <v>1123</v>
      </c>
      <c r="E402" s="4"/>
      <c r="F402" s="14"/>
      <c r="G402" s="14"/>
      <c r="H402" s="14"/>
      <c r="I402" s="5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</row>
    <row r="403" spans="1:86" x14ac:dyDescent="0.25">
      <c r="A403" s="12">
        <f t="shared" si="12"/>
        <v>400</v>
      </c>
      <c r="B403" s="4" t="s">
        <v>1263</v>
      </c>
      <c r="C403" s="4" t="s">
        <v>1264</v>
      </c>
      <c r="D403" s="4" t="s">
        <v>45</v>
      </c>
      <c r="E403" s="4"/>
      <c r="F403" s="14"/>
      <c r="G403" s="14"/>
      <c r="H403" s="14"/>
      <c r="I403" s="5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</row>
    <row r="404" spans="1:86" x14ac:dyDescent="0.25">
      <c r="A404" s="12">
        <f t="shared" si="12"/>
        <v>401</v>
      </c>
      <c r="B404" s="4" t="s">
        <v>1265</v>
      </c>
      <c r="C404" s="4" t="s">
        <v>1266</v>
      </c>
      <c r="D404" s="4" t="s">
        <v>2576</v>
      </c>
      <c r="E404" s="4"/>
      <c r="F404" s="14"/>
      <c r="G404" s="14"/>
      <c r="H404" s="14"/>
      <c r="I404" s="5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</row>
    <row r="405" spans="1:86" x14ac:dyDescent="0.25">
      <c r="A405" s="12">
        <f t="shared" si="12"/>
        <v>402</v>
      </c>
      <c r="B405" s="4" t="s">
        <v>857</v>
      </c>
      <c r="C405" s="4" t="s">
        <v>1267</v>
      </c>
      <c r="D405" s="4" t="s">
        <v>508</v>
      </c>
      <c r="E405" s="4"/>
      <c r="F405" s="14"/>
      <c r="G405" s="14"/>
      <c r="H405" s="14"/>
      <c r="I405" s="5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</row>
    <row r="406" spans="1:86" x14ac:dyDescent="0.25">
      <c r="A406" s="12">
        <f t="shared" si="12"/>
        <v>403</v>
      </c>
      <c r="B406" s="4" t="s">
        <v>1268</v>
      </c>
      <c r="C406" s="4" t="s">
        <v>1269</v>
      </c>
      <c r="D406" s="4" t="s">
        <v>128</v>
      </c>
      <c r="E406" s="4"/>
      <c r="F406" s="14"/>
      <c r="G406" s="14"/>
      <c r="H406" s="14"/>
      <c r="I406" s="5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</row>
    <row r="407" spans="1:86" x14ac:dyDescent="0.25">
      <c r="A407" s="12">
        <f t="shared" si="12"/>
        <v>404</v>
      </c>
      <c r="B407" s="4" t="s">
        <v>1270</v>
      </c>
      <c r="C407" s="4" t="s">
        <v>1271</v>
      </c>
      <c r="D407" s="4" t="s">
        <v>278</v>
      </c>
      <c r="E407" s="4"/>
      <c r="F407" s="14"/>
      <c r="G407" s="14"/>
      <c r="H407" s="14"/>
      <c r="I407" s="5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</row>
    <row r="408" spans="1:86" x14ac:dyDescent="0.25">
      <c r="A408" s="12">
        <f t="shared" si="12"/>
        <v>405</v>
      </c>
      <c r="B408" s="4" t="s">
        <v>1272</v>
      </c>
      <c r="C408" s="4" t="s">
        <v>1273</v>
      </c>
      <c r="D408" s="4" t="s">
        <v>45</v>
      </c>
      <c r="E408" s="4"/>
      <c r="F408" s="14"/>
      <c r="G408" s="14"/>
      <c r="H408" s="14"/>
      <c r="I408" s="5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</row>
    <row r="409" spans="1:86" x14ac:dyDescent="0.25">
      <c r="A409" s="12">
        <f t="shared" si="12"/>
        <v>406</v>
      </c>
      <c r="B409" s="4" t="s">
        <v>1274</v>
      </c>
      <c r="C409" s="4" t="s">
        <v>1275</v>
      </c>
      <c r="D409" s="4" t="s">
        <v>45</v>
      </c>
      <c r="E409" s="4"/>
      <c r="F409" s="14"/>
      <c r="G409" s="14"/>
      <c r="H409" s="14"/>
      <c r="I409" s="5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</row>
    <row r="410" spans="1:86" x14ac:dyDescent="0.25">
      <c r="A410" s="12">
        <f t="shared" si="12"/>
        <v>407</v>
      </c>
      <c r="B410" s="4" t="s">
        <v>1276</v>
      </c>
      <c r="C410" s="4" t="s">
        <v>1277</v>
      </c>
      <c r="D410" s="4" t="s">
        <v>45</v>
      </c>
      <c r="E410" s="4"/>
      <c r="F410" s="14"/>
      <c r="G410" s="14"/>
      <c r="H410" s="14"/>
      <c r="I410" s="5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</row>
    <row r="411" spans="1:86" x14ac:dyDescent="0.25">
      <c r="A411" s="12">
        <f t="shared" si="12"/>
        <v>408</v>
      </c>
      <c r="B411" s="4" t="s">
        <v>1278</v>
      </c>
      <c r="C411" s="4" t="s">
        <v>1279</v>
      </c>
      <c r="D411" s="4" t="s">
        <v>45</v>
      </c>
      <c r="E411" s="4"/>
      <c r="F411" s="14"/>
      <c r="G411" s="14"/>
      <c r="H411" s="14"/>
      <c r="I411" s="5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</row>
    <row r="412" spans="1:86" x14ac:dyDescent="0.25">
      <c r="A412" s="12">
        <f t="shared" si="12"/>
        <v>409</v>
      </c>
      <c r="B412" s="4" t="s">
        <v>1280</v>
      </c>
      <c r="C412" s="4" t="s">
        <v>1281</v>
      </c>
      <c r="D412" s="4" t="s">
        <v>770</v>
      </c>
      <c r="E412" s="4"/>
      <c r="F412" s="14"/>
      <c r="G412" s="14"/>
      <c r="H412" s="14"/>
      <c r="I412" s="5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</row>
    <row r="413" spans="1:86" x14ac:dyDescent="0.25">
      <c r="A413" s="12">
        <f t="shared" si="12"/>
        <v>410</v>
      </c>
      <c r="B413" s="4" t="s">
        <v>1282</v>
      </c>
      <c r="C413" s="4" t="s">
        <v>1283</v>
      </c>
      <c r="D413" s="4" t="s">
        <v>955</v>
      </c>
      <c r="E413" s="4"/>
      <c r="F413" s="14"/>
      <c r="G413" s="14"/>
      <c r="H413" s="14"/>
      <c r="I413" s="5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</row>
    <row r="414" spans="1:86" x14ac:dyDescent="0.25">
      <c r="A414" s="12">
        <f t="shared" si="12"/>
        <v>411</v>
      </c>
      <c r="B414" s="4" t="s">
        <v>877</v>
      </c>
      <c r="C414" s="4" t="s">
        <v>878</v>
      </c>
      <c r="D414" s="4" t="s">
        <v>45</v>
      </c>
      <c r="E414" s="4"/>
      <c r="F414" s="14"/>
      <c r="G414" s="14"/>
      <c r="H414" s="14"/>
      <c r="I414" s="5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</row>
    <row r="415" spans="1:86" x14ac:dyDescent="0.25">
      <c r="A415" s="12">
        <f t="shared" si="12"/>
        <v>412</v>
      </c>
      <c r="B415" s="4" t="s">
        <v>1284</v>
      </c>
      <c r="C415" s="4" t="s">
        <v>1285</v>
      </c>
      <c r="D415" s="4" t="s">
        <v>1125</v>
      </c>
      <c r="E415" s="4"/>
      <c r="F415" s="14"/>
      <c r="G415" s="14"/>
      <c r="H415" s="14"/>
      <c r="I415" s="5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</row>
    <row r="416" spans="1:86" x14ac:dyDescent="0.25">
      <c r="A416" s="12">
        <f t="shared" si="12"/>
        <v>413</v>
      </c>
      <c r="B416" s="4" t="s">
        <v>1286</v>
      </c>
      <c r="C416" s="4" t="s">
        <v>1287</v>
      </c>
      <c r="D416" s="4" t="s">
        <v>1126</v>
      </c>
      <c r="E416" s="4"/>
      <c r="F416" s="14"/>
      <c r="G416" s="14"/>
      <c r="H416" s="14"/>
      <c r="I416" s="5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</row>
    <row r="417" spans="1:86" x14ac:dyDescent="0.25">
      <c r="A417" s="12">
        <f t="shared" si="12"/>
        <v>414</v>
      </c>
      <c r="B417" s="4" t="s">
        <v>1288</v>
      </c>
      <c r="C417" s="4" t="s">
        <v>1289</v>
      </c>
      <c r="D417" s="4" t="s">
        <v>45</v>
      </c>
      <c r="E417" s="4"/>
      <c r="F417" s="14"/>
      <c r="G417" s="14"/>
      <c r="H417" s="14"/>
      <c r="I417" s="5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</row>
    <row r="418" spans="1:86" x14ac:dyDescent="0.25">
      <c r="A418" s="12">
        <f t="shared" si="12"/>
        <v>415</v>
      </c>
      <c r="B418" s="4" t="s">
        <v>1290</v>
      </c>
      <c r="C418" s="4" t="s">
        <v>1291</v>
      </c>
      <c r="D418" s="4" t="s">
        <v>1130</v>
      </c>
      <c r="E418" s="4"/>
      <c r="F418" s="14"/>
      <c r="G418" s="14"/>
      <c r="H418" s="14"/>
      <c r="I418" s="5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</row>
    <row r="419" spans="1:86" x14ac:dyDescent="0.25">
      <c r="A419" s="12">
        <f t="shared" si="12"/>
        <v>416</v>
      </c>
      <c r="B419" s="4" t="s">
        <v>821</v>
      </c>
      <c r="C419" s="4" t="s">
        <v>822</v>
      </c>
      <c r="D419" s="4" t="s">
        <v>45</v>
      </c>
      <c r="E419" s="4"/>
      <c r="F419" s="14"/>
      <c r="G419" s="14"/>
      <c r="H419" s="14"/>
      <c r="I419" s="5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</row>
    <row r="420" spans="1:86" x14ac:dyDescent="0.25">
      <c r="A420" s="12">
        <f t="shared" si="12"/>
        <v>417</v>
      </c>
      <c r="B420" s="4" t="s">
        <v>1292</v>
      </c>
      <c r="C420" s="4" t="s">
        <v>1293</v>
      </c>
      <c r="D420" s="4" t="s">
        <v>1127</v>
      </c>
      <c r="E420" s="4"/>
      <c r="F420" s="14"/>
      <c r="G420" s="14"/>
      <c r="H420" s="14"/>
      <c r="I420" s="5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</row>
    <row r="421" spans="1:86" x14ac:dyDescent="0.25">
      <c r="A421" s="12">
        <f t="shared" si="12"/>
        <v>418</v>
      </c>
      <c r="B421" s="4" t="s">
        <v>1294</v>
      </c>
      <c r="C421" s="4" t="s">
        <v>1295</v>
      </c>
      <c r="D421" s="4" t="s">
        <v>45</v>
      </c>
      <c r="E421" s="4"/>
      <c r="F421" s="14"/>
      <c r="G421" s="14"/>
      <c r="H421" s="14"/>
      <c r="I421" s="5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</row>
    <row r="422" spans="1:86" x14ac:dyDescent="0.25">
      <c r="A422" s="12">
        <f t="shared" si="12"/>
        <v>419</v>
      </c>
      <c r="B422" s="4" t="s">
        <v>1296</v>
      </c>
      <c r="C422" s="4" t="s">
        <v>1297</v>
      </c>
      <c r="D422" s="4" t="s">
        <v>278</v>
      </c>
      <c r="E422" s="4"/>
      <c r="F422" s="14"/>
      <c r="G422" s="14"/>
      <c r="H422" s="14"/>
      <c r="I422" s="5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</row>
    <row r="423" spans="1:86" x14ac:dyDescent="0.25">
      <c r="A423" s="12">
        <f t="shared" si="12"/>
        <v>420</v>
      </c>
      <c r="B423" s="4" t="s">
        <v>1298</v>
      </c>
      <c r="C423" s="4" t="s">
        <v>1299</v>
      </c>
      <c r="D423" s="4" t="s">
        <v>87</v>
      </c>
      <c r="E423" s="4"/>
      <c r="F423" s="14"/>
      <c r="G423" s="14"/>
      <c r="H423" s="14"/>
      <c r="I423" s="5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</row>
    <row r="424" spans="1:86" x14ac:dyDescent="0.25">
      <c r="A424" s="12">
        <f t="shared" si="12"/>
        <v>421</v>
      </c>
      <c r="B424" s="4" t="s">
        <v>901</v>
      </c>
      <c r="C424" s="4" t="s">
        <v>902</v>
      </c>
      <c r="D424" s="4" t="s">
        <v>768</v>
      </c>
      <c r="E424" s="4"/>
      <c r="F424" s="14"/>
      <c r="G424" s="14"/>
      <c r="H424" s="14"/>
      <c r="I424" s="5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</row>
    <row r="425" spans="1:86" x14ac:dyDescent="0.25">
      <c r="A425" s="12">
        <f t="shared" si="12"/>
        <v>422</v>
      </c>
      <c r="B425" s="4" t="s">
        <v>1300</v>
      </c>
      <c r="C425" s="4" t="s">
        <v>1301</v>
      </c>
      <c r="D425" s="4" t="s">
        <v>45</v>
      </c>
      <c r="E425" s="4"/>
      <c r="F425" s="14"/>
      <c r="G425" s="14"/>
      <c r="H425" s="14"/>
      <c r="I425" s="5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</row>
    <row r="426" spans="1:86" x14ac:dyDescent="0.25">
      <c r="A426" s="12">
        <f t="shared" si="12"/>
        <v>423</v>
      </c>
      <c r="B426" s="4" t="s">
        <v>1302</v>
      </c>
      <c r="C426" s="4" t="s">
        <v>1303</v>
      </c>
      <c r="D426" s="4" t="s">
        <v>1130</v>
      </c>
      <c r="E426" s="4"/>
      <c r="F426" s="14"/>
      <c r="G426" s="14"/>
      <c r="H426" s="14"/>
      <c r="I426" s="5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</row>
    <row r="427" spans="1:86" x14ac:dyDescent="0.25">
      <c r="A427" s="12">
        <f t="shared" si="12"/>
        <v>424</v>
      </c>
      <c r="B427" s="4" t="s">
        <v>1304</v>
      </c>
      <c r="C427" s="4" t="s">
        <v>1305</v>
      </c>
      <c r="D427" s="4" t="s">
        <v>45</v>
      </c>
      <c r="E427" s="4"/>
      <c r="F427" s="14"/>
      <c r="G427" s="14"/>
      <c r="H427" s="14"/>
      <c r="I427" s="5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</row>
    <row r="428" spans="1:86" x14ac:dyDescent="0.25">
      <c r="A428" s="12">
        <f t="shared" si="12"/>
        <v>425</v>
      </c>
      <c r="B428" s="4" t="s">
        <v>1306</v>
      </c>
      <c r="C428" s="4" t="s">
        <v>1307</v>
      </c>
      <c r="D428" s="4" t="s">
        <v>1123</v>
      </c>
      <c r="E428" s="4"/>
      <c r="F428" s="14"/>
      <c r="G428" s="14"/>
      <c r="H428" s="14"/>
      <c r="I428" s="5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</row>
    <row r="429" spans="1:86" x14ac:dyDescent="0.25">
      <c r="A429" s="12">
        <f t="shared" si="12"/>
        <v>426</v>
      </c>
      <c r="B429" s="4" t="s">
        <v>1308</v>
      </c>
      <c r="C429" s="4" t="s">
        <v>1309</v>
      </c>
      <c r="D429" s="4" t="s">
        <v>1124</v>
      </c>
      <c r="E429" s="4"/>
      <c r="F429" s="14"/>
      <c r="G429" s="14"/>
      <c r="H429" s="14"/>
      <c r="I429" s="5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</row>
    <row r="430" spans="1:86" x14ac:dyDescent="0.25">
      <c r="A430" s="12">
        <f t="shared" si="12"/>
        <v>427</v>
      </c>
      <c r="B430" s="4" t="s">
        <v>1310</v>
      </c>
      <c r="C430" s="4" t="s">
        <v>1311</v>
      </c>
      <c r="D430" s="4" t="s">
        <v>45</v>
      </c>
      <c r="E430" s="4"/>
      <c r="F430" s="14"/>
      <c r="G430" s="14"/>
      <c r="H430" s="14"/>
      <c r="I430" s="5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</row>
    <row r="431" spans="1:86" x14ac:dyDescent="0.25">
      <c r="A431" s="12">
        <f t="shared" si="12"/>
        <v>428</v>
      </c>
      <c r="B431" s="4" t="s">
        <v>1312</v>
      </c>
      <c r="C431" s="4" t="s">
        <v>1313</v>
      </c>
      <c r="D431" s="4" t="s">
        <v>1125</v>
      </c>
      <c r="E431" s="4"/>
      <c r="F431" s="14"/>
      <c r="G431" s="14"/>
      <c r="H431" s="14"/>
      <c r="I431" s="5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</row>
    <row r="432" spans="1:86" x14ac:dyDescent="0.25">
      <c r="A432" s="12">
        <f t="shared" si="12"/>
        <v>429</v>
      </c>
      <c r="B432" s="4" t="s">
        <v>1314</v>
      </c>
      <c r="C432" s="4" t="s">
        <v>1315</v>
      </c>
      <c r="D432" s="4" t="s">
        <v>398</v>
      </c>
      <c r="E432" s="4"/>
      <c r="F432" s="14"/>
      <c r="G432" s="14"/>
      <c r="H432" s="14"/>
      <c r="I432" s="5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</row>
    <row r="433" spans="1:86" x14ac:dyDescent="0.25">
      <c r="A433" s="12">
        <f t="shared" si="12"/>
        <v>430</v>
      </c>
      <c r="B433" s="4" t="s">
        <v>1316</v>
      </c>
      <c r="C433" s="4" t="s">
        <v>1317</v>
      </c>
      <c r="D433" s="4" t="s">
        <v>1126</v>
      </c>
      <c r="E433" s="4"/>
      <c r="F433" s="14"/>
      <c r="G433" s="14"/>
      <c r="H433" s="14"/>
      <c r="I433" s="5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</row>
    <row r="434" spans="1:86" x14ac:dyDescent="0.25">
      <c r="A434" s="12">
        <f t="shared" si="12"/>
        <v>431</v>
      </c>
      <c r="B434" s="4" t="s">
        <v>1318</v>
      </c>
      <c r="C434" s="4" t="s">
        <v>1319</v>
      </c>
      <c r="D434" s="4" t="s">
        <v>45</v>
      </c>
      <c r="E434" s="4"/>
      <c r="F434" s="14"/>
      <c r="G434" s="14"/>
      <c r="H434" s="14"/>
      <c r="I434" s="5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</row>
    <row r="435" spans="1:86" x14ac:dyDescent="0.25">
      <c r="A435" s="12">
        <f t="shared" si="12"/>
        <v>432</v>
      </c>
      <c r="B435" s="4" t="s">
        <v>1320</v>
      </c>
      <c r="C435" s="4" t="s">
        <v>1321</v>
      </c>
      <c r="D435" s="4" t="s">
        <v>128</v>
      </c>
      <c r="E435" s="4"/>
      <c r="F435" s="14"/>
      <c r="G435" s="14"/>
      <c r="H435" s="14"/>
      <c r="I435" s="5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</row>
    <row r="436" spans="1:86" x14ac:dyDescent="0.25">
      <c r="A436" s="12">
        <f t="shared" si="12"/>
        <v>433</v>
      </c>
      <c r="B436" s="4" t="s">
        <v>1322</v>
      </c>
      <c r="C436" s="4" t="s">
        <v>1323</v>
      </c>
      <c r="D436" s="4" t="s">
        <v>45</v>
      </c>
      <c r="E436" s="4"/>
      <c r="F436" s="14"/>
      <c r="G436" s="14"/>
      <c r="H436" s="14"/>
      <c r="I436" s="5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</row>
    <row r="437" spans="1:86" x14ac:dyDescent="0.25">
      <c r="A437" s="12">
        <f t="shared" si="12"/>
        <v>434</v>
      </c>
      <c r="B437" s="4" t="s">
        <v>1324</v>
      </c>
      <c r="C437" s="4" t="s">
        <v>1325</v>
      </c>
      <c r="D437" s="4" t="s">
        <v>1130</v>
      </c>
      <c r="E437" s="4"/>
      <c r="F437" s="14"/>
      <c r="G437" s="14"/>
      <c r="H437" s="14"/>
      <c r="I437" s="5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</row>
    <row r="438" spans="1:86" x14ac:dyDescent="0.25">
      <c r="A438" s="12">
        <f t="shared" si="12"/>
        <v>435</v>
      </c>
      <c r="B438" s="4" t="s">
        <v>1326</v>
      </c>
      <c r="C438" s="4" t="s">
        <v>1327</v>
      </c>
      <c r="D438" s="4" t="s">
        <v>1126</v>
      </c>
      <c r="E438" s="4"/>
      <c r="F438" s="14"/>
      <c r="G438" s="14"/>
      <c r="H438" s="14"/>
      <c r="I438" s="5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</row>
    <row r="439" spans="1:86" x14ac:dyDescent="0.25">
      <c r="A439" s="12">
        <f t="shared" si="12"/>
        <v>436</v>
      </c>
      <c r="B439" s="4" t="s">
        <v>844</v>
      </c>
      <c r="C439" s="4" t="s">
        <v>845</v>
      </c>
      <c r="D439" s="4" t="s">
        <v>45</v>
      </c>
      <c r="E439" s="4"/>
      <c r="F439" s="14"/>
      <c r="G439" s="14"/>
      <c r="H439" s="14"/>
      <c r="I439" s="5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</row>
    <row r="440" spans="1:86" x14ac:dyDescent="0.25">
      <c r="A440" s="12">
        <f t="shared" si="12"/>
        <v>437</v>
      </c>
      <c r="B440" s="4" t="s">
        <v>1328</v>
      </c>
      <c r="C440" s="4" t="s">
        <v>1329</v>
      </c>
      <c r="D440" s="4" t="s">
        <v>1130</v>
      </c>
      <c r="E440" s="4"/>
      <c r="F440" s="14"/>
      <c r="G440" s="14"/>
      <c r="H440" s="14"/>
      <c r="I440" s="5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</row>
    <row r="441" spans="1:86" x14ac:dyDescent="0.25">
      <c r="A441" s="12">
        <f t="shared" si="12"/>
        <v>438</v>
      </c>
      <c r="B441" s="4" t="s">
        <v>1330</v>
      </c>
      <c r="C441" s="4" t="s">
        <v>1331</v>
      </c>
      <c r="D441" s="4" t="s">
        <v>45</v>
      </c>
      <c r="E441" s="4"/>
      <c r="F441" s="14"/>
      <c r="G441" s="14"/>
      <c r="H441" s="14"/>
      <c r="I441" s="5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</row>
    <row r="442" spans="1:86" x14ac:dyDescent="0.25">
      <c r="A442" s="12">
        <f t="shared" si="12"/>
        <v>439</v>
      </c>
      <c r="B442" s="4" t="s">
        <v>1332</v>
      </c>
      <c r="C442" s="4" t="s">
        <v>1333</v>
      </c>
      <c r="D442" s="4" t="s">
        <v>45</v>
      </c>
      <c r="E442" s="4"/>
      <c r="F442" s="14"/>
      <c r="G442" s="14"/>
      <c r="H442" s="14"/>
      <c r="I442" s="5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</row>
    <row r="443" spans="1:86" x14ac:dyDescent="0.25">
      <c r="A443" s="12">
        <f t="shared" si="12"/>
        <v>440</v>
      </c>
      <c r="B443" s="4" t="s">
        <v>1334</v>
      </c>
      <c r="C443" s="4" t="s">
        <v>1335</v>
      </c>
      <c r="D443" s="4" t="s">
        <v>1130</v>
      </c>
      <c r="E443" s="4"/>
      <c r="F443" s="14"/>
      <c r="G443" s="14"/>
      <c r="H443" s="14"/>
      <c r="I443" s="5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</row>
    <row r="444" spans="1:86" x14ac:dyDescent="0.25">
      <c r="A444" s="12">
        <f t="shared" si="12"/>
        <v>441</v>
      </c>
      <c r="B444" s="4" t="s">
        <v>1336</v>
      </c>
      <c r="C444" s="4" t="s">
        <v>1337</v>
      </c>
      <c r="D444" s="4" t="s">
        <v>508</v>
      </c>
      <c r="E444" s="4"/>
      <c r="F444" s="14"/>
      <c r="G444" s="14"/>
      <c r="H444" s="14"/>
      <c r="I444" s="5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</row>
    <row r="445" spans="1:86" x14ac:dyDescent="0.25">
      <c r="A445" s="12">
        <f t="shared" si="12"/>
        <v>442</v>
      </c>
      <c r="B445" s="4" t="s">
        <v>1338</v>
      </c>
      <c r="C445" s="4" t="s">
        <v>1339</v>
      </c>
      <c r="D445" s="4" t="s">
        <v>45</v>
      </c>
      <c r="E445" s="4"/>
      <c r="F445" s="14"/>
      <c r="G445" s="14"/>
      <c r="H445" s="14"/>
      <c r="I445" s="5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</row>
    <row r="446" spans="1:86" x14ac:dyDescent="0.25">
      <c r="A446" s="12">
        <f t="shared" si="12"/>
        <v>443</v>
      </c>
      <c r="B446" s="4" t="s">
        <v>1340</v>
      </c>
      <c r="C446" s="4" t="s">
        <v>1341</v>
      </c>
      <c r="D446" s="4" t="s">
        <v>45</v>
      </c>
      <c r="E446" s="4"/>
      <c r="F446" s="14"/>
      <c r="G446" s="14"/>
      <c r="H446" s="14"/>
      <c r="I446" s="5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</row>
    <row r="447" spans="1:86" x14ac:dyDescent="0.25">
      <c r="A447" s="12">
        <f t="shared" si="12"/>
        <v>444</v>
      </c>
      <c r="B447" s="4" t="s">
        <v>1342</v>
      </c>
      <c r="C447" s="4" t="s">
        <v>1343</v>
      </c>
      <c r="D447" s="4" t="s">
        <v>1126</v>
      </c>
      <c r="E447" s="4"/>
      <c r="F447" s="14"/>
      <c r="G447" s="14"/>
      <c r="H447" s="14"/>
      <c r="I447" s="5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</row>
    <row r="448" spans="1:86" x14ac:dyDescent="0.25">
      <c r="A448" s="12">
        <f t="shared" si="12"/>
        <v>445</v>
      </c>
      <c r="B448" s="4" t="s">
        <v>1344</v>
      </c>
      <c r="C448" s="4" t="s">
        <v>1345</v>
      </c>
      <c r="D448" s="4" t="s">
        <v>768</v>
      </c>
      <c r="E448" s="4"/>
      <c r="F448" s="14"/>
      <c r="G448" s="14"/>
      <c r="H448" s="14"/>
      <c r="I448" s="5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</row>
    <row r="449" spans="1:86" x14ac:dyDescent="0.25">
      <c r="A449" s="12">
        <f t="shared" si="12"/>
        <v>446</v>
      </c>
      <c r="B449" s="4" t="s">
        <v>1346</v>
      </c>
      <c r="C449" s="4" t="s">
        <v>1347</v>
      </c>
      <c r="D449" s="4" t="s">
        <v>2571</v>
      </c>
      <c r="E449" s="4"/>
      <c r="F449" s="14"/>
      <c r="G449" s="14"/>
      <c r="H449" s="14"/>
      <c r="I449" s="5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</row>
    <row r="450" spans="1:86" x14ac:dyDescent="0.25">
      <c r="A450" s="12">
        <f t="shared" si="12"/>
        <v>447</v>
      </c>
      <c r="B450" s="4" t="s">
        <v>1348</v>
      </c>
      <c r="C450" s="4" t="s">
        <v>1349</v>
      </c>
      <c r="D450" s="4" t="s">
        <v>45</v>
      </c>
      <c r="E450" s="4"/>
      <c r="F450" s="14"/>
      <c r="G450" s="14"/>
      <c r="H450" s="14"/>
      <c r="I450" s="5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</row>
    <row r="451" spans="1:86" x14ac:dyDescent="0.25">
      <c r="A451" s="12">
        <f t="shared" si="12"/>
        <v>448</v>
      </c>
      <c r="B451" s="4" t="s">
        <v>1350</v>
      </c>
      <c r="C451" s="4" t="s">
        <v>1351</v>
      </c>
      <c r="D451" s="4" t="s">
        <v>45</v>
      </c>
      <c r="E451" s="4"/>
      <c r="F451" s="14"/>
      <c r="G451" s="14"/>
      <c r="H451" s="14"/>
      <c r="I451" s="5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</row>
    <row r="452" spans="1:86" x14ac:dyDescent="0.25">
      <c r="A452" s="12">
        <f t="shared" si="12"/>
        <v>449</v>
      </c>
      <c r="B452" s="4" t="s">
        <v>1352</v>
      </c>
      <c r="C452" s="4" t="s">
        <v>1353</v>
      </c>
      <c r="D452" s="4" t="s">
        <v>2577</v>
      </c>
      <c r="E452" s="4"/>
      <c r="F452" s="14"/>
      <c r="G452" s="14"/>
      <c r="H452" s="14"/>
      <c r="I452" s="5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</row>
    <row r="453" spans="1:86" x14ac:dyDescent="0.25">
      <c r="A453" s="12">
        <f t="shared" si="12"/>
        <v>450</v>
      </c>
      <c r="B453" s="4" t="s">
        <v>1354</v>
      </c>
      <c r="C453" s="4" t="s">
        <v>1355</v>
      </c>
      <c r="D453" s="4" t="s">
        <v>768</v>
      </c>
      <c r="E453" s="4"/>
      <c r="F453" s="14"/>
      <c r="G453" s="14"/>
      <c r="H453" s="14"/>
      <c r="I453" s="5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</row>
    <row r="454" spans="1:86" x14ac:dyDescent="0.25">
      <c r="A454" s="12">
        <f t="shared" si="12"/>
        <v>451</v>
      </c>
      <c r="B454" s="4" t="s">
        <v>1356</v>
      </c>
      <c r="C454" s="4" t="s">
        <v>1357</v>
      </c>
      <c r="D454" s="4" t="s">
        <v>278</v>
      </c>
      <c r="E454" s="4"/>
      <c r="F454" s="14"/>
      <c r="G454" s="14"/>
      <c r="H454" s="14"/>
      <c r="I454" s="5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</row>
    <row r="455" spans="1:86" x14ac:dyDescent="0.25">
      <c r="A455" s="12">
        <f t="shared" si="12"/>
        <v>452</v>
      </c>
      <c r="B455" s="4" t="s">
        <v>1358</v>
      </c>
      <c r="C455" s="4" t="s">
        <v>1359</v>
      </c>
      <c r="D455" s="4" t="s">
        <v>101</v>
      </c>
      <c r="E455" s="4"/>
      <c r="F455" s="14"/>
      <c r="G455" s="14"/>
      <c r="H455" s="14"/>
      <c r="I455" s="5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</row>
    <row r="456" spans="1:86" x14ac:dyDescent="0.25">
      <c r="A456" s="12">
        <f t="shared" si="12"/>
        <v>453</v>
      </c>
      <c r="B456" s="4" t="s">
        <v>1360</v>
      </c>
      <c r="C456" s="4" t="s">
        <v>1361</v>
      </c>
      <c r="D456" s="4" t="s">
        <v>1129</v>
      </c>
      <c r="E456" s="4"/>
      <c r="F456" s="14"/>
      <c r="G456" s="14"/>
      <c r="H456" s="14"/>
      <c r="I456" s="5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</row>
    <row r="457" spans="1:86" x14ac:dyDescent="0.25">
      <c r="A457" s="12">
        <f t="shared" si="12"/>
        <v>454</v>
      </c>
      <c r="B457" s="4" t="s">
        <v>1362</v>
      </c>
      <c r="C457" s="4" t="s">
        <v>1363</v>
      </c>
      <c r="D457" s="4" t="s">
        <v>1130</v>
      </c>
      <c r="E457" s="4"/>
      <c r="F457" s="14"/>
      <c r="G457" s="14"/>
      <c r="H457" s="14"/>
      <c r="I457" s="5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</row>
    <row r="458" spans="1:86" x14ac:dyDescent="0.25">
      <c r="A458" s="12">
        <f t="shared" ref="A458:A521" si="13">+A457+1</f>
        <v>455</v>
      </c>
      <c r="B458" s="4" t="s">
        <v>1364</v>
      </c>
      <c r="C458" s="4" t="s">
        <v>1365</v>
      </c>
      <c r="D458" s="4" t="s">
        <v>161</v>
      </c>
      <c r="E458" s="4"/>
      <c r="F458" s="14"/>
      <c r="G458" s="14"/>
      <c r="H458" s="14"/>
      <c r="I458" s="5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</row>
    <row r="459" spans="1:86" x14ac:dyDescent="0.25">
      <c r="A459" s="12">
        <f t="shared" si="13"/>
        <v>456</v>
      </c>
      <c r="B459" s="4" t="s">
        <v>1366</v>
      </c>
      <c r="C459" s="4" t="s">
        <v>1367</v>
      </c>
      <c r="D459" s="4" t="s">
        <v>45</v>
      </c>
      <c r="E459" s="4"/>
      <c r="F459" s="14"/>
      <c r="G459" s="14"/>
      <c r="H459" s="14"/>
      <c r="I459" s="5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</row>
    <row r="460" spans="1:86" x14ac:dyDescent="0.25">
      <c r="A460" s="12">
        <f t="shared" si="13"/>
        <v>457</v>
      </c>
      <c r="B460" s="4" t="s">
        <v>1368</v>
      </c>
      <c r="C460" s="4" t="s">
        <v>1369</v>
      </c>
      <c r="D460" s="4" t="s">
        <v>45</v>
      </c>
      <c r="E460" s="4"/>
      <c r="F460" s="14"/>
      <c r="G460" s="14"/>
      <c r="H460" s="14"/>
      <c r="I460" s="5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</row>
    <row r="461" spans="1:86" x14ac:dyDescent="0.25">
      <c r="A461" s="12">
        <f t="shared" si="13"/>
        <v>458</v>
      </c>
      <c r="B461" s="4" t="s">
        <v>1370</v>
      </c>
      <c r="C461" s="4" t="s">
        <v>1371</v>
      </c>
      <c r="D461" s="4" t="s">
        <v>87</v>
      </c>
      <c r="E461" s="4"/>
      <c r="F461" s="14"/>
      <c r="G461" s="14"/>
      <c r="H461" s="14"/>
      <c r="I461" s="5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</row>
    <row r="462" spans="1:86" x14ac:dyDescent="0.25">
      <c r="A462" s="12">
        <f t="shared" si="13"/>
        <v>459</v>
      </c>
      <c r="B462" s="4" t="s">
        <v>1372</v>
      </c>
      <c r="C462" s="4" t="s">
        <v>1373</v>
      </c>
      <c r="D462" s="4" t="s">
        <v>45</v>
      </c>
      <c r="E462" s="4"/>
      <c r="F462" s="14"/>
      <c r="G462" s="14"/>
      <c r="H462" s="14"/>
      <c r="I462" s="5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</row>
    <row r="463" spans="1:86" x14ac:dyDescent="0.25">
      <c r="A463" s="12">
        <f t="shared" si="13"/>
        <v>460</v>
      </c>
      <c r="B463" s="4" t="s">
        <v>1374</v>
      </c>
      <c r="C463" s="4" t="s">
        <v>1375</v>
      </c>
      <c r="D463" s="4" t="s">
        <v>45</v>
      </c>
      <c r="E463" s="4"/>
      <c r="F463" s="14"/>
      <c r="G463" s="14"/>
      <c r="H463" s="14"/>
      <c r="I463" s="5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</row>
    <row r="464" spans="1:86" x14ac:dyDescent="0.25">
      <c r="A464" s="12">
        <f t="shared" si="13"/>
        <v>461</v>
      </c>
      <c r="B464" s="4" t="s">
        <v>1376</v>
      </c>
      <c r="C464" s="4" t="s">
        <v>1377</v>
      </c>
      <c r="D464" s="4" t="s">
        <v>45</v>
      </c>
      <c r="E464" s="4"/>
      <c r="F464" s="14"/>
      <c r="G464" s="14"/>
      <c r="H464" s="14"/>
      <c r="I464" s="5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</row>
    <row r="465" spans="1:86" x14ac:dyDescent="0.25">
      <c r="A465" s="12">
        <f t="shared" si="13"/>
        <v>462</v>
      </c>
      <c r="B465" s="4" t="s">
        <v>1378</v>
      </c>
      <c r="C465" s="4" t="s">
        <v>1379</v>
      </c>
      <c r="D465" s="4" t="s">
        <v>45</v>
      </c>
      <c r="E465" s="4"/>
      <c r="F465" s="14"/>
      <c r="G465" s="14"/>
      <c r="H465" s="14"/>
      <c r="I465" s="5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</row>
    <row r="466" spans="1:86" x14ac:dyDescent="0.25">
      <c r="A466" s="12">
        <f t="shared" si="13"/>
        <v>463</v>
      </c>
      <c r="B466" s="4" t="s">
        <v>1380</v>
      </c>
      <c r="C466" s="4" t="s">
        <v>1381</v>
      </c>
      <c r="D466" s="4" t="s">
        <v>84</v>
      </c>
      <c r="E466" s="4"/>
      <c r="F466" s="14"/>
      <c r="G466" s="14"/>
      <c r="H466" s="14"/>
      <c r="I466" s="5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</row>
    <row r="467" spans="1:86" x14ac:dyDescent="0.25">
      <c r="A467" s="12">
        <f t="shared" si="13"/>
        <v>464</v>
      </c>
      <c r="B467" s="4" t="s">
        <v>1382</v>
      </c>
      <c r="C467" s="4" t="s">
        <v>1383</v>
      </c>
      <c r="D467" s="4" t="s">
        <v>87</v>
      </c>
      <c r="E467" s="4"/>
      <c r="F467" s="14"/>
      <c r="G467" s="14"/>
      <c r="H467" s="14"/>
      <c r="I467" s="5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</row>
    <row r="468" spans="1:86" x14ac:dyDescent="0.25">
      <c r="A468" s="12">
        <f t="shared" si="13"/>
        <v>465</v>
      </c>
      <c r="B468" s="4" t="s">
        <v>1384</v>
      </c>
      <c r="C468" s="4" t="s">
        <v>1385</v>
      </c>
      <c r="D468" s="4" t="s">
        <v>87</v>
      </c>
      <c r="E468" s="4"/>
      <c r="F468" s="14"/>
      <c r="G468" s="14"/>
      <c r="H468" s="14"/>
      <c r="I468" s="5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</row>
    <row r="469" spans="1:86" x14ac:dyDescent="0.25">
      <c r="A469" s="12">
        <f t="shared" si="13"/>
        <v>466</v>
      </c>
      <c r="B469" s="4" t="s">
        <v>1386</v>
      </c>
      <c r="C469" s="4" t="s">
        <v>1387</v>
      </c>
      <c r="D469" s="4" t="s">
        <v>84</v>
      </c>
      <c r="E469" s="4"/>
      <c r="F469" s="14"/>
      <c r="G469" s="14"/>
      <c r="H469" s="14"/>
      <c r="I469" s="5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</row>
    <row r="470" spans="1:86" x14ac:dyDescent="0.25">
      <c r="A470" s="12">
        <f t="shared" si="13"/>
        <v>467</v>
      </c>
      <c r="B470" s="4" t="s">
        <v>1388</v>
      </c>
      <c r="C470" s="4" t="s">
        <v>1389</v>
      </c>
      <c r="D470" s="4" t="s">
        <v>128</v>
      </c>
      <c r="E470" s="4"/>
      <c r="F470" s="14"/>
      <c r="G470" s="14"/>
      <c r="H470" s="14"/>
      <c r="I470" s="5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</row>
    <row r="471" spans="1:86" x14ac:dyDescent="0.25">
      <c r="A471" s="12">
        <f t="shared" si="13"/>
        <v>468</v>
      </c>
      <c r="B471" s="4" t="s">
        <v>1390</v>
      </c>
      <c r="C471" s="4" t="s">
        <v>1391</v>
      </c>
      <c r="D471" s="4" t="s">
        <v>87</v>
      </c>
      <c r="E471" s="4"/>
      <c r="F471" s="14"/>
      <c r="G471" s="14"/>
      <c r="H471" s="14"/>
      <c r="I471" s="5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</row>
    <row r="472" spans="1:86" x14ac:dyDescent="0.25">
      <c r="A472" s="12">
        <f t="shared" si="13"/>
        <v>469</v>
      </c>
      <c r="B472" s="4" t="s">
        <v>1392</v>
      </c>
      <c r="C472" s="4" t="s">
        <v>1393</v>
      </c>
      <c r="D472" s="4" t="s">
        <v>161</v>
      </c>
      <c r="E472" s="4"/>
      <c r="F472" s="14"/>
      <c r="G472" s="14"/>
      <c r="H472" s="14"/>
      <c r="I472" s="5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</row>
    <row r="473" spans="1:86" x14ac:dyDescent="0.25">
      <c r="A473" s="12">
        <f t="shared" si="13"/>
        <v>470</v>
      </c>
      <c r="B473" s="4" t="s">
        <v>982</v>
      </c>
      <c r="C473" s="4" t="s">
        <v>983</v>
      </c>
      <c r="D473" s="4" t="s">
        <v>770</v>
      </c>
      <c r="E473" s="4"/>
      <c r="F473" s="14"/>
      <c r="G473" s="14"/>
      <c r="H473" s="14"/>
      <c r="I473" s="5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</row>
    <row r="474" spans="1:86" x14ac:dyDescent="0.25">
      <c r="A474" s="12">
        <f t="shared" si="13"/>
        <v>471</v>
      </c>
      <c r="B474" s="4" t="s">
        <v>1394</v>
      </c>
      <c r="C474" s="4" t="s">
        <v>1395</v>
      </c>
      <c r="D474" s="4" t="s">
        <v>45</v>
      </c>
      <c r="E474" s="4"/>
      <c r="F474" s="14"/>
      <c r="G474" s="14"/>
      <c r="H474" s="14"/>
      <c r="I474" s="5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</row>
    <row r="475" spans="1:86" x14ac:dyDescent="0.25">
      <c r="A475" s="12">
        <f t="shared" si="13"/>
        <v>472</v>
      </c>
      <c r="B475" s="4" t="s">
        <v>1396</v>
      </c>
      <c r="C475" s="4" t="s">
        <v>1397</v>
      </c>
      <c r="D475" s="4" t="s">
        <v>45</v>
      </c>
      <c r="E475" s="4"/>
      <c r="F475" s="14"/>
      <c r="G475" s="14"/>
      <c r="H475" s="14"/>
      <c r="I475" s="5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</row>
    <row r="476" spans="1:86" x14ac:dyDescent="0.25">
      <c r="A476" s="12">
        <f t="shared" si="13"/>
        <v>473</v>
      </c>
      <c r="B476" s="4" t="s">
        <v>1398</v>
      </c>
      <c r="C476" s="4" t="s">
        <v>1399</v>
      </c>
      <c r="D476" s="4" t="s">
        <v>45</v>
      </c>
      <c r="E476" s="4"/>
      <c r="F476" s="14"/>
      <c r="G476" s="14"/>
      <c r="H476" s="14"/>
      <c r="I476" s="5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</row>
    <row r="477" spans="1:86" x14ac:dyDescent="0.25">
      <c r="A477" s="12">
        <f t="shared" si="13"/>
        <v>474</v>
      </c>
      <c r="B477" s="4" t="s">
        <v>1400</v>
      </c>
      <c r="C477" s="4" t="s">
        <v>1401</v>
      </c>
      <c r="D477" s="4" t="s">
        <v>1125</v>
      </c>
      <c r="E477" s="4"/>
      <c r="F477" s="14"/>
      <c r="G477" s="14"/>
      <c r="H477" s="14"/>
      <c r="I477" s="5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</row>
    <row r="478" spans="1:86" x14ac:dyDescent="0.25">
      <c r="A478" s="12">
        <f t="shared" si="13"/>
        <v>475</v>
      </c>
      <c r="B478" s="4" t="s">
        <v>1402</v>
      </c>
      <c r="C478" s="4" t="s">
        <v>1403</v>
      </c>
      <c r="D478" s="4" t="s">
        <v>45</v>
      </c>
      <c r="E478" s="4"/>
      <c r="F478" s="14"/>
      <c r="G478" s="14"/>
      <c r="H478" s="14"/>
      <c r="I478" s="5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</row>
    <row r="479" spans="1:86" x14ac:dyDescent="0.25">
      <c r="A479" s="12">
        <f t="shared" si="13"/>
        <v>476</v>
      </c>
      <c r="B479" s="4" t="s">
        <v>1404</v>
      </c>
      <c r="C479" s="4" t="s">
        <v>1405</v>
      </c>
      <c r="D479" s="4" t="s">
        <v>45</v>
      </c>
      <c r="E479" s="4"/>
      <c r="F479" s="14"/>
      <c r="G479" s="14"/>
      <c r="H479" s="14"/>
      <c r="I479" s="5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</row>
    <row r="480" spans="1:86" x14ac:dyDescent="0.25">
      <c r="A480" s="12">
        <f t="shared" si="13"/>
        <v>477</v>
      </c>
      <c r="B480" s="4" t="s">
        <v>984</v>
      </c>
      <c r="C480" s="4" t="s">
        <v>985</v>
      </c>
      <c r="D480" s="4" t="s">
        <v>45</v>
      </c>
      <c r="E480" s="4"/>
      <c r="F480" s="14"/>
      <c r="G480" s="14"/>
      <c r="H480" s="14"/>
      <c r="I480" s="5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</row>
    <row r="481" spans="1:86" x14ac:dyDescent="0.25">
      <c r="A481" s="12">
        <f t="shared" si="13"/>
        <v>478</v>
      </c>
      <c r="B481" s="4" t="s">
        <v>1406</v>
      </c>
      <c r="C481" s="4" t="s">
        <v>1407</v>
      </c>
      <c r="D481" s="4" t="s">
        <v>186</v>
      </c>
      <c r="E481" s="4"/>
      <c r="F481" s="14"/>
      <c r="G481" s="14"/>
      <c r="H481" s="14"/>
      <c r="I481" s="5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</row>
    <row r="482" spans="1:86" x14ac:dyDescent="0.25">
      <c r="A482" s="12">
        <f t="shared" si="13"/>
        <v>479</v>
      </c>
      <c r="B482" s="4" t="s">
        <v>1408</v>
      </c>
      <c r="C482" s="4" t="s">
        <v>1409</v>
      </c>
      <c r="D482" s="4" t="s">
        <v>45</v>
      </c>
      <c r="E482" s="4"/>
      <c r="F482" s="14"/>
      <c r="G482" s="14"/>
      <c r="H482" s="14"/>
      <c r="I482" s="5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</row>
    <row r="483" spans="1:86" x14ac:dyDescent="0.25">
      <c r="A483" s="12">
        <f t="shared" si="13"/>
        <v>480</v>
      </c>
      <c r="B483" s="4" t="s">
        <v>1410</v>
      </c>
      <c r="C483" s="4" t="s">
        <v>1411</v>
      </c>
      <c r="D483" s="4" t="s">
        <v>161</v>
      </c>
      <c r="E483" s="4"/>
      <c r="F483" s="14"/>
      <c r="G483" s="14"/>
      <c r="H483" s="14"/>
      <c r="I483" s="5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</row>
    <row r="484" spans="1:86" x14ac:dyDescent="0.25">
      <c r="A484" s="12">
        <f t="shared" si="13"/>
        <v>481</v>
      </c>
      <c r="B484" s="4" t="s">
        <v>1412</v>
      </c>
      <c r="C484" s="4" t="s">
        <v>1413</v>
      </c>
      <c r="D484" s="4" t="s">
        <v>45</v>
      </c>
      <c r="E484" s="4"/>
      <c r="F484" s="14"/>
      <c r="G484" s="14"/>
      <c r="H484" s="14"/>
      <c r="I484" s="5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</row>
    <row r="485" spans="1:86" x14ac:dyDescent="0.25">
      <c r="A485" s="12">
        <f t="shared" si="13"/>
        <v>482</v>
      </c>
      <c r="B485" s="4" t="s">
        <v>1414</v>
      </c>
      <c r="C485" s="4" t="s">
        <v>1415</v>
      </c>
      <c r="D485" s="4" t="s">
        <v>45</v>
      </c>
      <c r="E485" s="4"/>
      <c r="F485" s="14"/>
      <c r="G485" s="14"/>
      <c r="H485" s="14"/>
      <c r="I485" s="5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</row>
    <row r="486" spans="1:86" x14ac:dyDescent="0.25">
      <c r="A486" s="12">
        <f t="shared" si="13"/>
        <v>483</v>
      </c>
      <c r="B486" s="4" t="s">
        <v>1416</v>
      </c>
      <c r="C486" s="4" t="s">
        <v>1417</v>
      </c>
      <c r="D486" s="4" t="s">
        <v>45</v>
      </c>
      <c r="E486" s="4"/>
      <c r="F486" s="14"/>
      <c r="G486" s="14"/>
      <c r="H486" s="14"/>
      <c r="I486" s="5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</row>
    <row r="487" spans="1:86" x14ac:dyDescent="0.25">
      <c r="A487" s="12">
        <f t="shared" si="13"/>
        <v>484</v>
      </c>
      <c r="B487" s="4" t="s">
        <v>1418</v>
      </c>
      <c r="C487" s="4" t="s">
        <v>1419</v>
      </c>
      <c r="D487" s="4" t="s">
        <v>1130</v>
      </c>
      <c r="E487" s="4"/>
      <c r="F487" s="14"/>
      <c r="G487" s="14"/>
      <c r="H487" s="14"/>
      <c r="I487" s="5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</row>
    <row r="488" spans="1:86" x14ac:dyDescent="0.25">
      <c r="A488" s="12">
        <f t="shared" si="13"/>
        <v>485</v>
      </c>
      <c r="B488" s="4" t="s">
        <v>1420</v>
      </c>
      <c r="C488" s="4" t="s">
        <v>1421</v>
      </c>
      <c r="D488" s="4" t="s">
        <v>508</v>
      </c>
      <c r="E488" s="4"/>
      <c r="F488" s="14"/>
      <c r="G488" s="14"/>
      <c r="H488" s="14"/>
      <c r="I488" s="5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</row>
    <row r="489" spans="1:86" x14ac:dyDescent="0.25">
      <c r="A489" s="12">
        <f t="shared" si="13"/>
        <v>486</v>
      </c>
      <c r="B489" s="4" t="s">
        <v>1422</v>
      </c>
      <c r="C489" s="4" t="s">
        <v>1423</v>
      </c>
      <c r="D489" s="4" t="s">
        <v>955</v>
      </c>
      <c r="E489" s="4"/>
      <c r="F489" s="14"/>
      <c r="G489" s="14"/>
      <c r="H489" s="14"/>
      <c r="I489" s="5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</row>
    <row r="490" spans="1:86" x14ac:dyDescent="0.25">
      <c r="A490" s="12">
        <f t="shared" si="13"/>
        <v>487</v>
      </c>
      <c r="B490" s="4" t="s">
        <v>1424</v>
      </c>
      <c r="C490" s="4" t="s">
        <v>1425</v>
      </c>
      <c r="D490" s="4" t="s">
        <v>768</v>
      </c>
      <c r="E490" s="4"/>
      <c r="F490" s="14"/>
      <c r="G490" s="14"/>
      <c r="H490" s="14"/>
      <c r="I490" s="5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</row>
    <row r="491" spans="1:86" x14ac:dyDescent="0.25">
      <c r="A491" s="12">
        <f t="shared" si="13"/>
        <v>488</v>
      </c>
      <c r="B491" s="4" t="s">
        <v>1426</v>
      </c>
      <c r="C491" s="4" t="s">
        <v>1427</v>
      </c>
      <c r="D491" s="4" t="s">
        <v>1124</v>
      </c>
      <c r="E491" s="4"/>
      <c r="F491" s="14"/>
      <c r="G491" s="14"/>
      <c r="H491" s="14"/>
      <c r="I491" s="5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</row>
    <row r="492" spans="1:86" x14ac:dyDescent="0.25">
      <c r="A492" s="12">
        <f t="shared" si="13"/>
        <v>489</v>
      </c>
      <c r="B492" s="4" t="s">
        <v>1428</v>
      </c>
      <c r="C492" s="4" t="s">
        <v>1429</v>
      </c>
      <c r="D492" s="4" t="s">
        <v>1125</v>
      </c>
      <c r="E492" s="4"/>
      <c r="F492" s="14"/>
      <c r="G492" s="14"/>
      <c r="H492" s="14"/>
      <c r="I492" s="5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</row>
    <row r="493" spans="1:86" x14ac:dyDescent="0.25">
      <c r="A493" s="12">
        <f t="shared" si="13"/>
        <v>490</v>
      </c>
      <c r="B493" s="4" t="s">
        <v>1430</v>
      </c>
      <c r="C493" s="4" t="s">
        <v>1431</v>
      </c>
      <c r="D493" s="4" t="s">
        <v>508</v>
      </c>
      <c r="E493" s="4"/>
      <c r="F493" s="14"/>
      <c r="G493" s="14"/>
      <c r="H493" s="14"/>
      <c r="I493" s="5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</row>
    <row r="494" spans="1:86" x14ac:dyDescent="0.25">
      <c r="A494" s="12">
        <f t="shared" si="13"/>
        <v>491</v>
      </c>
      <c r="B494" s="4" t="s">
        <v>1432</v>
      </c>
      <c r="C494" s="4" t="s">
        <v>1433</v>
      </c>
      <c r="D494" s="4" t="s">
        <v>508</v>
      </c>
      <c r="E494" s="4"/>
      <c r="F494" s="14"/>
      <c r="G494" s="14"/>
      <c r="H494" s="14"/>
      <c r="I494" s="5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</row>
    <row r="495" spans="1:86" x14ac:dyDescent="0.25">
      <c r="A495" s="12">
        <f t="shared" si="13"/>
        <v>492</v>
      </c>
      <c r="B495" s="4" t="s">
        <v>1434</v>
      </c>
      <c r="C495" s="4" t="s">
        <v>1435</v>
      </c>
      <c r="D495" s="4" t="s">
        <v>508</v>
      </c>
      <c r="E495" s="4"/>
      <c r="F495" s="14"/>
      <c r="G495" s="14"/>
      <c r="H495" s="14"/>
      <c r="I495" s="5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</row>
    <row r="496" spans="1:86" x14ac:dyDescent="0.25">
      <c r="A496" s="12">
        <f t="shared" si="13"/>
        <v>493</v>
      </c>
      <c r="B496" s="4" t="s">
        <v>1436</v>
      </c>
      <c r="C496" s="4" t="s">
        <v>1437</v>
      </c>
      <c r="D496" s="4" t="s">
        <v>398</v>
      </c>
      <c r="E496" s="4"/>
      <c r="F496" s="14"/>
      <c r="G496" s="14"/>
      <c r="H496" s="14"/>
      <c r="I496" s="5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</row>
    <row r="497" spans="1:86" x14ac:dyDescent="0.25">
      <c r="A497" s="12">
        <f t="shared" si="13"/>
        <v>494</v>
      </c>
      <c r="B497" s="4" t="s">
        <v>1438</v>
      </c>
      <c r="C497" s="4" t="s">
        <v>1439</v>
      </c>
      <c r="D497" s="4" t="s">
        <v>84</v>
      </c>
      <c r="E497" s="4"/>
      <c r="F497" s="14"/>
      <c r="G497" s="14"/>
      <c r="H497" s="14"/>
      <c r="I497" s="5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</row>
    <row r="498" spans="1:86" x14ac:dyDescent="0.25">
      <c r="A498" s="12">
        <f t="shared" si="13"/>
        <v>495</v>
      </c>
      <c r="B498" s="4" t="s">
        <v>988</v>
      </c>
      <c r="C498" s="4" t="s">
        <v>989</v>
      </c>
      <c r="D498" s="4" t="s">
        <v>1123</v>
      </c>
      <c r="E498" s="4"/>
      <c r="F498" s="14"/>
      <c r="G498" s="14"/>
      <c r="H498" s="14"/>
      <c r="I498" s="5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</row>
    <row r="499" spans="1:86" x14ac:dyDescent="0.25">
      <c r="A499" s="12">
        <f t="shared" si="13"/>
        <v>496</v>
      </c>
      <c r="B499" s="4" t="s">
        <v>1440</v>
      </c>
      <c r="C499" s="4" t="s">
        <v>1441</v>
      </c>
      <c r="D499" s="4" t="s">
        <v>45</v>
      </c>
      <c r="E499" s="4"/>
      <c r="F499" s="14"/>
      <c r="G499" s="14"/>
      <c r="H499" s="14"/>
      <c r="I499" s="5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</row>
    <row r="500" spans="1:86" x14ac:dyDescent="0.25">
      <c r="A500" s="12">
        <f t="shared" si="13"/>
        <v>497</v>
      </c>
      <c r="B500" s="4" t="s">
        <v>1442</v>
      </c>
      <c r="C500" s="4" t="s">
        <v>1443</v>
      </c>
      <c r="D500" s="4" t="s">
        <v>45</v>
      </c>
      <c r="E500" s="4"/>
      <c r="F500" s="14"/>
      <c r="G500" s="14"/>
      <c r="H500" s="14"/>
      <c r="I500" s="5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</row>
    <row r="501" spans="1:86" x14ac:dyDescent="0.25">
      <c r="A501" s="12">
        <f t="shared" si="13"/>
        <v>498</v>
      </c>
      <c r="B501" s="4" t="s">
        <v>1444</v>
      </c>
      <c r="C501" s="4" t="s">
        <v>1445</v>
      </c>
      <c r="D501" s="4" t="s">
        <v>45</v>
      </c>
      <c r="E501" s="4"/>
      <c r="F501" s="14"/>
      <c r="G501" s="14"/>
      <c r="H501" s="14"/>
      <c r="I501" s="5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</row>
    <row r="502" spans="1:86" x14ac:dyDescent="0.25">
      <c r="A502" s="12">
        <f t="shared" si="13"/>
        <v>499</v>
      </c>
      <c r="B502" s="4" t="s">
        <v>1446</v>
      </c>
      <c r="C502" s="4" t="s">
        <v>1447</v>
      </c>
      <c r="D502" s="4" t="s">
        <v>1129</v>
      </c>
      <c r="E502" s="4"/>
      <c r="F502" s="14"/>
      <c r="G502" s="14"/>
      <c r="H502" s="14"/>
      <c r="I502" s="5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</row>
    <row r="503" spans="1:86" x14ac:dyDescent="0.25">
      <c r="A503" s="12">
        <f t="shared" si="13"/>
        <v>500</v>
      </c>
      <c r="B503" s="4" t="s">
        <v>1448</v>
      </c>
      <c r="C503" s="4" t="s">
        <v>1449</v>
      </c>
      <c r="D503" s="4" t="s">
        <v>45</v>
      </c>
      <c r="E503" s="4"/>
      <c r="F503" s="14"/>
      <c r="G503" s="14"/>
      <c r="H503" s="14"/>
      <c r="I503" s="5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</row>
    <row r="504" spans="1:86" x14ac:dyDescent="0.25">
      <c r="A504" s="12">
        <f t="shared" si="13"/>
        <v>501</v>
      </c>
      <c r="B504" s="4" t="s">
        <v>1450</v>
      </c>
      <c r="C504" s="4" t="s">
        <v>1451</v>
      </c>
      <c r="D504" s="4" t="s">
        <v>508</v>
      </c>
      <c r="E504" s="4"/>
      <c r="F504" s="14"/>
      <c r="G504" s="14"/>
      <c r="H504" s="14"/>
      <c r="I504" s="5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</row>
    <row r="505" spans="1:86" x14ac:dyDescent="0.25">
      <c r="A505" s="12">
        <f t="shared" si="13"/>
        <v>502</v>
      </c>
      <c r="B505" s="4" t="s">
        <v>1452</v>
      </c>
      <c r="C505" s="4" t="s">
        <v>1453</v>
      </c>
      <c r="D505" s="4" t="s">
        <v>45</v>
      </c>
      <c r="E505" s="4"/>
      <c r="F505" s="14"/>
      <c r="G505" s="14"/>
      <c r="H505" s="14"/>
      <c r="I505" s="5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</row>
    <row r="506" spans="1:86" x14ac:dyDescent="0.25">
      <c r="A506" s="12">
        <f t="shared" si="13"/>
        <v>503</v>
      </c>
      <c r="B506" s="4" t="s">
        <v>1454</v>
      </c>
      <c r="C506" s="4" t="s">
        <v>1455</v>
      </c>
      <c r="D506" s="4" t="s">
        <v>2571</v>
      </c>
      <c r="E506" s="4"/>
      <c r="F506" s="14"/>
      <c r="G506" s="14"/>
      <c r="H506" s="14"/>
      <c r="I506" s="5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</row>
    <row r="507" spans="1:86" x14ac:dyDescent="0.25">
      <c r="A507" s="12">
        <f t="shared" si="13"/>
        <v>504</v>
      </c>
      <c r="B507" s="4" t="s">
        <v>1456</v>
      </c>
      <c r="C507" s="4" t="s">
        <v>1457</v>
      </c>
      <c r="D507" s="4" t="s">
        <v>45</v>
      </c>
      <c r="E507" s="4"/>
      <c r="F507" s="14"/>
      <c r="G507" s="14"/>
      <c r="H507" s="14"/>
      <c r="I507" s="5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</row>
    <row r="508" spans="1:86" x14ac:dyDescent="0.25">
      <c r="A508" s="12">
        <f t="shared" si="13"/>
        <v>505</v>
      </c>
      <c r="B508" s="4" t="s">
        <v>1458</v>
      </c>
      <c r="C508" s="4" t="s">
        <v>1459</v>
      </c>
      <c r="D508" s="4" t="s">
        <v>161</v>
      </c>
      <c r="E508" s="4"/>
      <c r="F508" s="14"/>
      <c r="G508" s="14"/>
      <c r="H508" s="14"/>
      <c r="I508" s="5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</row>
    <row r="509" spans="1:86" x14ac:dyDescent="0.25">
      <c r="A509" s="12">
        <f t="shared" si="13"/>
        <v>506</v>
      </c>
      <c r="B509" s="4" t="s">
        <v>1460</v>
      </c>
      <c r="C509" s="4" t="s">
        <v>1461</v>
      </c>
      <c r="D509" s="4" t="s">
        <v>508</v>
      </c>
      <c r="E509" s="4"/>
      <c r="F509" s="14"/>
      <c r="G509" s="14"/>
      <c r="H509" s="14"/>
      <c r="I509" s="5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</row>
    <row r="510" spans="1:86" x14ac:dyDescent="0.25">
      <c r="A510" s="12">
        <f t="shared" si="13"/>
        <v>507</v>
      </c>
      <c r="B510" s="4" t="s">
        <v>1462</v>
      </c>
      <c r="C510" s="4" t="s">
        <v>1463</v>
      </c>
      <c r="D510" s="4" t="s">
        <v>1129</v>
      </c>
      <c r="E510" s="4"/>
      <c r="F510" s="14"/>
      <c r="G510" s="14"/>
      <c r="H510" s="14"/>
      <c r="I510" s="5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</row>
    <row r="511" spans="1:86" x14ac:dyDescent="0.25">
      <c r="A511" s="12">
        <f t="shared" si="13"/>
        <v>508</v>
      </c>
      <c r="B511" s="4" t="s">
        <v>1464</v>
      </c>
      <c r="C511" s="4" t="s">
        <v>1465</v>
      </c>
      <c r="D511" s="4" t="s">
        <v>1123</v>
      </c>
      <c r="E511" s="4"/>
      <c r="F511" s="14"/>
      <c r="G511" s="14"/>
      <c r="H511" s="14"/>
      <c r="I511" s="5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</row>
    <row r="512" spans="1:86" x14ac:dyDescent="0.25">
      <c r="A512" s="12">
        <f t="shared" si="13"/>
        <v>509</v>
      </c>
      <c r="B512" s="4" t="s">
        <v>1466</v>
      </c>
      <c r="C512" s="4" t="s">
        <v>1467</v>
      </c>
      <c r="D512" s="4" t="s">
        <v>1129</v>
      </c>
      <c r="E512" s="4"/>
      <c r="F512" s="14"/>
      <c r="G512" s="14"/>
      <c r="H512" s="14"/>
      <c r="I512" s="5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</row>
    <row r="513" spans="1:86" x14ac:dyDescent="0.25">
      <c r="A513" s="12">
        <f t="shared" si="13"/>
        <v>510</v>
      </c>
      <c r="B513" s="4" t="s">
        <v>1468</v>
      </c>
      <c r="C513" s="4" t="s">
        <v>1469</v>
      </c>
      <c r="D513" s="4" t="s">
        <v>768</v>
      </c>
      <c r="E513" s="4"/>
      <c r="F513" s="14"/>
      <c r="G513" s="14"/>
      <c r="H513" s="14"/>
      <c r="I513" s="5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</row>
    <row r="514" spans="1:86" x14ac:dyDescent="0.25">
      <c r="A514" s="12">
        <f t="shared" si="13"/>
        <v>511</v>
      </c>
      <c r="B514" s="4" t="s">
        <v>1470</v>
      </c>
      <c r="C514" s="4" t="s">
        <v>1471</v>
      </c>
      <c r="D514" s="4" t="s">
        <v>45</v>
      </c>
      <c r="E514" s="4"/>
      <c r="F514" s="14"/>
      <c r="G514" s="14"/>
      <c r="H514" s="14"/>
      <c r="I514" s="5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</row>
    <row r="515" spans="1:86" x14ac:dyDescent="0.25">
      <c r="A515" s="12">
        <f t="shared" si="13"/>
        <v>512</v>
      </c>
      <c r="B515" s="4" t="s">
        <v>1472</v>
      </c>
      <c r="C515" s="4" t="s">
        <v>1473</v>
      </c>
      <c r="D515" s="4" t="s">
        <v>45</v>
      </c>
      <c r="E515" s="4"/>
      <c r="F515" s="14"/>
      <c r="G515" s="14"/>
      <c r="H515" s="14"/>
      <c r="I515" s="5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</row>
    <row r="516" spans="1:86" x14ac:dyDescent="0.25">
      <c r="A516" s="12">
        <f t="shared" si="13"/>
        <v>513</v>
      </c>
      <c r="B516" s="4" t="s">
        <v>1474</v>
      </c>
      <c r="C516" s="4" t="s">
        <v>1475</v>
      </c>
      <c r="D516" s="4" t="s">
        <v>45</v>
      </c>
      <c r="E516" s="4"/>
      <c r="F516" s="14"/>
      <c r="G516" s="14"/>
      <c r="H516" s="14"/>
      <c r="I516" s="5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</row>
    <row r="517" spans="1:86" x14ac:dyDescent="0.25">
      <c r="A517" s="12">
        <f t="shared" si="13"/>
        <v>514</v>
      </c>
      <c r="B517" s="4" t="s">
        <v>1476</v>
      </c>
      <c r="C517" s="4" t="s">
        <v>1477</v>
      </c>
      <c r="D517" s="4" t="s">
        <v>508</v>
      </c>
      <c r="E517" s="4"/>
      <c r="F517" s="14"/>
      <c r="G517" s="14"/>
      <c r="H517" s="14"/>
      <c r="I517" s="5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</row>
    <row r="518" spans="1:86" x14ac:dyDescent="0.25">
      <c r="A518" s="12">
        <f t="shared" si="13"/>
        <v>515</v>
      </c>
      <c r="B518" s="4" t="s">
        <v>1478</v>
      </c>
      <c r="C518" s="4" t="s">
        <v>1479</v>
      </c>
      <c r="D518" s="4" t="s">
        <v>45</v>
      </c>
      <c r="E518" s="4"/>
      <c r="F518" s="14"/>
      <c r="G518" s="14"/>
      <c r="H518" s="14"/>
      <c r="I518" s="5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</row>
    <row r="519" spans="1:86" x14ac:dyDescent="0.25">
      <c r="A519" s="12">
        <f t="shared" si="13"/>
        <v>516</v>
      </c>
      <c r="B519" s="4" t="s">
        <v>1480</v>
      </c>
      <c r="C519" s="4" t="s">
        <v>1481</v>
      </c>
      <c r="D519" s="4" t="s">
        <v>45</v>
      </c>
      <c r="E519" s="4"/>
      <c r="F519" s="14"/>
      <c r="G519" s="14"/>
      <c r="H519" s="14"/>
      <c r="I519" s="5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</row>
    <row r="520" spans="1:86" x14ac:dyDescent="0.25">
      <c r="A520" s="12">
        <f t="shared" si="13"/>
        <v>517</v>
      </c>
      <c r="B520" s="4" t="s">
        <v>1482</v>
      </c>
      <c r="C520" s="4" t="s">
        <v>1483</v>
      </c>
      <c r="D520" s="4" t="s">
        <v>45</v>
      </c>
      <c r="E520" s="4"/>
      <c r="F520" s="14"/>
      <c r="G520" s="14"/>
      <c r="H520" s="14"/>
      <c r="I520" s="5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</row>
    <row r="521" spans="1:86" x14ac:dyDescent="0.25">
      <c r="A521" s="12">
        <f t="shared" si="13"/>
        <v>518</v>
      </c>
      <c r="B521" s="4" t="s">
        <v>1484</v>
      </c>
      <c r="C521" s="4" t="s">
        <v>1485</v>
      </c>
      <c r="D521" s="4" t="s">
        <v>45</v>
      </c>
      <c r="E521" s="4"/>
      <c r="F521" s="14"/>
      <c r="G521" s="14"/>
      <c r="H521" s="14"/>
      <c r="I521" s="5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</row>
    <row r="522" spans="1:86" x14ac:dyDescent="0.25">
      <c r="A522" s="12">
        <f t="shared" ref="A522:A585" si="14">+A521+1</f>
        <v>519</v>
      </c>
      <c r="B522" s="4" t="s">
        <v>1486</v>
      </c>
      <c r="C522" s="4" t="s">
        <v>1487</v>
      </c>
      <c r="D522" s="4" t="s">
        <v>45</v>
      </c>
      <c r="E522" s="4"/>
      <c r="F522" s="14"/>
      <c r="G522" s="14"/>
      <c r="H522" s="14"/>
      <c r="I522" s="5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</row>
    <row r="523" spans="1:86" x14ac:dyDescent="0.25">
      <c r="A523" s="12">
        <f t="shared" si="14"/>
        <v>520</v>
      </c>
      <c r="B523" s="4" t="s">
        <v>1488</v>
      </c>
      <c r="C523" s="4" t="s">
        <v>1489</v>
      </c>
      <c r="D523" s="4" t="s">
        <v>45</v>
      </c>
      <c r="E523" s="4"/>
      <c r="F523" s="14"/>
      <c r="G523" s="14"/>
      <c r="H523" s="14"/>
      <c r="I523" s="5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</row>
    <row r="524" spans="1:86" x14ac:dyDescent="0.25">
      <c r="A524" s="12">
        <f t="shared" si="14"/>
        <v>521</v>
      </c>
      <c r="B524" s="4" t="s">
        <v>1490</v>
      </c>
      <c r="C524" s="4" t="s">
        <v>1491</v>
      </c>
      <c r="D524" s="4" t="s">
        <v>47</v>
      </c>
      <c r="E524" s="4"/>
      <c r="F524" s="14"/>
      <c r="G524" s="14"/>
      <c r="H524" s="14"/>
      <c r="I524" s="5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</row>
    <row r="525" spans="1:86" x14ac:dyDescent="0.25">
      <c r="A525" s="12">
        <f t="shared" si="14"/>
        <v>522</v>
      </c>
      <c r="B525" s="4" t="s">
        <v>1492</v>
      </c>
      <c r="C525" s="4" t="s">
        <v>1493</v>
      </c>
      <c r="D525" s="4" t="s">
        <v>1130</v>
      </c>
      <c r="E525" s="4"/>
      <c r="F525" s="14"/>
      <c r="G525" s="14"/>
      <c r="H525" s="14"/>
      <c r="I525" s="5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</row>
    <row r="526" spans="1:86" x14ac:dyDescent="0.25">
      <c r="A526" s="12">
        <f t="shared" si="14"/>
        <v>523</v>
      </c>
      <c r="B526" s="4" t="s">
        <v>1494</v>
      </c>
      <c r="C526" s="4" t="s">
        <v>1495</v>
      </c>
      <c r="D526" s="4" t="s">
        <v>84</v>
      </c>
      <c r="E526" s="4"/>
      <c r="F526" s="14"/>
      <c r="G526" s="14"/>
      <c r="H526" s="14"/>
      <c r="I526" s="5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</row>
    <row r="527" spans="1:86" x14ac:dyDescent="0.25">
      <c r="A527" s="12">
        <f t="shared" si="14"/>
        <v>524</v>
      </c>
      <c r="B527" s="4" t="s">
        <v>1496</v>
      </c>
      <c r="C527" s="4" t="s">
        <v>761</v>
      </c>
      <c r="D527" s="4" t="s">
        <v>45</v>
      </c>
      <c r="E527" s="4"/>
      <c r="F527" s="14"/>
      <c r="G527" s="14"/>
      <c r="H527" s="14"/>
      <c r="I527" s="5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</row>
    <row r="528" spans="1:86" x14ac:dyDescent="0.25">
      <c r="A528" s="12">
        <f t="shared" si="14"/>
        <v>525</v>
      </c>
      <c r="B528" s="4" t="s">
        <v>1497</v>
      </c>
      <c r="C528" s="4" t="s">
        <v>1498</v>
      </c>
      <c r="D528" s="4" t="s">
        <v>1126</v>
      </c>
      <c r="E528" s="4"/>
      <c r="F528" s="14"/>
      <c r="G528" s="14"/>
      <c r="H528" s="14"/>
      <c r="I528" s="5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</row>
    <row r="529" spans="1:86" x14ac:dyDescent="0.25">
      <c r="A529" s="12">
        <f t="shared" si="14"/>
        <v>526</v>
      </c>
      <c r="B529" s="4" t="s">
        <v>1499</v>
      </c>
      <c r="C529" s="4" t="s">
        <v>1500</v>
      </c>
      <c r="D529" s="4" t="s">
        <v>770</v>
      </c>
      <c r="E529" s="4"/>
      <c r="F529" s="14"/>
      <c r="G529" s="14"/>
      <c r="H529" s="14"/>
      <c r="I529" s="5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</row>
    <row r="530" spans="1:86" x14ac:dyDescent="0.25">
      <c r="A530" s="12">
        <f t="shared" si="14"/>
        <v>527</v>
      </c>
      <c r="B530" s="4" t="s">
        <v>1501</v>
      </c>
      <c r="C530" s="4" t="s">
        <v>1502</v>
      </c>
      <c r="D530" s="4" t="s">
        <v>45</v>
      </c>
      <c r="E530" s="4"/>
      <c r="F530" s="14"/>
      <c r="G530" s="14"/>
      <c r="H530" s="14"/>
      <c r="I530" s="5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</row>
    <row r="531" spans="1:86" x14ac:dyDescent="0.25">
      <c r="A531" s="12">
        <f t="shared" si="14"/>
        <v>528</v>
      </c>
      <c r="B531" s="4" t="s">
        <v>990</v>
      </c>
      <c r="C531" s="4" t="s">
        <v>991</v>
      </c>
      <c r="D531" s="4" t="s">
        <v>282</v>
      </c>
      <c r="E531" s="4"/>
      <c r="F531" s="14"/>
      <c r="G531" s="14"/>
      <c r="H531" s="14"/>
      <c r="I531" s="5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</row>
    <row r="532" spans="1:86" x14ac:dyDescent="0.25">
      <c r="A532" s="12">
        <f t="shared" si="14"/>
        <v>529</v>
      </c>
      <c r="B532" s="4" t="s">
        <v>1505</v>
      </c>
      <c r="C532" s="4" t="s">
        <v>1506</v>
      </c>
      <c r="D532" s="4" t="s">
        <v>87</v>
      </c>
      <c r="E532" s="4"/>
      <c r="F532" s="14"/>
      <c r="G532" s="14"/>
      <c r="H532" s="14"/>
      <c r="I532" s="5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</row>
    <row r="533" spans="1:86" x14ac:dyDescent="0.25">
      <c r="A533" s="12">
        <f t="shared" si="14"/>
        <v>530</v>
      </c>
      <c r="B533" s="4" t="s">
        <v>1507</v>
      </c>
      <c r="C533" s="4" t="s">
        <v>1508</v>
      </c>
      <c r="D533" s="4" t="s">
        <v>84</v>
      </c>
      <c r="E533" s="4"/>
      <c r="F533" s="14"/>
      <c r="G533" s="14"/>
      <c r="H533" s="14"/>
      <c r="I533" s="5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</row>
    <row r="534" spans="1:86" x14ac:dyDescent="0.25">
      <c r="A534" s="12">
        <f t="shared" si="14"/>
        <v>531</v>
      </c>
      <c r="B534" s="4" t="s">
        <v>1509</v>
      </c>
      <c r="C534" s="4" t="s">
        <v>1510</v>
      </c>
      <c r="D534" s="4" t="s">
        <v>45</v>
      </c>
      <c r="E534" s="4"/>
      <c r="F534" s="14"/>
      <c r="G534" s="14"/>
      <c r="H534" s="14"/>
      <c r="I534" s="5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</row>
    <row r="535" spans="1:86" x14ac:dyDescent="0.25">
      <c r="A535" s="12">
        <f t="shared" si="14"/>
        <v>532</v>
      </c>
      <c r="B535" s="4" t="s">
        <v>1511</v>
      </c>
      <c r="C535" s="4" t="s">
        <v>1512</v>
      </c>
      <c r="D535" s="4" t="s">
        <v>508</v>
      </c>
      <c r="E535" s="4"/>
      <c r="F535" s="14"/>
      <c r="G535" s="14"/>
      <c r="H535" s="14"/>
      <c r="I535" s="5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</row>
    <row r="536" spans="1:86" x14ac:dyDescent="0.25">
      <c r="A536" s="12">
        <f t="shared" si="14"/>
        <v>533</v>
      </c>
      <c r="B536" s="4" t="s">
        <v>1513</v>
      </c>
      <c r="C536" s="4" t="s">
        <v>1514</v>
      </c>
      <c r="D536" s="4" t="s">
        <v>45</v>
      </c>
      <c r="E536" s="4"/>
      <c r="F536" s="14"/>
      <c r="G536" s="14"/>
      <c r="H536" s="14"/>
      <c r="I536" s="5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</row>
    <row r="537" spans="1:86" x14ac:dyDescent="0.25">
      <c r="A537" s="12">
        <f t="shared" si="14"/>
        <v>534</v>
      </c>
      <c r="B537" s="4" t="s">
        <v>1515</v>
      </c>
      <c r="C537" s="4" t="s">
        <v>1516</v>
      </c>
      <c r="D537" s="4" t="s">
        <v>45</v>
      </c>
      <c r="E537" s="4"/>
      <c r="F537" s="14"/>
      <c r="G537" s="14"/>
      <c r="H537" s="14"/>
      <c r="I537" s="5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</row>
    <row r="538" spans="1:86" x14ac:dyDescent="0.25">
      <c r="A538" s="12">
        <f t="shared" si="14"/>
        <v>535</v>
      </c>
      <c r="B538" s="4" t="s">
        <v>1517</v>
      </c>
      <c r="C538" s="4" t="s">
        <v>1518</v>
      </c>
      <c r="D538" s="4" t="s">
        <v>84</v>
      </c>
      <c r="E538" s="4"/>
      <c r="F538" s="14"/>
      <c r="G538" s="14"/>
      <c r="H538" s="14"/>
      <c r="I538" s="5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</row>
    <row r="539" spans="1:86" x14ac:dyDescent="0.25">
      <c r="A539" s="12">
        <f t="shared" si="14"/>
        <v>536</v>
      </c>
      <c r="B539" s="4" t="s">
        <v>1519</v>
      </c>
      <c r="C539" s="4" t="s">
        <v>1520</v>
      </c>
      <c r="D539" s="4" t="s">
        <v>1126</v>
      </c>
      <c r="E539" s="4"/>
      <c r="F539" s="14"/>
      <c r="G539" s="14"/>
      <c r="H539" s="14"/>
      <c r="I539" s="5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</row>
    <row r="540" spans="1:86" x14ac:dyDescent="0.25">
      <c r="A540" s="12">
        <f t="shared" si="14"/>
        <v>537</v>
      </c>
      <c r="B540" s="4" t="s">
        <v>1521</v>
      </c>
      <c r="C540" s="4" t="s">
        <v>1522</v>
      </c>
      <c r="D540" s="4" t="s">
        <v>45</v>
      </c>
      <c r="E540" s="4"/>
      <c r="F540" s="14"/>
      <c r="G540" s="14"/>
      <c r="H540" s="14"/>
      <c r="I540" s="5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</row>
    <row r="541" spans="1:86" x14ac:dyDescent="0.25">
      <c r="A541" s="12">
        <f t="shared" si="14"/>
        <v>538</v>
      </c>
      <c r="B541" s="4" t="s">
        <v>1523</v>
      </c>
      <c r="C541" s="4" t="s">
        <v>1524</v>
      </c>
      <c r="D541" s="4" t="s">
        <v>45</v>
      </c>
      <c r="E541" s="4"/>
      <c r="F541" s="14"/>
      <c r="G541" s="14"/>
      <c r="H541" s="14"/>
      <c r="I541" s="5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</row>
    <row r="542" spans="1:86" x14ac:dyDescent="0.25">
      <c r="A542" s="12">
        <f t="shared" si="14"/>
        <v>539</v>
      </c>
      <c r="B542" s="4" t="s">
        <v>1525</v>
      </c>
      <c r="C542" s="4" t="s">
        <v>1526</v>
      </c>
      <c r="D542" s="4" t="s">
        <v>508</v>
      </c>
      <c r="E542" s="4"/>
      <c r="F542" s="14"/>
      <c r="G542" s="14"/>
      <c r="H542" s="14"/>
      <c r="I542" s="5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</row>
    <row r="543" spans="1:86" x14ac:dyDescent="0.25">
      <c r="A543" s="12">
        <f t="shared" si="14"/>
        <v>540</v>
      </c>
      <c r="B543" s="4" t="s">
        <v>1527</v>
      </c>
      <c r="C543" s="4" t="s">
        <v>1528</v>
      </c>
      <c r="D543" s="4" t="s">
        <v>84</v>
      </c>
      <c r="E543" s="4"/>
      <c r="F543" s="14"/>
      <c r="G543" s="14"/>
      <c r="H543" s="14"/>
      <c r="I543" s="5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</row>
    <row r="544" spans="1:86" x14ac:dyDescent="0.25">
      <c r="A544" s="12">
        <f t="shared" si="14"/>
        <v>541</v>
      </c>
      <c r="B544" s="4" t="s">
        <v>1529</v>
      </c>
      <c r="C544" s="4" t="s">
        <v>1530</v>
      </c>
      <c r="D544" s="4" t="s">
        <v>45</v>
      </c>
      <c r="E544" s="4"/>
      <c r="F544" s="14"/>
      <c r="G544" s="14"/>
      <c r="H544" s="14"/>
      <c r="I544" s="5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</row>
    <row r="545" spans="1:86" x14ac:dyDescent="0.25">
      <c r="A545" s="12">
        <f t="shared" si="14"/>
        <v>542</v>
      </c>
      <c r="B545" s="4" t="s">
        <v>1531</v>
      </c>
      <c r="C545" s="4" t="s">
        <v>1532</v>
      </c>
      <c r="D545" s="4" t="s">
        <v>1129</v>
      </c>
      <c r="E545" s="4"/>
      <c r="F545" s="14"/>
      <c r="G545" s="14"/>
      <c r="H545" s="14"/>
      <c r="I545" s="5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</row>
    <row r="546" spans="1:86" x14ac:dyDescent="0.25">
      <c r="A546" s="12">
        <f t="shared" si="14"/>
        <v>543</v>
      </c>
      <c r="B546" s="4" t="s">
        <v>1533</v>
      </c>
      <c r="C546" s="4" t="s">
        <v>1534</v>
      </c>
      <c r="D546" s="4" t="s">
        <v>1129</v>
      </c>
      <c r="E546" s="4"/>
      <c r="F546" s="14"/>
      <c r="G546" s="14"/>
      <c r="H546" s="14"/>
      <c r="I546" s="5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</row>
    <row r="547" spans="1:86" x14ac:dyDescent="0.25">
      <c r="A547" s="12">
        <f t="shared" si="14"/>
        <v>544</v>
      </c>
      <c r="B547" s="4" t="s">
        <v>1535</v>
      </c>
      <c r="C547" s="4" t="s">
        <v>1536</v>
      </c>
      <c r="D547" s="4" t="s">
        <v>87</v>
      </c>
      <c r="E547" s="4"/>
      <c r="F547" s="14"/>
      <c r="G547" s="14"/>
      <c r="H547" s="14"/>
      <c r="I547" s="5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</row>
    <row r="548" spans="1:86" x14ac:dyDescent="0.25">
      <c r="A548" s="12">
        <f t="shared" si="14"/>
        <v>545</v>
      </c>
      <c r="B548" s="4" t="s">
        <v>1537</v>
      </c>
      <c r="C548" s="4" t="s">
        <v>1538</v>
      </c>
      <c r="D548" s="4" t="s">
        <v>45</v>
      </c>
      <c r="E548" s="4"/>
      <c r="F548" s="14"/>
      <c r="G548" s="14"/>
      <c r="H548" s="14"/>
      <c r="I548" s="5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</row>
    <row r="549" spans="1:86" x14ac:dyDescent="0.25">
      <c r="A549" s="12">
        <f t="shared" si="14"/>
        <v>546</v>
      </c>
      <c r="B549" s="4" t="s">
        <v>1539</v>
      </c>
      <c r="C549" s="4" t="s">
        <v>1540</v>
      </c>
      <c r="D549" s="4" t="s">
        <v>508</v>
      </c>
      <c r="E549" s="4"/>
      <c r="F549" s="14"/>
      <c r="G549" s="14"/>
      <c r="H549" s="14"/>
      <c r="I549" s="5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</row>
    <row r="550" spans="1:86" x14ac:dyDescent="0.25">
      <c r="A550" s="12">
        <f t="shared" si="14"/>
        <v>547</v>
      </c>
      <c r="B550" s="4" t="s">
        <v>992</v>
      </c>
      <c r="C550" s="4" t="s">
        <v>993</v>
      </c>
      <c r="D550" s="4" t="s">
        <v>84</v>
      </c>
      <c r="E550" s="4"/>
      <c r="F550" s="14"/>
      <c r="G550" s="14"/>
      <c r="H550" s="14"/>
      <c r="I550" s="5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</row>
    <row r="551" spans="1:86" x14ac:dyDescent="0.25">
      <c r="A551" s="12">
        <f t="shared" si="14"/>
        <v>548</v>
      </c>
      <c r="B551" s="4" t="s">
        <v>1541</v>
      </c>
      <c r="C551" s="4" t="s">
        <v>1542</v>
      </c>
      <c r="D551" s="4" t="s">
        <v>45</v>
      </c>
      <c r="E551" s="4"/>
      <c r="F551" s="14"/>
      <c r="G551" s="14"/>
      <c r="H551" s="14"/>
      <c r="I551" s="5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</row>
    <row r="552" spans="1:86" x14ac:dyDescent="0.25">
      <c r="A552" s="12">
        <f t="shared" si="14"/>
        <v>549</v>
      </c>
      <c r="B552" s="4" t="s">
        <v>1543</v>
      </c>
      <c r="C552" s="4" t="s">
        <v>1544</v>
      </c>
      <c r="D552" s="4" t="s">
        <v>1123</v>
      </c>
      <c r="E552" s="4"/>
      <c r="F552" s="14"/>
      <c r="G552" s="14"/>
      <c r="H552" s="14"/>
      <c r="I552" s="5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</row>
    <row r="553" spans="1:86" x14ac:dyDescent="0.25">
      <c r="A553" s="12">
        <f t="shared" si="14"/>
        <v>550</v>
      </c>
      <c r="B553" s="4" t="s">
        <v>1545</v>
      </c>
      <c r="C553" s="4" t="s">
        <v>1546</v>
      </c>
      <c r="D553" s="4" t="s">
        <v>45</v>
      </c>
      <c r="E553" s="4"/>
      <c r="F553" s="14"/>
      <c r="G553" s="14"/>
      <c r="H553" s="14"/>
      <c r="I553" s="5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</row>
    <row r="554" spans="1:86" x14ac:dyDescent="0.25">
      <c r="A554" s="12">
        <f t="shared" si="14"/>
        <v>551</v>
      </c>
      <c r="B554" s="4" t="s">
        <v>1547</v>
      </c>
      <c r="C554" s="4" t="s">
        <v>1548</v>
      </c>
      <c r="D554" s="4" t="s">
        <v>398</v>
      </c>
      <c r="E554" s="4"/>
      <c r="F554" s="14"/>
      <c r="G554" s="14"/>
      <c r="H554" s="14"/>
      <c r="I554" s="5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</row>
    <row r="555" spans="1:86" x14ac:dyDescent="0.25">
      <c r="A555" s="12">
        <f t="shared" si="14"/>
        <v>552</v>
      </c>
      <c r="B555" s="4" t="s">
        <v>994</v>
      </c>
      <c r="C555" s="4" t="s">
        <v>995</v>
      </c>
      <c r="D555" s="4" t="s">
        <v>45</v>
      </c>
      <c r="E555" s="4"/>
      <c r="F555" s="14"/>
      <c r="G555" s="14"/>
      <c r="H555" s="14"/>
      <c r="I555" s="5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</row>
    <row r="556" spans="1:86" x14ac:dyDescent="0.25">
      <c r="A556" s="12">
        <f t="shared" si="14"/>
        <v>553</v>
      </c>
      <c r="B556" s="4" t="s">
        <v>1549</v>
      </c>
      <c r="C556" s="4" t="s">
        <v>1550</v>
      </c>
      <c r="D556" s="4" t="s">
        <v>45</v>
      </c>
      <c r="E556" s="4"/>
      <c r="F556" s="14"/>
      <c r="G556" s="14"/>
      <c r="H556" s="14"/>
      <c r="I556" s="5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</row>
    <row r="557" spans="1:86" x14ac:dyDescent="0.25">
      <c r="A557" s="12">
        <f t="shared" si="14"/>
        <v>554</v>
      </c>
      <c r="B557" s="4" t="s">
        <v>1551</v>
      </c>
      <c r="C557" s="4" t="s">
        <v>1552</v>
      </c>
      <c r="D557" s="4" t="s">
        <v>45</v>
      </c>
      <c r="E557" s="4"/>
      <c r="F557" s="14"/>
      <c r="G557" s="14"/>
      <c r="H557" s="14"/>
      <c r="I557" s="5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</row>
    <row r="558" spans="1:86" x14ac:dyDescent="0.25">
      <c r="A558" s="12">
        <f t="shared" si="14"/>
        <v>555</v>
      </c>
      <c r="B558" s="4" t="s">
        <v>1553</v>
      </c>
      <c r="C558" s="4" t="s">
        <v>1554</v>
      </c>
      <c r="D558" s="4" t="s">
        <v>45</v>
      </c>
      <c r="E558" s="4"/>
      <c r="F558" s="14"/>
      <c r="G558" s="14"/>
      <c r="H558" s="14"/>
      <c r="I558" s="5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</row>
    <row r="559" spans="1:86" x14ac:dyDescent="0.25">
      <c r="A559" s="12">
        <f t="shared" si="14"/>
        <v>556</v>
      </c>
      <c r="B559" s="4" t="s">
        <v>1555</v>
      </c>
      <c r="C559" s="4" t="s">
        <v>1556</v>
      </c>
      <c r="D559" s="4" t="s">
        <v>87</v>
      </c>
      <c r="E559" s="4"/>
      <c r="F559" s="14"/>
      <c r="G559" s="14"/>
      <c r="H559" s="14"/>
      <c r="I559" s="5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</row>
    <row r="560" spans="1:86" x14ac:dyDescent="0.25">
      <c r="A560" s="12">
        <f t="shared" si="14"/>
        <v>557</v>
      </c>
      <c r="B560" s="4" t="s">
        <v>1557</v>
      </c>
      <c r="C560" s="4" t="s">
        <v>1558</v>
      </c>
      <c r="D560" s="4" t="s">
        <v>45</v>
      </c>
      <c r="E560" s="4"/>
      <c r="F560" s="14"/>
      <c r="G560" s="14"/>
      <c r="H560" s="14"/>
      <c r="I560" s="5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</row>
    <row r="561" spans="1:86" x14ac:dyDescent="0.25">
      <c r="A561" s="12">
        <f t="shared" si="14"/>
        <v>558</v>
      </c>
      <c r="B561" s="4" t="s">
        <v>1559</v>
      </c>
      <c r="C561" s="4" t="s">
        <v>1560</v>
      </c>
      <c r="D561" s="4" t="s">
        <v>1123</v>
      </c>
      <c r="E561" s="4"/>
      <c r="F561" s="14"/>
      <c r="G561" s="14"/>
      <c r="H561" s="14"/>
      <c r="I561" s="5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</row>
    <row r="562" spans="1:86" x14ac:dyDescent="0.25">
      <c r="A562" s="12">
        <f t="shared" si="14"/>
        <v>559</v>
      </c>
      <c r="B562" s="4" t="s">
        <v>1561</v>
      </c>
      <c r="C562" s="4" t="s">
        <v>1562</v>
      </c>
      <c r="D562" s="4" t="s">
        <v>1127</v>
      </c>
      <c r="E562" s="4"/>
      <c r="F562" s="14"/>
      <c r="G562" s="14"/>
      <c r="H562" s="14"/>
      <c r="I562" s="5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</row>
    <row r="563" spans="1:86" x14ac:dyDescent="0.25">
      <c r="A563" s="12">
        <f t="shared" si="14"/>
        <v>560</v>
      </c>
      <c r="B563" s="4" t="s">
        <v>1563</v>
      </c>
      <c r="C563" s="4" t="s">
        <v>1564</v>
      </c>
      <c r="D563" s="4" t="s">
        <v>1129</v>
      </c>
      <c r="E563" s="4"/>
      <c r="F563" s="14"/>
      <c r="G563" s="14"/>
      <c r="H563" s="14"/>
      <c r="I563" s="5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</row>
    <row r="564" spans="1:86" x14ac:dyDescent="0.25">
      <c r="A564" s="12">
        <f t="shared" si="14"/>
        <v>561</v>
      </c>
      <c r="B564" s="4" t="s">
        <v>1565</v>
      </c>
      <c r="C564" s="4" t="s">
        <v>1566</v>
      </c>
      <c r="D564" s="4" t="s">
        <v>1125</v>
      </c>
      <c r="E564" s="4"/>
      <c r="F564" s="14"/>
      <c r="G564" s="14"/>
      <c r="H564" s="14"/>
      <c r="I564" s="5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</row>
    <row r="565" spans="1:86" x14ac:dyDescent="0.25">
      <c r="A565" s="12">
        <f t="shared" si="14"/>
        <v>562</v>
      </c>
      <c r="B565" s="4" t="s">
        <v>1567</v>
      </c>
      <c r="C565" s="4" t="s">
        <v>1568</v>
      </c>
      <c r="D565" s="4" t="s">
        <v>45</v>
      </c>
      <c r="E565" s="4"/>
      <c r="F565" s="14"/>
      <c r="G565" s="14"/>
      <c r="H565" s="14"/>
      <c r="I565" s="5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</row>
    <row r="566" spans="1:86" x14ac:dyDescent="0.25">
      <c r="A566" s="12">
        <f t="shared" si="14"/>
        <v>563</v>
      </c>
      <c r="B566" s="4" t="s">
        <v>1569</v>
      </c>
      <c r="C566" s="4" t="s">
        <v>1570</v>
      </c>
      <c r="D566" s="4" t="s">
        <v>45</v>
      </c>
      <c r="E566" s="4"/>
      <c r="F566" s="14"/>
      <c r="G566" s="14"/>
      <c r="H566" s="14"/>
      <c r="I566" s="5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</row>
    <row r="567" spans="1:86" x14ac:dyDescent="0.25">
      <c r="A567" s="12">
        <f t="shared" si="14"/>
        <v>564</v>
      </c>
      <c r="B567" s="4" t="s">
        <v>996</v>
      </c>
      <c r="C567" s="4" t="s">
        <v>996</v>
      </c>
      <c r="D567" s="4" t="s">
        <v>84</v>
      </c>
      <c r="E567" s="4"/>
      <c r="F567" s="14"/>
      <c r="G567" s="14"/>
      <c r="H567" s="14"/>
      <c r="I567" s="5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</row>
    <row r="568" spans="1:86" x14ac:dyDescent="0.25">
      <c r="A568" s="12">
        <f t="shared" si="14"/>
        <v>565</v>
      </c>
      <c r="B568" s="4" t="s">
        <v>1571</v>
      </c>
      <c r="C568" s="4" t="s">
        <v>1572</v>
      </c>
      <c r="D568" s="4" t="s">
        <v>45</v>
      </c>
      <c r="E568" s="4"/>
      <c r="F568" s="14"/>
      <c r="G568" s="14"/>
      <c r="H568" s="14"/>
      <c r="I568" s="5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</row>
    <row r="569" spans="1:86" x14ac:dyDescent="0.25">
      <c r="A569" s="12">
        <f t="shared" si="14"/>
        <v>566</v>
      </c>
      <c r="B569" s="4" t="s">
        <v>1573</v>
      </c>
      <c r="C569" s="4" t="s">
        <v>1574</v>
      </c>
      <c r="D569" s="4" t="s">
        <v>1126</v>
      </c>
      <c r="E569" s="4"/>
      <c r="F569" s="14"/>
      <c r="G569" s="14"/>
      <c r="H569" s="14"/>
      <c r="I569" s="5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</row>
    <row r="570" spans="1:86" x14ac:dyDescent="0.25">
      <c r="A570" s="12">
        <f t="shared" si="14"/>
        <v>567</v>
      </c>
      <c r="B570" s="4" t="s">
        <v>1575</v>
      </c>
      <c r="C570" s="4" t="s">
        <v>1576</v>
      </c>
      <c r="D570" s="4" t="s">
        <v>45</v>
      </c>
      <c r="E570" s="4"/>
      <c r="F570" s="14"/>
      <c r="G570" s="14"/>
      <c r="H570" s="14"/>
      <c r="I570" s="5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</row>
    <row r="571" spans="1:86" x14ac:dyDescent="0.25">
      <c r="A571" s="12">
        <f t="shared" si="14"/>
        <v>568</v>
      </c>
      <c r="B571" s="4" t="s">
        <v>1577</v>
      </c>
      <c r="C571" s="4" t="s">
        <v>1578</v>
      </c>
      <c r="D571" s="4" t="s">
        <v>45</v>
      </c>
      <c r="E571" s="4"/>
      <c r="F571" s="14"/>
      <c r="G571" s="14"/>
      <c r="H571" s="14"/>
      <c r="I571" s="5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</row>
    <row r="572" spans="1:86" x14ac:dyDescent="0.25">
      <c r="A572" s="12">
        <f t="shared" si="14"/>
        <v>569</v>
      </c>
      <c r="B572" s="4" t="s">
        <v>1579</v>
      </c>
      <c r="C572" s="4" t="s">
        <v>913</v>
      </c>
      <c r="D572" s="4" t="s">
        <v>2571</v>
      </c>
      <c r="E572" s="4"/>
      <c r="F572" s="14"/>
      <c r="G572" s="14"/>
      <c r="H572" s="14"/>
      <c r="I572" s="5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</row>
    <row r="573" spans="1:86" x14ac:dyDescent="0.25">
      <c r="A573" s="12">
        <f t="shared" si="14"/>
        <v>570</v>
      </c>
      <c r="B573" s="4" t="s">
        <v>1580</v>
      </c>
      <c r="C573" s="4" t="s">
        <v>1581</v>
      </c>
      <c r="D573" s="4" t="s">
        <v>45</v>
      </c>
      <c r="E573" s="4"/>
      <c r="F573" s="14"/>
      <c r="G573" s="14"/>
      <c r="H573" s="14"/>
      <c r="I573" s="5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</row>
    <row r="574" spans="1:86" x14ac:dyDescent="0.25">
      <c r="A574" s="12">
        <f t="shared" si="14"/>
        <v>571</v>
      </c>
      <c r="B574" s="4" t="s">
        <v>1582</v>
      </c>
      <c r="C574" s="4" t="s">
        <v>1583</v>
      </c>
      <c r="D574" s="4" t="s">
        <v>45</v>
      </c>
      <c r="E574" s="4"/>
      <c r="F574" s="14"/>
      <c r="G574" s="14"/>
      <c r="H574" s="14"/>
      <c r="I574" s="5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</row>
    <row r="575" spans="1:86" x14ac:dyDescent="0.25">
      <c r="A575" s="12">
        <f t="shared" si="14"/>
        <v>572</v>
      </c>
      <c r="B575" s="4" t="s">
        <v>1584</v>
      </c>
      <c r="C575" s="4" t="s">
        <v>1585</v>
      </c>
      <c r="D575" s="4" t="s">
        <v>84</v>
      </c>
      <c r="E575" s="4"/>
      <c r="F575" s="14"/>
      <c r="G575" s="14"/>
      <c r="H575" s="14"/>
      <c r="I575" s="5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</row>
    <row r="576" spans="1:86" x14ac:dyDescent="0.25">
      <c r="A576" s="12">
        <f t="shared" si="14"/>
        <v>573</v>
      </c>
      <c r="B576" s="4" t="s">
        <v>1586</v>
      </c>
      <c r="C576" s="4" t="s">
        <v>1587</v>
      </c>
      <c r="D576" s="4" t="s">
        <v>45</v>
      </c>
      <c r="E576" s="4"/>
      <c r="F576" s="14"/>
      <c r="G576" s="14"/>
      <c r="H576" s="14"/>
      <c r="I576" s="5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</row>
    <row r="577" spans="1:86" x14ac:dyDescent="0.25">
      <c r="A577" s="12">
        <f t="shared" si="14"/>
        <v>574</v>
      </c>
      <c r="B577" s="4" t="s">
        <v>1588</v>
      </c>
      <c r="C577" s="4" t="s">
        <v>1589</v>
      </c>
      <c r="D577" s="4" t="s">
        <v>770</v>
      </c>
      <c r="E577" s="4"/>
      <c r="F577" s="14"/>
      <c r="G577" s="14"/>
      <c r="H577" s="14"/>
      <c r="I577" s="5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</row>
    <row r="578" spans="1:86" x14ac:dyDescent="0.25">
      <c r="A578" s="12">
        <f t="shared" si="14"/>
        <v>575</v>
      </c>
      <c r="B578" s="4" t="s">
        <v>1590</v>
      </c>
      <c r="C578" s="4" t="s">
        <v>1591</v>
      </c>
      <c r="D578" s="4" t="s">
        <v>768</v>
      </c>
      <c r="E578" s="4"/>
      <c r="F578" s="14"/>
      <c r="G578" s="14"/>
      <c r="H578" s="14"/>
      <c r="I578" s="5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</row>
    <row r="579" spans="1:86" x14ac:dyDescent="0.25">
      <c r="A579" s="12">
        <f t="shared" si="14"/>
        <v>576</v>
      </c>
      <c r="B579" s="4" t="s">
        <v>1592</v>
      </c>
      <c r="C579" s="4" t="s">
        <v>1593</v>
      </c>
      <c r="D579" s="4" t="s">
        <v>45</v>
      </c>
      <c r="E579" s="4"/>
      <c r="F579" s="14"/>
      <c r="G579" s="14"/>
      <c r="H579" s="14"/>
      <c r="I579" s="5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</row>
    <row r="580" spans="1:86" x14ac:dyDescent="0.25">
      <c r="A580" s="12">
        <f t="shared" si="14"/>
        <v>577</v>
      </c>
      <c r="B580" s="4" t="s">
        <v>1594</v>
      </c>
      <c r="C580" s="4" t="s">
        <v>1595</v>
      </c>
      <c r="D580" s="4" t="s">
        <v>45</v>
      </c>
      <c r="E580" s="4"/>
      <c r="F580" s="14"/>
      <c r="G580" s="14"/>
      <c r="H580" s="14"/>
      <c r="I580" s="5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</row>
    <row r="581" spans="1:86" x14ac:dyDescent="0.25">
      <c r="A581" s="12">
        <f t="shared" si="14"/>
        <v>578</v>
      </c>
      <c r="B581" s="4" t="s">
        <v>1596</v>
      </c>
      <c r="C581" s="4" t="s">
        <v>1597</v>
      </c>
      <c r="D581" s="4" t="s">
        <v>45</v>
      </c>
      <c r="E581" s="4"/>
      <c r="F581" s="14"/>
      <c r="G581" s="14"/>
      <c r="H581" s="14"/>
      <c r="I581" s="5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</row>
    <row r="582" spans="1:86" x14ac:dyDescent="0.25">
      <c r="A582" s="12">
        <f t="shared" si="14"/>
        <v>579</v>
      </c>
      <c r="B582" s="4" t="s">
        <v>1598</v>
      </c>
      <c r="C582" s="4" t="s">
        <v>1599</v>
      </c>
      <c r="D582" s="4" t="s">
        <v>45</v>
      </c>
      <c r="E582" s="4"/>
      <c r="F582" s="14"/>
      <c r="G582" s="14"/>
      <c r="H582" s="14"/>
      <c r="I582" s="5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</row>
    <row r="583" spans="1:86" x14ac:dyDescent="0.25">
      <c r="A583" s="12">
        <f t="shared" si="14"/>
        <v>580</v>
      </c>
      <c r="B583" s="4" t="s">
        <v>997</v>
      </c>
      <c r="C583" s="4" t="s">
        <v>998</v>
      </c>
      <c r="D583" s="4" t="s">
        <v>245</v>
      </c>
      <c r="E583" s="4"/>
      <c r="F583" s="14"/>
      <c r="G583" s="14"/>
      <c r="H583" s="14"/>
      <c r="I583" s="5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</row>
    <row r="584" spans="1:86" x14ac:dyDescent="0.25">
      <c r="A584" s="12">
        <f t="shared" si="14"/>
        <v>581</v>
      </c>
      <c r="B584" s="4" t="s">
        <v>1600</v>
      </c>
      <c r="C584" s="4" t="s">
        <v>1601</v>
      </c>
      <c r="D584" s="4" t="s">
        <v>1130</v>
      </c>
      <c r="E584" s="4"/>
      <c r="F584" s="14"/>
      <c r="G584" s="14"/>
      <c r="H584" s="14"/>
      <c r="I584" s="5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</row>
    <row r="585" spans="1:86" x14ac:dyDescent="0.25">
      <c r="A585" s="12">
        <f t="shared" si="14"/>
        <v>582</v>
      </c>
      <c r="B585" s="4" t="s">
        <v>1602</v>
      </c>
      <c r="C585" s="4" t="s">
        <v>1603</v>
      </c>
      <c r="D585" s="4" t="s">
        <v>84</v>
      </c>
      <c r="E585" s="4"/>
      <c r="F585" s="14"/>
      <c r="G585" s="14"/>
      <c r="H585" s="14"/>
      <c r="I585" s="5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</row>
    <row r="586" spans="1:86" x14ac:dyDescent="0.25">
      <c r="A586" s="12">
        <f t="shared" ref="A586:A649" si="15">+A585+1</f>
        <v>583</v>
      </c>
      <c r="B586" s="4" t="s">
        <v>1604</v>
      </c>
      <c r="C586" s="4" t="s">
        <v>1605</v>
      </c>
      <c r="D586" s="4" t="s">
        <v>45</v>
      </c>
      <c r="E586" s="4"/>
      <c r="F586" s="14"/>
      <c r="G586" s="14"/>
      <c r="H586" s="14"/>
      <c r="I586" s="5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</row>
    <row r="587" spans="1:86" x14ac:dyDescent="0.25">
      <c r="A587" s="12">
        <f t="shared" si="15"/>
        <v>584</v>
      </c>
      <c r="B587" s="4" t="s">
        <v>1606</v>
      </c>
      <c r="C587" s="4" t="s">
        <v>1607</v>
      </c>
      <c r="D587" s="4" t="s">
        <v>770</v>
      </c>
      <c r="E587" s="4"/>
      <c r="F587" s="14"/>
      <c r="G587" s="14"/>
      <c r="H587" s="14"/>
      <c r="I587" s="5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</row>
    <row r="588" spans="1:86" x14ac:dyDescent="0.25">
      <c r="A588" s="12">
        <f t="shared" si="15"/>
        <v>585</v>
      </c>
      <c r="B588" s="4" t="s">
        <v>1608</v>
      </c>
      <c r="C588" s="4" t="s">
        <v>1609</v>
      </c>
      <c r="D588" s="4" t="s">
        <v>45</v>
      </c>
      <c r="E588" s="4"/>
      <c r="F588" s="14"/>
      <c r="G588" s="14"/>
      <c r="H588" s="14"/>
      <c r="I588" s="5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</row>
    <row r="589" spans="1:86" x14ac:dyDescent="0.25">
      <c r="A589" s="12">
        <f t="shared" si="15"/>
        <v>586</v>
      </c>
      <c r="B589" s="4" t="s">
        <v>1610</v>
      </c>
      <c r="C589" s="4" t="s">
        <v>1611</v>
      </c>
      <c r="D589" s="4" t="s">
        <v>45</v>
      </c>
      <c r="E589" s="4"/>
      <c r="F589" s="14"/>
      <c r="G589" s="14"/>
      <c r="H589" s="14"/>
      <c r="I589" s="5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</row>
    <row r="590" spans="1:86" x14ac:dyDescent="0.25">
      <c r="A590" s="12">
        <f t="shared" si="15"/>
        <v>587</v>
      </c>
      <c r="B590" s="4" t="s">
        <v>846</v>
      </c>
      <c r="C590" s="4" t="s">
        <v>847</v>
      </c>
      <c r="D590" s="4" t="s">
        <v>45</v>
      </c>
      <c r="E590" s="4"/>
      <c r="F590" s="14"/>
      <c r="G590" s="14"/>
      <c r="H590" s="14"/>
      <c r="I590" s="5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</row>
    <row r="591" spans="1:86" x14ac:dyDescent="0.25">
      <c r="A591" s="12">
        <f t="shared" si="15"/>
        <v>588</v>
      </c>
      <c r="B591" s="4" t="s">
        <v>1612</v>
      </c>
      <c r="C591" s="4" t="s">
        <v>1613</v>
      </c>
      <c r="D591" s="4" t="s">
        <v>770</v>
      </c>
      <c r="E591" s="4"/>
      <c r="F591" s="14"/>
      <c r="G591" s="14"/>
      <c r="H591" s="14"/>
      <c r="I591" s="5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</row>
    <row r="592" spans="1:86" x14ac:dyDescent="0.25">
      <c r="A592" s="12">
        <f t="shared" si="15"/>
        <v>589</v>
      </c>
      <c r="B592" s="4" t="s">
        <v>1614</v>
      </c>
      <c r="C592" s="4" t="s">
        <v>1615</v>
      </c>
      <c r="D592" s="4" t="s">
        <v>45</v>
      </c>
      <c r="E592" s="4"/>
      <c r="F592" s="14"/>
      <c r="G592" s="14"/>
      <c r="H592" s="14"/>
      <c r="I592" s="5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</row>
    <row r="593" spans="1:86" x14ac:dyDescent="0.25">
      <c r="A593" s="12">
        <f t="shared" si="15"/>
        <v>590</v>
      </c>
      <c r="B593" s="4" t="s">
        <v>1616</v>
      </c>
      <c r="C593" s="4" t="s">
        <v>1617</v>
      </c>
      <c r="D593" s="4" t="s">
        <v>45</v>
      </c>
      <c r="E593" s="4"/>
      <c r="F593" s="14"/>
      <c r="G593" s="14"/>
      <c r="H593" s="14"/>
      <c r="I593" s="5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</row>
    <row r="594" spans="1:86" x14ac:dyDescent="0.25">
      <c r="A594" s="12">
        <f t="shared" si="15"/>
        <v>591</v>
      </c>
      <c r="B594" s="4" t="s">
        <v>1618</v>
      </c>
      <c r="C594" s="4" t="s">
        <v>1619</v>
      </c>
      <c r="D594" s="4" t="s">
        <v>45</v>
      </c>
      <c r="E594" s="4"/>
      <c r="F594" s="14"/>
      <c r="G594" s="14"/>
      <c r="H594" s="14"/>
      <c r="I594" s="5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</row>
    <row r="595" spans="1:86" x14ac:dyDescent="0.25">
      <c r="A595" s="12">
        <f t="shared" si="15"/>
        <v>592</v>
      </c>
      <c r="B595" s="4" t="s">
        <v>1001</v>
      </c>
      <c r="C595" s="4" t="s">
        <v>1002</v>
      </c>
      <c r="D595" s="4" t="s">
        <v>45</v>
      </c>
      <c r="E595" s="4"/>
      <c r="F595" s="14"/>
      <c r="G595" s="14"/>
      <c r="H595" s="14"/>
      <c r="I595" s="5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</row>
    <row r="596" spans="1:86" x14ac:dyDescent="0.25">
      <c r="A596" s="12">
        <f t="shared" si="15"/>
        <v>593</v>
      </c>
      <c r="B596" s="4" t="s">
        <v>1620</v>
      </c>
      <c r="C596" s="4" t="s">
        <v>1621</v>
      </c>
      <c r="D596" s="4" t="s">
        <v>1125</v>
      </c>
      <c r="E596" s="4"/>
      <c r="F596" s="14"/>
      <c r="G596" s="14"/>
      <c r="H596" s="14"/>
      <c r="I596" s="5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</row>
    <row r="597" spans="1:86" x14ac:dyDescent="0.25">
      <c r="A597" s="12">
        <f t="shared" si="15"/>
        <v>594</v>
      </c>
      <c r="B597" s="4" t="s">
        <v>1622</v>
      </c>
      <c r="C597" s="4" t="s">
        <v>1623</v>
      </c>
      <c r="D597" s="4" t="s">
        <v>955</v>
      </c>
      <c r="E597" s="4"/>
      <c r="F597" s="14"/>
      <c r="G597" s="14"/>
      <c r="H597" s="14"/>
      <c r="I597" s="5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</row>
    <row r="598" spans="1:86" x14ac:dyDescent="0.25">
      <c r="A598" s="12">
        <f t="shared" si="15"/>
        <v>595</v>
      </c>
      <c r="B598" s="4" t="s">
        <v>1624</v>
      </c>
      <c r="C598" s="4" t="s">
        <v>1625</v>
      </c>
      <c r="D598" s="4" t="s">
        <v>87</v>
      </c>
      <c r="E598" s="4"/>
      <c r="F598" s="14"/>
      <c r="G598" s="14"/>
      <c r="H598" s="14"/>
      <c r="I598" s="5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</row>
    <row r="599" spans="1:86" x14ac:dyDescent="0.25">
      <c r="A599" s="12">
        <f t="shared" si="15"/>
        <v>596</v>
      </c>
      <c r="B599" s="4" t="s">
        <v>1626</v>
      </c>
      <c r="C599" s="4" t="s">
        <v>1627</v>
      </c>
      <c r="D599" s="4" t="s">
        <v>1125</v>
      </c>
      <c r="E599" s="4"/>
      <c r="F599" s="14"/>
      <c r="G599" s="14"/>
      <c r="H599" s="14"/>
      <c r="I599" s="5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</row>
    <row r="600" spans="1:86" x14ac:dyDescent="0.25">
      <c r="A600" s="12">
        <f t="shared" si="15"/>
        <v>597</v>
      </c>
      <c r="B600" s="4" t="s">
        <v>1628</v>
      </c>
      <c r="C600" s="4" t="s">
        <v>1629</v>
      </c>
      <c r="D600" s="4" t="s">
        <v>87</v>
      </c>
      <c r="E600" s="4"/>
      <c r="F600" s="14"/>
      <c r="G600" s="14"/>
      <c r="H600" s="14"/>
      <c r="I600" s="5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</row>
    <row r="601" spans="1:86" x14ac:dyDescent="0.25">
      <c r="A601" s="12">
        <f t="shared" si="15"/>
        <v>598</v>
      </c>
      <c r="B601" s="4" t="s">
        <v>1003</v>
      </c>
      <c r="C601" s="4" t="s">
        <v>1004</v>
      </c>
      <c r="D601" s="4" t="s">
        <v>536</v>
      </c>
      <c r="E601" s="4"/>
      <c r="F601" s="14"/>
      <c r="G601" s="14"/>
      <c r="H601" s="14"/>
      <c r="I601" s="5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</row>
    <row r="602" spans="1:86" x14ac:dyDescent="0.25">
      <c r="A602" s="12">
        <f t="shared" si="15"/>
        <v>599</v>
      </c>
      <c r="B602" s="4" t="s">
        <v>1630</v>
      </c>
      <c r="C602" s="4" t="s">
        <v>1631</v>
      </c>
      <c r="D602" s="4" t="s">
        <v>45</v>
      </c>
      <c r="E602" s="4"/>
      <c r="F602" s="14"/>
      <c r="G602" s="14"/>
      <c r="H602" s="14"/>
      <c r="I602" s="5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</row>
    <row r="603" spans="1:86" x14ac:dyDescent="0.25">
      <c r="A603" s="12">
        <f t="shared" si="15"/>
        <v>600</v>
      </c>
      <c r="B603" s="4" t="s">
        <v>1632</v>
      </c>
      <c r="C603" s="4" t="s">
        <v>1633</v>
      </c>
      <c r="D603" s="4" t="s">
        <v>768</v>
      </c>
      <c r="E603" s="4"/>
      <c r="F603" s="14"/>
      <c r="G603" s="14"/>
      <c r="H603" s="14"/>
      <c r="I603" s="5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</row>
    <row r="604" spans="1:86" x14ac:dyDescent="0.25">
      <c r="A604" s="12">
        <f t="shared" si="15"/>
        <v>601</v>
      </c>
      <c r="B604" s="4" t="s">
        <v>1634</v>
      </c>
      <c r="C604" s="4" t="s">
        <v>1635</v>
      </c>
      <c r="D604" s="4" t="s">
        <v>161</v>
      </c>
      <c r="E604" s="4"/>
      <c r="F604" s="14"/>
      <c r="G604" s="14"/>
      <c r="H604" s="14"/>
      <c r="I604" s="5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</row>
    <row r="605" spans="1:86" x14ac:dyDescent="0.25">
      <c r="A605" s="12">
        <f t="shared" si="15"/>
        <v>602</v>
      </c>
      <c r="B605" s="4" t="s">
        <v>1636</v>
      </c>
      <c r="C605" s="4" t="s">
        <v>1637</v>
      </c>
      <c r="D605" s="4" t="s">
        <v>1638</v>
      </c>
      <c r="E605" s="4"/>
      <c r="F605" s="14"/>
      <c r="G605" s="14"/>
      <c r="H605" s="14"/>
      <c r="I605" s="5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</row>
    <row r="606" spans="1:86" x14ac:dyDescent="0.25">
      <c r="A606" s="12">
        <f t="shared" si="15"/>
        <v>603</v>
      </c>
      <c r="B606" s="4" t="s">
        <v>1639</v>
      </c>
      <c r="C606" s="4" t="s">
        <v>1640</v>
      </c>
      <c r="D606" s="4" t="s">
        <v>1123</v>
      </c>
      <c r="E606" s="4"/>
      <c r="F606" s="14"/>
      <c r="G606" s="14"/>
      <c r="H606" s="14"/>
      <c r="I606" s="5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</row>
    <row r="607" spans="1:86" x14ac:dyDescent="0.25">
      <c r="A607" s="12">
        <f t="shared" si="15"/>
        <v>604</v>
      </c>
      <c r="B607" s="4" t="s">
        <v>1641</v>
      </c>
      <c r="C607" s="4" t="s">
        <v>1642</v>
      </c>
      <c r="D607" s="4" t="s">
        <v>1123</v>
      </c>
      <c r="E607" s="4"/>
      <c r="F607" s="14"/>
      <c r="G607" s="14"/>
      <c r="H607" s="14"/>
      <c r="I607" s="5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</row>
    <row r="608" spans="1:86" x14ac:dyDescent="0.25">
      <c r="A608" s="12">
        <f t="shared" si="15"/>
        <v>605</v>
      </c>
      <c r="B608" s="4" t="s">
        <v>1005</v>
      </c>
      <c r="C608" s="4" t="s">
        <v>1006</v>
      </c>
      <c r="D608" s="4" t="s">
        <v>508</v>
      </c>
      <c r="E608" s="4"/>
      <c r="F608" s="14"/>
      <c r="G608" s="14"/>
      <c r="H608" s="14"/>
      <c r="I608" s="5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</row>
    <row r="609" spans="1:86" x14ac:dyDescent="0.25">
      <c r="A609" s="12">
        <f t="shared" si="15"/>
        <v>606</v>
      </c>
      <c r="B609" s="4" t="s">
        <v>1643</v>
      </c>
      <c r="C609" s="4" t="s">
        <v>1644</v>
      </c>
      <c r="D609" s="4" t="s">
        <v>1125</v>
      </c>
      <c r="E609" s="4"/>
      <c r="F609" s="14"/>
      <c r="G609" s="14"/>
      <c r="H609" s="14"/>
      <c r="I609" s="5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</row>
    <row r="610" spans="1:86" x14ac:dyDescent="0.25">
      <c r="A610" s="12">
        <f t="shared" si="15"/>
        <v>607</v>
      </c>
      <c r="B610" s="4" t="s">
        <v>1645</v>
      </c>
      <c r="C610" s="4" t="s">
        <v>1646</v>
      </c>
      <c r="D610" s="4" t="s">
        <v>45</v>
      </c>
      <c r="E610" s="4"/>
      <c r="F610" s="14"/>
      <c r="G610" s="14"/>
      <c r="H610" s="14"/>
      <c r="I610" s="5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</row>
    <row r="611" spans="1:86" x14ac:dyDescent="0.25">
      <c r="A611" s="12">
        <f t="shared" si="15"/>
        <v>608</v>
      </c>
      <c r="B611" s="4" t="s">
        <v>1647</v>
      </c>
      <c r="C611" s="4" t="s">
        <v>1648</v>
      </c>
      <c r="D611" s="4" t="s">
        <v>508</v>
      </c>
      <c r="E611" s="4"/>
      <c r="F611" s="14"/>
      <c r="G611" s="14"/>
      <c r="H611" s="14"/>
      <c r="I611" s="5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</row>
    <row r="612" spans="1:86" x14ac:dyDescent="0.25">
      <c r="A612" s="12">
        <f t="shared" si="15"/>
        <v>609</v>
      </c>
      <c r="B612" s="4" t="s">
        <v>1649</v>
      </c>
      <c r="C612" s="4" t="s">
        <v>1650</v>
      </c>
      <c r="D612" s="4" t="s">
        <v>2575</v>
      </c>
      <c r="E612" s="4"/>
      <c r="F612" s="14"/>
      <c r="G612" s="14"/>
      <c r="H612" s="14"/>
      <c r="I612" s="5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</row>
    <row r="613" spans="1:86" x14ac:dyDescent="0.25">
      <c r="A613" s="12">
        <f t="shared" si="15"/>
        <v>610</v>
      </c>
      <c r="B613" s="4" t="s">
        <v>1651</v>
      </c>
      <c r="C613" s="4" t="s">
        <v>1652</v>
      </c>
      <c r="D613" s="4" t="s">
        <v>1125</v>
      </c>
      <c r="E613" s="4"/>
      <c r="F613" s="14"/>
      <c r="G613" s="14"/>
      <c r="H613" s="14"/>
      <c r="I613" s="5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</row>
    <row r="614" spans="1:86" x14ac:dyDescent="0.25">
      <c r="A614" s="12">
        <f t="shared" si="15"/>
        <v>611</v>
      </c>
      <c r="B614" s="4" t="s">
        <v>1653</v>
      </c>
      <c r="C614" s="4" t="s">
        <v>1654</v>
      </c>
      <c r="D614" s="4" t="s">
        <v>1129</v>
      </c>
      <c r="E614" s="4"/>
      <c r="F614" s="14"/>
      <c r="G614" s="14"/>
      <c r="H614" s="14"/>
      <c r="I614" s="5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</row>
    <row r="615" spans="1:86" x14ac:dyDescent="0.25">
      <c r="A615" s="12">
        <f t="shared" si="15"/>
        <v>612</v>
      </c>
      <c r="B615" s="4" t="s">
        <v>1655</v>
      </c>
      <c r="C615" s="4" t="s">
        <v>1656</v>
      </c>
      <c r="D615" s="4" t="s">
        <v>45</v>
      </c>
      <c r="E615" s="4"/>
      <c r="F615" s="14"/>
      <c r="G615" s="14"/>
      <c r="H615" s="14"/>
      <c r="I615" s="5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</row>
    <row r="616" spans="1:86" x14ac:dyDescent="0.25">
      <c r="A616" s="12">
        <f t="shared" si="15"/>
        <v>613</v>
      </c>
      <c r="B616" s="4" t="s">
        <v>1657</v>
      </c>
      <c r="C616" s="4" t="s">
        <v>1658</v>
      </c>
      <c r="D616" s="4" t="s">
        <v>1125</v>
      </c>
      <c r="E616" s="4"/>
      <c r="F616" s="14"/>
      <c r="G616" s="14"/>
      <c r="H616" s="14"/>
      <c r="I616" s="5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</row>
    <row r="617" spans="1:86" x14ac:dyDescent="0.25">
      <c r="A617" s="12">
        <f t="shared" si="15"/>
        <v>614</v>
      </c>
      <c r="B617" s="4" t="s">
        <v>1659</v>
      </c>
      <c r="C617" s="4" t="s">
        <v>1660</v>
      </c>
      <c r="D617" s="4" t="s">
        <v>45</v>
      </c>
      <c r="E617" s="4"/>
      <c r="F617" s="14"/>
      <c r="G617" s="14"/>
      <c r="H617" s="14"/>
      <c r="I617" s="5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</row>
    <row r="618" spans="1:86" x14ac:dyDescent="0.25">
      <c r="A618" s="12">
        <f t="shared" si="15"/>
        <v>615</v>
      </c>
      <c r="B618" s="4" t="s">
        <v>1661</v>
      </c>
      <c r="C618" s="4" t="s">
        <v>1662</v>
      </c>
      <c r="D618" s="4" t="s">
        <v>45</v>
      </c>
      <c r="E618" s="4"/>
      <c r="F618" s="14"/>
      <c r="G618" s="14"/>
      <c r="H618" s="14"/>
      <c r="I618" s="5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</row>
    <row r="619" spans="1:86" x14ac:dyDescent="0.25">
      <c r="A619" s="12">
        <f t="shared" si="15"/>
        <v>616</v>
      </c>
      <c r="B619" s="4" t="s">
        <v>1663</v>
      </c>
      <c r="C619" s="4" t="s">
        <v>1664</v>
      </c>
      <c r="D619" s="4" t="s">
        <v>1123</v>
      </c>
      <c r="E619" s="4"/>
      <c r="F619" s="14"/>
      <c r="G619" s="14"/>
      <c r="H619" s="14"/>
      <c r="I619" s="5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</row>
    <row r="620" spans="1:86" x14ac:dyDescent="0.25">
      <c r="A620" s="12">
        <f t="shared" si="15"/>
        <v>617</v>
      </c>
      <c r="B620" s="4" t="s">
        <v>1665</v>
      </c>
      <c r="C620" s="4" t="s">
        <v>1666</v>
      </c>
      <c r="D620" s="4" t="s">
        <v>508</v>
      </c>
      <c r="E620" s="4"/>
      <c r="F620" s="14"/>
      <c r="G620" s="14"/>
      <c r="H620" s="14"/>
      <c r="I620" s="5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</row>
    <row r="621" spans="1:86" x14ac:dyDescent="0.25">
      <c r="A621" s="12">
        <f t="shared" si="15"/>
        <v>618</v>
      </c>
      <c r="B621" s="4" t="s">
        <v>1667</v>
      </c>
      <c r="C621" s="4" t="s">
        <v>1668</v>
      </c>
      <c r="D621" s="4" t="s">
        <v>2572</v>
      </c>
      <c r="E621" s="4"/>
      <c r="F621" s="14"/>
      <c r="G621" s="14"/>
      <c r="H621" s="14"/>
      <c r="I621" s="5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</row>
    <row r="622" spans="1:86" x14ac:dyDescent="0.25">
      <c r="A622" s="12">
        <f t="shared" si="15"/>
        <v>619</v>
      </c>
      <c r="B622" s="4" t="s">
        <v>1669</v>
      </c>
      <c r="C622" s="4" t="s">
        <v>1670</v>
      </c>
      <c r="D622" s="4" t="s">
        <v>1125</v>
      </c>
      <c r="E622" s="4"/>
      <c r="F622" s="14"/>
      <c r="G622" s="14"/>
      <c r="H622" s="14"/>
      <c r="I622" s="5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</row>
    <row r="623" spans="1:86" x14ac:dyDescent="0.25">
      <c r="A623" s="12">
        <f t="shared" si="15"/>
        <v>620</v>
      </c>
      <c r="B623" s="4" t="s">
        <v>1671</v>
      </c>
      <c r="C623" s="4" t="s">
        <v>1672</v>
      </c>
      <c r="D623" s="4" t="s">
        <v>1129</v>
      </c>
      <c r="E623" s="4"/>
      <c r="F623" s="14"/>
      <c r="G623" s="14"/>
      <c r="H623" s="14"/>
      <c r="I623" s="5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</row>
    <row r="624" spans="1:86" x14ac:dyDescent="0.25">
      <c r="A624" s="12">
        <f t="shared" si="15"/>
        <v>621</v>
      </c>
      <c r="B624" s="4" t="s">
        <v>1673</v>
      </c>
      <c r="C624" s="4" t="s">
        <v>1674</v>
      </c>
      <c r="D624" s="4" t="s">
        <v>770</v>
      </c>
      <c r="E624" s="4"/>
      <c r="F624" s="14"/>
      <c r="G624" s="14"/>
      <c r="H624" s="14"/>
      <c r="I624" s="5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</row>
    <row r="625" spans="1:86" x14ac:dyDescent="0.25">
      <c r="A625" s="12">
        <f t="shared" si="15"/>
        <v>622</v>
      </c>
      <c r="B625" s="4" t="s">
        <v>1675</v>
      </c>
      <c r="C625" s="4" t="s">
        <v>1676</v>
      </c>
      <c r="D625" s="4" t="s">
        <v>87</v>
      </c>
      <c r="E625" s="4"/>
      <c r="F625" s="14"/>
      <c r="G625" s="14"/>
      <c r="H625" s="14"/>
      <c r="I625" s="5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</row>
    <row r="626" spans="1:86" x14ac:dyDescent="0.25">
      <c r="A626" s="12">
        <f t="shared" si="15"/>
        <v>623</v>
      </c>
      <c r="B626" s="4" t="s">
        <v>1677</v>
      </c>
      <c r="C626" s="4" t="s">
        <v>1678</v>
      </c>
      <c r="D626" s="4" t="s">
        <v>536</v>
      </c>
      <c r="E626" s="4"/>
      <c r="F626" s="14"/>
      <c r="G626" s="14"/>
      <c r="H626" s="14"/>
      <c r="I626" s="5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</row>
    <row r="627" spans="1:86" x14ac:dyDescent="0.25">
      <c r="A627" s="12">
        <f t="shared" si="15"/>
        <v>624</v>
      </c>
      <c r="B627" s="4" t="s">
        <v>1679</v>
      </c>
      <c r="C627" s="4" t="s">
        <v>1680</v>
      </c>
      <c r="D627" s="4" t="s">
        <v>45</v>
      </c>
      <c r="E627" s="4"/>
      <c r="F627" s="14"/>
      <c r="G627" s="14"/>
      <c r="H627" s="14"/>
      <c r="I627" s="5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</row>
    <row r="628" spans="1:86" x14ac:dyDescent="0.25">
      <c r="A628" s="12">
        <f t="shared" si="15"/>
        <v>625</v>
      </c>
      <c r="B628" s="4" t="s">
        <v>1681</v>
      </c>
      <c r="C628" s="4" t="s">
        <v>1682</v>
      </c>
      <c r="D628" s="4" t="s">
        <v>955</v>
      </c>
      <c r="E628" s="4"/>
      <c r="F628" s="14"/>
      <c r="G628" s="14"/>
      <c r="H628" s="14"/>
      <c r="I628" s="5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</row>
    <row r="629" spans="1:86" x14ac:dyDescent="0.25">
      <c r="A629" s="12">
        <f t="shared" si="15"/>
        <v>626</v>
      </c>
      <c r="B629" s="4" t="s">
        <v>1683</v>
      </c>
      <c r="C629" s="4" t="s">
        <v>1684</v>
      </c>
      <c r="D629" s="4" t="s">
        <v>45</v>
      </c>
      <c r="E629" s="4"/>
      <c r="F629" s="14"/>
      <c r="G629" s="14"/>
      <c r="H629" s="14"/>
      <c r="I629" s="5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</row>
    <row r="630" spans="1:86" x14ac:dyDescent="0.25">
      <c r="A630" s="12">
        <f t="shared" si="15"/>
        <v>627</v>
      </c>
      <c r="B630" s="4" t="s">
        <v>1685</v>
      </c>
      <c r="C630" s="4" t="s">
        <v>1686</v>
      </c>
      <c r="D630" s="4" t="s">
        <v>45</v>
      </c>
      <c r="E630" s="4"/>
      <c r="F630" s="14"/>
      <c r="G630" s="14"/>
      <c r="H630" s="14"/>
      <c r="I630" s="5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</row>
    <row r="631" spans="1:86" x14ac:dyDescent="0.25">
      <c r="A631" s="12">
        <f t="shared" si="15"/>
        <v>628</v>
      </c>
      <c r="B631" s="4" t="s">
        <v>1687</v>
      </c>
      <c r="C631" s="4" t="s">
        <v>1688</v>
      </c>
      <c r="D631" s="4" t="s">
        <v>1130</v>
      </c>
      <c r="E631" s="4"/>
      <c r="F631" s="14"/>
      <c r="G631" s="14"/>
      <c r="H631" s="14"/>
      <c r="I631" s="5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</row>
    <row r="632" spans="1:86" x14ac:dyDescent="0.25">
      <c r="A632" s="12">
        <f t="shared" si="15"/>
        <v>629</v>
      </c>
      <c r="B632" s="4" t="s">
        <v>1689</v>
      </c>
      <c r="C632" s="4" t="s">
        <v>1690</v>
      </c>
      <c r="D632" s="4" t="s">
        <v>1127</v>
      </c>
      <c r="E632" s="4"/>
      <c r="F632" s="14"/>
      <c r="G632" s="14"/>
      <c r="H632" s="14"/>
      <c r="I632" s="5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</row>
    <row r="633" spans="1:86" x14ac:dyDescent="0.25">
      <c r="A633" s="12">
        <f t="shared" si="15"/>
        <v>630</v>
      </c>
      <c r="B633" s="4" t="s">
        <v>1691</v>
      </c>
      <c r="C633" s="4" t="s">
        <v>1692</v>
      </c>
      <c r="D633" s="4" t="s">
        <v>45</v>
      </c>
      <c r="E633" s="4"/>
      <c r="F633" s="14"/>
      <c r="G633" s="14"/>
      <c r="H633" s="14"/>
      <c r="I633" s="5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</row>
    <row r="634" spans="1:86" x14ac:dyDescent="0.25">
      <c r="A634" s="12">
        <f t="shared" si="15"/>
        <v>631</v>
      </c>
      <c r="B634" s="4" t="s">
        <v>1693</v>
      </c>
      <c r="C634" s="4" t="s">
        <v>1694</v>
      </c>
      <c r="D634" s="4" t="s">
        <v>1130</v>
      </c>
      <c r="E634" s="4"/>
      <c r="F634" s="14"/>
      <c r="G634" s="14"/>
      <c r="H634" s="14"/>
      <c r="I634" s="5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</row>
    <row r="635" spans="1:86" x14ac:dyDescent="0.25">
      <c r="A635" s="12">
        <f t="shared" si="15"/>
        <v>632</v>
      </c>
      <c r="B635" s="4" t="s">
        <v>1695</v>
      </c>
      <c r="C635" s="4" t="s">
        <v>1696</v>
      </c>
      <c r="D635" s="4" t="s">
        <v>1129</v>
      </c>
      <c r="E635" s="4"/>
      <c r="F635" s="14"/>
      <c r="G635" s="14"/>
      <c r="H635" s="14"/>
      <c r="I635" s="5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</row>
    <row r="636" spans="1:86" x14ac:dyDescent="0.25">
      <c r="A636" s="12">
        <f t="shared" si="15"/>
        <v>633</v>
      </c>
      <c r="B636" s="4" t="s">
        <v>906</v>
      </c>
      <c r="C636" s="4" t="s">
        <v>907</v>
      </c>
      <c r="D636" s="4" t="s">
        <v>45</v>
      </c>
      <c r="E636" s="4"/>
      <c r="F636" s="14"/>
      <c r="G636" s="14"/>
      <c r="H636" s="14"/>
      <c r="I636" s="5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</row>
    <row r="637" spans="1:86" x14ac:dyDescent="0.25">
      <c r="A637" s="12">
        <f t="shared" si="15"/>
        <v>634</v>
      </c>
      <c r="B637" s="4" t="s">
        <v>1697</v>
      </c>
      <c r="C637" s="4" t="s">
        <v>1698</v>
      </c>
      <c r="D637" s="4" t="s">
        <v>46</v>
      </c>
      <c r="E637" s="4"/>
      <c r="F637" s="14"/>
      <c r="G637" s="14"/>
      <c r="H637" s="14"/>
      <c r="I637" s="5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</row>
    <row r="638" spans="1:86" x14ac:dyDescent="0.25">
      <c r="A638" s="12">
        <f t="shared" si="15"/>
        <v>635</v>
      </c>
      <c r="B638" s="4" t="s">
        <v>1699</v>
      </c>
      <c r="C638" s="4" t="s">
        <v>1700</v>
      </c>
      <c r="D638" s="4" t="s">
        <v>1129</v>
      </c>
      <c r="E638" s="4"/>
      <c r="F638" s="14"/>
      <c r="G638" s="14"/>
      <c r="H638" s="14"/>
      <c r="I638" s="5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</row>
    <row r="639" spans="1:86" x14ac:dyDescent="0.25">
      <c r="A639" s="12">
        <f t="shared" si="15"/>
        <v>636</v>
      </c>
      <c r="B639" s="4" t="s">
        <v>1701</v>
      </c>
      <c r="C639" s="4" t="s">
        <v>1702</v>
      </c>
      <c r="D639" s="4" t="s">
        <v>45</v>
      </c>
      <c r="E639" s="4"/>
      <c r="F639" s="14"/>
      <c r="G639" s="14"/>
      <c r="H639" s="14"/>
      <c r="I639" s="5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</row>
    <row r="640" spans="1:86" x14ac:dyDescent="0.25">
      <c r="A640" s="12">
        <f t="shared" si="15"/>
        <v>637</v>
      </c>
      <c r="B640" s="4" t="s">
        <v>1703</v>
      </c>
      <c r="C640" s="4" t="s">
        <v>1704</v>
      </c>
      <c r="D640" s="4" t="s">
        <v>45</v>
      </c>
      <c r="E640" s="4"/>
      <c r="F640" s="14"/>
      <c r="G640" s="14"/>
      <c r="H640" s="14"/>
      <c r="I640" s="5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</row>
    <row r="641" spans="1:86" x14ac:dyDescent="0.25">
      <c r="A641" s="12">
        <f t="shared" si="15"/>
        <v>638</v>
      </c>
      <c r="B641" s="4" t="s">
        <v>1009</v>
      </c>
      <c r="C641" s="4" t="s">
        <v>1010</v>
      </c>
      <c r="D641" s="4" t="s">
        <v>45</v>
      </c>
      <c r="E641" s="4"/>
      <c r="F641" s="14"/>
      <c r="G641" s="14"/>
      <c r="H641" s="14"/>
      <c r="I641" s="5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</row>
    <row r="642" spans="1:86" x14ac:dyDescent="0.25">
      <c r="A642" s="12">
        <f t="shared" si="15"/>
        <v>639</v>
      </c>
      <c r="B642" s="4" t="s">
        <v>1705</v>
      </c>
      <c r="C642" s="4" t="s">
        <v>1706</v>
      </c>
      <c r="D642" s="4" t="s">
        <v>45</v>
      </c>
      <c r="E642" s="4"/>
      <c r="F642" s="14"/>
      <c r="G642" s="14"/>
      <c r="H642" s="14"/>
      <c r="I642" s="5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</row>
    <row r="643" spans="1:86" x14ac:dyDescent="0.25">
      <c r="A643" s="12">
        <f t="shared" si="15"/>
        <v>640</v>
      </c>
      <c r="B643" s="4" t="s">
        <v>1707</v>
      </c>
      <c r="C643" s="4" t="s">
        <v>1708</v>
      </c>
      <c r="D643" s="4" t="s">
        <v>1125</v>
      </c>
      <c r="E643" s="4"/>
      <c r="F643" s="14"/>
      <c r="G643" s="14"/>
      <c r="H643" s="14"/>
      <c r="I643" s="5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</row>
    <row r="644" spans="1:86" x14ac:dyDescent="0.25">
      <c r="A644" s="12">
        <f t="shared" si="15"/>
        <v>641</v>
      </c>
      <c r="B644" s="4" t="s">
        <v>1709</v>
      </c>
      <c r="C644" s="4" t="s">
        <v>1710</v>
      </c>
      <c r="D644" s="4" t="s">
        <v>45</v>
      </c>
      <c r="E644" s="4"/>
      <c r="F644" s="14"/>
      <c r="G644" s="14"/>
      <c r="H644" s="14"/>
      <c r="I644" s="5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</row>
    <row r="645" spans="1:86" x14ac:dyDescent="0.25">
      <c r="A645" s="12">
        <f t="shared" si="15"/>
        <v>642</v>
      </c>
      <c r="B645" s="4" t="s">
        <v>1711</v>
      </c>
      <c r="C645" s="4" t="s">
        <v>1712</v>
      </c>
      <c r="D645" s="4" t="s">
        <v>45</v>
      </c>
      <c r="E645" s="4"/>
      <c r="F645" s="14"/>
      <c r="G645" s="14"/>
      <c r="H645" s="14"/>
      <c r="I645" s="5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</row>
    <row r="646" spans="1:86" x14ac:dyDescent="0.25">
      <c r="A646" s="12">
        <f t="shared" si="15"/>
        <v>643</v>
      </c>
      <c r="B646" s="4" t="s">
        <v>1713</v>
      </c>
      <c r="C646" s="4" t="s">
        <v>1714</v>
      </c>
      <c r="D646" s="4" t="s">
        <v>1124</v>
      </c>
      <c r="E646" s="4"/>
      <c r="F646" s="14"/>
      <c r="G646" s="14"/>
      <c r="H646" s="14"/>
      <c r="I646" s="5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</row>
    <row r="647" spans="1:86" x14ac:dyDescent="0.25">
      <c r="A647" s="12">
        <f t="shared" si="15"/>
        <v>644</v>
      </c>
      <c r="B647" s="4" t="s">
        <v>1715</v>
      </c>
      <c r="C647" s="4" t="s">
        <v>1716</v>
      </c>
      <c r="D647" s="4" t="s">
        <v>45</v>
      </c>
      <c r="E647" s="4"/>
      <c r="F647" s="14"/>
      <c r="G647" s="14"/>
      <c r="H647" s="14"/>
      <c r="I647" s="5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</row>
    <row r="648" spans="1:86" x14ac:dyDescent="0.25">
      <c r="A648" s="12">
        <f t="shared" si="15"/>
        <v>645</v>
      </c>
      <c r="B648" s="4" t="s">
        <v>1717</v>
      </c>
      <c r="C648" s="4" t="s">
        <v>1718</v>
      </c>
      <c r="D648" s="4" t="s">
        <v>45</v>
      </c>
      <c r="E648" s="4"/>
      <c r="F648" s="14"/>
      <c r="G648" s="14"/>
      <c r="H648" s="14"/>
      <c r="I648" s="5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</row>
    <row r="649" spans="1:86" x14ac:dyDescent="0.25">
      <c r="A649" s="12">
        <f t="shared" si="15"/>
        <v>646</v>
      </c>
      <c r="B649" s="4" t="s">
        <v>1719</v>
      </c>
      <c r="C649" s="4" t="s">
        <v>1720</v>
      </c>
      <c r="D649" s="4" t="s">
        <v>45</v>
      </c>
      <c r="E649" s="4"/>
      <c r="F649" s="14"/>
      <c r="G649" s="14"/>
      <c r="H649" s="14"/>
      <c r="I649" s="5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</row>
    <row r="650" spans="1:86" x14ac:dyDescent="0.25">
      <c r="A650" s="12">
        <f t="shared" ref="A650:A713" si="16">+A649+1</f>
        <v>647</v>
      </c>
      <c r="B650" s="4" t="s">
        <v>1721</v>
      </c>
      <c r="C650" s="4" t="s">
        <v>1721</v>
      </c>
      <c r="D650" s="4" t="s">
        <v>45</v>
      </c>
      <c r="E650" s="4"/>
      <c r="F650" s="14"/>
      <c r="G650" s="14"/>
      <c r="H650" s="14"/>
      <c r="I650" s="5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</row>
    <row r="651" spans="1:86" x14ac:dyDescent="0.25">
      <c r="A651" s="12">
        <f t="shared" si="16"/>
        <v>648</v>
      </c>
      <c r="B651" s="4" t="s">
        <v>1722</v>
      </c>
      <c r="C651" s="4" t="s">
        <v>1723</v>
      </c>
      <c r="D651" s="4" t="s">
        <v>2576</v>
      </c>
      <c r="E651" s="4"/>
      <c r="F651" s="14"/>
      <c r="G651" s="14"/>
      <c r="H651" s="14"/>
      <c r="I651" s="5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</row>
    <row r="652" spans="1:86" x14ac:dyDescent="0.25">
      <c r="A652" s="12">
        <f t="shared" si="16"/>
        <v>649</v>
      </c>
      <c r="B652" s="4" t="s">
        <v>1724</v>
      </c>
      <c r="C652" s="4" t="s">
        <v>1725</v>
      </c>
      <c r="D652" s="4" t="s">
        <v>45</v>
      </c>
      <c r="E652" s="4"/>
      <c r="F652" s="14"/>
      <c r="G652" s="14"/>
      <c r="H652" s="14"/>
      <c r="I652" s="5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</row>
    <row r="653" spans="1:86" x14ac:dyDescent="0.25">
      <c r="A653" s="12">
        <f t="shared" si="16"/>
        <v>650</v>
      </c>
      <c r="B653" s="4" t="s">
        <v>1726</v>
      </c>
      <c r="C653" s="4" t="s">
        <v>1727</v>
      </c>
      <c r="D653" s="4" t="s">
        <v>770</v>
      </c>
      <c r="E653" s="4"/>
      <c r="F653" s="14"/>
      <c r="G653" s="14"/>
      <c r="H653" s="14"/>
      <c r="I653" s="5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</row>
    <row r="654" spans="1:86" x14ac:dyDescent="0.25">
      <c r="A654" s="12">
        <f t="shared" si="16"/>
        <v>651</v>
      </c>
      <c r="B654" s="4" t="s">
        <v>1728</v>
      </c>
      <c r="C654" s="4" t="s">
        <v>1729</v>
      </c>
      <c r="D654" s="4" t="s">
        <v>45</v>
      </c>
      <c r="E654" s="4"/>
      <c r="F654" s="14"/>
      <c r="G654" s="14"/>
      <c r="H654" s="14"/>
      <c r="I654" s="5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</row>
    <row r="655" spans="1:86" x14ac:dyDescent="0.25">
      <c r="A655" s="12">
        <f t="shared" si="16"/>
        <v>652</v>
      </c>
      <c r="B655" s="4" t="s">
        <v>1013</v>
      </c>
      <c r="C655" s="4" t="s">
        <v>1014</v>
      </c>
      <c r="D655" s="4" t="s">
        <v>770</v>
      </c>
      <c r="E655" s="4"/>
      <c r="F655" s="14"/>
      <c r="G655" s="14"/>
      <c r="H655" s="14"/>
      <c r="I655" s="5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</row>
    <row r="656" spans="1:86" x14ac:dyDescent="0.25">
      <c r="A656" s="12">
        <f t="shared" si="16"/>
        <v>653</v>
      </c>
      <c r="B656" s="4" t="s">
        <v>1730</v>
      </c>
      <c r="C656" s="4" t="s">
        <v>1731</v>
      </c>
      <c r="D656" s="4" t="s">
        <v>45</v>
      </c>
      <c r="E656" s="4"/>
      <c r="F656" s="14"/>
      <c r="G656" s="14"/>
      <c r="H656" s="14"/>
      <c r="I656" s="5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</row>
    <row r="657" spans="1:86" x14ac:dyDescent="0.25">
      <c r="A657" s="12">
        <f t="shared" si="16"/>
        <v>654</v>
      </c>
      <c r="B657" s="4" t="s">
        <v>1732</v>
      </c>
      <c r="C657" s="4" t="s">
        <v>1733</v>
      </c>
      <c r="D657" s="4" t="s">
        <v>45</v>
      </c>
      <c r="E657" s="4"/>
      <c r="F657" s="14"/>
      <c r="G657" s="14"/>
      <c r="H657" s="14"/>
      <c r="I657" s="5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</row>
    <row r="658" spans="1:86" x14ac:dyDescent="0.25">
      <c r="A658" s="12">
        <f t="shared" si="16"/>
        <v>655</v>
      </c>
      <c r="B658" s="4" t="s">
        <v>1734</v>
      </c>
      <c r="C658" s="4" t="s">
        <v>1735</v>
      </c>
      <c r="D658" s="4" t="s">
        <v>186</v>
      </c>
      <c r="E658" s="4"/>
      <c r="F658" s="14"/>
      <c r="G658" s="14"/>
      <c r="H658" s="14"/>
      <c r="I658" s="5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</row>
    <row r="659" spans="1:86" x14ac:dyDescent="0.25">
      <c r="A659" s="12">
        <f t="shared" si="16"/>
        <v>656</v>
      </c>
      <c r="B659" s="4" t="s">
        <v>1736</v>
      </c>
      <c r="C659" s="4" t="s">
        <v>1737</v>
      </c>
      <c r="D659" s="4" t="s">
        <v>84</v>
      </c>
      <c r="E659" s="4"/>
      <c r="F659" s="14"/>
      <c r="G659" s="14"/>
      <c r="H659" s="14"/>
      <c r="I659" s="5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</row>
    <row r="660" spans="1:86" x14ac:dyDescent="0.25">
      <c r="A660" s="12">
        <f t="shared" si="16"/>
        <v>657</v>
      </c>
      <c r="B660" s="4" t="s">
        <v>1738</v>
      </c>
      <c r="C660" s="4" t="s">
        <v>1739</v>
      </c>
      <c r="D660" s="4" t="s">
        <v>45</v>
      </c>
      <c r="E660" s="4"/>
      <c r="F660" s="14"/>
      <c r="G660" s="14"/>
      <c r="H660" s="14"/>
      <c r="I660" s="5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</row>
    <row r="661" spans="1:86" x14ac:dyDescent="0.25">
      <c r="A661" s="12">
        <f t="shared" si="16"/>
        <v>658</v>
      </c>
      <c r="B661" s="4" t="s">
        <v>1740</v>
      </c>
      <c r="C661" s="4" t="s">
        <v>1741</v>
      </c>
      <c r="D661" s="4" t="s">
        <v>1126</v>
      </c>
      <c r="E661" s="4"/>
      <c r="F661" s="14"/>
      <c r="G661" s="14"/>
      <c r="H661" s="14"/>
      <c r="I661" s="5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</row>
    <row r="662" spans="1:86" x14ac:dyDescent="0.25">
      <c r="A662" s="12">
        <f t="shared" si="16"/>
        <v>659</v>
      </c>
      <c r="B662" s="4" t="s">
        <v>1742</v>
      </c>
      <c r="C662" s="4" t="s">
        <v>1743</v>
      </c>
      <c r="D662" s="4" t="s">
        <v>186</v>
      </c>
      <c r="E662" s="4"/>
      <c r="F662" s="14"/>
      <c r="G662" s="14"/>
      <c r="H662" s="14"/>
      <c r="I662" s="5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</row>
    <row r="663" spans="1:86" x14ac:dyDescent="0.25">
      <c r="A663" s="12">
        <f t="shared" si="16"/>
        <v>660</v>
      </c>
      <c r="B663" s="4" t="s">
        <v>1744</v>
      </c>
      <c r="C663" s="4" t="s">
        <v>1745</v>
      </c>
      <c r="D663" s="4" t="s">
        <v>1124</v>
      </c>
      <c r="E663" s="4"/>
      <c r="F663" s="14"/>
      <c r="G663" s="14"/>
      <c r="H663" s="14"/>
      <c r="I663" s="5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</row>
    <row r="664" spans="1:86" x14ac:dyDescent="0.25">
      <c r="A664" s="12">
        <f t="shared" si="16"/>
        <v>661</v>
      </c>
      <c r="B664" s="4" t="s">
        <v>1746</v>
      </c>
      <c r="C664" s="4" t="s">
        <v>1747</v>
      </c>
      <c r="D664" s="4" t="s">
        <v>45</v>
      </c>
      <c r="E664" s="4"/>
      <c r="F664" s="14"/>
      <c r="G664" s="14"/>
      <c r="H664" s="14"/>
      <c r="I664" s="5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</row>
    <row r="665" spans="1:86" x14ac:dyDescent="0.25">
      <c r="A665" s="12">
        <f t="shared" si="16"/>
        <v>662</v>
      </c>
      <c r="B665" s="4" t="s">
        <v>1748</v>
      </c>
      <c r="C665" s="4" t="s">
        <v>1749</v>
      </c>
      <c r="D665" s="4" t="s">
        <v>45</v>
      </c>
      <c r="E665" s="4"/>
      <c r="F665" s="14"/>
      <c r="G665" s="14"/>
      <c r="H665" s="14"/>
      <c r="I665" s="5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</row>
    <row r="666" spans="1:86" x14ac:dyDescent="0.25">
      <c r="A666" s="12">
        <f t="shared" si="16"/>
        <v>663</v>
      </c>
      <c r="B666" s="4" t="s">
        <v>1750</v>
      </c>
      <c r="C666" s="4" t="s">
        <v>1751</v>
      </c>
      <c r="D666" s="4" t="s">
        <v>45</v>
      </c>
      <c r="E666" s="4"/>
      <c r="F666" s="14"/>
      <c r="G666" s="14"/>
      <c r="H666" s="14"/>
      <c r="I666" s="5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</row>
    <row r="667" spans="1:86" x14ac:dyDescent="0.25">
      <c r="A667" s="12">
        <f t="shared" si="16"/>
        <v>664</v>
      </c>
      <c r="B667" s="4" t="s">
        <v>1752</v>
      </c>
      <c r="C667" s="4" t="s">
        <v>1753</v>
      </c>
      <c r="D667" s="4" t="s">
        <v>84</v>
      </c>
      <c r="E667" s="4"/>
      <c r="F667" s="14"/>
      <c r="G667" s="14"/>
      <c r="H667" s="14"/>
      <c r="I667" s="5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</row>
    <row r="668" spans="1:86" x14ac:dyDescent="0.25">
      <c r="A668" s="12">
        <f t="shared" si="16"/>
        <v>665</v>
      </c>
      <c r="B668" s="4" t="s">
        <v>1754</v>
      </c>
      <c r="C668" s="4" t="s">
        <v>1755</v>
      </c>
      <c r="D668" s="4" t="s">
        <v>45</v>
      </c>
      <c r="E668" s="4"/>
      <c r="F668" s="14"/>
      <c r="G668" s="14"/>
      <c r="H668" s="14"/>
      <c r="I668" s="5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</row>
    <row r="669" spans="1:86" x14ac:dyDescent="0.25">
      <c r="A669" s="12">
        <f t="shared" si="16"/>
        <v>666</v>
      </c>
      <c r="B669" s="4" t="s">
        <v>1756</v>
      </c>
      <c r="C669" s="4" t="s">
        <v>1757</v>
      </c>
      <c r="D669" s="4" t="s">
        <v>45</v>
      </c>
      <c r="E669" s="4"/>
      <c r="F669" s="14"/>
      <c r="G669" s="14"/>
      <c r="H669" s="14"/>
      <c r="I669" s="5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</row>
    <row r="670" spans="1:86" x14ac:dyDescent="0.25">
      <c r="A670" s="12">
        <f t="shared" si="16"/>
        <v>667</v>
      </c>
      <c r="B670" s="4" t="s">
        <v>1758</v>
      </c>
      <c r="C670" s="4" t="s">
        <v>1759</v>
      </c>
      <c r="D670" s="4" t="s">
        <v>536</v>
      </c>
      <c r="E670" s="4"/>
      <c r="F670" s="14"/>
      <c r="G670" s="14"/>
      <c r="H670" s="14"/>
      <c r="I670" s="5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</row>
    <row r="671" spans="1:86" x14ac:dyDescent="0.25">
      <c r="A671" s="12">
        <f t="shared" si="16"/>
        <v>668</v>
      </c>
      <c r="B671" s="4" t="s">
        <v>1760</v>
      </c>
      <c r="C671" s="4" t="s">
        <v>1761</v>
      </c>
      <c r="D671" s="4" t="s">
        <v>45</v>
      </c>
      <c r="E671" s="4"/>
      <c r="F671" s="14"/>
      <c r="G671" s="14"/>
      <c r="H671" s="14"/>
      <c r="I671" s="5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</row>
    <row r="672" spans="1:86" x14ac:dyDescent="0.25">
      <c r="A672" s="12">
        <f t="shared" si="16"/>
        <v>669</v>
      </c>
      <c r="B672" s="4" t="s">
        <v>1762</v>
      </c>
      <c r="C672" s="4" t="s">
        <v>1763</v>
      </c>
      <c r="D672" s="4" t="s">
        <v>1123</v>
      </c>
      <c r="E672" s="4"/>
      <c r="F672" s="14"/>
      <c r="G672" s="14"/>
      <c r="H672" s="14"/>
      <c r="I672" s="5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</row>
    <row r="673" spans="1:86" x14ac:dyDescent="0.25">
      <c r="A673" s="12">
        <f t="shared" si="16"/>
        <v>670</v>
      </c>
      <c r="B673" s="4" t="s">
        <v>1764</v>
      </c>
      <c r="C673" s="4" t="s">
        <v>1765</v>
      </c>
      <c r="D673" s="4" t="s">
        <v>1129</v>
      </c>
      <c r="E673" s="4"/>
      <c r="F673" s="14"/>
      <c r="G673" s="14"/>
      <c r="H673" s="14"/>
      <c r="I673" s="5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</row>
    <row r="674" spans="1:86" x14ac:dyDescent="0.25">
      <c r="A674" s="12">
        <f t="shared" si="16"/>
        <v>671</v>
      </c>
      <c r="B674" s="4" t="s">
        <v>1766</v>
      </c>
      <c r="C674" s="4" t="s">
        <v>1767</v>
      </c>
      <c r="D674" s="4" t="s">
        <v>84</v>
      </c>
      <c r="E674" s="4"/>
      <c r="F674" s="14"/>
      <c r="G674" s="14"/>
      <c r="H674" s="14"/>
      <c r="I674" s="5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</row>
    <row r="675" spans="1:86" x14ac:dyDescent="0.25">
      <c r="A675" s="12">
        <f t="shared" si="16"/>
        <v>672</v>
      </c>
      <c r="B675" s="4" t="s">
        <v>1019</v>
      </c>
      <c r="C675" s="4" t="s">
        <v>1020</v>
      </c>
      <c r="D675" s="4" t="s">
        <v>84</v>
      </c>
      <c r="E675" s="4"/>
      <c r="F675" s="14"/>
      <c r="G675" s="14"/>
      <c r="H675" s="14"/>
      <c r="I675" s="5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</row>
    <row r="676" spans="1:86" x14ac:dyDescent="0.25">
      <c r="A676" s="12">
        <f t="shared" si="16"/>
        <v>673</v>
      </c>
      <c r="B676" s="4" t="s">
        <v>1768</v>
      </c>
      <c r="C676" s="4" t="s">
        <v>1769</v>
      </c>
      <c r="D676" s="4" t="s">
        <v>2575</v>
      </c>
      <c r="E676" s="4"/>
      <c r="F676" s="14"/>
      <c r="G676" s="14"/>
      <c r="H676" s="14"/>
      <c r="I676" s="5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</row>
    <row r="677" spans="1:86" x14ac:dyDescent="0.25">
      <c r="A677" s="12">
        <f t="shared" si="16"/>
        <v>674</v>
      </c>
      <c r="B677" s="4" t="s">
        <v>1770</v>
      </c>
      <c r="C677" s="4" t="s">
        <v>1771</v>
      </c>
      <c r="D677" s="4" t="s">
        <v>47</v>
      </c>
      <c r="E677" s="4"/>
      <c r="F677" s="14"/>
      <c r="G677" s="14"/>
      <c r="H677" s="14"/>
      <c r="I677" s="5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</row>
    <row r="678" spans="1:86" x14ac:dyDescent="0.25">
      <c r="A678" s="12">
        <f t="shared" si="16"/>
        <v>675</v>
      </c>
      <c r="B678" s="4" t="s">
        <v>1772</v>
      </c>
      <c r="C678" s="4" t="s">
        <v>1773</v>
      </c>
      <c r="D678" s="4" t="s">
        <v>45</v>
      </c>
      <c r="E678" s="4"/>
      <c r="F678" s="14"/>
      <c r="G678" s="14"/>
      <c r="H678" s="14"/>
      <c r="I678" s="5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</row>
    <row r="679" spans="1:86" x14ac:dyDescent="0.25">
      <c r="A679" s="12">
        <f t="shared" si="16"/>
        <v>676</v>
      </c>
      <c r="B679" s="4" t="s">
        <v>1774</v>
      </c>
      <c r="C679" s="4" t="s">
        <v>886</v>
      </c>
      <c r="D679" s="4" t="s">
        <v>768</v>
      </c>
      <c r="E679" s="4"/>
      <c r="F679" s="14"/>
      <c r="G679" s="14"/>
      <c r="H679" s="14"/>
      <c r="I679" s="5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</row>
    <row r="680" spans="1:86" x14ac:dyDescent="0.25">
      <c r="A680" s="12">
        <f t="shared" si="16"/>
        <v>677</v>
      </c>
      <c r="B680" s="4" t="s">
        <v>1775</v>
      </c>
      <c r="C680" s="4" t="s">
        <v>1776</v>
      </c>
      <c r="D680" s="4" t="s">
        <v>45</v>
      </c>
      <c r="E680" s="4"/>
      <c r="F680" s="14"/>
      <c r="G680" s="14"/>
      <c r="H680" s="14"/>
      <c r="I680" s="5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</row>
    <row r="681" spans="1:86" x14ac:dyDescent="0.25">
      <c r="A681" s="12">
        <f t="shared" si="16"/>
        <v>678</v>
      </c>
      <c r="B681" s="4" t="s">
        <v>1777</v>
      </c>
      <c r="C681" s="4" t="s">
        <v>1778</v>
      </c>
      <c r="D681" s="4" t="s">
        <v>87</v>
      </c>
      <c r="E681" s="4"/>
      <c r="F681" s="14"/>
      <c r="G681" s="14"/>
      <c r="H681" s="14"/>
      <c r="I681" s="5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</row>
    <row r="682" spans="1:86" x14ac:dyDescent="0.25">
      <c r="A682" s="12">
        <f t="shared" si="16"/>
        <v>679</v>
      </c>
      <c r="B682" s="4" t="s">
        <v>1779</v>
      </c>
      <c r="C682" s="4" t="s">
        <v>1780</v>
      </c>
      <c r="D682" s="4" t="s">
        <v>768</v>
      </c>
      <c r="E682" s="4"/>
      <c r="F682" s="14"/>
      <c r="G682" s="14"/>
      <c r="H682" s="14"/>
      <c r="I682" s="5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</row>
    <row r="683" spans="1:86" x14ac:dyDescent="0.25">
      <c r="A683" s="12">
        <f t="shared" si="16"/>
        <v>680</v>
      </c>
      <c r="B683" s="4" t="s">
        <v>1781</v>
      </c>
      <c r="C683" s="4" t="s">
        <v>1782</v>
      </c>
      <c r="D683" s="4" t="s">
        <v>45</v>
      </c>
      <c r="E683" s="4"/>
      <c r="F683" s="14"/>
      <c r="G683" s="14"/>
      <c r="H683" s="14"/>
      <c r="I683" s="5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</row>
    <row r="684" spans="1:86" x14ac:dyDescent="0.25">
      <c r="A684" s="12">
        <f t="shared" si="16"/>
        <v>681</v>
      </c>
      <c r="B684" s="4" t="s">
        <v>1783</v>
      </c>
      <c r="C684" s="4" t="s">
        <v>1784</v>
      </c>
      <c r="D684" s="4" t="s">
        <v>508</v>
      </c>
      <c r="E684" s="4"/>
      <c r="F684" s="14"/>
      <c r="G684" s="14"/>
      <c r="H684" s="14"/>
      <c r="I684" s="5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</row>
    <row r="685" spans="1:86" x14ac:dyDescent="0.25">
      <c r="A685" s="12">
        <f t="shared" si="16"/>
        <v>682</v>
      </c>
      <c r="B685" s="4" t="s">
        <v>1785</v>
      </c>
      <c r="C685" s="4" t="s">
        <v>1786</v>
      </c>
      <c r="D685" s="4" t="s">
        <v>1123</v>
      </c>
      <c r="E685" s="4"/>
      <c r="F685" s="14"/>
      <c r="G685" s="14"/>
      <c r="H685" s="14"/>
      <c r="I685" s="5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</row>
    <row r="686" spans="1:86" x14ac:dyDescent="0.25">
      <c r="A686" s="12">
        <f t="shared" si="16"/>
        <v>683</v>
      </c>
      <c r="B686" s="4" t="s">
        <v>1787</v>
      </c>
      <c r="C686" s="4" t="s">
        <v>1788</v>
      </c>
      <c r="D686" s="4" t="s">
        <v>45</v>
      </c>
      <c r="E686" s="4"/>
      <c r="F686" s="14"/>
      <c r="G686" s="14"/>
      <c r="H686" s="14"/>
      <c r="I686" s="5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</row>
    <row r="687" spans="1:86" x14ac:dyDescent="0.25">
      <c r="A687" s="12">
        <f t="shared" si="16"/>
        <v>684</v>
      </c>
      <c r="B687" s="4" t="s">
        <v>1027</v>
      </c>
      <c r="C687" s="4" t="s">
        <v>1028</v>
      </c>
      <c r="D687" s="4" t="s">
        <v>45</v>
      </c>
      <c r="E687" s="4"/>
      <c r="F687" s="14"/>
      <c r="G687" s="14"/>
      <c r="H687" s="14"/>
      <c r="I687" s="5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</row>
    <row r="688" spans="1:86" x14ac:dyDescent="0.25">
      <c r="A688" s="12">
        <f t="shared" si="16"/>
        <v>685</v>
      </c>
      <c r="B688" s="4" t="s">
        <v>1789</v>
      </c>
      <c r="C688" s="4" t="s">
        <v>1790</v>
      </c>
      <c r="D688" s="4" t="s">
        <v>2569</v>
      </c>
      <c r="E688" s="4"/>
      <c r="F688" s="14"/>
      <c r="G688" s="14"/>
      <c r="H688" s="14"/>
      <c r="I688" s="5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</row>
    <row r="689" spans="1:86" x14ac:dyDescent="0.25">
      <c r="A689" s="12">
        <f t="shared" si="16"/>
        <v>686</v>
      </c>
      <c r="B689" s="4" t="s">
        <v>1791</v>
      </c>
      <c r="C689" s="4" t="s">
        <v>1792</v>
      </c>
      <c r="D689" s="4" t="s">
        <v>955</v>
      </c>
      <c r="E689" s="4"/>
      <c r="F689" s="14"/>
      <c r="G689" s="14"/>
      <c r="H689" s="14"/>
      <c r="I689" s="5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</row>
    <row r="690" spans="1:86" x14ac:dyDescent="0.25">
      <c r="A690" s="12">
        <f t="shared" si="16"/>
        <v>687</v>
      </c>
      <c r="B690" s="4" t="s">
        <v>1793</v>
      </c>
      <c r="C690" s="4" t="s">
        <v>1794</v>
      </c>
      <c r="D690" s="4" t="s">
        <v>45</v>
      </c>
      <c r="E690" s="4"/>
      <c r="F690" s="14"/>
      <c r="G690" s="14"/>
      <c r="H690" s="14"/>
      <c r="I690" s="5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</row>
    <row r="691" spans="1:86" x14ac:dyDescent="0.25">
      <c r="A691" s="12">
        <f t="shared" si="16"/>
        <v>688</v>
      </c>
      <c r="B691" s="4" t="s">
        <v>1795</v>
      </c>
      <c r="C691" s="4" t="s">
        <v>1796</v>
      </c>
      <c r="D691" s="4" t="s">
        <v>1123</v>
      </c>
      <c r="E691" s="4"/>
      <c r="F691" s="14"/>
      <c r="G691" s="14"/>
      <c r="H691" s="14"/>
      <c r="I691" s="5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</row>
    <row r="692" spans="1:86" x14ac:dyDescent="0.25">
      <c r="A692" s="12">
        <f t="shared" si="16"/>
        <v>689</v>
      </c>
      <c r="B692" s="4" t="s">
        <v>1029</v>
      </c>
      <c r="C692" s="4" t="s">
        <v>1030</v>
      </c>
      <c r="D692" s="4" t="s">
        <v>770</v>
      </c>
      <c r="E692" s="4"/>
      <c r="F692" s="14"/>
      <c r="G692" s="14"/>
      <c r="H692" s="14"/>
      <c r="I692" s="5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</row>
    <row r="693" spans="1:86" x14ac:dyDescent="0.25">
      <c r="A693" s="12">
        <f t="shared" si="16"/>
        <v>690</v>
      </c>
      <c r="B693" s="4" t="s">
        <v>1797</v>
      </c>
      <c r="C693" s="4" t="s">
        <v>1798</v>
      </c>
      <c r="D693" s="4" t="s">
        <v>84</v>
      </c>
      <c r="E693" s="4"/>
      <c r="F693" s="14"/>
      <c r="G693" s="14"/>
      <c r="H693" s="14"/>
      <c r="I693" s="5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</row>
    <row r="694" spans="1:86" x14ac:dyDescent="0.25">
      <c r="A694" s="12">
        <f t="shared" si="16"/>
        <v>691</v>
      </c>
      <c r="B694" s="4" t="s">
        <v>1799</v>
      </c>
      <c r="C694" s="4" t="s">
        <v>1800</v>
      </c>
      <c r="D694" s="4" t="s">
        <v>87</v>
      </c>
      <c r="E694" s="4"/>
      <c r="F694" s="14"/>
      <c r="G694" s="14"/>
      <c r="H694" s="14"/>
      <c r="I694" s="5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</row>
    <row r="695" spans="1:86" x14ac:dyDescent="0.25">
      <c r="A695" s="12">
        <f t="shared" si="16"/>
        <v>692</v>
      </c>
      <c r="B695" s="4" t="s">
        <v>1801</v>
      </c>
      <c r="C695" s="4" t="s">
        <v>1802</v>
      </c>
      <c r="D695" s="4" t="s">
        <v>45</v>
      </c>
      <c r="E695" s="4"/>
      <c r="F695" s="14"/>
      <c r="G695" s="14"/>
      <c r="H695" s="14"/>
      <c r="I695" s="5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</row>
    <row r="696" spans="1:86" x14ac:dyDescent="0.25">
      <c r="A696" s="12">
        <f t="shared" si="16"/>
        <v>693</v>
      </c>
      <c r="B696" s="4" t="s">
        <v>1803</v>
      </c>
      <c r="C696" s="4" t="s">
        <v>1804</v>
      </c>
      <c r="D696" s="4" t="s">
        <v>1123</v>
      </c>
      <c r="E696" s="4"/>
      <c r="F696" s="14"/>
      <c r="G696" s="14"/>
      <c r="H696" s="14"/>
      <c r="I696" s="5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</row>
    <row r="697" spans="1:86" x14ac:dyDescent="0.25">
      <c r="A697" s="12">
        <f t="shared" si="16"/>
        <v>694</v>
      </c>
      <c r="B697" s="4" t="s">
        <v>1805</v>
      </c>
      <c r="C697" s="4" t="s">
        <v>1806</v>
      </c>
      <c r="D697" s="4" t="s">
        <v>282</v>
      </c>
      <c r="E697" s="4"/>
      <c r="F697" s="14"/>
      <c r="G697" s="14"/>
      <c r="H697" s="14"/>
      <c r="I697" s="5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</row>
    <row r="698" spans="1:86" x14ac:dyDescent="0.25">
      <c r="A698" s="12">
        <f t="shared" si="16"/>
        <v>695</v>
      </c>
      <c r="B698" s="4" t="s">
        <v>1807</v>
      </c>
      <c r="C698" s="4" t="s">
        <v>1808</v>
      </c>
      <c r="D698" s="4" t="s">
        <v>1130</v>
      </c>
      <c r="E698" s="4"/>
      <c r="F698" s="14"/>
      <c r="G698" s="14"/>
      <c r="H698" s="14"/>
      <c r="I698" s="5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</row>
    <row r="699" spans="1:86" x14ac:dyDescent="0.25">
      <c r="A699" s="12">
        <f t="shared" si="16"/>
        <v>696</v>
      </c>
      <c r="B699" s="4" t="s">
        <v>1031</v>
      </c>
      <c r="C699" s="4" t="s">
        <v>1032</v>
      </c>
      <c r="D699" s="4" t="s">
        <v>45</v>
      </c>
      <c r="E699" s="4"/>
      <c r="F699" s="14"/>
      <c r="G699" s="14"/>
      <c r="H699" s="14"/>
      <c r="I699" s="5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</row>
    <row r="700" spans="1:86" x14ac:dyDescent="0.25">
      <c r="A700" s="12">
        <f t="shared" si="16"/>
        <v>697</v>
      </c>
      <c r="B700" s="4" t="s">
        <v>1809</v>
      </c>
      <c r="C700" s="4" t="s">
        <v>1810</v>
      </c>
      <c r="D700" s="4" t="s">
        <v>45</v>
      </c>
      <c r="E700" s="4"/>
      <c r="F700" s="14"/>
      <c r="G700" s="14"/>
      <c r="H700" s="14"/>
      <c r="I700" s="5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</row>
    <row r="701" spans="1:86" x14ac:dyDescent="0.25">
      <c r="A701" s="12">
        <f t="shared" si="16"/>
        <v>698</v>
      </c>
      <c r="B701" s="4" t="s">
        <v>1811</v>
      </c>
      <c r="C701" s="4" t="s">
        <v>1812</v>
      </c>
      <c r="D701" s="4" t="s">
        <v>45</v>
      </c>
      <c r="E701" s="4"/>
      <c r="F701" s="14"/>
      <c r="G701" s="14"/>
      <c r="H701" s="14"/>
      <c r="I701" s="5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</row>
    <row r="702" spans="1:86" x14ac:dyDescent="0.25">
      <c r="A702" s="12">
        <f t="shared" si="16"/>
        <v>699</v>
      </c>
      <c r="B702" s="4" t="s">
        <v>1813</v>
      </c>
      <c r="C702" s="4" t="s">
        <v>1814</v>
      </c>
      <c r="D702" s="4" t="s">
        <v>45</v>
      </c>
      <c r="E702" s="4"/>
      <c r="F702" s="14"/>
      <c r="G702" s="14"/>
      <c r="H702" s="14"/>
      <c r="I702" s="5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</row>
    <row r="703" spans="1:86" x14ac:dyDescent="0.25">
      <c r="A703" s="12">
        <f t="shared" si="16"/>
        <v>700</v>
      </c>
      <c r="B703" s="4" t="s">
        <v>1815</v>
      </c>
      <c r="C703" s="4" t="s">
        <v>1816</v>
      </c>
      <c r="D703" s="4" t="s">
        <v>1130</v>
      </c>
      <c r="E703" s="4"/>
      <c r="F703" s="14"/>
      <c r="G703" s="14"/>
      <c r="H703" s="14"/>
      <c r="I703" s="5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</row>
    <row r="704" spans="1:86" x14ac:dyDescent="0.25">
      <c r="A704" s="12">
        <f t="shared" si="16"/>
        <v>701</v>
      </c>
      <c r="B704" s="4" t="s">
        <v>1817</v>
      </c>
      <c r="C704" s="4" t="s">
        <v>1818</v>
      </c>
      <c r="D704" s="4" t="s">
        <v>770</v>
      </c>
      <c r="E704" s="4"/>
      <c r="F704" s="14"/>
      <c r="G704" s="14"/>
      <c r="H704" s="14"/>
      <c r="I704" s="5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</row>
    <row r="705" spans="1:86" x14ac:dyDescent="0.25">
      <c r="A705" s="12">
        <f t="shared" si="16"/>
        <v>702</v>
      </c>
      <c r="B705" s="4" t="s">
        <v>1819</v>
      </c>
      <c r="C705" s="4" t="s">
        <v>1820</v>
      </c>
      <c r="D705" s="4" t="s">
        <v>45</v>
      </c>
      <c r="E705" s="4"/>
      <c r="F705" s="14"/>
      <c r="G705" s="14"/>
      <c r="H705" s="14"/>
      <c r="I705" s="5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</row>
    <row r="706" spans="1:86" x14ac:dyDescent="0.25">
      <c r="A706" s="12">
        <f t="shared" si="16"/>
        <v>703</v>
      </c>
      <c r="B706" s="4" t="s">
        <v>1821</v>
      </c>
      <c r="C706" s="4" t="s">
        <v>1822</v>
      </c>
      <c r="D706" s="4" t="s">
        <v>1123</v>
      </c>
      <c r="E706" s="4"/>
      <c r="F706" s="14"/>
      <c r="G706" s="14"/>
      <c r="H706" s="14"/>
      <c r="I706" s="5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</row>
    <row r="707" spans="1:86" x14ac:dyDescent="0.25">
      <c r="A707" s="12">
        <f t="shared" si="16"/>
        <v>704</v>
      </c>
      <c r="B707" s="4" t="s">
        <v>1823</v>
      </c>
      <c r="C707" s="4" t="s">
        <v>1824</v>
      </c>
      <c r="D707" s="4" t="s">
        <v>45</v>
      </c>
      <c r="E707" s="4"/>
      <c r="F707" s="14"/>
      <c r="G707" s="14"/>
      <c r="H707" s="14"/>
      <c r="I707" s="5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</row>
    <row r="708" spans="1:86" x14ac:dyDescent="0.25">
      <c r="A708" s="12">
        <f t="shared" si="16"/>
        <v>705</v>
      </c>
      <c r="B708" s="4" t="s">
        <v>1825</v>
      </c>
      <c r="C708" s="4" t="s">
        <v>1826</v>
      </c>
      <c r="D708" s="4" t="s">
        <v>45</v>
      </c>
      <c r="E708" s="4"/>
      <c r="F708" s="14"/>
      <c r="G708" s="14"/>
      <c r="H708" s="14"/>
      <c r="I708" s="5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</row>
    <row r="709" spans="1:86" x14ac:dyDescent="0.25">
      <c r="A709" s="12">
        <f t="shared" si="16"/>
        <v>706</v>
      </c>
      <c r="B709" s="4" t="s">
        <v>1827</v>
      </c>
      <c r="C709" s="4" t="s">
        <v>1828</v>
      </c>
      <c r="D709" s="4" t="s">
        <v>398</v>
      </c>
      <c r="E709" s="4"/>
      <c r="F709" s="14"/>
      <c r="G709" s="14"/>
      <c r="H709" s="14"/>
      <c r="I709" s="5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</row>
    <row r="710" spans="1:86" x14ac:dyDescent="0.25">
      <c r="A710" s="12">
        <f t="shared" si="16"/>
        <v>707</v>
      </c>
      <c r="B710" s="4" t="s">
        <v>1829</v>
      </c>
      <c r="C710" s="4" t="s">
        <v>1830</v>
      </c>
      <c r="D710" s="4" t="s">
        <v>2579</v>
      </c>
      <c r="E710" s="4"/>
      <c r="F710" s="14"/>
      <c r="G710" s="14"/>
      <c r="H710" s="14"/>
      <c r="I710" s="5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</row>
    <row r="711" spans="1:86" x14ac:dyDescent="0.25">
      <c r="A711" s="12">
        <f t="shared" si="16"/>
        <v>708</v>
      </c>
      <c r="B711" s="4" t="s">
        <v>1831</v>
      </c>
      <c r="C711" s="4" t="s">
        <v>1832</v>
      </c>
      <c r="D711" s="4" t="s">
        <v>1129</v>
      </c>
      <c r="E711" s="4"/>
      <c r="F711" s="14"/>
      <c r="G711" s="14"/>
      <c r="H711" s="14"/>
      <c r="I711" s="5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</row>
    <row r="712" spans="1:86" x14ac:dyDescent="0.25">
      <c r="A712" s="12">
        <f t="shared" si="16"/>
        <v>709</v>
      </c>
      <c r="B712" s="4" t="s">
        <v>1833</v>
      </c>
      <c r="C712" s="4" t="s">
        <v>1834</v>
      </c>
      <c r="D712" s="4" t="s">
        <v>1125</v>
      </c>
      <c r="E712" s="4"/>
      <c r="F712" s="14"/>
      <c r="G712" s="14"/>
      <c r="H712" s="14"/>
      <c r="I712" s="5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</row>
    <row r="713" spans="1:86" x14ac:dyDescent="0.25">
      <c r="A713" s="12">
        <f t="shared" si="16"/>
        <v>710</v>
      </c>
      <c r="B713" s="4" t="s">
        <v>1835</v>
      </c>
      <c r="C713" s="4" t="s">
        <v>1836</v>
      </c>
      <c r="D713" s="4" t="s">
        <v>45</v>
      </c>
      <c r="E713" s="4"/>
      <c r="F713" s="14"/>
      <c r="G713" s="14"/>
      <c r="H713" s="14"/>
      <c r="I713" s="5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</row>
    <row r="714" spans="1:86" x14ac:dyDescent="0.25">
      <c r="A714" s="12">
        <f t="shared" ref="A714:A777" si="17">+A713+1</f>
        <v>711</v>
      </c>
      <c r="B714" s="4" t="s">
        <v>1837</v>
      </c>
      <c r="C714" s="4" t="s">
        <v>1838</v>
      </c>
      <c r="D714" s="4" t="s">
        <v>45</v>
      </c>
      <c r="E714" s="4"/>
      <c r="F714" s="14"/>
      <c r="G714" s="14"/>
      <c r="H714" s="14"/>
      <c r="I714" s="5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</row>
    <row r="715" spans="1:86" x14ac:dyDescent="0.25">
      <c r="A715" s="12">
        <f t="shared" si="17"/>
        <v>712</v>
      </c>
      <c r="B715" s="4" t="s">
        <v>1839</v>
      </c>
      <c r="C715" s="4" t="s">
        <v>1840</v>
      </c>
      <c r="D715" s="4" t="s">
        <v>45</v>
      </c>
      <c r="E715" s="4"/>
      <c r="F715" s="14"/>
      <c r="G715" s="14"/>
      <c r="H715" s="14"/>
      <c r="I715" s="5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</row>
    <row r="716" spans="1:86" x14ac:dyDescent="0.25">
      <c r="A716" s="12">
        <f t="shared" si="17"/>
        <v>713</v>
      </c>
      <c r="B716" s="4" t="s">
        <v>1841</v>
      </c>
      <c r="C716" s="4" t="s">
        <v>1842</v>
      </c>
      <c r="D716" s="4" t="s">
        <v>536</v>
      </c>
      <c r="E716" s="4"/>
      <c r="F716" s="14"/>
      <c r="G716" s="14"/>
      <c r="H716" s="14"/>
      <c r="I716" s="5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</row>
    <row r="717" spans="1:86" x14ac:dyDescent="0.25">
      <c r="A717" s="12">
        <f t="shared" si="17"/>
        <v>714</v>
      </c>
      <c r="B717" s="4" t="s">
        <v>1843</v>
      </c>
      <c r="C717" s="4" t="s">
        <v>1844</v>
      </c>
      <c r="D717" s="4" t="s">
        <v>768</v>
      </c>
      <c r="E717" s="4"/>
      <c r="F717" s="14"/>
      <c r="G717" s="14"/>
      <c r="H717" s="14"/>
      <c r="I717" s="5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</row>
    <row r="718" spans="1:86" x14ac:dyDescent="0.25">
      <c r="A718" s="12">
        <f t="shared" si="17"/>
        <v>715</v>
      </c>
      <c r="B718" s="4" t="s">
        <v>1845</v>
      </c>
      <c r="C718" s="4" t="s">
        <v>1846</v>
      </c>
      <c r="D718" s="4" t="s">
        <v>45</v>
      </c>
      <c r="E718" s="4"/>
      <c r="F718" s="14"/>
      <c r="G718" s="14"/>
      <c r="H718" s="14"/>
      <c r="I718" s="5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</row>
    <row r="719" spans="1:86" x14ac:dyDescent="0.25">
      <c r="A719" s="12">
        <f t="shared" si="17"/>
        <v>716</v>
      </c>
      <c r="B719" s="4" t="s">
        <v>1847</v>
      </c>
      <c r="C719" s="4" t="s">
        <v>1848</v>
      </c>
      <c r="D719" s="4" t="s">
        <v>282</v>
      </c>
      <c r="E719" s="4"/>
      <c r="F719" s="14"/>
      <c r="G719" s="14"/>
      <c r="H719" s="14"/>
      <c r="I719" s="5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</row>
    <row r="720" spans="1:86" x14ac:dyDescent="0.25">
      <c r="A720" s="12">
        <f t="shared" si="17"/>
        <v>717</v>
      </c>
      <c r="B720" s="4" t="s">
        <v>1849</v>
      </c>
      <c r="C720" s="4" t="s">
        <v>1850</v>
      </c>
      <c r="D720" s="4" t="s">
        <v>278</v>
      </c>
      <c r="E720" s="4"/>
      <c r="F720" s="14"/>
      <c r="G720" s="14"/>
      <c r="H720" s="14"/>
      <c r="I720" s="5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</row>
    <row r="721" spans="1:86" x14ac:dyDescent="0.25">
      <c r="A721" s="12">
        <f t="shared" si="17"/>
        <v>718</v>
      </c>
      <c r="B721" s="4" t="s">
        <v>1851</v>
      </c>
      <c r="C721" s="4" t="s">
        <v>1852</v>
      </c>
      <c r="D721" s="4" t="s">
        <v>1130</v>
      </c>
      <c r="E721" s="4"/>
      <c r="F721" s="14"/>
      <c r="G721" s="14"/>
      <c r="H721" s="14"/>
      <c r="I721" s="5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</row>
    <row r="722" spans="1:86" x14ac:dyDescent="0.25">
      <c r="A722" s="12">
        <f t="shared" si="17"/>
        <v>719</v>
      </c>
      <c r="B722" s="4" t="s">
        <v>1853</v>
      </c>
      <c r="C722" s="4" t="s">
        <v>1854</v>
      </c>
      <c r="D722" s="4" t="s">
        <v>508</v>
      </c>
      <c r="E722" s="4"/>
      <c r="F722" s="14"/>
      <c r="G722" s="14"/>
      <c r="H722" s="14"/>
      <c r="I722" s="5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</row>
    <row r="723" spans="1:86" x14ac:dyDescent="0.25">
      <c r="A723" s="12">
        <f t="shared" si="17"/>
        <v>720</v>
      </c>
      <c r="B723" s="4" t="s">
        <v>1855</v>
      </c>
      <c r="C723" s="4" t="s">
        <v>1856</v>
      </c>
      <c r="D723" s="4" t="s">
        <v>45</v>
      </c>
      <c r="E723" s="4"/>
      <c r="F723" s="14"/>
      <c r="G723" s="14"/>
      <c r="H723" s="14"/>
      <c r="I723" s="5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</row>
    <row r="724" spans="1:86" x14ac:dyDescent="0.25">
      <c r="A724" s="12">
        <f t="shared" si="17"/>
        <v>721</v>
      </c>
      <c r="B724" s="4" t="s">
        <v>1857</v>
      </c>
      <c r="C724" s="4" t="s">
        <v>1858</v>
      </c>
      <c r="D724" s="4" t="s">
        <v>45</v>
      </c>
      <c r="E724" s="4"/>
      <c r="F724" s="14"/>
      <c r="G724" s="14"/>
      <c r="H724" s="14"/>
      <c r="I724" s="5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</row>
    <row r="725" spans="1:86" x14ac:dyDescent="0.25">
      <c r="A725" s="12">
        <f t="shared" si="17"/>
        <v>722</v>
      </c>
      <c r="B725" s="4" t="s">
        <v>1859</v>
      </c>
      <c r="C725" s="4" t="s">
        <v>1860</v>
      </c>
      <c r="D725" s="4" t="s">
        <v>45</v>
      </c>
      <c r="E725" s="4"/>
      <c r="F725" s="14"/>
      <c r="G725" s="14"/>
      <c r="H725" s="14"/>
      <c r="I725" s="5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</row>
    <row r="726" spans="1:86" x14ac:dyDescent="0.25">
      <c r="A726" s="12">
        <f t="shared" si="17"/>
        <v>723</v>
      </c>
      <c r="B726" s="4" t="s">
        <v>1861</v>
      </c>
      <c r="C726" s="4" t="s">
        <v>1862</v>
      </c>
      <c r="D726" s="4" t="s">
        <v>45</v>
      </c>
      <c r="E726" s="4"/>
      <c r="F726" s="14"/>
      <c r="G726" s="14"/>
      <c r="H726" s="14"/>
      <c r="I726" s="5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</row>
    <row r="727" spans="1:86" x14ac:dyDescent="0.25">
      <c r="A727" s="12">
        <f t="shared" si="17"/>
        <v>724</v>
      </c>
      <c r="B727" s="4" t="s">
        <v>1863</v>
      </c>
      <c r="C727" s="4" t="s">
        <v>1864</v>
      </c>
      <c r="D727" s="4" t="s">
        <v>87</v>
      </c>
      <c r="E727" s="4"/>
      <c r="F727" s="14"/>
      <c r="G727" s="14"/>
      <c r="H727" s="14"/>
      <c r="I727" s="5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</row>
    <row r="728" spans="1:86" x14ac:dyDescent="0.25">
      <c r="A728" s="12">
        <f t="shared" si="17"/>
        <v>725</v>
      </c>
      <c r="B728" s="4" t="s">
        <v>1865</v>
      </c>
      <c r="C728" s="4" t="s">
        <v>1866</v>
      </c>
      <c r="D728" s="4" t="s">
        <v>45</v>
      </c>
      <c r="E728" s="4"/>
      <c r="F728" s="14"/>
      <c r="G728" s="14"/>
      <c r="H728" s="14"/>
      <c r="I728" s="5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</row>
    <row r="729" spans="1:86" x14ac:dyDescent="0.25">
      <c r="A729" s="12">
        <f t="shared" si="17"/>
        <v>726</v>
      </c>
      <c r="B729" s="4" t="s">
        <v>1867</v>
      </c>
      <c r="C729" s="4" t="s">
        <v>1868</v>
      </c>
      <c r="D729" s="4" t="s">
        <v>1129</v>
      </c>
      <c r="E729" s="4"/>
      <c r="F729" s="14"/>
      <c r="G729" s="14"/>
      <c r="H729" s="14"/>
      <c r="I729" s="5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</row>
    <row r="730" spans="1:86" x14ac:dyDescent="0.25">
      <c r="A730" s="12">
        <f t="shared" si="17"/>
        <v>727</v>
      </c>
      <c r="B730" s="4" t="s">
        <v>1869</v>
      </c>
      <c r="C730" s="4" t="s">
        <v>1870</v>
      </c>
      <c r="D730" s="4" t="s">
        <v>45</v>
      </c>
      <c r="E730" s="4"/>
      <c r="F730" s="14"/>
      <c r="G730" s="14"/>
      <c r="H730" s="14"/>
      <c r="I730" s="5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</row>
    <row r="731" spans="1:86" x14ac:dyDescent="0.25">
      <c r="A731" s="12">
        <f t="shared" si="17"/>
        <v>728</v>
      </c>
      <c r="B731" s="4" t="s">
        <v>1871</v>
      </c>
      <c r="C731" s="4" t="s">
        <v>1872</v>
      </c>
      <c r="D731" s="4" t="s">
        <v>45</v>
      </c>
      <c r="E731" s="4"/>
      <c r="F731" s="14"/>
      <c r="G731" s="14"/>
      <c r="H731" s="14"/>
      <c r="I731" s="5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</row>
    <row r="732" spans="1:86" x14ac:dyDescent="0.25">
      <c r="A732" s="12">
        <f t="shared" si="17"/>
        <v>729</v>
      </c>
      <c r="B732" s="4" t="s">
        <v>1035</v>
      </c>
      <c r="C732" s="4" t="s">
        <v>1036</v>
      </c>
      <c r="D732" s="4" t="s">
        <v>536</v>
      </c>
      <c r="E732" s="4"/>
      <c r="F732" s="14"/>
      <c r="G732" s="14"/>
      <c r="H732" s="14"/>
      <c r="I732" s="5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</row>
    <row r="733" spans="1:86" x14ac:dyDescent="0.25">
      <c r="A733" s="12">
        <f t="shared" si="17"/>
        <v>730</v>
      </c>
      <c r="B733" s="4" t="s">
        <v>1873</v>
      </c>
      <c r="C733" s="4" t="s">
        <v>1874</v>
      </c>
      <c r="D733" s="4" t="s">
        <v>955</v>
      </c>
      <c r="E733" s="4"/>
      <c r="F733" s="14"/>
      <c r="G733" s="14"/>
      <c r="H733" s="14"/>
      <c r="I733" s="5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</row>
    <row r="734" spans="1:86" x14ac:dyDescent="0.25">
      <c r="A734" s="12">
        <f t="shared" si="17"/>
        <v>731</v>
      </c>
      <c r="B734" s="4" t="s">
        <v>1875</v>
      </c>
      <c r="C734" s="4" t="s">
        <v>1876</v>
      </c>
      <c r="D734" s="4" t="s">
        <v>1126</v>
      </c>
      <c r="E734" s="4"/>
      <c r="F734" s="14"/>
      <c r="G734" s="14"/>
      <c r="H734" s="14"/>
      <c r="I734" s="5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</row>
    <row r="735" spans="1:86" x14ac:dyDescent="0.25">
      <c r="A735" s="12">
        <f t="shared" si="17"/>
        <v>732</v>
      </c>
      <c r="B735" s="4" t="s">
        <v>1877</v>
      </c>
      <c r="C735" s="4" t="s">
        <v>1878</v>
      </c>
      <c r="D735" s="4" t="s">
        <v>955</v>
      </c>
      <c r="E735" s="4"/>
      <c r="F735" s="14"/>
      <c r="G735" s="14"/>
      <c r="H735" s="14"/>
      <c r="I735" s="5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</row>
    <row r="736" spans="1:86" x14ac:dyDescent="0.25">
      <c r="A736" s="12">
        <f t="shared" si="17"/>
        <v>733</v>
      </c>
      <c r="B736" s="4" t="s">
        <v>1879</v>
      </c>
      <c r="C736" s="4" t="s">
        <v>1880</v>
      </c>
      <c r="D736" s="4" t="s">
        <v>45</v>
      </c>
      <c r="E736" s="4"/>
      <c r="F736" s="14"/>
      <c r="G736" s="14"/>
      <c r="H736" s="14"/>
      <c r="I736" s="5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</row>
    <row r="737" spans="1:86" x14ac:dyDescent="0.25">
      <c r="A737" s="12">
        <f t="shared" si="17"/>
        <v>734</v>
      </c>
      <c r="B737" s="4" t="s">
        <v>1881</v>
      </c>
      <c r="C737" s="4" t="s">
        <v>1882</v>
      </c>
      <c r="D737" s="4" t="s">
        <v>768</v>
      </c>
      <c r="E737" s="4"/>
      <c r="F737" s="14"/>
      <c r="G737" s="14"/>
      <c r="H737" s="14"/>
      <c r="I737" s="5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</row>
    <row r="738" spans="1:86" x14ac:dyDescent="0.25">
      <c r="A738" s="12">
        <f t="shared" si="17"/>
        <v>735</v>
      </c>
      <c r="B738" s="4" t="s">
        <v>1883</v>
      </c>
      <c r="C738" s="4" t="s">
        <v>1884</v>
      </c>
      <c r="D738" s="4" t="s">
        <v>45</v>
      </c>
      <c r="E738" s="4"/>
      <c r="F738" s="14"/>
      <c r="G738" s="14"/>
      <c r="H738" s="14"/>
      <c r="I738" s="5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</row>
    <row r="739" spans="1:86" x14ac:dyDescent="0.25">
      <c r="A739" s="12">
        <f t="shared" si="17"/>
        <v>736</v>
      </c>
      <c r="B739" s="4" t="s">
        <v>1885</v>
      </c>
      <c r="C739" s="4" t="s">
        <v>1886</v>
      </c>
      <c r="D739" s="4" t="s">
        <v>45</v>
      </c>
      <c r="E739" s="4"/>
      <c r="F739" s="14"/>
      <c r="G739" s="14"/>
      <c r="H739" s="14"/>
      <c r="I739" s="5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</row>
    <row r="740" spans="1:86" x14ac:dyDescent="0.25">
      <c r="A740" s="12">
        <f t="shared" si="17"/>
        <v>737</v>
      </c>
      <c r="B740" s="4" t="s">
        <v>1887</v>
      </c>
      <c r="C740" s="4" t="s">
        <v>1888</v>
      </c>
      <c r="D740" s="4" t="s">
        <v>45</v>
      </c>
      <c r="E740" s="4"/>
      <c r="F740" s="14"/>
      <c r="G740" s="14"/>
      <c r="H740" s="14"/>
      <c r="I740" s="5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</row>
    <row r="741" spans="1:86" x14ac:dyDescent="0.25">
      <c r="A741" s="12">
        <f t="shared" si="17"/>
        <v>738</v>
      </c>
      <c r="B741" s="4" t="s">
        <v>1889</v>
      </c>
      <c r="C741" s="4" t="s">
        <v>1890</v>
      </c>
      <c r="D741" s="4" t="s">
        <v>45</v>
      </c>
      <c r="E741" s="4"/>
      <c r="F741" s="14"/>
      <c r="G741" s="14"/>
      <c r="H741" s="14"/>
      <c r="I741" s="5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</row>
    <row r="742" spans="1:86" x14ac:dyDescent="0.25">
      <c r="A742" s="12">
        <f t="shared" si="17"/>
        <v>739</v>
      </c>
      <c r="B742" s="4" t="s">
        <v>1891</v>
      </c>
      <c r="C742" s="4" t="s">
        <v>1892</v>
      </c>
      <c r="D742" s="4" t="s">
        <v>45</v>
      </c>
      <c r="E742" s="4"/>
      <c r="F742" s="14"/>
      <c r="G742" s="14"/>
      <c r="H742" s="14"/>
      <c r="I742" s="5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</row>
    <row r="743" spans="1:86" x14ac:dyDescent="0.25">
      <c r="A743" s="12">
        <f t="shared" si="17"/>
        <v>740</v>
      </c>
      <c r="B743" s="4" t="s">
        <v>1893</v>
      </c>
      <c r="C743" s="4" t="s">
        <v>1894</v>
      </c>
      <c r="D743" s="4" t="s">
        <v>45</v>
      </c>
      <c r="E743" s="4"/>
      <c r="F743" s="14"/>
      <c r="G743" s="14"/>
      <c r="H743" s="14"/>
      <c r="I743" s="5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</row>
    <row r="744" spans="1:86" x14ac:dyDescent="0.25">
      <c r="A744" s="12">
        <f t="shared" si="17"/>
        <v>741</v>
      </c>
      <c r="B744" s="4" t="s">
        <v>1895</v>
      </c>
      <c r="C744" s="4" t="s">
        <v>1896</v>
      </c>
      <c r="D744" s="4" t="s">
        <v>768</v>
      </c>
      <c r="E744" s="4"/>
      <c r="F744" s="14"/>
      <c r="G744" s="14"/>
      <c r="H744" s="14"/>
      <c r="I744" s="5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</row>
    <row r="745" spans="1:86" x14ac:dyDescent="0.25">
      <c r="A745" s="12">
        <f t="shared" si="17"/>
        <v>742</v>
      </c>
      <c r="B745" s="4" t="s">
        <v>1897</v>
      </c>
      <c r="C745" s="4" t="s">
        <v>1898</v>
      </c>
      <c r="D745" s="4" t="s">
        <v>161</v>
      </c>
      <c r="E745" s="4"/>
      <c r="F745" s="14"/>
      <c r="G745" s="14"/>
      <c r="H745" s="14"/>
      <c r="I745" s="5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</row>
    <row r="746" spans="1:86" x14ac:dyDescent="0.25">
      <c r="A746" s="12">
        <f t="shared" si="17"/>
        <v>743</v>
      </c>
      <c r="B746" s="4" t="s">
        <v>1899</v>
      </c>
      <c r="C746" s="4" t="s">
        <v>1900</v>
      </c>
      <c r="D746" s="4" t="s">
        <v>1127</v>
      </c>
      <c r="E746" s="4"/>
      <c r="F746" s="14"/>
      <c r="G746" s="14"/>
      <c r="H746" s="14"/>
      <c r="I746" s="5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</row>
    <row r="747" spans="1:86" x14ac:dyDescent="0.25">
      <c r="A747" s="12">
        <f t="shared" si="17"/>
        <v>744</v>
      </c>
      <c r="B747" s="4" t="s">
        <v>1901</v>
      </c>
      <c r="C747" s="4" t="s">
        <v>1902</v>
      </c>
      <c r="D747" s="4" t="s">
        <v>1129</v>
      </c>
      <c r="E747" s="4"/>
      <c r="F747" s="14"/>
      <c r="G747" s="14"/>
      <c r="H747" s="14"/>
      <c r="I747" s="5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</row>
    <row r="748" spans="1:86" x14ac:dyDescent="0.25">
      <c r="A748" s="12">
        <f t="shared" si="17"/>
        <v>745</v>
      </c>
      <c r="B748" s="4" t="s">
        <v>1903</v>
      </c>
      <c r="C748" s="4" t="s">
        <v>1904</v>
      </c>
      <c r="D748" s="4" t="s">
        <v>1123</v>
      </c>
      <c r="E748" s="4"/>
      <c r="F748" s="14"/>
      <c r="G748" s="14"/>
      <c r="H748" s="14"/>
      <c r="I748" s="5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</row>
    <row r="749" spans="1:86" x14ac:dyDescent="0.25">
      <c r="A749" s="12">
        <f t="shared" si="17"/>
        <v>746</v>
      </c>
      <c r="B749" s="4" t="s">
        <v>1905</v>
      </c>
      <c r="C749" s="4" t="s">
        <v>1906</v>
      </c>
      <c r="D749" s="4" t="s">
        <v>2572</v>
      </c>
      <c r="E749" s="4"/>
      <c r="F749" s="14"/>
      <c r="G749" s="14"/>
      <c r="H749" s="14"/>
      <c r="I749" s="5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</row>
    <row r="750" spans="1:86" x14ac:dyDescent="0.25">
      <c r="A750" s="12">
        <f t="shared" si="17"/>
        <v>747</v>
      </c>
      <c r="B750" s="4" t="s">
        <v>1907</v>
      </c>
      <c r="C750" s="4" t="s">
        <v>1908</v>
      </c>
      <c r="D750" s="4" t="s">
        <v>45</v>
      </c>
      <c r="E750" s="4"/>
      <c r="F750" s="14"/>
      <c r="G750" s="14"/>
      <c r="H750" s="14"/>
      <c r="I750" s="5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</row>
    <row r="751" spans="1:86" x14ac:dyDescent="0.25">
      <c r="A751" s="12">
        <f t="shared" si="17"/>
        <v>748</v>
      </c>
      <c r="B751" s="4" t="s">
        <v>1909</v>
      </c>
      <c r="C751" s="4" t="s">
        <v>1910</v>
      </c>
      <c r="D751" s="4" t="s">
        <v>2569</v>
      </c>
      <c r="E751" s="4"/>
      <c r="F751" s="14"/>
      <c r="G751" s="14"/>
      <c r="H751" s="14"/>
      <c r="I751" s="5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</row>
    <row r="752" spans="1:86" x14ac:dyDescent="0.25">
      <c r="A752" s="12">
        <f t="shared" si="17"/>
        <v>749</v>
      </c>
      <c r="B752" s="4" t="s">
        <v>1911</v>
      </c>
      <c r="C752" s="4" t="s">
        <v>1912</v>
      </c>
      <c r="D752" s="4" t="s">
        <v>768</v>
      </c>
      <c r="E752" s="4"/>
      <c r="F752" s="14"/>
      <c r="G752" s="14"/>
      <c r="H752" s="14"/>
      <c r="I752" s="5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</row>
    <row r="753" spans="1:86" x14ac:dyDescent="0.25">
      <c r="A753" s="12">
        <f t="shared" si="17"/>
        <v>750</v>
      </c>
      <c r="B753" s="4" t="s">
        <v>1913</v>
      </c>
      <c r="C753" s="4" t="s">
        <v>1914</v>
      </c>
      <c r="D753" s="4" t="s">
        <v>1129</v>
      </c>
      <c r="E753" s="4"/>
      <c r="F753" s="14"/>
      <c r="G753" s="14"/>
      <c r="H753" s="14"/>
      <c r="I753" s="5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</row>
    <row r="754" spans="1:86" x14ac:dyDescent="0.25">
      <c r="A754" s="12">
        <f t="shared" si="17"/>
        <v>751</v>
      </c>
      <c r="B754" s="4" t="s">
        <v>1915</v>
      </c>
      <c r="C754" s="4" t="s">
        <v>1916</v>
      </c>
      <c r="D754" s="4" t="s">
        <v>955</v>
      </c>
      <c r="E754" s="4"/>
      <c r="F754" s="14"/>
      <c r="G754" s="14"/>
      <c r="H754" s="14"/>
      <c r="I754" s="5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</row>
    <row r="755" spans="1:86" x14ac:dyDescent="0.25">
      <c r="A755" s="12">
        <f t="shared" si="17"/>
        <v>752</v>
      </c>
      <c r="B755" s="4" t="s">
        <v>1917</v>
      </c>
      <c r="C755" s="4" t="s">
        <v>1918</v>
      </c>
      <c r="D755" s="4" t="s">
        <v>45</v>
      </c>
      <c r="E755" s="4"/>
      <c r="F755" s="14"/>
      <c r="G755" s="14"/>
      <c r="H755" s="14"/>
      <c r="I755" s="5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</row>
    <row r="756" spans="1:86" x14ac:dyDescent="0.25">
      <c r="A756" s="12">
        <f t="shared" si="17"/>
        <v>753</v>
      </c>
      <c r="B756" s="4" t="s">
        <v>1919</v>
      </c>
      <c r="C756" s="4" t="s">
        <v>1920</v>
      </c>
      <c r="D756" s="4" t="s">
        <v>1127</v>
      </c>
      <c r="E756" s="4"/>
      <c r="F756" s="14"/>
      <c r="G756" s="14"/>
      <c r="H756" s="14"/>
      <c r="I756" s="5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</row>
    <row r="757" spans="1:86" x14ac:dyDescent="0.25">
      <c r="A757" s="12">
        <f t="shared" si="17"/>
        <v>754</v>
      </c>
      <c r="B757" s="4" t="s">
        <v>1921</v>
      </c>
      <c r="C757" s="4" t="s">
        <v>1922</v>
      </c>
      <c r="D757" s="4" t="s">
        <v>45</v>
      </c>
      <c r="E757" s="4"/>
      <c r="F757" s="14"/>
      <c r="G757" s="14"/>
      <c r="H757" s="14"/>
      <c r="I757" s="5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</row>
    <row r="758" spans="1:86" x14ac:dyDescent="0.25">
      <c r="A758" s="12">
        <f t="shared" si="17"/>
        <v>755</v>
      </c>
      <c r="B758" s="4" t="s">
        <v>1923</v>
      </c>
      <c r="C758" s="4" t="s">
        <v>1924</v>
      </c>
      <c r="D758" s="4" t="s">
        <v>278</v>
      </c>
      <c r="E758" s="4"/>
      <c r="F758" s="14"/>
      <c r="G758" s="14"/>
      <c r="H758" s="14"/>
      <c r="I758" s="5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</row>
    <row r="759" spans="1:86" x14ac:dyDescent="0.25">
      <c r="A759" s="12">
        <f t="shared" si="17"/>
        <v>756</v>
      </c>
      <c r="B759" s="4" t="s">
        <v>1925</v>
      </c>
      <c r="C759" s="4" t="s">
        <v>1926</v>
      </c>
      <c r="D759" s="4" t="s">
        <v>1129</v>
      </c>
      <c r="E759" s="4"/>
      <c r="F759" s="14"/>
      <c r="G759" s="14"/>
      <c r="H759" s="14"/>
      <c r="I759" s="5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</row>
    <row r="760" spans="1:86" x14ac:dyDescent="0.25">
      <c r="A760" s="12">
        <f t="shared" si="17"/>
        <v>757</v>
      </c>
      <c r="B760" s="4" t="s">
        <v>1927</v>
      </c>
      <c r="C760" s="4" t="s">
        <v>1928</v>
      </c>
      <c r="D760" s="4" t="s">
        <v>84</v>
      </c>
      <c r="E760" s="4"/>
      <c r="F760" s="14"/>
      <c r="G760" s="14"/>
      <c r="H760" s="14"/>
      <c r="I760" s="5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</row>
    <row r="761" spans="1:86" x14ac:dyDescent="0.25">
      <c r="A761" s="12">
        <f t="shared" si="17"/>
        <v>758</v>
      </c>
      <c r="B761" s="4" t="s">
        <v>1929</v>
      </c>
      <c r="C761" s="4" t="s">
        <v>1930</v>
      </c>
      <c r="D761" s="4" t="s">
        <v>1129</v>
      </c>
      <c r="E761" s="4"/>
      <c r="F761" s="14"/>
      <c r="G761" s="14"/>
      <c r="H761" s="14"/>
      <c r="I761" s="5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</row>
    <row r="762" spans="1:86" x14ac:dyDescent="0.25">
      <c r="A762" s="12">
        <f t="shared" si="17"/>
        <v>759</v>
      </c>
      <c r="B762" s="4" t="s">
        <v>1931</v>
      </c>
      <c r="C762" s="4" t="s">
        <v>1932</v>
      </c>
      <c r="D762" s="4" t="s">
        <v>1125</v>
      </c>
      <c r="E762" s="4"/>
      <c r="F762" s="14"/>
      <c r="G762" s="14"/>
      <c r="H762" s="14"/>
      <c r="I762" s="5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</row>
    <row r="763" spans="1:86" x14ac:dyDescent="0.25">
      <c r="A763" s="12">
        <f t="shared" si="17"/>
        <v>760</v>
      </c>
      <c r="B763" s="4" t="s">
        <v>1933</v>
      </c>
      <c r="C763" s="4" t="s">
        <v>1934</v>
      </c>
      <c r="D763" s="4" t="s">
        <v>2576</v>
      </c>
      <c r="E763" s="4"/>
      <c r="F763" s="14"/>
      <c r="G763" s="14"/>
      <c r="H763" s="14"/>
      <c r="I763" s="5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</row>
    <row r="764" spans="1:86" x14ac:dyDescent="0.25">
      <c r="A764" s="12">
        <f t="shared" si="17"/>
        <v>761</v>
      </c>
      <c r="B764" s="4" t="s">
        <v>1935</v>
      </c>
      <c r="C764" s="4" t="s">
        <v>1936</v>
      </c>
      <c r="D764" s="4" t="s">
        <v>45</v>
      </c>
      <c r="E764" s="4"/>
      <c r="F764" s="14"/>
      <c r="G764" s="14"/>
      <c r="H764" s="14"/>
      <c r="I764" s="5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</row>
    <row r="765" spans="1:86" x14ac:dyDescent="0.25">
      <c r="A765" s="12">
        <f t="shared" si="17"/>
        <v>762</v>
      </c>
      <c r="B765" s="4" t="s">
        <v>1937</v>
      </c>
      <c r="C765" s="4" t="s">
        <v>1938</v>
      </c>
      <c r="D765" s="4" t="s">
        <v>508</v>
      </c>
      <c r="E765" s="4"/>
      <c r="F765" s="14"/>
      <c r="G765" s="14"/>
      <c r="H765" s="14"/>
      <c r="I765" s="5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</row>
    <row r="766" spans="1:86" x14ac:dyDescent="0.25">
      <c r="A766" s="12">
        <f t="shared" si="17"/>
        <v>763</v>
      </c>
      <c r="B766" s="4" t="s">
        <v>1939</v>
      </c>
      <c r="C766" s="4" t="s">
        <v>1940</v>
      </c>
      <c r="D766" s="4" t="s">
        <v>1130</v>
      </c>
      <c r="E766" s="4"/>
      <c r="F766" s="14"/>
      <c r="G766" s="14"/>
      <c r="H766" s="14"/>
      <c r="I766" s="5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</row>
    <row r="767" spans="1:86" x14ac:dyDescent="0.25">
      <c r="A767" s="12">
        <f t="shared" si="17"/>
        <v>764</v>
      </c>
      <c r="B767" s="4" t="s">
        <v>1941</v>
      </c>
      <c r="C767" s="4" t="s">
        <v>1942</v>
      </c>
      <c r="D767" s="4" t="s">
        <v>45</v>
      </c>
      <c r="E767" s="4"/>
      <c r="F767" s="14"/>
      <c r="G767" s="14"/>
      <c r="H767" s="14"/>
      <c r="I767" s="5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</row>
    <row r="768" spans="1:86" x14ac:dyDescent="0.25">
      <c r="A768" s="12">
        <f t="shared" si="17"/>
        <v>765</v>
      </c>
      <c r="B768" s="4" t="s">
        <v>1943</v>
      </c>
      <c r="C768" s="4" t="s">
        <v>1944</v>
      </c>
      <c r="D768" s="4" t="s">
        <v>2575</v>
      </c>
      <c r="E768" s="4"/>
      <c r="F768" s="14"/>
      <c r="G768" s="14"/>
      <c r="H768" s="14"/>
      <c r="I768" s="5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</row>
    <row r="769" spans="1:86" x14ac:dyDescent="0.25">
      <c r="A769" s="12">
        <f t="shared" si="17"/>
        <v>766</v>
      </c>
      <c r="B769" s="4" t="s">
        <v>1945</v>
      </c>
      <c r="C769" s="4" t="s">
        <v>1946</v>
      </c>
      <c r="D769" s="4" t="s">
        <v>770</v>
      </c>
      <c r="E769" s="4"/>
      <c r="F769" s="14"/>
      <c r="G769" s="14"/>
      <c r="H769" s="14"/>
      <c r="I769" s="5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</row>
    <row r="770" spans="1:86" x14ac:dyDescent="0.25">
      <c r="A770" s="12">
        <f t="shared" si="17"/>
        <v>767</v>
      </c>
      <c r="B770" s="4" t="s">
        <v>1947</v>
      </c>
      <c r="C770" s="4" t="s">
        <v>1948</v>
      </c>
      <c r="D770" s="4" t="s">
        <v>45</v>
      </c>
      <c r="E770" s="4"/>
      <c r="F770" s="14"/>
      <c r="G770" s="14"/>
      <c r="H770" s="14"/>
      <c r="I770" s="5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</row>
    <row r="771" spans="1:86" x14ac:dyDescent="0.25">
      <c r="A771" s="12">
        <f t="shared" si="17"/>
        <v>768</v>
      </c>
      <c r="B771" s="4" t="s">
        <v>1949</v>
      </c>
      <c r="C771" s="4" t="s">
        <v>1950</v>
      </c>
      <c r="D771" s="4" t="s">
        <v>45</v>
      </c>
      <c r="E771" s="4"/>
      <c r="F771" s="14"/>
      <c r="G771" s="14"/>
      <c r="H771" s="14"/>
      <c r="I771" s="5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</row>
    <row r="772" spans="1:86" x14ac:dyDescent="0.25">
      <c r="A772" s="12">
        <f t="shared" si="17"/>
        <v>769</v>
      </c>
      <c r="B772" s="4" t="s">
        <v>1951</v>
      </c>
      <c r="C772" s="4" t="s">
        <v>1952</v>
      </c>
      <c r="D772" s="4" t="s">
        <v>45</v>
      </c>
      <c r="E772" s="4"/>
      <c r="F772" s="14"/>
      <c r="G772" s="14"/>
      <c r="H772" s="14"/>
      <c r="I772" s="5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</row>
    <row r="773" spans="1:86" x14ac:dyDescent="0.25">
      <c r="A773" s="12">
        <f t="shared" si="17"/>
        <v>770</v>
      </c>
      <c r="B773" s="4" t="s">
        <v>1953</v>
      </c>
      <c r="C773" s="4" t="s">
        <v>1954</v>
      </c>
      <c r="D773" s="4" t="s">
        <v>45</v>
      </c>
      <c r="E773" s="4"/>
      <c r="F773" s="14"/>
      <c r="G773" s="14"/>
      <c r="H773" s="14"/>
      <c r="I773" s="5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</row>
    <row r="774" spans="1:86" x14ac:dyDescent="0.25">
      <c r="A774" s="12">
        <f t="shared" si="17"/>
        <v>771</v>
      </c>
      <c r="B774" s="4" t="s">
        <v>1955</v>
      </c>
      <c r="C774" s="4" t="s">
        <v>107</v>
      </c>
      <c r="D774" s="4" t="s">
        <v>768</v>
      </c>
      <c r="E774" s="4"/>
      <c r="F774" s="14"/>
      <c r="G774" s="14"/>
      <c r="H774" s="14"/>
      <c r="I774" s="5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</row>
    <row r="775" spans="1:86" x14ac:dyDescent="0.25">
      <c r="A775" s="12">
        <f t="shared" si="17"/>
        <v>772</v>
      </c>
      <c r="B775" s="4" t="s">
        <v>1956</v>
      </c>
      <c r="C775" s="4" t="s">
        <v>1957</v>
      </c>
      <c r="D775" s="4" t="s">
        <v>45</v>
      </c>
      <c r="E775" s="4"/>
      <c r="F775" s="14"/>
      <c r="G775" s="14"/>
      <c r="H775" s="14"/>
      <c r="I775" s="5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</row>
    <row r="776" spans="1:86" x14ac:dyDescent="0.25">
      <c r="A776" s="12">
        <f t="shared" si="17"/>
        <v>773</v>
      </c>
      <c r="B776" s="4" t="s">
        <v>1041</v>
      </c>
      <c r="C776" s="4" t="s">
        <v>1042</v>
      </c>
      <c r="D776" s="4" t="s">
        <v>45</v>
      </c>
      <c r="E776" s="4"/>
      <c r="F776" s="14"/>
      <c r="G776" s="14"/>
      <c r="H776" s="14"/>
      <c r="I776" s="5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</row>
    <row r="777" spans="1:86" x14ac:dyDescent="0.25">
      <c r="A777" s="12">
        <f t="shared" si="17"/>
        <v>774</v>
      </c>
      <c r="B777" s="4" t="s">
        <v>1043</v>
      </c>
      <c r="C777" s="4" t="s">
        <v>1044</v>
      </c>
      <c r="D777" s="4" t="s">
        <v>508</v>
      </c>
      <c r="E777" s="4"/>
      <c r="F777" s="14"/>
      <c r="G777" s="14"/>
      <c r="H777" s="14"/>
      <c r="I777" s="5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</row>
    <row r="778" spans="1:86" x14ac:dyDescent="0.25">
      <c r="A778" s="12">
        <f t="shared" ref="A778:A841" si="18">+A777+1</f>
        <v>775</v>
      </c>
      <c r="B778" s="4" t="s">
        <v>1958</v>
      </c>
      <c r="C778" s="4" t="s">
        <v>1959</v>
      </c>
      <c r="D778" s="4" t="s">
        <v>45</v>
      </c>
      <c r="E778" s="4"/>
      <c r="F778" s="14"/>
      <c r="G778" s="14"/>
      <c r="H778" s="14"/>
      <c r="I778" s="5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</row>
    <row r="779" spans="1:86" x14ac:dyDescent="0.25">
      <c r="A779" s="12">
        <f t="shared" si="18"/>
        <v>776</v>
      </c>
      <c r="B779" s="4" t="s">
        <v>1960</v>
      </c>
      <c r="C779" s="4" t="s">
        <v>1961</v>
      </c>
      <c r="D779" s="4" t="s">
        <v>1125</v>
      </c>
      <c r="E779" s="4"/>
      <c r="F779" s="14"/>
      <c r="G779" s="14"/>
      <c r="H779" s="14"/>
      <c r="I779" s="5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</row>
    <row r="780" spans="1:86" x14ac:dyDescent="0.25">
      <c r="A780" s="12">
        <f t="shared" si="18"/>
        <v>777</v>
      </c>
      <c r="B780" s="4" t="s">
        <v>1962</v>
      </c>
      <c r="C780" s="4" t="s">
        <v>1963</v>
      </c>
      <c r="D780" s="4" t="s">
        <v>87</v>
      </c>
      <c r="E780" s="4"/>
      <c r="F780" s="14"/>
      <c r="G780" s="14"/>
      <c r="H780" s="14"/>
      <c r="I780" s="5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</row>
    <row r="781" spans="1:86" x14ac:dyDescent="0.25">
      <c r="A781" s="12">
        <f t="shared" si="18"/>
        <v>778</v>
      </c>
      <c r="B781" s="4" t="s">
        <v>1964</v>
      </c>
      <c r="C781" s="4" t="s">
        <v>1965</v>
      </c>
      <c r="D781" s="4" t="s">
        <v>768</v>
      </c>
      <c r="E781" s="4"/>
      <c r="F781" s="14"/>
      <c r="G781" s="14"/>
      <c r="H781" s="14"/>
      <c r="I781" s="5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</row>
    <row r="782" spans="1:86" x14ac:dyDescent="0.25">
      <c r="A782" s="12">
        <f t="shared" si="18"/>
        <v>779</v>
      </c>
      <c r="B782" s="4" t="s">
        <v>1966</v>
      </c>
      <c r="C782" s="4" t="s">
        <v>1967</v>
      </c>
      <c r="D782" s="4" t="s">
        <v>45</v>
      </c>
      <c r="E782" s="4"/>
      <c r="F782" s="14"/>
      <c r="G782" s="14"/>
      <c r="H782" s="14"/>
      <c r="I782" s="5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</row>
    <row r="783" spans="1:86" x14ac:dyDescent="0.25">
      <c r="A783" s="12">
        <f t="shared" si="18"/>
        <v>780</v>
      </c>
      <c r="B783" s="4" t="s">
        <v>1968</v>
      </c>
      <c r="C783" s="4" t="s">
        <v>1969</v>
      </c>
      <c r="D783" s="4" t="s">
        <v>84</v>
      </c>
      <c r="E783" s="4"/>
      <c r="F783" s="14"/>
      <c r="G783" s="14"/>
      <c r="H783" s="14"/>
      <c r="I783" s="5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</row>
    <row r="784" spans="1:86" x14ac:dyDescent="0.25">
      <c r="A784" s="12">
        <f t="shared" si="18"/>
        <v>781</v>
      </c>
      <c r="B784" s="4" t="s">
        <v>1970</v>
      </c>
      <c r="C784" s="4" t="s">
        <v>1971</v>
      </c>
      <c r="D784" s="4" t="s">
        <v>1123</v>
      </c>
      <c r="E784" s="4"/>
      <c r="F784" s="14"/>
      <c r="G784" s="14"/>
      <c r="H784" s="14"/>
      <c r="I784" s="5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</row>
    <row r="785" spans="1:86" x14ac:dyDescent="0.25">
      <c r="A785" s="12">
        <f t="shared" si="18"/>
        <v>782</v>
      </c>
      <c r="B785" s="4" t="s">
        <v>1972</v>
      </c>
      <c r="C785" s="4" t="s">
        <v>1973</v>
      </c>
      <c r="D785" s="4" t="s">
        <v>45</v>
      </c>
      <c r="E785" s="4"/>
      <c r="F785" s="14"/>
      <c r="G785" s="14"/>
      <c r="H785" s="14"/>
      <c r="I785" s="5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</row>
    <row r="786" spans="1:86" x14ac:dyDescent="0.25">
      <c r="A786" s="12">
        <f t="shared" si="18"/>
        <v>783</v>
      </c>
      <c r="B786" s="4" t="s">
        <v>1974</v>
      </c>
      <c r="C786" s="4" t="s">
        <v>1975</v>
      </c>
      <c r="D786" s="4" t="s">
        <v>770</v>
      </c>
      <c r="E786" s="4"/>
      <c r="F786" s="14"/>
      <c r="G786" s="14"/>
      <c r="H786" s="14"/>
      <c r="I786" s="5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</row>
    <row r="787" spans="1:86" x14ac:dyDescent="0.25">
      <c r="A787" s="12">
        <f t="shared" si="18"/>
        <v>784</v>
      </c>
      <c r="B787" s="4" t="s">
        <v>1976</v>
      </c>
      <c r="C787" s="4" t="s">
        <v>1977</v>
      </c>
      <c r="D787" s="4" t="s">
        <v>1125</v>
      </c>
      <c r="E787" s="4"/>
      <c r="F787" s="14"/>
      <c r="G787" s="14"/>
      <c r="H787" s="14"/>
      <c r="I787" s="5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</row>
    <row r="788" spans="1:86" x14ac:dyDescent="0.25">
      <c r="A788" s="12">
        <f t="shared" si="18"/>
        <v>785</v>
      </c>
      <c r="B788" s="4" t="s">
        <v>1978</v>
      </c>
      <c r="C788" s="4" t="s">
        <v>1979</v>
      </c>
      <c r="D788" s="4" t="s">
        <v>84</v>
      </c>
      <c r="E788" s="4"/>
      <c r="F788" s="14"/>
      <c r="G788" s="14"/>
      <c r="H788" s="14"/>
      <c r="I788" s="5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</row>
    <row r="789" spans="1:86" x14ac:dyDescent="0.25">
      <c r="A789" s="12">
        <f t="shared" si="18"/>
        <v>786</v>
      </c>
      <c r="B789" s="4" t="s">
        <v>1980</v>
      </c>
      <c r="C789" s="4" t="s">
        <v>1981</v>
      </c>
      <c r="D789" s="4" t="s">
        <v>45</v>
      </c>
      <c r="E789" s="4"/>
      <c r="F789" s="14"/>
      <c r="G789" s="14"/>
      <c r="H789" s="14"/>
      <c r="I789" s="5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</row>
    <row r="790" spans="1:86" x14ac:dyDescent="0.25">
      <c r="A790" s="12">
        <f t="shared" si="18"/>
        <v>787</v>
      </c>
      <c r="B790" s="4" t="s">
        <v>1982</v>
      </c>
      <c r="C790" s="4" t="s">
        <v>1983</v>
      </c>
      <c r="D790" s="4" t="s">
        <v>45</v>
      </c>
      <c r="E790" s="4"/>
      <c r="F790" s="14"/>
      <c r="G790" s="14"/>
      <c r="H790" s="14"/>
      <c r="I790" s="5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</row>
    <row r="791" spans="1:86" x14ac:dyDescent="0.25">
      <c r="A791" s="12">
        <f t="shared" si="18"/>
        <v>788</v>
      </c>
      <c r="B791" s="4" t="s">
        <v>1984</v>
      </c>
      <c r="C791" s="4" t="s">
        <v>1985</v>
      </c>
      <c r="D791" s="4" t="s">
        <v>1125</v>
      </c>
      <c r="E791" s="4"/>
      <c r="F791" s="14"/>
      <c r="G791" s="14"/>
      <c r="H791" s="14"/>
      <c r="I791" s="5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</row>
    <row r="792" spans="1:86" x14ac:dyDescent="0.25">
      <c r="A792" s="12">
        <f t="shared" si="18"/>
        <v>789</v>
      </c>
      <c r="B792" s="4" t="s">
        <v>1986</v>
      </c>
      <c r="C792" s="4" t="s">
        <v>1987</v>
      </c>
      <c r="D792" s="4" t="s">
        <v>1129</v>
      </c>
      <c r="E792" s="4"/>
      <c r="F792" s="14"/>
      <c r="G792" s="14"/>
      <c r="H792" s="14"/>
      <c r="I792" s="5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</row>
    <row r="793" spans="1:86" x14ac:dyDescent="0.25">
      <c r="A793" s="12">
        <f t="shared" si="18"/>
        <v>790</v>
      </c>
      <c r="B793" s="4" t="s">
        <v>1988</v>
      </c>
      <c r="C793" s="4" t="s">
        <v>1989</v>
      </c>
      <c r="D793" s="4" t="s">
        <v>1129</v>
      </c>
      <c r="E793" s="4"/>
      <c r="F793" s="14"/>
      <c r="G793" s="14"/>
      <c r="H793" s="14"/>
      <c r="I793" s="5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</row>
    <row r="794" spans="1:86" x14ac:dyDescent="0.25">
      <c r="A794" s="12">
        <f t="shared" si="18"/>
        <v>791</v>
      </c>
      <c r="B794" s="4" t="s">
        <v>1990</v>
      </c>
      <c r="C794" s="4" t="s">
        <v>1991</v>
      </c>
      <c r="D794" s="4" t="s">
        <v>45</v>
      </c>
      <c r="E794" s="4"/>
      <c r="F794" s="14"/>
      <c r="G794" s="14"/>
      <c r="H794" s="14"/>
      <c r="I794" s="5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</row>
    <row r="795" spans="1:86" x14ac:dyDescent="0.25">
      <c r="A795" s="12">
        <f t="shared" si="18"/>
        <v>792</v>
      </c>
      <c r="B795" s="4" t="s">
        <v>1992</v>
      </c>
      <c r="C795" s="4" t="s">
        <v>1993</v>
      </c>
      <c r="D795" s="4" t="s">
        <v>45</v>
      </c>
      <c r="E795" s="4"/>
      <c r="F795" s="14"/>
      <c r="G795" s="14"/>
      <c r="H795" s="14"/>
      <c r="I795" s="5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</row>
    <row r="796" spans="1:86" x14ac:dyDescent="0.25">
      <c r="A796" s="12">
        <f t="shared" si="18"/>
        <v>793</v>
      </c>
      <c r="B796" s="4" t="s">
        <v>1994</v>
      </c>
      <c r="C796" s="4" t="s">
        <v>1995</v>
      </c>
      <c r="D796" s="4" t="s">
        <v>508</v>
      </c>
      <c r="E796" s="4"/>
      <c r="F796" s="14"/>
      <c r="G796" s="14"/>
      <c r="H796" s="14"/>
      <c r="I796" s="5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</row>
    <row r="797" spans="1:86" x14ac:dyDescent="0.25">
      <c r="A797" s="12">
        <f t="shared" si="18"/>
        <v>794</v>
      </c>
      <c r="B797" s="4" t="s">
        <v>1996</v>
      </c>
      <c r="C797" s="4" t="s">
        <v>1997</v>
      </c>
      <c r="D797" s="4" t="s">
        <v>45</v>
      </c>
      <c r="E797" s="4"/>
      <c r="F797" s="14"/>
      <c r="G797" s="14"/>
      <c r="H797" s="14"/>
      <c r="I797" s="5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</row>
    <row r="798" spans="1:86" x14ac:dyDescent="0.25">
      <c r="A798" s="12">
        <f t="shared" si="18"/>
        <v>795</v>
      </c>
      <c r="B798" s="4" t="s">
        <v>1998</v>
      </c>
      <c r="C798" s="4" t="s">
        <v>1999</v>
      </c>
      <c r="D798" s="4" t="s">
        <v>84</v>
      </c>
      <c r="E798" s="4"/>
      <c r="F798" s="14"/>
      <c r="G798" s="14"/>
      <c r="H798" s="14"/>
      <c r="I798" s="5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</row>
    <row r="799" spans="1:86" x14ac:dyDescent="0.25">
      <c r="A799" s="12">
        <f t="shared" si="18"/>
        <v>796</v>
      </c>
      <c r="B799" s="4" t="s">
        <v>2000</v>
      </c>
      <c r="C799" s="4" t="s">
        <v>2001</v>
      </c>
      <c r="D799" s="4" t="s">
        <v>2569</v>
      </c>
      <c r="E799" s="4"/>
      <c r="F799" s="14"/>
      <c r="G799" s="14"/>
      <c r="H799" s="14"/>
      <c r="I799" s="5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</row>
    <row r="800" spans="1:86" x14ac:dyDescent="0.25">
      <c r="A800" s="12">
        <f t="shared" si="18"/>
        <v>797</v>
      </c>
      <c r="B800" s="4" t="s">
        <v>2002</v>
      </c>
      <c r="C800" s="4" t="s">
        <v>2003</v>
      </c>
      <c r="D800" s="4" t="s">
        <v>186</v>
      </c>
      <c r="E800" s="4"/>
      <c r="F800" s="14"/>
      <c r="G800" s="14"/>
      <c r="H800" s="14"/>
      <c r="I800" s="5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</row>
    <row r="801" spans="1:86" x14ac:dyDescent="0.25">
      <c r="A801" s="12">
        <f t="shared" si="18"/>
        <v>798</v>
      </c>
      <c r="B801" s="4" t="s">
        <v>2004</v>
      </c>
      <c r="C801" s="4" t="s">
        <v>2005</v>
      </c>
      <c r="D801" s="4" t="s">
        <v>1129</v>
      </c>
      <c r="E801" s="4"/>
      <c r="F801" s="14"/>
      <c r="G801" s="14"/>
      <c r="H801" s="14"/>
      <c r="I801" s="5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</row>
    <row r="802" spans="1:86" x14ac:dyDescent="0.25">
      <c r="A802" s="12">
        <f t="shared" si="18"/>
        <v>799</v>
      </c>
      <c r="B802" s="4" t="s">
        <v>2006</v>
      </c>
      <c r="C802" s="4" t="s">
        <v>2007</v>
      </c>
      <c r="D802" s="4" t="s">
        <v>45</v>
      </c>
      <c r="E802" s="4"/>
      <c r="F802" s="14"/>
      <c r="G802" s="14"/>
      <c r="H802" s="14"/>
      <c r="I802" s="5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</row>
    <row r="803" spans="1:86" x14ac:dyDescent="0.25">
      <c r="A803" s="12">
        <f t="shared" si="18"/>
        <v>800</v>
      </c>
      <c r="B803" s="4" t="s">
        <v>2008</v>
      </c>
      <c r="C803" s="4" t="s">
        <v>2009</v>
      </c>
      <c r="D803" s="4" t="s">
        <v>278</v>
      </c>
      <c r="E803" s="4"/>
      <c r="F803" s="14"/>
      <c r="G803" s="14"/>
      <c r="H803" s="14"/>
      <c r="I803" s="5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</row>
    <row r="804" spans="1:86" x14ac:dyDescent="0.25">
      <c r="A804" s="12">
        <f t="shared" si="18"/>
        <v>801</v>
      </c>
      <c r="B804" s="4" t="s">
        <v>2010</v>
      </c>
      <c r="C804" s="4" t="s">
        <v>2011</v>
      </c>
      <c r="D804" s="4" t="s">
        <v>768</v>
      </c>
      <c r="E804" s="4"/>
      <c r="F804" s="14"/>
      <c r="G804" s="14"/>
      <c r="H804" s="14"/>
      <c r="I804" s="5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</row>
    <row r="805" spans="1:86" x14ac:dyDescent="0.25">
      <c r="A805" s="12">
        <f t="shared" si="18"/>
        <v>802</v>
      </c>
      <c r="B805" s="4" t="s">
        <v>2012</v>
      </c>
      <c r="C805" s="4" t="s">
        <v>2013</v>
      </c>
      <c r="D805" s="4" t="s">
        <v>45</v>
      </c>
      <c r="E805" s="4"/>
      <c r="F805" s="14"/>
      <c r="G805" s="14"/>
      <c r="H805" s="14"/>
      <c r="I805" s="5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</row>
    <row r="806" spans="1:86" x14ac:dyDescent="0.25">
      <c r="A806" s="12">
        <f t="shared" si="18"/>
        <v>803</v>
      </c>
      <c r="B806" s="4" t="s">
        <v>2014</v>
      </c>
      <c r="C806" s="4" t="s">
        <v>2015</v>
      </c>
      <c r="D806" s="4" t="s">
        <v>84</v>
      </c>
      <c r="E806" s="4"/>
      <c r="F806" s="14"/>
      <c r="G806" s="14"/>
      <c r="H806" s="14"/>
      <c r="I806" s="5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</row>
    <row r="807" spans="1:86" x14ac:dyDescent="0.25">
      <c r="A807" s="12">
        <f t="shared" si="18"/>
        <v>804</v>
      </c>
      <c r="B807" s="4" t="s">
        <v>2016</v>
      </c>
      <c r="C807" s="4" t="s">
        <v>2017</v>
      </c>
      <c r="D807" s="4" t="s">
        <v>87</v>
      </c>
      <c r="E807" s="4"/>
      <c r="F807" s="14"/>
      <c r="G807" s="14"/>
      <c r="H807" s="14"/>
      <c r="I807" s="5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</row>
    <row r="808" spans="1:86" x14ac:dyDescent="0.25">
      <c r="A808" s="12">
        <f t="shared" si="18"/>
        <v>805</v>
      </c>
      <c r="B808" s="4" t="s">
        <v>2018</v>
      </c>
      <c r="C808" s="4" t="s">
        <v>2019</v>
      </c>
      <c r="D808" s="4" t="s">
        <v>1127</v>
      </c>
      <c r="E808" s="4"/>
      <c r="F808" s="14"/>
      <c r="G808" s="14"/>
      <c r="H808" s="14"/>
      <c r="I808" s="5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</row>
    <row r="809" spans="1:86" x14ac:dyDescent="0.25">
      <c r="A809" s="12">
        <f t="shared" si="18"/>
        <v>806</v>
      </c>
      <c r="B809" s="4" t="s">
        <v>2020</v>
      </c>
      <c r="C809" s="4" t="s">
        <v>2021</v>
      </c>
      <c r="D809" s="4" t="s">
        <v>1130</v>
      </c>
      <c r="E809" s="4"/>
      <c r="F809" s="14"/>
      <c r="G809" s="14"/>
      <c r="H809" s="14"/>
      <c r="I809" s="5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</row>
    <row r="810" spans="1:86" x14ac:dyDescent="0.25">
      <c r="A810" s="12">
        <f t="shared" si="18"/>
        <v>807</v>
      </c>
      <c r="B810" s="4" t="s">
        <v>2022</v>
      </c>
      <c r="C810" s="4" t="s">
        <v>2023</v>
      </c>
      <c r="D810" s="4" t="s">
        <v>87</v>
      </c>
      <c r="E810" s="4"/>
      <c r="F810" s="14"/>
      <c r="G810" s="14"/>
      <c r="H810" s="14"/>
      <c r="I810" s="5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</row>
    <row r="811" spans="1:86" x14ac:dyDescent="0.25">
      <c r="A811" s="12">
        <f t="shared" si="18"/>
        <v>808</v>
      </c>
      <c r="B811" s="4" t="s">
        <v>2024</v>
      </c>
      <c r="C811" s="4" t="s">
        <v>2025</v>
      </c>
      <c r="D811" s="4" t="s">
        <v>84</v>
      </c>
      <c r="E811" s="4"/>
      <c r="F811" s="14"/>
      <c r="G811" s="14"/>
      <c r="H811" s="14"/>
      <c r="I811" s="5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</row>
    <row r="812" spans="1:86" x14ac:dyDescent="0.25">
      <c r="A812" s="12">
        <f t="shared" si="18"/>
        <v>809</v>
      </c>
      <c r="B812" s="4" t="s">
        <v>2026</v>
      </c>
      <c r="C812" s="4" t="s">
        <v>2027</v>
      </c>
      <c r="D812" s="4" t="s">
        <v>1125</v>
      </c>
      <c r="E812" s="4"/>
      <c r="F812" s="14"/>
      <c r="G812" s="14"/>
      <c r="H812" s="14"/>
      <c r="I812" s="5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</row>
    <row r="813" spans="1:86" x14ac:dyDescent="0.25">
      <c r="A813" s="12">
        <f t="shared" si="18"/>
        <v>810</v>
      </c>
      <c r="B813" s="4" t="s">
        <v>2028</v>
      </c>
      <c r="C813" s="4" t="s">
        <v>2029</v>
      </c>
      <c r="D813" s="4" t="s">
        <v>1130</v>
      </c>
      <c r="E813" s="4"/>
      <c r="F813" s="14"/>
      <c r="G813" s="14"/>
      <c r="H813" s="14"/>
      <c r="I813" s="5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</row>
    <row r="814" spans="1:86" x14ac:dyDescent="0.25">
      <c r="A814" s="12">
        <f t="shared" si="18"/>
        <v>811</v>
      </c>
      <c r="B814" s="4" t="s">
        <v>2030</v>
      </c>
      <c r="C814" s="4" t="s">
        <v>2031</v>
      </c>
      <c r="D814" s="4" t="s">
        <v>2578</v>
      </c>
      <c r="E814" s="4"/>
      <c r="F814" s="14"/>
      <c r="G814" s="14"/>
      <c r="H814" s="14"/>
      <c r="I814" s="5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</row>
    <row r="815" spans="1:86" x14ac:dyDescent="0.25">
      <c r="A815" s="12">
        <f t="shared" si="18"/>
        <v>812</v>
      </c>
      <c r="B815" s="4" t="s">
        <v>2032</v>
      </c>
      <c r="C815" s="4" t="s">
        <v>2033</v>
      </c>
      <c r="D815" s="4" t="s">
        <v>1129</v>
      </c>
      <c r="E815" s="4"/>
      <c r="F815" s="14"/>
      <c r="G815" s="14"/>
      <c r="H815" s="14"/>
      <c r="I815" s="5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</row>
    <row r="816" spans="1:86" x14ac:dyDescent="0.25">
      <c r="A816" s="12">
        <f t="shared" si="18"/>
        <v>813</v>
      </c>
      <c r="B816" s="4" t="s">
        <v>2034</v>
      </c>
      <c r="C816" s="4" t="s">
        <v>2035</v>
      </c>
      <c r="D816" s="4" t="s">
        <v>45</v>
      </c>
      <c r="E816" s="4"/>
      <c r="F816" s="14"/>
      <c r="G816" s="14"/>
      <c r="H816" s="14"/>
      <c r="I816" s="5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</row>
    <row r="817" spans="1:86" x14ac:dyDescent="0.25">
      <c r="A817" s="12">
        <f t="shared" si="18"/>
        <v>814</v>
      </c>
      <c r="B817" s="4" t="s">
        <v>2036</v>
      </c>
      <c r="C817" s="4" t="s">
        <v>2037</v>
      </c>
      <c r="D817" s="4" t="s">
        <v>45</v>
      </c>
      <c r="E817" s="4"/>
      <c r="F817" s="14"/>
      <c r="G817" s="14"/>
      <c r="H817" s="14"/>
      <c r="I817" s="5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</row>
    <row r="818" spans="1:86" x14ac:dyDescent="0.25">
      <c r="A818" s="12">
        <f t="shared" si="18"/>
        <v>815</v>
      </c>
      <c r="B818" s="4" t="s">
        <v>2038</v>
      </c>
      <c r="C818" s="4" t="s">
        <v>2039</v>
      </c>
      <c r="D818" s="4" t="s">
        <v>45</v>
      </c>
      <c r="E818" s="4"/>
      <c r="F818" s="14"/>
      <c r="G818" s="14"/>
      <c r="H818" s="14"/>
      <c r="I818" s="5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</row>
    <row r="819" spans="1:86" x14ac:dyDescent="0.25">
      <c r="A819" s="12">
        <f t="shared" si="18"/>
        <v>816</v>
      </c>
      <c r="B819" s="4" t="s">
        <v>2040</v>
      </c>
      <c r="C819" s="4" t="s">
        <v>2041</v>
      </c>
      <c r="D819" s="4" t="s">
        <v>278</v>
      </c>
      <c r="E819" s="4"/>
      <c r="F819" s="14"/>
      <c r="G819" s="14"/>
      <c r="H819" s="14"/>
      <c r="I819" s="5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</row>
    <row r="820" spans="1:86" x14ac:dyDescent="0.25">
      <c r="A820" s="12">
        <f t="shared" si="18"/>
        <v>817</v>
      </c>
      <c r="B820" s="4" t="s">
        <v>2042</v>
      </c>
      <c r="C820" s="4" t="s">
        <v>2043</v>
      </c>
      <c r="D820" s="4" t="s">
        <v>770</v>
      </c>
      <c r="E820" s="4"/>
      <c r="F820" s="14"/>
      <c r="G820" s="14"/>
      <c r="H820" s="14"/>
      <c r="I820" s="5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</row>
    <row r="821" spans="1:86" x14ac:dyDescent="0.25">
      <c r="A821" s="12">
        <f t="shared" si="18"/>
        <v>818</v>
      </c>
      <c r="B821" s="4" t="s">
        <v>2044</v>
      </c>
      <c r="C821" s="4" t="s">
        <v>2045</v>
      </c>
      <c r="D821" s="4" t="s">
        <v>1125</v>
      </c>
      <c r="E821" s="4"/>
      <c r="F821" s="14"/>
      <c r="G821" s="14"/>
      <c r="H821" s="14"/>
      <c r="I821" s="5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</row>
    <row r="822" spans="1:86" x14ac:dyDescent="0.25">
      <c r="A822" s="12">
        <f t="shared" si="18"/>
        <v>819</v>
      </c>
      <c r="B822" s="4" t="s">
        <v>2046</v>
      </c>
      <c r="C822" s="4" t="s">
        <v>2047</v>
      </c>
      <c r="D822" s="4" t="s">
        <v>84</v>
      </c>
      <c r="E822" s="4"/>
      <c r="F822" s="14"/>
      <c r="G822" s="14"/>
      <c r="H822" s="14"/>
      <c r="I822" s="5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</row>
    <row r="823" spans="1:86" x14ac:dyDescent="0.25">
      <c r="A823" s="12">
        <f t="shared" si="18"/>
        <v>820</v>
      </c>
      <c r="B823" s="4" t="s">
        <v>2048</v>
      </c>
      <c r="C823" s="4" t="s">
        <v>2049</v>
      </c>
      <c r="D823" s="4" t="s">
        <v>2570</v>
      </c>
      <c r="E823" s="4"/>
      <c r="F823" s="14"/>
      <c r="G823" s="14"/>
      <c r="H823" s="14"/>
      <c r="I823" s="5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</row>
    <row r="824" spans="1:86" x14ac:dyDescent="0.25">
      <c r="A824" s="12">
        <f t="shared" si="18"/>
        <v>821</v>
      </c>
      <c r="B824" s="4" t="s">
        <v>2050</v>
      </c>
      <c r="C824" s="4" t="s">
        <v>2051</v>
      </c>
      <c r="D824" s="4" t="s">
        <v>45</v>
      </c>
      <c r="E824" s="4"/>
      <c r="F824" s="14"/>
      <c r="G824" s="14"/>
      <c r="H824" s="14"/>
      <c r="I824" s="5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</row>
    <row r="825" spans="1:86" x14ac:dyDescent="0.25">
      <c r="A825" s="12">
        <f t="shared" si="18"/>
        <v>822</v>
      </c>
      <c r="B825" s="4" t="s">
        <v>2052</v>
      </c>
      <c r="C825" s="4" t="s">
        <v>2053</v>
      </c>
      <c r="D825" s="4" t="s">
        <v>508</v>
      </c>
      <c r="E825" s="4"/>
      <c r="F825" s="14"/>
      <c r="G825" s="14"/>
      <c r="H825" s="14"/>
      <c r="I825" s="5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</row>
    <row r="826" spans="1:86" x14ac:dyDescent="0.25">
      <c r="A826" s="12">
        <f t="shared" si="18"/>
        <v>823</v>
      </c>
      <c r="B826" s="4" t="s">
        <v>2054</v>
      </c>
      <c r="C826" s="4" t="s">
        <v>2055</v>
      </c>
      <c r="D826" s="4" t="s">
        <v>1126</v>
      </c>
      <c r="E826" s="4"/>
      <c r="F826" s="14"/>
      <c r="G826" s="14"/>
      <c r="H826" s="14"/>
      <c r="I826" s="5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</row>
    <row r="827" spans="1:86" x14ac:dyDescent="0.25">
      <c r="A827" s="12">
        <f t="shared" si="18"/>
        <v>824</v>
      </c>
      <c r="B827" s="4" t="s">
        <v>2056</v>
      </c>
      <c r="C827" s="4" t="s">
        <v>2057</v>
      </c>
      <c r="D827" s="4" t="s">
        <v>1123</v>
      </c>
      <c r="E827" s="4"/>
      <c r="F827" s="14"/>
      <c r="G827" s="14"/>
      <c r="H827" s="14"/>
      <c r="I827" s="5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</row>
    <row r="828" spans="1:86" x14ac:dyDescent="0.25">
      <c r="A828" s="12">
        <f t="shared" si="18"/>
        <v>825</v>
      </c>
      <c r="B828" s="4" t="s">
        <v>2058</v>
      </c>
      <c r="C828" s="4" t="s">
        <v>2059</v>
      </c>
      <c r="D828" s="4" t="s">
        <v>1123</v>
      </c>
      <c r="E828" s="4"/>
      <c r="F828" s="14"/>
      <c r="G828" s="14"/>
      <c r="H828" s="14"/>
      <c r="I828" s="5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</row>
    <row r="829" spans="1:86" x14ac:dyDescent="0.25">
      <c r="A829" s="12">
        <f t="shared" si="18"/>
        <v>826</v>
      </c>
      <c r="B829" s="4" t="s">
        <v>2060</v>
      </c>
      <c r="C829" s="4" t="s">
        <v>2061</v>
      </c>
      <c r="D829" s="4" t="s">
        <v>87</v>
      </c>
      <c r="E829" s="4"/>
      <c r="F829" s="14"/>
      <c r="G829" s="14"/>
      <c r="H829" s="14"/>
      <c r="I829" s="5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</row>
    <row r="830" spans="1:86" x14ac:dyDescent="0.25">
      <c r="A830" s="12">
        <f t="shared" si="18"/>
        <v>827</v>
      </c>
      <c r="B830" s="4" t="s">
        <v>2062</v>
      </c>
      <c r="C830" s="4" t="s">
        <v>2063</v>
      </c>
      <c r="D830" s="4" t="s">
        <v>45</v>
      </c>
      <c r="E830" s="4"/>
      <c r="F830" s="14"/>
      <c r="G830" s="14"/>
      <c r="H830" s="14"/>
      <c r="I830" s="5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</row>
    <row r="831" spans="1:86" x14ac:dyDescent="0.25">
      <c r="A831" s="12">
        <f t="shared" si="18"/>
        <v>828</v>
      </c>
      <c r="B831" s="4" t="s">
        <v>2064</v>
      </c>
      <c r="C831" s="4" t="s">
        <v>2065</v>
      </c>
      <c r="D831" s="4" t="s">
        <v>45</v>
      </c>
      <c r="E831" s="4"/>
      <c r="F831" s="14"/>
      <c r="G831" s="14"/>
      <c r="H831" s="14"/>
      <c r="I831" s="5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</row>
    <row r="832" spans="1:86" x14ac:dyDescent="0.25">
      <c r="A832" s="12">
        <f t="shared" si="18"/>
        <v>829</v>
      </c>
      <c r="B832" s="4" t="s">
        <v>2066</v>
      </c>
      <c r="C832" s="4" t="s">
        <v>2067</v>
      </c>
      <c r="D832" s="4" t="s">
        <v>1129</v>
      </c>
      <c r="E832" s="4"/>
      <c r="F832" s="14"/>
      <c r="G832" s="14"/>
      <c r="H832" s="14"/>
      <c r="I832" s="5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</row>
    <row r="833" spans="1:86" x14ac:dyDescent="0.25">
      <c r="A833" s="12">
        <f t="shared" si="18"/>
        <v>830</v>
      </c>
      <c r="B833" s="4" t="s">
        <v>2068</v>
      </c>
      <c r="C833" s="4" t="s">
        <v>2069</v>
      </c>
      <c r="D833" s="4" t="s">
        <v>45</v>
      </c>
      <c r="E833" s="4"/>
      <c r="F833" s="14"/>
      <c r="G833" s="14"/>
      <c r="H833" s="14"/>
      <c r="I833" s="5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</row>
    <row r="834" spans="1:86" x14ac:dyDescent="0.25">
      <c r="A834" s="12">
        <f t="shared" si="18"/>
        <v>831</v>
      </c>
      <c r="B834" s="4" t="s">
        <v>2070</v>
      </c>
      <c r="C834" s="4" t="s">
        <v>2071</v>
      </c>
      <c r="D834" s="4" t="s">
        <v>2577</v>
      </c>
      <c r="E834" s="4"/>
      <c r="F834" s="14"/>
      <c r="G834" s="14"/>
      <c r="H834" s="14"/>
      <c r="I834" s="5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</row>
    <row r="835" spans="1:86" x14ac:dyDescent="0.25">
      <c r="A835" s="12">
        <f t="shared" si="18"/>
        <v>832</v>
      </c>
      <c r="B835" s="4" t="s">
        <v>2072</v>
      </c>
      <c r="C835" s="4" t="s">
        <v>2073</v>
      </c>
      <c r="D835" s="4" t="s">
        <v>45</v>
      </c>
      <c r="E835" s="4"/>
      <c r="F835" s="14"/>
      <c r="G835" s="14"/>
      <c r="H835" s="14"/>
      <c r="I835" s="5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</row>
    <row r="836" spans="1:86" x14ac:dyDescent="0.25">
      <c r="A836" s="12">
        <f t="shared" si="18"/>
        <v>833</v>
      </c>
      <c r="B836" s="4" t="s">
        <v>2074</v>
      </c>
      <c r="C836" s="4" t="s">
        <v>2075</v>
      </c>
      <c r="D836" s="4" t="s">
        <v>1129</v>
      </c>
      <c r="E836" s="4"/>
      <c r="F836" s="14"/>
      <c r="G836" s="14"/>
      <c r="H836" s="14"/>
      <c r="I836" s="5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</row>
    <row r="837" spans="1:86" x14ac:dyDescent="0.25">
      <c r="A837" s="12">
        <f t="shared" si="18"/>
        <v>834</v>
      </c>
      <c r="B837" s="4" t="s">
        <v>2076</v>
      </c>
      <c r="C837" s="4" t="s">
        <v>2077</v>
      </c>
      <c r="D837" s="4" t="s">
        <v>2569</v>
      </c>
      <c r="E837" s="4"/>
      <c r="F837" s="14"/>
      <c r="G837" s="14"/>
      <c r="H837" s="14"/>
      <c r="I837" s="5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</row>
    <row r="838" spans="1:86" x14ac:dyDescent="0.25">
      <c r="A838" s="12">
        <f t="shared" si="18"/>
        <v>835</v>
      </c>
      <c r="B838" s="4" t="s">
        <v>2078</v>
      </c>
      <c r="C838" s="4" t="s">
        <v>2079</v>
      </c>
      <c r="D838" s="4" t="s">
        <v>2576</v>
      </c>
      <c r="E838" s="4"/>
      <c r="F838" s="14"/>
      <c r="G838" s="14"/>
      <c r="H838" s="14"/>
      <c r="I838" s="5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</row>
    <row r="839" spans="1:86" x14ac:dyDescent="0.25">
      <c r="A839" s="12">
        <f t="shared" si="18"/>
        <v>836</v>
      </c>
      <c r="B839" s="4" t="s">
        <v>2080</v>
      </c>
      <c r="C839" s="4" t="s">
        <v>2081</v>
      </c>
      <c r="D839" s="4" t="s">
        <v>45</v>
      </c>
      <c r="E839" s="4"/>
      <c r="F839" s="14"/>
      <c r="G839" s="14"/>
      <c r="H839" s="14"/>
      <c r="I839" s="5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</row>
    <row r="840" spans="1:86" x14ac:dyDescent="0.25">
      <c r="A840" s="12">
        <f t="shared" si="18"/>
        <v>837</v>
      </c>
      <c r="B840" s="4" t="s">
        <v>2082</v>
      </c>
      <c r="C840" s="4" t="s">
        <v>2083</v>
      </c>
      <c r="D840" s="4" t="s">
        <v>84</v>
      </c>
      <c r="E840" s="4"/>
      <c r="F840" s="14"/>
      <c r="G840" s="14"/>
      <c r="H840" s="14"/>
      <c r="I840" s="5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</row>
    <row r="841" spans="1:86" x14ac:dyDescent="0.25">
      <c r="A841" s="12">
        <f t="shared" si="18"/>
        <v>838</v>
      </c>
      <c r="B841" s="4" t="s">
        <v>2084</v>
      </c>
      <c r="C841" s="4" t="s">
        <v>2085</v>
      </c>
      <c r="D841" s="4" t="s">
        <v>45</v>
      </c>
      <c r="E841" s="4"/>
      <c r="F841" s="14"/>
      <c r="G841" s="14"/>
      <c r="H841" s="14"/>
      <c r="I841" s="5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</row>
    <row r="842" spans="1:86" x14ac:dyDescent="0.25">
      <c r="A842" s="12">
        <f t="shared" ref="A842:A905" si="19">+A841+1</f>
        <v>839</v>
      </c>
      <c r="B842" s="4" t="s">
        <v>2086</v>
      </c>
      <c r="C842" s="4" t="s">
        <v>2087</v>
      </c>
      <c r="D842" s="4" t="s">
        <v>84</v>
      </c>
      <c r="E842" s="4"/>
      <c r="F842" s="14"/>
      <c r="G842" s="14"/>
      <c r="H842" s="14"/>
      <c r="I842" s="5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</row>
    <row r="843" spans="1:86" x14ac:dyDescent="0.25">
      <c r="A843" s="12">
        <f t="shared" si="19"/>
        <v>840</v>
      </c>
      <c r="B843" s="4" t="s">
        <v>2088</v>
      </c>
      <c r="C843" s="4" t="s">
        <v>2089</v>
      </c>
      <c r="D843" s="4" t="s">
        <v>1130</v>
      </c>
      <c r="E843" s="4"/>
      <c r="F843" s="14"/>
      <c r="G843" s="14"/>
      <c r="H843" s="14"/>
      <c r="I843" s="5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</row>
    <row r="844" spans="1:86" x14ac:dyDescent="0.25">
      <c r="A844" s="12">
        <f t="shared" si="19"/>
        <v>841</v>
      </c>
      <c r="B844" s="4" t="s">
        <v>2090</v>
      </c>
      <c r="C844" s="4" t="s">
        <v>2091</v>
      </c>
      <c r="D844" s="4" t="s">
        <v>536</v>
      </c>
      <c r="E844" s="4"/>
      <c r="F844" s="14"/>
      <c r="G844" s="14"/>
      <c r="H844" s="14"/>
      <c r="I844" s="5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</row>
    <row r="845" spans="1:86" x14ac:dyDescent="0.25">
      <c r="A845" s="12">
        <f t="shared" si="19"/>
        <v>842</v>
      </c>
      <c r="B845" s="4" t="s">
        <v>2092</v>
      </c>
      <c r="C845" s="4" t="s">
        <v>2093</v>
      </c>
      <c r="D845" s="4" t="s">
        <v>84</v>
      </c>
      <c r="E845" s="4"/>
      <c r="F845" s="14"/>
      <c r="G845" s="14"/>
      <c r="H845" s="14"/>
      <c r="I845" s="5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</row>
    <row r="846" spans="1:86" x14ac:dyDescent="0.25">
      <c r="A846" s="12">
        <f t="shared" si="19"/>
        <v>843</v>
      </c>
      <c r="B846" s="4" t="s">
        <v>2094</v>
      </c>
      <c r="C846" s="4" t="s">
        <v>2095</v>
      </c>
      <c r="D846" s="4" t="s">
        <v>1123</v>
      </c>
      <c r="E846" s="4"/>
      <c r="F846" s="14"/>
      <c r="G846" s="14"/>
      <c r="H846" s="14"/>
      <c r="I846" s="5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</row>
    <row r="847" spans="1:86" x14ac:dyDescent="0.25">
      <c r="A847" s="12">
        <f t="shared" si="19"/>
        <v>844</v>
      </c>
      <c r="B847" s="4" t="s">
        <v>2096</v>
      </c>
      <c r="C847" s="4" t="s">
        <v>2097</v>
      </c>
      <c r="D847" s="4" t="s">
        <v>1126</v>
      </c>
      <c r="E847" s="4"/>
      <c r="F847" s="14"/>
      <c r="G847" s="14"/>
      <c r="H847" s="14"/>
      <c r="I847" s="5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</row>
    <row r="848" spans="1:86" x14ac:dyDescent="0.25">
      <c r="A848" s="12">
        <f t="shared" si="19"/>
        <v>845</v>
      </c>
      <c r="B848" s="4" t="s">
        <v>2098</v>
      </c>
      <c r="C848" s="4" t="s">
        <v>2099</v>
      </c>
      <c r="D848" s="4" t="s">
        <v>1123</v>
      </c>
      <c r="E848" s="4"/>
      <c r="F848" s="14"/>
      <c r="G848" s="14"/>
      <c r="H848" s="14"/>
      <c r="I848" s="5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</row>
    <row r="849" spans="1:86" x14ac:dyDescent="0.25">
      <c r="A849" s="12">
        <f t="shared" si="19"/>
        <v>846</v>
      </c>
      <c r="B849" s="4" t="s">
        <v>1055</v>
      </c>
      <c r="C849" s="4" t="s">
        <v>1056</v>
      </c>
      <c r="D849" s="4" t="s">
        <v>768</v>
      </c>
      <c r="E849" s="4"/>
      <c r="F849" s="14"/>
      <c r="G849" s="14"/>
      <c r="H849" s="14"/>
      <c r="I849" s="5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</row>
    <row r="850" spans="1:86" x14ac:dyDescent="0.25">
      <c r="A850" s="12">
        <f t="shared" si="19"/>
        <v>847</v>
      </c>
      <c r="B850" s="4" t="s">
        <v>2100</v>
      </c>
      <c r="C850" s="4" t="s">
        <v>2101</v>
      </c>
      <c r="D850" s="4" t="s">
        <v>45</v>
      </c>
      <c r="E850" s="4"/>
      <c r="F850" s="14"/>
      <c r="G850" s="14"/>
      <c r="H850" s="14"/>
      <c r="I850" s="5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</row>
    <row r="851" spans="1:86" x14ac:dyDescent="0.25">
      <c r="A851" s="12">
        <f t="shared" si="19"/>
        <v>848</v>
      </c>
      <c r="B851" s="4" t="s">
        <v>2102</v>
      </c>
      <c r="C851" s="4" t="s">
        <v>2103</v>
      </c>
      <c r="D851" s="4" t="s">
        <v>45</v>
      </c>
      <c r="E851" s="4"/>
      <c r="F851" s="14"/>
      <c r="G851" s="14"/>
      <c r="H851" s="14"/>
      <c r="I851" s="5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</row>
    <row r="852" spans="1:86" x14ac:dyDescent="0.25">
      <c r="A852" s="12">
        <f t="shared" si="19"/>
        <v>849</v>
      </c>
      <c r="B852" s="4" t="s">
        <v>2104</v>
      </c>
      <c r="C852" s="4" t="s">
        <v>2105</v>
      </c>
      <c r="D852" s="4" t="s">
        <v>508</v>
      </c>
      <c r="E852" s="4"/>
      <c r="F852" s="14"/>
      <c r="G852" s="14"/>
      <c r="H852" s="14"/>
      <c r="I852" s="5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</row>
    <row r="853" spans="1:86" x14ac:dyDescent="0.25">
      <c r="A853" s="12">
        <f t="shared" si="19"/>
        <v>850</v>
      </c>
      <c r="B853" s="4" t="s">
        <v>2106</v>
      </c>
      <c r="C853" s="4" t="s">
        <v>2107</v>
      </c>
      <c r="D853" s="4" t="s">
        <v>1129</v>
      </c>
      <c r="E853" s="4"/>
      <c r="F853" s="14"/>
      <c r="G853" s="14"/>
      <c r="H853" s="14"/>
      <c r="I853" s="5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</row>
    <row r="854" spans="1:86" x14ac:dyDescent="0.25">
      <c r="A854" s="12">
        <f t="shared" si="19"/>
        <v>851</v>
      </c>
      <c r="B854" s="4" t="s">
        <v>2108</v>
      </c>
      <c r="C854" s="4" t="s">
        <v>2109</v>
      </c>
      <c r="D854" s="4" t="s">
        <v>128</v>
      </c>
      <c r="E854" s="4"/>
      <c r="F854" s="14"/>
      <c r="G854" s="14"/>
      <c r="H854" s="14"/>
      <c r="I854" s="5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</row>
    <row r="855" spans="1:86" x14ac:dyDescent="0.25">
      <c r="A855" s="12">
        <f t="shared" si="19"/>
        <v>852</v>
      </c>
      <c r="B855" s="4" t="s">
        <v>2110</v>
      </c>
      <c r="C855" s="4" t="s">
        <v>2111</v>
      </c>
      <c r="D855" s="4" t="s">
        <v>45</v>
      </c>
      <c r="E855" s="4"/>
      <c r="F855" s="14"/>
      <c r="G855" s="14"/>
      <c r="H855" s="14"/>
      <c r="I855" s="5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</row>
    <row r="856" spans="1:86" x14ac:dyDescent="0.25">
      <c r="A856" s="12">
        <f t="shared" si="19"/>
        <v>853</v>
      </c>
      <c r="B856" s="4" t="s">
        <v>2112</v>
      </c>
      <c r="C856" s="4" t="s">
        <v>2113</v>
      </c>
      <c r="D856" s="4" t="s">
        <v>84</v>
      </c>
      <c r="E856" s="4"/>
      <c r="F856" s="14"/>
      <c r="G856" s="14"/>
      <c r="H856" s="14"/>
      <c r="I856" s="5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</row>
    <row r="857" spans="1:86" x14ac:dyDescent="0.25">
      <c r="A857" s="12">
        <f t="shared" si="19"/>
        <v>854</v>
      </c>
      <c r="B857" s="4" t="s">
        <v>2114</v>
      </c>
      <c r="C857" s="4" t="s">
        <v>2115</v>
      </c>
      <c r="D857" s="4" t="s">
        <v>536</v>
      </c>
      <c r="E857" s="4"/>
      <c r="F857" s="14"/>
      <c r="G857" s="14"/>
      <c r="H857" s="14"/>
      <c r="I857" s="5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</row>
    <row r="858" spans="1:86" x14ac:dyDescent="0.25">
      <c r="A858" s="12">
        <f t="shared" si="19"/>
        <v>855</v>
      </c>
      <c r="B858" s="4" t="s">
        <v>2116</v>
      </c>
      <c r="C858" s="4" t="b">
        <v>1</v>
      </c>
      <c r="D858" s="4" t="s">
        <v>45</v>
      </c>
      <c r="E858" s="4"/>
      <c r="F858" s="14"/>
      <c r="G858" s="14"/>
      <c r="H858" s="14"/>
      <c r="I858" s="5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</row>
    <row r="859" spans="1:86" x14ac:dyDescent="0.25">
      <c r="A859" s="12">
        <f t="shared" si="19"/>
        <v>856</v>
      </c>
      <c r="B859" s="4" t="s">
        <v>2117</v>
      </c>
      <c r="C859" s="4" t="s">
        <v>2118</v>
      </c>
      <c r="D859" s="4" t="s">
        <v>45</v>
      </c>
      <c r="E859" s="4"/>
      <c r="F859" s="14"/>
      <c r="G859" s="14"/>
      <c r="H859" s="14"/>
      <c r="I859" s="5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</row>
    <row r="860" spans="1:86" x14ac:dyDescent="0.25">
      <c r="A860" s="12">
        <f t="shared" si="19"/>
        <v>857</v>
      </c>
      <c r="B860" s="4" t="s">
        <v>2119</v>
      </c>
      <c r="C860" s="4" t="s">
        <v>2120</v>
      </c>
      <c r="D860" s="4" t="s">
        <v>508</v>
      </c>
      <c r="E860" s="4"/>
      <c r="F860" s="14"/>
      <c r="G860" s="14"/>
      <c r="H860" s="14"/>
      <c r="I860" s="5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</row>
    <row r="861" spans="1:86" x14ac:dyDescent="0.25">
      <c r="A861" s="12">
        <f t="shared" si="19"/>
        <v>858</v>
      </c>
      <c r="B861" s="4" t="s">
        <v>2121</v>
      </c>
      <c r="C861" s="4" t="s">
        <v>2122</v>
      </c>
      <c r="D861" s="4" t="s">
        <v>84</v>
      </c>
      <c r="E861" s="4"/>
      <c r="F861" s="14"/>
      <c r="G861" s="14"/>
      <c r="H861" s="14"/>
      <c r="I861" s="5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</row>
    <row r="862" spans="1:86" x14ac:dyDescent="0.25">
      <c r="A862" s="12">
        <f t="shared" si="19"/>
        <v>859</v>
      </c>
      <c r="B862" s="4" t="s">
        <v>2123</v>
      </c>
      <c r="C862" s="4" t="s">
        <v>2124</v>
      </c>
      <c r="D862" s="4" t="s">
        <v>1123</v>
      </c>
      <c r="E862" s="4"/>
      <c r="F862" s="14"/>
      <c r="G862" s="14"/>
      <c r="H862" s="14"/>
      <c r="I862" s="5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</row>
    <row r="863" spans="1:86" x14ac:dyDescent="0.25">
      <c r="A863" s="12">
        <f t="shared" si="19"/>
        <v>860</v>
      </c>
      <c r="B863" s="4" t="s">
        <v>2125</v>
      </c>
      <c r="C863" s="4" t="s">
        <v>2126</v>
      </c>
      <c r="D863" s="4" t="s">
        <v>45</v>
      </c>
      <c r="E863" s="4"/>
      <c r="F863" s="14"/>
      <c r="G863" s="14"/>
      <c r="H863" s="14"/>
      <c r="I863" s="5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</row>
    <row r="864" spans="1:86" x14ac:dyDescent="0.25">
      <c r="A864" s="12">
        <f t="shared" si="19"/>
        <v>861</v>
      </c>
      <c r="B864" s="4" t="s">
        <v>2127</v>
      </c>
      <c r="C864" s="4" t="s">
        <v>2128</v>
      </c>
      <c r="D864" s="4" t="s">
        <v>508</v>
      </c>
      <c r="E864" s="4"/>
      <c r="F864" s="14"/>
      <c r="G864" s="14"/>
      <c r="H864" s="14"/>
      <c r="I864" s="5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</row>
    <row r="865" spans="1:86" x14ac:dyDescent="0.25">
      <c r="A865" s="12">
        <f t="shared" si="19"/>
        <v>862</v>
      </c>
      <c r="B865" s="4" t="s">
        <v>2129</v>
      </c>
      <c r="C865" s="4" t="s">
        <v>2130</v>
      </c>
      <c r="D865" s="4" t="s">
        <v>84</v>
      </c>
      <c r="E865" s="4"/>
      <c r="F865" s="14"/>
      <c r="G865" s="14"/>
      <c r="H865" s="14"/>
      <c r="I865" s="5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</row>
    <row r="866" spans="1:86" x14ac:dyDescent="0.25">
      <c r="A866" s="12">
        <f t="shared" si="19"/>
        <v>863</v>
      </c>
      <c r="B866" s="4" t="s">
        <v>2131</v>
      </c>
      <c r="C866" s="4" t="s">
        <v>2132</v>
      </c>
      <c r="D866" s="4" t="s">
        <v>45</v>
      </c>
      <c r="E866" s="4"/>
      <c r="F866" s="14"/>
      <c r="G866" s="14"/>
      <c r="H866" s="14"/>
      <c r="I866" s="5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</row>
    <row r="867" spans="1:86" x14ac:dyDescent="0.25">
      <c r="A867" s="12">
        <f t="shared" si="19"/>
        <v>864</v>
      </c>
      <c r="B867" s="4" t="s">
        <v>2133</v>
      </c>
      <c r="C867" s="4" t="s">
        <v>2134</v>
      </c>
      <c r="D867" s="4" t="s">
        <v>87</v>
      </c>
      <c r="E867" s="4"/>
      <c r="F867" s="14"/>
      <c r="G867" s="14"/>
      <c r="H867" s="14"/>
      <c r="I867" s="5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</row>
    <row r="868" spans="1:86" x14ac:dyDescent="0.25">
      <c r="A868" s="12">
        <f t="shared" si="19"/>
        <v>865</v>
      </c>
      <c r="B868" s="4" t="s">
        <v>2135</v>
      </c>
      <c r="C868" s="4" t="s">
        <v>2136</v>
      </c>
      <c r="D868" s="4" t="s">
        <v>84</v>
      </c>
      <c r="E868" s="4"/>
      <c r="F868" s="14"/>
      <c r="G868" s="14"/>
      <c r="H868" s="14"/>
      <c r="I868" s="5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</row>
    <row r="869" spans="1:86" x14ac:dyDescent="0.25">
      <c r="A869" s="12">
        <f t="shared" si="19"/>
        <v>866</v>
      </c>
      <c r="B869" s="4" t="s">
        <v>2137</v>
      </c>
      <c r="C869" s="4" t="s">
        <v>2138</v>
      </c>
      <c r="D869" s="4" t="s">
        <v>45</v>
      </c>
      <c r="E869" s="4"/>
      <c r="F869" s="14"/>
      <c r="G869" s="14"/>
      <c r="H869" s="14"/>
      <c r="I869" s="5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</row>
    <row r="870" spans="1:86" x14ac:dyDescent="0.25">
      <c r="A870" s="12">
        <f t="shared" si="19"/>
        <v>867</v>
      </c>
      <c r="B870" s="4" t="s">
        <v>2139</v>
      </c>
      <c r="C870" s="4" t="s">
        <v>2140</v>
      </c>
      <c r="D870" s="4" t="s">
        <v>45</v>
      </c>
      <c r="E870" s="4"/>
      <c r="F870" s="14"/>
      <c r="G870" s="14"/>
      <c r="H870" s="14"/>
      <c r="I870" s="5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</row>
    <row r="871" spans="1:86" x14ac:dyDescent="0.25">
      <c r="A871" s="12">
        <f t="shared" si="19"/>
        <v>868</v>
      </c>
      <c r="B871" s="4" t="s">
        <v>2141</v>
      </c>
      <c r="C871" s="4" t="s">
        <v>2142</v>
      </c>
      <c r="D871" s="4" t="s">
        <v>45</v>
      </c>
      <c r="E871" s="4"/>
      <c r="F871" s="14"/>
      <c r="G871" s="14"/>
      <c r="H871" s="14"/>
      <c r="I871" s="5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</row>
    <row r="872" spans="1:86" x14ac:dyDescent="0.25">
      <c r="A872" s="12">
        <f t="shared" si="19"/>
        <v>869</v>
      </c>
      <c r="B872" s="4" t="s">
        <v>2143</v>
      </c>
      <c r="C872" s="4" t="s">
        <v>2144</v>
      </c>
      <c r="D872" s="4" t="s">
        <v>1125</v>
      </c>
      <c r="E872" s="4"/>
      <c r="F872" s="14"/>
      <c r="G872" s="14"/>
      <c r="H872" s="14"/>
      <c r="I872" s="5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</row>
    <row r="873" spans="1:86" x14ac:dyDescent="0.25">
      <c r="A873" s="12">
        <f t="shared" si="19"/>
        <v>870</v>
      </c>
      <c r="B873" s="4" t="s">
        <v>2145</v>
      </c>
      <c r="C873" s="4" t="s">
        <v>2146</v>
      </c>
      <c r="D873" s="4" t="s">
        <v>278</v>
      </c>
      <c r="E873" s="4"/>
      <c r="F873" s="14"/>
      <c r="G873" s="14"/>
      <c r="H873" s="14"/>
      <c r="I873" s="5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</row>
    <row r="874" spans="1:86" x14ac:dyDescent="0.25">
      <c r="A874" s="12">
        <f t="shared" si="19"/>
        <v>871</v>
      </c>
      <c r="B874" s="4" t="s">
        <v>2147</v>
      </c>
      <c r="C874" s="4" t="s">
        <v>2148</v>
      </c>
      <c r="D874" s="4" t="s">
        <v>508</v>
      </c>
      <c r="E874" s="4"/>
      <c r="F874" s="14"/>
      <c r="G874" s="14"/>
      <c r="H874" s="14"/>
      <c r="I874" s="5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</row>
    <row r="875" spans="1:86" x14ac:dyDescent="0.25">
      <c r="A875" s="12">
        <f t="shared" si="19"/>
        <v>872</v>
      </c>
      <c r="B875" s="4" t="s">
        <v>2149</v>
      </c>
      <c r="C875" s="4" t="s">
        <v>2150</v>
      </c>
      <c r="D875" s="4" t="s">
        <v>84</v>
      </c>
      <c r="E875" s="4"/>
      <c r="F875" s="14"/>
      <c r="G875" s="14"/>
      <c r="H875" s="14"/>
      <c r="I875" s="5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</row>
    <row r="876" spans="1:86" x14ac:dyDescent="0.25">
      <c r="A876" s="12">
        <f t="shared" si="19"/>
        <v>873</v>
      </c>
      <c r="B876" s="4" t="s">
        <v>2151</v>
      </c>
      <c r="C876" s="4" t="s">
        <v>2152</v>
      </c>
      <c r="D876" s="4" t="s">
        <v>45</v>
      </c>
      <c r="E876" s="4"/>
      <c r="F876" s="14"/>
      <c r="G876" s="14"/>
      <c r="H876" s="14"/>
      <c r="I876" s="5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</row>
    <row r="877" spans="1:86" x14ac:dyDescent="0.25">
      <c r="A877" s="12">
        <f t="shared" si="19"/>
        <v>874</v>
      </c>
      <c r="B877" s="4" t="s">
        <v>2153</v>
      </c>
      <c r="C877" s="4" t="s">
        <v>2154</v>
      </c>
      <c r="D877" s="4" t="s">
        <v>2569</v>
      </c>
      <c r="E877" s="4"/>
      <c r="F877" s="14"/>
      <c r="G877" s="14"/>
      <c r="H877" s="14"/>
      <c r="I877" s="5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</row>
    <row r="878" spans="1:86" x14ac:dyDescent="0.25">
      <c r="A878" s="12">
        <f t="shared" si="19"/>
        <v>875</v>
      </c>
      <c r="B878" s="4" t="s">
        <v>2155</v>
      </c>
      <c r="C878" s="4" t="s">
        <v>2156</v>
      </c>
      <c r="D878" s="4" t="s">
        <v>2574</v>
      </c>
      <c r="E878" s="4"/>
      <c r="F878" s="14"/>
      <c r="G878" s="14"/>
      <c r="H878" s="14"/>
      <c r="I878" s="5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</row>
    <row r="879" spans="1:86" x14ac:dyDescent="0.25">
      <c r="A879" s="12">
        <f t="shared" si="19"/>
        <v>876</v>
      </c>
      <c r="B879" s="4" t="s">
        <v>2157</v>
      </c>
      <c r="C879" s="4" t="s">
        <v>2158</v>
      </c>
      <c r="D879" s="4" t="s">
        <v>1129</v>
      </c>
      <c r="E879" s="4"/>
      <c r="F879" s="14"/>
      <c r="G879" s="14"/>
      <c r="H879" s="14"/>
      <c r="I879" s="5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</row>
    <row r="880" spans="1:86" x14ac:dyDescent="0.25">
      <c r="A880" s="12">
        <f t="shared" si="19"/>
        <v>877</v>
      </c>
      <c r="B880" s="4" t="s">
        <v>2159</v>
      </c>
      <c r="C880" s="4" t="s">
        <v>2160</v>
      </c>
      <c r="D880" s="4" t="s">
        <v>1125</v>
      </c>
      <c r="E880" s="4"/>
      <c r="F880" s="14"/>
      <c r="G880" s="14"/>
      <c r="H880" s="14"/>
      <c r="I880" s="5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</row>
    <row r="881" spans="1:86" x14ac:dyDescent="0.25">
      <c r="A881" s="12">
        <f t="shared" si="19"/>
        <v>878</v>
      </c>
      <c r="B881" s="4" t="s">
        <v>2161</v>
      </c>
      <c r="C881" s="4" t="s">
        <v>2162</v>
      </c>
      <c r="D881" s="4" t="s">
        <v>84</v>
      </c>
      <c r="E881" s="4"/>
      <c r="F881" s="14"/>
      <c r="G881" s="14"/>
      <c r="H881" s="14"/>
      <c r="I881" s="5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</row>
    <row r="882" spans="1:86" x14ac:dyDescent="0.25">
      <c r="A882" s="12">
        <f t="shared" si="19"/>
        <v>879</v>
      </c>
      <c r="B882" s="4" t="s">
        <v>2163</v>
      </c>
      <c r="C882" s="4" t="s">
        <v>2164</v>
      </c>
      <c r="D882" s="4" t="s">
        <v>45</v>
      </c>
      <c r="E882" s="4"/>
      <c r="F882" s="14"/>
      <c r="G882" s="14"/>
      <c r="H882" s="14"/>
      <c r="I882" s="5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</row>
    <row r="883" spans="1:86" x14ac:dyDescent="0.25">
      <c r="A883" s="12">
        <f t="shared" si="19"/>
        <v>880</v>
      </c>
      <c r="B883" s="4" t="s">
        <v>2165</v>
      </c>
      <c r="C883" s="4" t="s">
        <v>2166</v>
      </c>
      <c r="D883" s="4" t="s">
        <v>1125</v>
      </c>
      <c r="E883" s="4"/>
      <c r="F883" s="14"/>
      <c r="G883" s="14"/>
      <c r="H883" s="14"/>
      <c r="I883" s="5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</row>
    <row r="884" spans="1:86" x14ac:dyDescent="0.25">
      <c r="A884" s="12">
        <f t="shared" si="19"/>
        <v>881</v>
      </c>
      <c r="B884" s="4" t="s">
        <v>2167</v>
      </c>
      <c r="C884" s="4" t="s">
        <v>2168</v>
      </c>
      <c r="D884" s="4" t="s">
        <v>45</v>
      </c>
      <c r="E884" s="4"/>
      <c r="F884" s="14"/>
      <c r="G884" s="14"/>
      <c r="H884" s="14"/>
      <c r="I884" s="5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</row>
    <row r="885" spans="1:86" x14ac:dyDescent="0.25">
      <c r="A885" s="12">
        <f t="shared" si="19"/>
        <v>882</v>
      </c>
      <c r="B885" s="4" t="s">
        <v>2169</v>
      </c>
      <c r="C885" s="4" t="s">
        <v>2170</v>
      </c>
      <c r="D885" s="4" t="s">
        <v>278</v>
      </c>
      <c r="E885" s="4"/>
      <c r="F885" s="14"/>
      <c r="G885" s="14"/>
      <c r="H885" s="14"/>
      <c r="I885" s="5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</row>
    <row r="886" spans="1:86" x14ac:dyDescent="0.25">
      <c r="A886" s="12">
        <f t="shared" si="19"/>
        <v>883</v>
      </c>
      <c r="B886" s="4" t="s">
        <v>2171</v>
      </c>
      <c r="C886" s="4" t="s">
        <v>2172</v>
      </c>
      <c r="D886" s="4" t="s">
        <v>45</v>
      </c>
      <c r="E886" s="4"/>
      <c r="F886" s="14"/>
      <c r="G886" s="14"/>
      <c r="H886" s="14"/>
      <c r="I886" s="5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</row>
    <row r="887" spans="1:86" x14ac:dyDescent="0.25">
      <c r="A887" s="12">
        <f t="shared" si="19"/>
        <v>884</v>
      </c>
      <c r="B887" s="4" t="s">
        <v>2173</v>
      </c>
      <c r="C887" s="4" t="s">
        <v>2174</v>
      </c>
      <c r="D887" s="4" t="s">
        <v>2569</v>
      </c>
      <c r="E887" s="4"/>
      <c r="F887" s="14"/>
      <c r="G887" s="14"/>
      <c r="H887" s="14"/>
      <c r="I887" s="5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</row>
    <row r="888" spans="1:86" x14ac:dyDescent="0.25">
      <c r="A888" s="12">
        <f t="shared" si="19"/>
        <v>885</v>
      </c>
      <c r="B888" s="4" t="s">
        <v>1061</v>
      </c>
      <c r="C888" s="4" t="s">
        <v>1062</v>
      </c>
      <c r="D888" s="4" t="s">
        <v>2572</v>
      </c>
      <c r="E888" s="4"/>
      <c r="F888" s="14"/>
      <c r="G888" s="14"/>
      <c r="H888" s="14"/>
      <c r="I888" s="5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</row>
    <row r="889" spans="1:86" x14ac:dyDescent="0.25">
      <c r="A889" s="12">
        <f t="shared" si="19"/>
        <v>886</v>
      </c>
      <c r="B889" s="4" t="s">
        <v>2175</v>
      </c>
      <c r="C889" s="4" t="s">
        <v>2176</v>
      </c>
      <c r="D889" s="4" t="s">
        <v>768</v>
      </c>
      <c r="E889" s="4"/>
      <c r="F889" s="14"/>
      <c r="G889" s="14"/>
      <c r="H889" s="14"/>
      <c r="I889" s="5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</row>
    <row r="890" spans="1:86" x14ac:dyDescent="0.25">
      <c r="A890" s="12">
        <f t="shared" si="19"/>
        <v>887</v>
      </c>
      <c r="B890" s="4" t="s">
        <v>2177</v>
      </c>
      <c r="C890" s="4" t="s">
        <v>2178</v>
      </c>
      <c r="D890" s="4" t="s">
        <v>84</v>
      </c>
      <c r="E890" s="4"/>
      <c r="F890" s="14"/>
      <c r="G890" s="14"/>
      <c r="H890" s="14"/>
      <c r="I890" s="5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</row>
    <row r="891" spans="1:86" x14ac:dyDescent="0.25">
      <c r="A891" s="12">
        <f t="shared" si="19"/>
        <v>888</v>
      </c>
      <c r="B891" s="4" t="s">
        <v>2179</v>
      </c>
      <c r="C891" s="4" t="s">
        <v>2180</v>
      </c>
      <c r="D891" s="4" t="s">
        <v>1130</v>
      </c>
      <c r="E891" s="4"/>
      <c r="F891" s="14"/>
      <c r="G891" s="14"/>
      <c r="H891" s="14"/>
      <c r="I891" s="5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</row>
    <row r="892" spans="1:86" x14ac:dyDescent="0.25">
      <c r="A892" s="12">
        <f t="shared" si="19"/>
        <v>889</v>
      </c>
      <c r="B892" s="4" t="s">
        <v>2181</v>
      </c>
      <c r="C892" s="4" t="s">
        <v>2182</v>
      </c>
      <c r="D892" s="4" t="s">
        <v>601</v>
      </c>
      <c r="E892" s="4"/>
      <c r="F892" s="14"/>
      <c r="G892" s="14"/>
      <c r="H892" s="14"/>
      <c r="I892" s="5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</row>
    <row r="893" spans="1:86" x14ac:dyDescent="0.25">
      <c r="A893" s="12">
        <f t="shared" si="19"/>
        <v>890</v>
      </c>
      <c r="B893" s="4" t="s">
        <v>2183</v>
      </c>
      <c r="C893" s="4" t="s">
        <v>2184</v>
      </c>
      <c r="D893" s="4" t="s">
        <v>768</v>
      </c>
      <c r="E893" s="4"/>
      <c r="F893" s="14"/>
      <c r="G893" s="14"/>
      <c r="H893" s="14"/>
      <c r="I893" s="5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</row>
    <row r="894" spans="1:86" x14ac:dyDescent="0.25">
      <c r="A894" s="12">
        <f t="shared" si="19"/>
        <v>891</v>
      </c>
      <c r="B894" s="4" t="s">
        <v>2185</v>
      </c>
      <c r="C894" s="4" t="s">
        <v>2186</v>
      </c>
      <c r="D894" s="4" t="s">
        <v>45</v>
      </c>
      <c r="E894" s="4"/>
      <c r="F894" s="14"/>
      <c r="G894" s="14"/>
      <c r="H894" s="14"/>
      <c r="I894" s="5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</row>
    <row r="895" spans="1:86" x14ac:dyDescent="0.25">
      <c r="A895" s="12">
        <f t="shared" si="19"/>
        <v>892</v>
      </c>
      <c r="B895" s="4" t="s">
        <v>2187</v>
      </c>
      <c r="C895" s="4" t="s">
        <v>2188</v>
      </c>
      <c r="D895" s="4" t="s">
        <v>87</v>
      </c>
      <c r="E895" s="4"/>
      <c r="F895" s="14"/>
      <c r="G895" s="14"/>
      <c r="H895" s="14"/>
      <c r="I895" s="5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</row>
    <row r="896" spans="1:86" x14ac:dyDescent="0.25">
      <c r="A896" s="12">
        <f t="shared" si="19"/>
        <v>893</v>
      </c>
      <c r="B896" s="4" t="s">
        <v>2189</v>
      </c>
      <c r="C896" s="4" t="s">
        <v>2190</v>
      </c>
      <c r="D896" s="4" t="s">
        <v>768</v>
      </c>
      <c r="E896" s="4"/>
      <c r="F896" s="14"/>
      <c r="G896" s="14"/>
      <c r="H896" s="14"/>
      <c r="I896" s="5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</row>
    <row r="897" spans="1:86" x14ac:dyDescent="0.25">
      <c r="A897" s="12">
        <f t="shared" si="19"/>
        <v>894</v>
      </c>
      <c r="B897" s="4" t="s">
        <v>2191</v>
      </c>
      <c r="C897" s="4" t="s">
        <v>2192</v>
      </c>
      <c r="D897" s="4" t="s">
        <v>84</v>
      </c>
      <c r="E897" s="4"/>
      <c r="F897" s="14"/>
      <c r="G897" s="14"/>
      <c r="H897" s="14"/>
      <c r="I897" s="5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</row>
    <row r="898" spans="1:86" x14ac:dyDescent="0.25">
      <c r="A898" s="12">
        <f t="shared" si="19"/>
        <v>895</v>
      </c>
      <c r="B898" s="4" t="s">
        <v>2193</v>
      </c>
      <c r="C898" s="4" t="s">
        <v>2194</v>
      </c>
      <c r="D898" s="4" t="s">
        <v>1125</v>
      </c>
      <c r="E898" s="4"/>
      <c r="F898" s="14"/>
      <c r="G898" s="14"/>
      <c r="H898" s="14"/>
      <c r="I898" s="5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</row>
    <row r="899" spans="1:86" x14ac:dyDescent="0.25">
      <c r="A899" s="12">
        <f t="shared" si="19"/>
        <v>896</v>
      </c>
      <c r="B899" s="4" t="s">
        <v>2195</v>
      </c>
      <c r="C899" s="4" t="s">
        <v>2196</v>
      </c>
      <c r="D899" s="4" t="s">
        <v>1130</v>
      </c>
      <c r="E899" s="4"/>
      <c r="F899" s="14"/>
      <c r="G899" s="14"/>
      <c r="H899" s="14"/>
      <c r="I899" s="5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</row>
    <row r="900" spans="1:86" x14ac:dyDescent="0.25">
      <c r="A900" s="12">
        <f t="shared" si="19"/>
        <v>897</v>
      </c>
      <c r="B900" s="4" t="s">
        <v>2197</v>
      </c>
      <c r="C900" s="4" t="s">
        <v>2198</v>
      </c>
      <c r="D900" s="4" t="s">
        <v>768</v>
      </c>
      <c r="E900" s="4"/>
      <c r="F900" s="14"/>
      <c r="G900" s="14"/>
      <c r="H900" s="14"/>
      <c r="I900" s="5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</row>
    <row r="901" spans="1:86" x14ac:dyDescent="0.25">
      <c r="A901" s="12">
        <f t="shared" si="19"/>
        <v>898</v>
      </c>
      <c r="B901" s="4" t="s">
        <v>2199</v>
      </c>
      <c r="C901" s="4" t="s">
        <v>2200</v>
      </c>
      <c r="D901" s="4" t="s">
        <v>2575</v>
      </c>
      <c r="E901" s="4"/>
      <c r="F901" s="14"/>
      <c r="G901" s="14"/>
      <c r="H901" s="14"/>
      <c r="I901" s="5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</row>
    <row r="902" spans="1:86" x14ac:dyDescent="0.25">
      <c r="A902" s="12">
        <f t="shared" si="19"/>
        <v>899</v>
      </c>
      <c r="B902" s="4" t="s">
        <v>2201</v>
      </c>
      <c r="C902" s="4" t="s">
        <v>2202</v>
      </c>
      <c r="D902" s="4" t="s">
        <v>45</v>
      </c>
      <c r="E902" s="4"/>
      <c r="F902" s="14"/>
      <c r="G902" s="14"/>
      <c r="H902" s="14"/>
      <c r="I902" s="5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</row>
    <row r="903" spans="1:86" x14ac:dyDescent="0.25">
      <c r="A903" s="12">
        <f t="shared" si="19"/>
        <v>900</v>
      </c>
      <c r="B903" s="4" t="s">
        <v>2203</v>
      </c>
      <c r="C903" s="4" t="s">
        <v>2204</v>
      </c>
      <c r="D903" s="4" t="s">
        <v>536</v>
      </c>
      <c r="E903" s="4"/>
      <c r="F903" s="14"/>
      <c r="G903" s="14"/>
      <c r="H903" s="14"/>
      <c r="I903" s="5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</row>
    <row r="904" spans="1:86" x14ac:dyDescent="0.25">
      <c r="A904" s="12">
        <f t="shared" si="19"/>
        <v>901</v>
      </c>
      <c r="B904" s="4" t="s">
        <v>2205</v>
      </c>
      <c r="C904" s="4" t="s">
        <v>2206</v>
      </c>
      <c r="D904" s="4" t="s">
        <v>768</v>
      </c>
      <c r="E904" s="4"/>
      <c r="F904" s="14"/>
      <c r="G904" s="14"/>
      <c r="H904" s="14"/>
      <c r="I904" s="5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</row>
    <row r="905" spans="1:86" x14ac:dyDescent="0.25">
      <c r="A905" s="12">
        <f t="shared" si="19"/>
        <v>902</v>
      </c>
      <c r="B905" s="4" t="s">
        <v>2207</v>
      </c>
      <c r="C905" s="4" t="s">
        <v>2208</v>
      </c>
      <c r="D905" s="4" t="s">
        <v>45</v>
      </c>
      <c r="E905" s="4"/>
      <c r="F905" s="14"/>
      <c r="G905" s="14"/>
      <c r="H905" s="14"/>
      <c r="I905" s="5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</row>
    <row r="906" spans="1:86" x14ac:dyDescent="0.25">
      <c r="A906" s="12">
        <f t="shared" ref="A906:A969" si="20">+A905+1</f>
        <v>903</v>
      </c>
      <c r="B906" s="4" t="s">
        <v>2209</v>
      </c>
      <c r="C906" s="4" t="s">
        <v>2210</v>
      </c>
      <c r="D906" s="4" t="s">
        <v>1125</v>
      </c>
      <c r="E906" s="4"/>
      <c r="F906" s="14"/>
      <c r="G906" s="14"/>
      <c r="H906" s="14"/>
      <c r="I906" s="5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</row>
    <row r="907" spans="1:86" x14ac:dyDescent="0.25">
      <c r="A907" s="12">
        <f t="shared" si="20"/>
        <v>904</v>
      </c>
      <c r="B907" s="4" t="s">
        <v>2211</v>
      </c>
      <c r="C907" s="4" t="s">
        <v>2212</v>
      </c>
      <c r="D907" s="4" t="s">
        <v>45</v>
      </c>
      <c r="E907" s="4"/>
      <c r="F907" s="14"/>
      <c r="G907" s="14"/>
      <c r="H907" s="14"/>
      <c r="I907" s="5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</row>
    <row r="908" spans="1:86" x14ac:dyDescent="0.25">
      <c r="A908" s="12">
        <f t="shared" si="20"/>
        <v>905</v>
      </c>
      <c r="B908" s="4" t="s">
        <v>2213</v>
      </c>
      <c r="C908" s="4" t="s">
        <v>2214</v>
      </c>
      <c r="D908" s="4" t="s">
        <v>128</v>
      </c>
      <c r="E908" s="4"/>
      <c r="F908" s="14"/>
      <c r="G908" s="14"/>
      <c r="H908" s="14"/>
      <c r="I908" s="5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</row>
    <row r="909" spans="1:86" x14ac:dyDescent="0.25">
      <c r="A909" s="12">
        <f t="shared" si="20"/>
        <v>906</v>
      </c>
      <c r="B909" s="4" t="s">
        <v>2215</v>
      </c>
      <c r="C909" s="4" t="s">
        <v>2216</v>
      </c>
      <c r="D909" s="4" t="s">
        <v>1130</v>
      </c>
      <c r="E909" s="4"/>
      <c r="F909" s="14"/>
      <c r="G909" s="14"/>
      <c r="H909" s="14"/>
      <c r="I909" s="5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</row>
    <row r="910" spans="1:86" x14ac:dyDescent="0.25">
      <c r="A910" s="12">
        <f t="shared" si="20"/>
        <v>907</v>
      </c>
      <c r="B910" s="4" t="s">
        <v>2217</v>
      </c>
      <c r="C910" s="4" t="s">
        <v>2218</v>
      </c>
      <c r="D910" s="4" t="s">
        <v>47</v>
      </c>
      <c r="E910" s="4"/>
      <c r="F910" s="14"/>
      <c r="G910" s="14"/>
      <c r="H910" s="14"/>
      <c r="I910" s="5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</row>
    <row r="911" spans="1:86" x14ac:dyDescent="0.25">
      <c r="A911" s="12">
        <f t="shared" si="20"/>
        <v>908</v>
      </c>
      <c r="B911" s="4" t="s">
        <v>2219</v>
      </c>
      <c r="C911" s="4" t="s">
        <v>2220</v>
      </c>
      <c r="D911" s="4" t="s">
        <v>508</v>
      </c>
      <c r="E911" s="4"/>
      <c r="F911" s="14"/>
      <c r="G911" s="14"/>
      <c r="H911" s="14"/>
      <c r="I911" s="5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</row>
    <row r="912" spans="1:86" x14ac:dyDescent="0.25">
      <c r="A912" s="12">
        <f t="shared" si="20"/>
        <v>909</v>
      </c>
      <c r="B912" s="4" t="s">
        <v>2221</v>
      </c>
      <c r="C912" s="4" t="s">
        <v>2222</v>
      </c>
      <c r="D912" s="4" t="s">
        <v>1130</v>
      </c>
      <c r="E912" s="4"/>
      <c r="F912" s="14"/>
      <c r="G912" s="14"/>
      <c r="H912" s="14"/>
      <c r="I912" s="5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</row>
    <row r="913" spans="1:86" x14ac:dyDescent="0.25">
      <c r="A913" s="12">
        <f t="shared" si="20"/>
        <v>910</v>
      </c>
      <c r="B913" s="4" t="s">
        <v>2223</v>
      </c>
      <c r="C913" s="4" t="s">
        <v>2224</v>
      </c>
      <c r="D913" s="4" t="s">
        <v>536</v>
      </c>
      <c r="E913" s="4"/>
      <c r="F913" s="14"/>
      <c r="G913" s="14"/>
      <c r="H913" s="14"/>
      <c r="I913" s="5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</row>
    <row r="914" spans="1:86" x14ac:dyDescent="0.25">
      <c r="A914" s="12">
        <f t="shared" si="20"/>
        <v>911</v>
      </c>
      <c r="B914" s="4" t="s">
        <v>2225</v>
      </c>
      <c r="C914" s="4" t="s">
        <v>2226</v>
      </c>
      <c r="D914" s="4" t="s">
        <v>45</v>
      </c>
      <c r="E914" s="4"/>
      <c r="F914" s="14"/>
      <c r="G914" s="14"/>
      <c r="H914" s="14"/>
      <c r="I914" s="5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</row>
    <row r="915" spans="1:86" x14ac:dyDescent="0.25">
      <c r="A915" s="12">
        <f t="shared" si="20"/>
        <v>912</v>
      </c>
      <c r="B915" s="4" t="s">
        <v>2227</v>
      </c>
      <c r="C915" s="4" t="s">
        <v>2228</v>
      </c>
      <c r="D915" s="4" t="s">
        <v>45</v>
      </c>
      <c r="E915" s="4"/>
      <c r="F915" s="14"/>
      <c r="G915" s="14"/>
      <c r="H915" s="14"/>
      <c r="I915" s="5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</row>
    <row r="916" spans="1:86" x14ac:dyDescent="0.25">
      <c r="A916" s="12">
        <f t="shared" si="20"/>
        <v>913</v>
      </c>
      <c r="B916" s="4" t="s">
        <v>2229</v>
      </c>
      <c r="C916" s="4" t="s">
        <v>2230</v>
      </c>
      <c r="D916" s="4" t="s">
        <v>45</v>
      </c>
      <c r="E916" s="4"/>
      <c r="F916" s="14"/>
      <c r="G916" s="14"/>
      <c r="H916" s="14"/>
      <c r="I916" s="5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</row>
    <row r="917" spans="1:86" x14ac:dyDescent="0.25">
      <c r="A917" s="12">
        <f t="shared" si="20"/>
        <v>914</v>
      </c>
      <c r="B917" s="4" t="s">
        <v>2231</v>
      </c>
      <c r="C917" s="4" t="s">
        <v>2232</v>
      </c>
      <c r="D917" s="4" t="s">
        <v>45</v>
      </c>
      <c r="E917" s="4"/>
      <c r="F917" s="14"/>
      <c r="G917" s="14"/>
      <c r="H917" s="14"/>
      <c r="I917" s="5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</row>
    <row r="918" spans="1:86" x14ac:dyDescent="0.25">
      <c r="A918" s="12">
        <f t="shared" si="20"/>
        <v>915</v>
      </c>
      <c r="B918" s="4" t="s">
        <v>2233</v>
      </c>
      <c r="C918" s="4" t="s">
        <v>2234</v>
      </c>
      <c r="D918" s="4" t="s">
        <v>45</v>
      </c>
      <c r="E918" s="4"/>
      <c r="F918" s="14"/>
      <c r="G918" s="14"/>
      <c r="H918" s="14"/>
      <c r="I918" s="5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</row>
    <row r="919" spans="1:86" x14ac:dyDescent="0.25">
      <c r="A919" s="12">
        <f t="shared" si="20"/>
        <v>916</v>
      </c>
      <c r="B919" s="4" t="s">
        <v>2235</v>
      </c>
      <c r="C919" s="4" t="s">
        <v>2236</v>
      </c>
      <c r="D919" s="4" t="s">
        <v>2574</v>
      </c>
      <c r="E919" s="4"/>
      <c r="F919" s="14"/>
      <c r="G919" s="14"/>
      <c r="H919" s="14"/>
      <c r="I919" s="5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</row>
    <row r="920" spans="1:86" x14ac:dyDescent="0.25">
      <c r="A920" s="12">
        <f t="shared" si="20"/>
        <v>917</v>
      </c>
      <c r="B920" s="4" t="s">
        <v>2237</v>
      </c>
      <c r="C920" s="4" t="s">
        <v>2238</v>
      </c>
      <c r="D920" s="4" t="s">
        <v>45</v>
      </c>
      <c r="E920" s="4"/>
      <c r="F920" s="14"/>
      <c r="G920" s="14"/>
      <c r="H920" s="14"/>
      <c r="I920" s="5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</row>
    <row r="921" spans="1:86" x14ac:dyDescent="0.25">
      <c r="A921" s="12">
        <f t="shared" si="20"/>
        <v>918</v>
      </c>
      <c r="B921" s="4" t="s">
        <v>2239</v>
      </c>
      <c r="C921" s="4" t="s">
        <v>2240</v>
      </c>
      <c r="D921" s="4" t="s">
        <v>45</v>
      </c>
      <c r="E921" s="4"/>
      <c r="F921" s="14"/>
      <c r="G921" s="14"/>
      <c r="H921" s="14"/>
      <c r="I921" s="5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</row>
    <row r="922" spans="1:86" x14ac:dyDescent="0.25">
      <c r="A922" s="12">
        <f t="shared" si="20"/>
        <v>919</v>
      </c>
      <c r="B922" s="4" t="s">
        <v>2241</v>
      </c>
      <c r="C922" s="4" t="s">
        <v>2242</v>
      </c>
      <c r="D922" s="4" t="s">
        <v>45</v>
      </c>
      <c r="E922" s="4"/>
      <c r="F922" s="14"/>
      <c r="G922" s="14"/>
      <c r="H922" s="14"/>
      <c r="I922" s="5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</row>
    <row r="923" spans="1:86" x14ac:dyDescent="0.25">
      <c r="A923" s="12">
        <f t="shared" si="20"/>
        <v>920</v>
      </c>
      <c r="B923" s="4" t="s">
        <v>2243</v>
      </c>
      <c r="C923" s="4" t="s">
        <v>2244</v>
      </c>
      <c r="D923" s="4" t="s">
        <v>1129</v>
      </c>
      <c r="E923" s="4"/>
      <c r="F923" s="14"/>
      <c r="G923" s="14"/>
      <c r="H923" s="14"/>
      <c r="I923" s="5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</row>
    <row r="924" spans="1:86" x14ac:dyDescent="0.25">
      <c r="A924" s="12">
        <f t="shared" si="20"/>
        <v>921</v>
      </c>
      <c r="B924" s="4" t="s">
        <v>2245</v>
      </c>
      <c r="C924" s="4" t="s">
        <v>2246</v>
      </c>
      <c r="D924" s="4" t="s">
        <v>1125</v>
      </c>
      <c r="E924" s="4"/>
      <c r="F924" s="14"/>
      <c r="G924" s="14"/>
      <c r="H924" s="14"/>
      <c r="I924" s="5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</row>
    <row r="925" spans="1:86" x14ac:dyDescent="0.25">
      <c r="A925" s="12">
        <f t="shared" si="20"/>
        <v>922</v>
      </c>
      <c r="B925" s="4" t="s">
        <v>2247</v>
      </c>
      <c r="C925" s="4" t="s">
        <v>2248</v>
      </c>
      <c r="D925" s="4" t="s">
        <v>508</v>
      </c>
      <c r="E925" s="4"/>
      <c r="F925" s="14"/>
      <c r="G925" s="14"/>
      <c r="H925" s="14"/>
      <c r="I925" s="5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</row>
    <row r="926" spans="1:86" x14ac:dyDescent="0.25">
      <c r="A926" s="12">
        <f t="shared" si="20"/>
        <v>923</v>
      </c>
      <c r="B926" s="4" t="s">
        <v>2249</v>
      </c>
      <c r="C926" s="4" t="s">
        <v>2250</v>
      </c>
      <c r="D926" s="4" t="s">
        <v>1129</v>
      </c>
      <c r="E926" s="4"/>
      <c r="F926" s="14"/>
      <c r="G926" s="14"/>
      <c r="H926" s="14"/>
      <c r="I926" s="5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</row>
    <row r="927" spans="1:86" x14ac:dyDescent="0.25">
      <c r="A927" s="12">
        <f t="shared" si="20"/>
        <v>924</v>
      </c>
      <c r="B927" s="4" t="s">
        <v>2251</v>
      </c>
      <c r="C927" s="4" t="s">
        <v>2252</v>
      </c>
      <c r="D927" s="4" t="s">
        <v>45</v>
      </c>
      <c r="E927" s="4"/>
      <c r="F927" s="14"/>
      <c r="G927" s="14"/>
      <c r="H927" s="14"/>
      <c r="I927" s="5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</row>
    <row r="928" spans="1:86" x14ac:dyDescent="0.25">
      <c r="A928" s="12">
        <f t="shared" si="20"/>
        <v>925</v>
      </c>
      <c r="B928" s="4" t="s">
        <v>2253</v>
      </c>
      <c r="C928" s="4" t="s">
        <v>2254</v>
      </c>
      <c r="D928" s="4" t="s">
        <v>84</v>
      </c>
      <c r="E928" s="4"/>
      <c r="F928" s="14"/>
      <c r="G928" s="14"/>
      <c r="H928" s="14"/>
      <c r="I928" s="5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</row>
    <row r="929" spans="1:86" x14ac:dyDescent="0.25">
      <c r="A929" s="12">
        <f t="shared" si="20"/>
        <v>926</v>
      </c>
      <c r="B929" s="4" t="s">
        <v>2255</v>
      </c>
      <c r="C929" s="4" t="s">
        <v>2256</v>
      </c>
      <c r="D929" s="4" t="s">
        <v>2572</v>
      </c>
      <c r="E929" s="4"/>
      <c r="F929" s="14"/>
      <c r="G929" s="14"/>
      <c r="H929" s="14"/>
      <c r="I929" s="5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</row>
    <row r="930" spans="1:86" x14ac:dyDescent="0.25">
      <c r="A930" s="12">
        <f t="shared" si="20"/>
        <v>927</v>
      </c>
      <c r="B930" s="4" t="s">
        <v>2257</v>
      </c>
      <c r="C930" s="4" t="s">
        <v>2258</v>
      </c>
      <c r="D930" s="4" t="s">
        <v>508</v>
      </c>
      <c r="E930" s="4"/>
      <c r="F930" s="14"/>
      <c r="G930" s="14"/>
      <c r="H930" s="14"/>
      <c r="I930" s="5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</row>
    <row r="931" spans="1:86" x14ac:dyDescent="0.25">
      <c r="A931" s="12">
        <f t="shared" si="20"/>
        <v>928</v>
      </c>
      <c r="B931" s="4" t="s">
        <v>2259</v>
      </c>
      <c r="C931" s="4" t="s">
        <v>2260</v>
      </c>
      <c r="D931" s="4" t="s">
        <v>45</v>
      </c>
      <c r="E931" s="4"/>
      <c r="F931" s="14"/>
      <c r="G931" s="14"/>
      <c r="H931" s="14"/>
      <c r="I931" s="5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</row>
    <row r="932" spans="1:86" x14ac:dyDescent="0.25">
      <c r="A932" s="12">
        <f t="shared" si="20"/>
        <v>929</v>
      </c>
      <c r="B932" s="4" t="s">
        <v>2261</v>
      </c>
      <c r="C932" s="4" t="s">
        <v>2262</v>
      </c>
      <c r="D932" s="4" t="s">
        <v>84</v>
      </c>
      <c r="E932" s="4"/>
      <c r="F932" s="14"/>
      <c r="G932" s="14"/>
      <c r="H932" s="14"/>
      <c r="I932" s="5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</row>
    <row r="933" spans="1:86" x14ac:dyDescent="0.25">
      <c r="A933" s="12">
        <f t="shared" si="20"/>
        <v>930</v>
      </c>
      <c r="B933" s="4" t="s">
        <v>2263</v>
      </c>
      <c r="C933" s="4" t="s">
        <v>2264</v>
      </c>
      <c r="D933" s="4" t="s">
        <v>128</v>
      </c>
      <c r="E933" s="4"/>
      <c r="F933" s="14"/>
      <c r="G933" s="14"/>
      <c r="H933" s="14"/>
      <c r="I933" s="5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</row>
    <row r="934" spans="1:86" x14ac:dyDescent="0.25">
      <c r="A934" s="12">
        <f t="shared" si="20"/>
        <v>931</v>
      </c>
      <c r="B934" s="4" t="s">
        <v>2265</v>
      </c>
      <c r="C934" s="4" t="s">
        <v>2266</v>
      </c>
      <c r="D934" s="4" t="s">
        <v>2574</v>
      </c>
      <c r="E934" s="4"/>
      <c r="F934" s="14"/>
      <c r="G934" s="14"/>
      <c r="H934" s="14"/>
      <c r="I934" s="5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</row>
    <row r="935" spans="1:86" x14ac:dyDescent="0.25">
      <c r="A935" s="12">
        <f t="shared" si="20"/>
        <v>932</v>
      </c>
      <c r="B935" s="4" t="s">
        <v>2267</v>
      </c>
      <c r="C935" s="4" t="s">
        <v>2268</v>
      </c>
      <c r="D935" s="4" t="s">
        <v>45</v>
      </c>
      <c r="E935" s="4"/>
      <c r="F935" s="14"/>
      <c r="G935" s="14"/>
      <c r="H935" s="14"/>
      <c r="I935" s="5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</row>
    <row r="936" spans="1:86" x14ac:dyDescent="0.25">
      <c r="A936" s="12">
        <f t="shared" si="20"/>
        <v>933</v>
      </c>
      <c r="B936" s="4" t="s">
        <v>2269</v>
      </c>
      <c r="C936" s="4" t="s">
        <v>2270</v>
      </c>
      <c r="D936" s="4" t="s">
        <v>45</v>
      </c>
      <c r="E936" s="4"/>
      <c r="F936" s="14"/>
      <c r="G936" s="14"/>
      <c r="H936" s="14"/>
      <c r="I936" s="5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</row>
    <row r="937" spans="1:86" x14ac:dyDescent="0.25">
      <c r="A937" s="12">
        <f t="shared" si="20"/>
        <v>934</v>
      </c>
      <c r="B937" s="4" t="s">
        <v>1073</v>
      </c>
      <c r="C937" s="4" t="s">
        <v>1074</v>
      </c>
      <c r="D937" s="4" t="s">
        <v>45</v>
      </c>
      <c r="E937" s="4"/>
      <c r="F937" s="14"/>
      <c r="G937" s="14"/>
      <c r="H937" s="14"/>
      <c r="I937" s="5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</row>
    <row r="938" spans="1:86" x14ac:dyDescent="0.25">
      <c r="A938" s="12">
        <f t="shared" si="20"/>
        <v>935</v>
      </c>
      <c r="B938" s="4" t="s">
        <v>2271</v>
      </c>
      <c r="C938" s="4" t="s">
        <v>2272</v>
      </c>
      <c r="D938" s="4" t="s">
        <v>45</v>
      </c>
      <c r="E938" s="4"/>
      <c r="F938" s="14"/>
      <c r="G938" s="14"/>
      <c r="H938" s="14"/>
      <c r="I938" s="5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</row>
    <row r="939" spans="1:86" x14ac:dyDescent="0.25">
      <c r="A939" s="12">
        <f t="shared" si="20"/>
        <v>936</v>
      </c>
      <c r="B939" s="4" t="s">
        <v>2273</v>
      </c>
      <c r="C939" s="4" t="s">
        <v>2274</v>
      </c>
      <c r="D939" s="4" t="s">
        <v>768</v>
      </c>
      <c r="E939" s="4"/>
      <c r="F939" s="14"/>
      <c r="G939" s="14"/>
      <c r="H939" s="14"/>
      <c r="I939" s="5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</row>
    <row r="940" spans="1:86" x14ac:dyDescent="0.25">
      <c r="A940" s="12">
        <f t="shared" si="20"/>
        <v>937</v>
      </c>
      <c r="B940" s="4" t="s">
        <v>2275</v>
      </c>
      <c r="C940" s="4" t="s">
        <v>2276</v>
      </c>
      <c r="D940" s="4" t="s">
        <v>45</v>
      </c>
      <c r="E940" s="4"/>
      <c r="F940" s="14"/>
      <c r="G940" s="14"/>
      <c r="H940" s="14"/>
      <c r="I940" s="5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</row>
    <row r="941" spans="1:86" x14ac:dyDescent="0.25">
      <c r="A941" s="12">
        <f t="shared" si="20"/>
        <v>938</v>
      </c>
      <c r="B941" s="4" t="s">
        <v>2277</v>
      </c>
      <c r="C941" s="4" t="s">
        <v>2278</v>
      </c>
      <c r="D941" s="4" t="s">
        <v>45</v>
      </c>
      <c r="E941" s="4"/>
      <c r="F941" s="14"/>
      <c r="G941" s="14"/>
      <c r="H941" s="14"/>
      <c r="I941" s="5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</row>
    <row r="942" spans="1:86" x14ac:dyDescent="0.25">
      <c r="A942" s="12">
        <f t="shared" si="20"/>
        <v>939</v>
      </c>
      <c r="B942" s="4" t="s">
        <v>2279</v>
      </c>
      <c r="C942" s="4" t="s">
        <v>2280</v>
      </c>
      <c r="D942" s="4" t="s">
        <v>1130</v>
      </c>
      <c r="E942" s="4"/>
      <c r="F942" s="14"/>
      <c r="G942" s="14"/>
      <c r="H942" s="14"/>
      <c r="I942" s="5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</row>
    <row r="943" spans="1:86" x14ac:dyDescent="0.25">
      <c r="A943" s="12">
        <f t="shared" si="20"/>
        <v>940</v>
      </c>
      <c r="B943" s="4" t="s">
        <v>2281</v>
      </c>
      <c r="C943" s="4" t="s">
        <v>2282</v>
      </c>
      <c r="D943" s="4" t="s">
        <v>45</v>
      </c>
      <c r="E943" s="4"/>
      <c r="F943" s="14"/>
      <c r="G943" s="14"/>
      <c r="H943" s="14"/>
      <c r="I943" s="5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</row>
    <row r="944" spans="1:86" x14ac:dyDescent="0.25">
      <c r="A944" s="12">
        <f t="shared" si="20"/>
        <v>941</v>
      </c>
      <c r="B944" s="4" t="s">
        <v>2283</v>
      </c>
      <c r="C944" s="4" t="s">
        <v>2284</v>
      </c>
      <c r="D944" s="4" t="s">
        <v>45</v>
      </c>
      <c r="E944" s="4"/>
      <c r="F944" s="14"/>
      <c r="G944" s="14"/>
      <c r="H944" s="14"/>
      <c r="I944" s="5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</row>
    <row r="945" spans="1:86" x14ac:dyDescent="0.25">
      <c r="A945" s="12">
        <f t="shared" si="20"/>
        <v>942</v>
      </c>
      <c r="B945" s="4" t="s">
        <v>2285</v>
      </c>
      <c r="C945" s="4" t="s">
        <v>2286</v>
      </c>
      <c r="D945" s="4" t="s">
        <v>508</v>
      </c>
      <c r="E945" s="4"/>
      <c r="F945" s="14"/>
      <c r="G945" s="14"/>
      <c r="H945" s="14"/>
      <c r="I945" s="5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</row>
    <row r="946" spans="1:86" x14ac:dyDescent="0.25">
      <c r="A946" s="12">
        <f t="shared" si="20"/>
        <v>943</v>
      </c>
      <c r="B946" s="4" t="s">
        <v>2287</v>
      </c>
      <c r="C946" s="4" t="s">
        <v>2288</v>
      </c>
      <c r="D946" s="4" t="s">
        <v>1124</v>
      </c>
      <c r="E946" s="4"/>
      <c r="F946" s="14"/>
      <c r="G946" s="14"/>
      <c r="H946" s="14"/>
      <c r="I946" s="5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</row>
    <row r="947" spans="1:86" x14ac:dyDescent="0.25">
      <c r="A947" s="12">
        <f t="shared" si="20"/>
        <v>944</v>
      </c>
      <c r="B947" s="4" t="s">
        <v>2289</v>
      </c>
      <c r="C947" s="4" t="s">
        <v>2290</v>
      </c>
      <c r="D947" s="4" t="s">
        <v>1130</v>
      </c>
      <c r="E947" s="4"/>
      <c r="F947" s="14"/>
      <c r="G947" s="14"/>
      <c r="H947" s="14"/>
      <c r="I947" s="5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</row>
    <row r="948" spans="1:86" x14ac:dyDescent="0.25">
      <c r="A948" s="12">
        <f t="shared" si="20"/>
        <v>945</v>
      </c>
      <c r="B948" s="4" t="s">
        <v>2291</v>
      </c>
      <c r="C948" s="4" t="s">
        <v>2292</v>
      </c>
      <c r="D948" s="4" t="s">
        <v>45</v>
      </c>
      <c r="E948" s="4"/>
      <c r="F948" s="14"/>
      <c r="G948" s="14"/>
      <c r="H948" s="14"/>
      <c r="I948" s="5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</row>
    <row r="949" spans="1:86" x14ac:dyDescent="0.25">
      <c r="A949" s="12">
        <f t="shared" si="20"/>
        <v>946</v>
      </c>
      <c r="B949" s="4" t="s">
        <v>2293</v>
      </c>
      <c r="C949" s="4" t="s">
        <v>2294</v>
      </c>
      <c r="D949" s="4" t="s">
        <v>1129</v>
      </c>
      <c r="E949" s="4"/>
      <c r="F949" s="14"/>
      <c r="G949" s="14"/>
      <c r="H949" s="14"/>
      <c r="I949" s="5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</row>
    <row r="950" spans="1:86" x14ac:dyDescent="0.25">
      <c r="A950" s="12">
        <f t="shared" si="20"/>
        <v>947</v>
      </c>
      <c r="B950" s="4" t="s">
        <v>2295</v>
      </c>
      <c r="C950" s="4" t="s">
        <v>2296</v>
      </c>
      <c r="D950" s="4" t="s">
        <v>1130</v>
      </c>
      <c r="E950" s="4"/>
      <c r="F950" s="14"/>
      <c r="G950" s="14"/>
      <c r="H950" s="14"/>
      <c r="I950" s="5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</row>
    <row r="951" spans="1:86" x14ac:dyDescent="0.25">
      <c r="A951" s="12">
        <f t="shared" si="20"/>
        <v>948</v>
      </c>
      <c r="B951" s="4" t="s">
        <v>2297</v>
      </c>
      <c r="C951" s="4" t="s">
        <v>2298</v>
      </c>
      <c r="D951" s="4" t="s">
        <v>45</v>
      </c>
      <c r="E951" s="4"/>
      <c r="F951" s="14"/>
      <c r="G951" s="14"/>
      <c r="H951" s="14"/>
      <c r="I951" s="5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</row>
    <row r="952" spans="1:86" x14ac:dyDescent="0.25">
      <c r="A952" s="12">
        <f t="shared" si="20"/>
        <v>949</v>
      </c>
      <c r="B952" s="4" t="s">
        <v>1077</v>
      </c>
      <c r="C952" s="4" t="s">
        <v>1078</v>
      </c>
      <c r="D952" s="4" t="s">
        <v>45</v>
      </c>
      <c r="E952" s="4"/>
      <c r="F952" s="14"/>
      <c r="G952" s="14"/>
      <c r="H952" s="14"/>
      <c r="I952" s="5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</row>
    <row r="953" spans="1:86" x14ac:dyDescent="0.25">
      <c r="A953" s="12">
        <f t="shared" si="20"/>
        <v>950</v>
      </c>
      <c r="B953" s="4" t="s">
        <v>2299</v>
      </c>
      <c r="C953" s="4" t="s">
        <v>2300</v>
      </c>
      <c r="D953" s="4" t="s">
        <v>45</v>
      </c>
      <c r="E953" s="4"/>
      <c r="F953" s="14"/>
      <c r="G953" s="14"/>
      <c r="H953" s="14"/>
      <c r="I953" s="5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</row>
    <row r="954" spans="1:86" x14ac:dyDescent="0.25">
      <c r="A954" s="12">
        <f t="shared" si="20"/>
        <v>951</v>
      </c>
      <c r="B954" s="4" t="s">
        <v>2301</v>
      </c>
      <c r="C954" s="4" t="s">
        <v>2302</v>
      </c>
      <c r="D954" s="4" t="s">
        <v>87</v>
      </c>
      <c r="E954" s="4"/>
      <c r="F954" s="14"/>
      <c r="G954" s="14"/>
      <c r="H954" s="14"/>
      <c r="I954" s="5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</row>
    <row r="955" spans="1:86" x14ac:dyDescent="0.25">
      <c r="A955" s="12">
        <f t="shared" si="20"/>
        <v>952</v>
      </c>
      <c r="B955" s="4" t="s">
        <v>2303</v>
      </c>
      <c r="C955" s="4" t="s">
        <v>2304</v>
      </c>
      <c r="D955" s="4" t="s">
        <v>768</v>
      </c>
      <c r="E955" s="4"/>
      <c r="F955" s="14"/>
      <c r="G955" s="14"/>
      <c r="H955" s="14"/>
      <c r="I955" s="5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</row>
    <row r="956" spans="1:86" x14ac:dyDescent="0.25">
      <c r="A956" s="12">
        <f t="shared" si="20"/>
        <v>953</v>
      </c>
      <c r="B956" s="4" t="s">
        <v>2305</v>
      </c>
      <c r="C956" s="4" t="s">
        <v>2306</v>
      </c>
      <c r="D956" s="4" t="s">
        <v>45</v>
      </c>
      <c r="E956" s="4"/>
      <c r="F956" s="14"/>
      <c r="G956" s="14"/>
      <c r="H956" s="14"/>
      <c r="I956" s="5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</row>
    <row r="957" spans="1:86" x14ac:dyDescent="0.25">
      <c r="A957" s="12">
        <f t="shared" si="20"/>
        <v>954</v>
      </c>
      <c r="B957" s="4" t="s">
        <v>2307</v>
      </c>
      <c r="C957" s="4" t="s">
        <v>2308</v>
      </c>
      <c r="D957" s="4" t="s">
        <v>45</v>
      </c>
      <c r="E957" s="4"/>
      <c r="F957" s="14"/>
      <c r="G957" s="14"/>
      <c r="H957" s="14"/>
      <c r="I957" s="5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</row>
    <row r="958" spans="1:86" x14ac:dyDescent="0.25">
      <c r="A958" s="12">
        <f t="shared" si="20"/>
        <v>955</v>
      </c>
      <c r="B958" s="4" t="s">
        <v>2309</v>
      </c>
      <c r="C958" s="4" t="s">
        <v>2310</v>
      </c>
      <c r="D958" s="4" t="s">
        <v>1130</v>
      </c>
      <c r="E958" s="4"/>
      <c r="F958" s="14"/>
      <c r="G958" s="14"/>
      <c r="H958" s="14"/>
      <c r="I958" s="5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</row>
    <row r="959" spans="1:86" x14ac:dyDescent="0.25">
      <c r="A959" s="12">
        <f t="shared" si="20"/>
        <v>956</v>
      </c>
      <c r="B959" s="4" t="s">
        <v>2311</v>
      </c>
      <c r="C959" s="4" t="s">
        <v>2312</v>
      </c>
      <c r="D959" s="4" t="s">
        <v>1130</v>
      </c>
      <c r="E959" s="4"/>
      <c r="F959" s="14"/>
      <c r="G959" s="14"/>
      <c r="H959" s="14"/>
      <c r="I959" s="5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</row>
    <row r="960" spans="1:86" x14ac:dyDescent="0.25">
      <c r="A960" s="12">
        <f t="shared" si="20"/>
        <v>957</v>
      </c>
      <c r="B960" s="4" t="s">
        <v>2313</v>
      </c>
      <c r="C960" s="4" t="s">
        <v>2314</v>
      </c>
      <c r="D960" s="4" t="s">
        <v>45</v>
      </c>
      <c r="E960" s="4"/>
      <c r="F960" s="14"/>
      <c r="G960" s="14"/>
      <c r="H960" s="14"/>
      <c r="I960" s="5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</row>
    <row r="961" spans="1:86" x14ac:dyDescent="0.25">
      <c r="A961" s="12">
        <f t="shared" si="20"/>
        <v>958</v>
      </c>
      <c r="B961" s="4" t="s">
        <v>2315</v>
      </c>
      <c r="C961" s="4" t="s">
        <v>2316</v>
      </c>
      <c r="D961" s="4" t="s">
        <v>45</v>
      </c>
      <c r="E961" s="4"/>
      <c r="F961" s="14"/>
      <c r="G961" s="14"/>
      <c r="H961" s="14"/>
      <c r="I961" s="5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</row>
    <row r="962" spans="1:86" x14ac:dyDescent="0.25">
      <c r="A962" s="12">
        <f t="shared" si="20"/>
        <v>959</v>
      </c>
      <c r="B962" s="4" t="s">
        <v>2317</v>
      </c>
      <c r="C962" s="4" t="s">
        <v>2318</v>
      </c>
      <c r="D962" s="4" t="s">
        <v>1126</v>
      </c>
      <c r="E962" s="4"/>
      <c r="F962" s="14"/>
      <c r="G962" s="14"/>
      <c r="H962" s="14"/>
      <c r="I962" s="5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</row>
    <row r="963" spans="1:86" x14ac:dyDescent="0.25">
      <c r="A963" s="12">
        <f t="shared" si="20"/>
        <v>960</v>
      </c>
      <c r="B963" s="4" t="s">
        <v>1081</v>
      </c>
      <c r="C963" s="4" t="s">
        <v>1082</v>
      </c>
      <c r="D963" s="4" t="s">
        <v>508</v>
      </c>
      <c r="E963" s="4"/>
      <c r="F963" s="14"/>
      <c r="G963" s="14"/>
      <c r="H963" s="14"/>
      <c r="I963" s="5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</row>
    <row r="964" spans="1:86" x14ac:dyDescent="0.25">
      <c r="A964" s="12">
        <f t="shared" si="20"/>
        <v>961</v>
      </c>
      <c r="B964" s="4" t="s">
        <v>1083</v>
      </c>
      <c r="C964" s="4" t="s">
        <v>1084</v>
      </c>
      <c r="D964" s="4" t="s">
        <v>45</v>
      </c>
      <c r="E964" s="4"/>
      <c r="F964" s="14"/>
      <c r="G964" s="14"/>
      <c r="H964" s="14"/>
      <c r="I964" s="5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</row>
    <row r="965" spans="1:86" x14ac:dyDescent="0.25">
      <c r="A965" s="12">
        <f t="shared" si="20"/>
        <v>962</v>
      </c>
      <c r="B965" s="4" t="s">
        <v>2319</v>
      </c>
      <c r="C965" s="4" t="s">
        <v>2320</v>
      </c>
      <c r="D965" s="4" t="s">
        <v>45</v>
      </c>
      <c r="E965" s="4"/>
      <c r="F965" s="14"/>
      <c r="G965" s="14"/>
      <c r="H965" s="14"/>
      <c r="I965" s="5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</row>
    <row r="966" spans="1:86" x14ac:dyDescent="0.25">
      <c r="A966" s="12">
        <f t="shared" si="20"/>
        <v>963</v>
      </c>
      <c r="B966" s="4" t="s">
        <v>2321</v>
      </c>
      <c r="C966" s="4" t="s">
        <v>2322</v>
      </c>
      <c r="D966" s="4" t="s">
        <v>1130</v>
      </c>
      <c r="E966" s="4"/>
      <c r="F966" s="14"/>
      <c r="G966" s="14"/>
      <c r="H966" s="14"/>
      <c r="I966" s="5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</row>
    <row r="967" spans="1:86" x14ac:dyDescent="0.25">
      <c r="A967" s="12">
        <f t="shared" si="20"/>
        <v>964</v>
      </c>
      <c r="B967" s="4" t="s">
        <v>2323</v>
      </c>
      <c r="C967" s="4" t="s">
        <v>2324</v>
      </c>
      <c r="D967" s="4" t="s">
        <v>128</v>
      </c>
      <c r="E967" s="4"/>
      <c r="F967" s="14"/>
      <c r="G967" s="14"/>
      <c r="H967" s="14"/>
      <c r="I967" s="5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</row>
    <row r="968" spans="1:86" x14ac:dyDescent="0.25">
      <c r="A968" s="12">
        <f t="shared" si="20"/>
        <v>965</v>
      </c>
      <c r="B968" s="4" t="s">
        <v>2325</v>
      </c>
      <c r="C968" s="4" t="s">
        <v>2326</v>
      </c>
      <c r="D968" s="4" t="s">
        <v>45</v>
      </c>
      <c r="E968" s="4"/>
      <c r="F968" s="14"/>
      <c r="G968" s="14"/>
      <c r="H968" s="14"/>
      <c r="I968" s="5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</row>
    <row r="969" spans="1:86" x14ac:dyDescent="0.25">
      <c r="A969" s="12">
        <f t="shared" si="20"/>
        <v>966</v>
      </c>
      <c r="B969" s="4" t="s">
        <v>2327</v>
      </c>
      <c r="C969" s="4" t="s">
        <v>2328</v>
      </c>
      <c r="D969" s="4" t="s">
        <v>2573</v>
      </c>
      <c r="E969" s="4"/>
      <c r="F969" s="14"/>
      <c r="G969" s="14"/>
      <c r="H969" s="14"/>
      <c r="I969" s="5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</row>
    <row r="970" spans="1:86" x14ac:dyDescent="0.25">
      <c r="A970" s="12">
        <f t="shared" ref="A970:A1033" si="21">+A969+1</f>
        <v>967</v>
      </c>
      <c r="B970" s="4" t="s">
        <v>2329</v>
      </c>
      <c r="C970" s="4" t="s">
        <v>2330</v>
      </c>
      <c r="D970" s="4" t="s">
        <v>45</v>
      </c>
      <c r="E970" s="4"/>
      <c r="F970" s="14"/>
      <c r="G970" s="14"/>
      <c r="H970" s="14"/>
      <c r="I970" s="5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</row>
    <row r="971" spans="1:86" x14ac:dyDescent="0.25">
      <c r="A971" s="12">
        <f t="shared" si="21"/>
        <v>968</v>
      </c>
      <c r="B971" s="4" t="s">
        <v>2331</v>
      </c>
      <c r="C971" s="4" t="s">
        <v>2332</v>
      </c>
      <c r="D971" s="4" t="s">
        <v>87</v>
      </c>
      <c r="E971" s="4"/>
      <c r="F971" s="14"/>
      <c r="G971" s="14"/>
      <c r="H971" s="14"/>
      <c r="I971" s="5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</row>
    <row r="972" spans="1:86" x14ac:dyDescent="0.25">
      <c r="A972" s="12">
        <f t="shared" si="21"/>
        <v>969</v>
      </c>
      <c r="B972" s="4" t="s">
        <v>2333</v>
      </c>
      <c r="C972" s="4" t="s">
        <v>2334</v>
      </c>
      <c r="D972" s="4" t="s">
        <v>2572</v>
      </c>
      <c r="E972" s="4"/>
      <c r="F972" s="14"/>
      <c r="G972" s="14"/>
      <c r="H972" s="14"/>
      <c r="I972" s="5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</row>
    <row r="973" spans="1:86" x14ac:dyDescent="0.25">
      <c r="A973" s="12">
        <f t="shared" si="21"/>
        <v>970</v>
      </c>
      <c r="B973" s="4" t="s">
        <v>2335</v>
      </c>
      <c r="C973" s="4" t="s">
        <v>2336</v>
      </c>
      <c r="D973" s="4" t="s">
        <v>45</v>
      </c>
      <c r="E973" s="4"/>
      <c r="F973" s="14"/>
      <c r="G973" s="14"/>
      <c r="H973" s="14"/>
      <c r="I973" s="5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</row>
    <row r="974" spans="1:86" x14ac:dyDescent="0.25">
      <c r="A974" s="12">
        <f t="shared" si="21"/>
        <v>971</v>
      </c>
      <c r="B974" s="4" t="s">
        <v>2337</v>
      </c>
      <c r="C974" s="4" t="s">
        <v>2338</v>
      </c>
      <c r="D974" s="4" t="s">
        <v>84</v>
      </c>
      <c r="E974" s="4"/>
      <c r="F974" s="14"/>
      <c r="G974" s="14"/>
      <c r="H974" s="14"/>
      <c r="I974" s="5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</row>
    <row r="975" spans="1:86" x14ac:dyDescent="0.25">
      <c r="A975" s="12">
        <f t="shared" si="21"/>
        <v>972</v>
      </c>
      <c r="B975" s="4" t="s">
        <v>2339</v>
      </c>
      <c r="C975" s="4" t="s">
        <v>2340</v>
      </c>
      <c r="D975" s="4" t="s">
        <v>1125</v>
      </c>
      <c r="E975" s="4"/>
      <c r="F975" s="14"/>
      <c r="G975" s="14"/>
      <c r="H975" s="14"/>
      <c r="I975" s="5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</row>
    <row r="976" spans="1:86" x14ac:dyDescent="0.25">
      <c r="A976" s="12">
        <f t="shared" si="21"/>
        <v>973</v>
      </c>
      <c r="B976" s="4" t="s">
        <v>2341</v>
      </c>
      <c r="C976" s="4" t="s">
        <v>2342</v>
      </c>
      <c r="D976" s="4" t="s">
        <v>45</v>
      </c>
      <c r="E976" s="4"/>
      <c r="F976" s="14"/>
      <c r="G976" s="14"/>
      <c r="H976" s="14"/>
      <c r="I976" s="5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</row>
    <row r="977" spans="1:86" x14ac:dyDescent="0.25">
      <c r="A977" s="12">
        <f t="shared" si="21"/>
        <v>974</v>
      </c>
      <c r="B977" s="4" t="s">
        <v>2343</v>
      </c>
      <c r="C977" s="4" t="s">
        <v>2344</v>
      </c>
      <c r="D977" s="4" t="s">
        <v>1127</v>
      </c>
      <c r="E977" s="4"/>
      <c r="F977" s="14"/>
      <c r="G977" s="14"/>
      <c r="H977" s="14"/>
      <c r="I977" s="5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</row>
    <row r="978" spans="1:86" x14ac:dyDescent="0.25">
      <c r="A978" s="12">
        <f t="shared" si="21"/>
        <v>975</v>
      </c>
      <c r="B978" s="4" t="s">
        <v>2345</v>
      </c>
      <c r="C978" s="4" t="s">
        <v>2346</v>
      </c>
      <c r="D978" s="4" t="s">
        <v>770</v>
      </c>
      <c r="E978" s="4"/>
      <c r="F978" s="14"/>
      <c r="G978" s="14"/>
      <c r="H978" s="14"/>
      <c r="I978" s="5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</row>
    <row r="979" spans="1:86" x14ac:dyDescent="0.25">
      <c r="A979" s="12">
        <f t="shared" si="21"/>
        <v>976</v>
      </c>
      <c r="B979" s="4" t="s">
        <v>2347</v>
      </c>
      <c r="C979" s="4" t="s">
        <v>2348</v>
      </c>
      <c r="D979" s="4" t="s">
        <v>87</v>
      </c>
      <c r="E979" s="4"/>
      <c r="F979" s="14"/>
      <c r="G979" s="14"/>
      <c r="H979" s="14"/>
      <c r="I979" s="5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</row>
    <row r="980" spans="1:86" x14ac:dyDescent="0.25">
      <c r="A980" s="12">
        <f t="shared" si="21"/>
        <v>977</v>
      </c>
      <c r="B980" s="4" t="s">
        <v>2349</v>
      </c>
      <c r="C980" s="4" t="s">
        <v>2349</v>
      </c>
      <c r="D980" s="4" t="s">
        <v>45</v>
      </c>
      <c r="E980" s="4"/>
      <c r="F980" s="14"/>
      <c r="G980" s="14"/>
      <c r="H980" s="14"/>
      <c r="I980" s="5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</row>
    <row r="981" spans="1:86" x14ac:dyDescent="0.25">
      <c r="A981" s="12">
        <f t="shared" si="21"/>
        <v>978</v>
      </c>
      <c r="B981" s="4" t="s">
        <v>2350</v>
      </c>
      <c r="C981" s="4" t="s">
        <v>2351</v>
      </c>
      <c r="D981" s="4" t="s">
        <v>45</v>
      </c>
      <c r="E981" s="4"/>
      <c r="F981" s="14"/>
      <c r="G981" s="14"/>
      <c r="H981" s="14"/>
      <c r="I981" s="5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</row>
    <row r="982" spans="1:86" x14ac:dyDescent="0.25">
      <c r="A982" s="12">
        <f t="shared" si="21"/>
        <v>979</v>
      </c>
      <c r="B982" s="4" t="s">
        <v>2352</v>
      </c>
      <c r="C982" s="4" t="s">
        <v>2353</v>
      </c>
      <c r="D982" s="4" t="s">
        <v>1125</v>
      </c>
      <c r="E982" s="4"/>
      <c r="F982" s="14"/>
      <c r="G982" s="14"/>
      <c r="H982" s="14"/>
      <c r="I982" s="5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</row>
    <row r="983" spans="1:86" x14ac:dyDescent="0.25">
      <c r="A983" s="12">
        <f t="shared" si="21"/>
        <v>980</v>
      </c>
      <c r="B983" s="4" t="s">
        <v>1091</v>
      </c>
      <c r="C983" s="4" t="s">
        <v>1092</v>
      </c>
      <c r="D983" s="4" t="s">
        <v>45</v>
      </c>
      <c r="E983" s="4"/>
      <c r="F983" s="14"/>
      <c r="G983" s="14"/>
      <c r="H983" s="14"/>
      <c r="I983" s="5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</row>
    <row r="984" spans="1:86" x14ac:dyDescent="0.25">
      <c r="A984" s="12">
        <f t="shared" si="21"/>
        <v>981</v>
      </c>
      <c r="B984" s="4" t="s">
        <v>2354</v>
      </c>
      <c r="C984" s="4" t="s">
        <v>2355</v>
      </c>
      <c r="D984" s="4" t="s">
        <v>398</v>
      </c>
      <c r="E984" s="4"/>
      <c r="F984" s="14"/>
      <c r="G984" s="14"/>
      <c r="H984" s="14"/>
      <c r="I984" s="5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</row>
    <row r="985" spans="1:86" x14ac:dyDescent="0.25">
      <c r="A985" s="12">
        <f t="shared" si="21"/>
        <v>982</v>
      </c>
      <c r="B985" s="4" t="s">
        <v>2356</v>
      </c>
      <c r="C985" s="4" t="s">
        <v>2357</v>
      </c>
      <c r="D985" s="4" t="s">
        <v>45</v>
      </c>
      <c r="E985" s="4"/>
      <c r="F985" s="14"/>
      <c r="G985" s="14"/>
      <c r="H985" s="14"/>
      <c r="I985" s="5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</row>
    <row r="986" spans="1:86" x14ac:dyDescent="0.25">
      <c r="A986" s="12">
        <f t="shared" si="21"/>
        <v>983</v>
      </c>
      <c r="B986" s="4" t="s">
        <v>2358</v>
      </c>
      <c r="C986" s="4" t="s">
        <v>2359</v>
      </c>
      <c r="D986" s="4" t="s">
        <v>45</v>
      </c>
      <c r="E986" s="4"/>
      <c r="F986" s="14"/>
      <c r="G986" s="14"/>
      <c r="H986" s="14"/>
      <c r="I986" s="5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</row>
    <row r="987" spans="1:86" x14ac:dyDescent="0.25">
      <c r="A987" s="12">
        <f t="shared" si="21"/>
        <v>984</v>
      </c>
      <c r="B987" s="4" t="s">
        <v>2360</v>
      </c>
      <c r="C987" s="4" t="s">
        <v>2361</v>
      </c>
      <c r="D987" s="4" t="s">
        <v>45</v>
      </c>
      <c r="E987" s="4"/>
      <c r="F987" s="14"/>
      <c r="G987" s="14"/>
      <c r="H987" s="14"/>
      <c r="I987" s="5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</row>
    <row r="988" spans="1:86" x14ac:dyDescent="0.25">
      <c r="A988" s="12">
        <f t="shared" si="21"/>
        <v>985</v>
      </c>
      <c r="B988" s="4" t="s">
        <v>2362</v>
      </c>
      <c r="C988" s="4" t="s">
        <v>2363</v>
      </c>
      <c r="D988" s="4" t="s">
        <v>768</v>
      </c>
      <c r="E988" s="4"/>
      <c r="F988" s="14"/>
      <c r="G988" s="14"/>
      <c r="H988" s="14"/>
      <c r="I988" s="5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</row>
    <row r="989" spans="1:86" x14ac:dyDescent="0.25">
      <c r="A989" s="12">
        <f t="shared" si="21"/>
        <v>986</v>
      </c>
      <c r="B989" s="4" t="s">
        <v>2364</v>
      </c>
      <c r="C989" s="4" t="s">
        <v>2365</v>
      </c>
      <c r="D989" s="4" t="s">
        <v>45</v>
      </c>
      <c r="E989" s="4"/>
      <c r="F989" s="14"/>
      <c r="G989" s="14"/>
      <c r="H989" s="14"/>
      <c r="I989" s="5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</row>
    <row r="990" spans="1:86" x14ac:dyDescent="0.25">
      <c r="A990" s="12">
        <f t="shared" si="21"/>
        <v>987</v>
      </c>
      <c r="B990" s="4" t="s">
        <v>2366</v>
      </c>
      <c r="C990" s="4" t="s">
        <v>2367</v>
      </c>
      <c r="D990" s="4" t="s">
        <v>87</v>
      </c>
      <c r="E990" s="4"/>
      <c r="F990" s="14"/>
      <c r="G990" s="14"/>
      <c r="H990" s="14"/>
      <c r="I990" s="5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</row>
    <row r="991" spans="1:86" x14ac:dyDescent="0.25">
      <c r="A991" s="12">
        <f t="shared" si="21"/>
        <v>988</v>
      </c>
      <c r="B991" s="4" t="s">
        <v>2368</v>
      </c>
      <c r="C991" s="4" t="s">
        <v>2369</v>
      </c>
      <c r="D991" s="4" t="s">
        <v>45</v>
      </c>
      <c r="E991" s="4"/>
      <c r="F991" s="14"/>
      <c r="G991" s="14"/>
      <c r="H991" s="14"/>
      <c r="I991" s="5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</row>
    <row r="992" spans="1:86" x14ac:dyDescent="0.25">
      <c r="A992" s="12">
        <f t="shared" si="21"/>
        <v>989</v>
      </c>
      <c r="B992" s="4" t="s">
        <v>2370</v>
      </c>
      <c r="C992" s="4" t="s">
        <v>2371</v>
      </c>
      <c r="D992" s="4" t="s">
        <v>1123</v>
      </c>
      <c r="E992" s="4"/>
      <c r="F992" s="14"/>
      <c r="G992" s="14"/>
      <c r="H992" s="14"/>
      <c r="I992" s="5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</row>
    <row r="993" spans="1:86" x14ac:dyDescent="0.25">
      <c r="A993" s="12">
        <f t="shared" si="21"/>
        <v>990</v>
      </c>
      <c r="B993" s="4" t="s">
        <v>2372</v>
      </c>
      <c r="C993" s="4" t="s">
        <v>2373</v>
      </c>
      <c r="D993" s="4" t="s">
        <v>1125</v>
      </c>
      <c r="E993" s="4"/>
      <c r="F993" s="14"/>
      <c r="G993" s="14"/>
      <c r="H993" s="14"/>
      <c r="I993" s="5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</row>
    <row r="994" spans="1:86" x14ac:dyDescent="0.25">
      <c r="A994" s="12">
        <f t="shared" si="21"/>
        <v>991</v>
      </c>
      <c r="B994" s="4" t="s">
        <v>1097</v>
      </c>
      <c r="C994" s="4" t="s">
        <v>1098</v>
      </c>
      <c r="D994" s="4" t="s">
        <v>508</v>
      </c>
      <c r="E994" s="4"/>
      <c r="F994" s="14"/>
      <c r="G994" s="14"/>
      <c r="H994" s="14"/>
      <c r="I994" s="5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</row>
    <row r="995" spans="1:86" x14ac:dyDescent="0.25">
      <c r="A995" s="12">
        <f t="shared" si="21"/>
        <v>992</v>
      </c>
      <c r="B995" s="4" t="s">
        <v>2374</v>
      </c>
      <c r="C995" s="4" t="s">
        <v>2375</v>
      </c>
      <c r="D995" s="4" t="s">
        <v>87</v>
      </c>
      <c r="E995" s="4"/>
      <c r="F995" s="14"/>
      <c r="G995" s="14"/>
      <c r="H995" s="14"/>
      <c r="I995" s="5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</row>
    <row r="996" spans="1:86" x14ac:dyDescent="0.25">
      <c r="A996" s="12">
        <f t="shared" si="21"/>
        <v>993</v>
      </c>
      <c r="B996" s="4" t="s">
        <v>2376</v>
      </c>
      <c r="C996" s="4" t="s">
        <v>2377</v>
      </c>
      <c r="D996" s="4" t="s">
        <v>45</v>
      </c>
      <c r="E996" s="4"/>
      <c r="F996" s="14"/>
      <c r="G996" s="14"/>
      <c r="H996" s="14"/>
      <c r="I996" s="5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</row>
    <row r="997" spans="1:86" x14ac:dyDescent="0.25">
      <c r="A997" s="12">
        <f t="shared" si="21"/>
        <v>994</v>
      </c>
      <c r="B997" s="4" t="s">
        <v>2378</v>
      </c>
      <c r="C997" s="4" t="s">
        <v>2379</v>
      </c>
      <c r="D997" s="4" t="s">
        <v>2571</v>
      </c>
      <c r="E997" s="4"/>
      <c r="F997" s="14"/>
      <c r="G997" s="14"/>
      <c r="H997" s="14"/>
      <c r="I997" s="5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</row>
    <row r="998" spans="1:86" x14ac:dyDescent="0.25">
      <c r="A998" s="12">
        <f t="shared" si="21"/>
        <v>995</v>
      </c>
      <c r="B998" s="4" t="s">
        <v>2380</v>
      </c>
      <c r="C998" s="4" t="s">
        <v>2381</v>
      </c>
      <c r="D998" s="4" t="s">
        <v>128</v>
      </c>
      <c r="E998" s="4"/>
      <c r="F998" s="14"/>
      <c r="G998" s="14"/>
      <c r="H998" s="14"/>
      <c r="I998" s="5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</row>
    <row r="999" spans="1:86" x14ac:dyDescent="0.25">
      <c r="A999" s="12">
        <f t="shared" si="21"/>
        <v>996</v>
      </c>
      <c r="B999" s="4" t="s">
        <v>2382</v>
      </c>
      <c r="C999" s="4" t="s">
        <v>2383</v>
      </c>
      <c r="D999" s="4" t="s">
        <v>768</v>
      </c>
      <c r="E999" s="4"/>
      <c r="F999" s="14"/>
      <c r="G999" s="14"/>
      <c r="H999" s="14"/>
      <c r="I999" s="5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</row>
    <row r="1000" spans="1:86" x14ac:dyDescent="0.25">
      <c r="A1000" s="12">
        <f t="shared" si="21"/>
        <v>997</v>
      </c>
      <c r="B1000" s="4" t="s">
        <v>2384</v>
      </c>
      <c r="C1000" s="4" t="s">
        <v>2385</v>
      </c>
      <c r="D1000" s="4" t="s">
        <v>45</v>
      </c>
      <c r="E1000" s="4"/>
      <c r="F1000" s="14"/>
      <c r="G1000" s="14"/>
      <c r="H1000" s="14"/>
      <c r="I1000" s="5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</row>
    <row r="1001" spans="1:86" x14ac:dyDescent="0.25">
      <c r="A1001" s="12">
        <f t="shared" si="21"/>
        <v>998</v>
      </c>
      <c r="B1001" s="4" t="s">
        <v>2386</v>
      </c>
      <c r="C1001" s="4" t="s">
        <v>2387</v>
      </c>
      <c r="D1001" s="4" t="s">
        <v>1130</v>
      </c>
      <c r="E1001" s="4"/>
      <c r="F1001" s="14"/>
      <c r="G1001" s="14"/>
      <c r="H1001" s="14"/>
      <c r="I1001" s="5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</row>
    <row r="1002" spans="1:86" x14ac:dyDescent="0.25">
      <c r="A1002" s="12">
        <f t="shared" si="21"/>
        <v>999</v>
      </c>
      <c r="B1002" s="4" t="s">
        <v>2388</v>
      </c>
      <c r="C1002" s="4" t="s">
        <v>2389</v>
      </c>
      <c r="D1002" s="4" t="s">
        <v>45</v>
      </c>
      <c r="E1002" s="4"/>
      <c r="F1002" s="14"/>
      <c r="G1002" s="14"/>
      <c r="H1002" s="14"/>
      <c r="I1002" s="5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</row>
    <row r="1003" spans="1:86" x14ac:dyDescent="0.25">
      <c r="A1003" s="12">
        <f t="shared" si="21"/>
        <v>1000</v>
      </c>
      <c r="B1003" s="4" t="s">
        <v>2390</v>
      </c>
      <c r="C1003" s="4" t="s">
        <v>2391</v>
      </c>
      <c r="D1003" s="4" t="s">
        <v>1130</v>
      </c>
      <c r="E1003" s="4"/>
      <c r="F1003" s="14"/>
      <c r="G1003" s="14"/>
      <c r="H1003" s="14"/>
      <c r="I1003" s="5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</row>
    <row r="1004" spans="1:86" x14ac:dyDescent="0.25">
      <c r="A1004" s="12">
        <f t="shared" si="21"/>
        <v>1001</v>
      </c>
      <c r="B1004" s="4" t="s">
        <v>2392</v>
      </c>
      <c r="C1004" s="4" t="s">
        <v>2393</v>
      </c>
      <c r="D1004" s="4" t="s">
        <v>768</v>
      </c>
      <c r="E1004" s="4"/>
      <c r="F1004" s="14"/>
      <c r="G1004" s="14"/>
      <c r="H1004" s="14"/>
      <c r="I1004" s="5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</row>
    <row r="1005" spans="1:86" x14ac:dyDescent="0.25">
      <c r="A1005" s="12">
        <f t="shared" si="21"/>
        <v>1002</v>
      </c>
      <c r="B1005" s="4" t="s">
        <v>2394</v>
      </c>
      <c r="C1005" s="4" t="s">
        <v>2395</v>
      </c>
      <c r="D1005" s="4" t="s">
        <v>87</v>
      </c>
      <c r="E1005" s="4"/>
      <c r="F1005" s="14"/>
      <c r="G1005" s="14"/>
      <c r="H1005" s="14"/>
      <c r="I1005" s="5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</row>
    <row r="1006" spans="1:86" x14ac:dyDescent="0.25">
      <c r="A1006" s="12">
        <f t="shared" si="21"/>
        <v>1003</v>
      </c>
      <c r="B1006" s="4" t="s">
        <v>2396</v>
      </c>
      <c r="C1006" s="4" t="s">
        <v>2397</v>
      </c>
      <c r="D1006" s="4" t="s">
        <v>45</v>
      </c>
      <c r="E1006" s="4"/>
      <c r="F1006" s="14"/>
      <c r="G1006" s="14"/>
      <c r="H1006" s="14"/>
      <c r="I1006" s="5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</row>
    <row r="1007" spans="1:86" x14ac:dyDescent="0.25">
      <c r="A1007" s="12">
        <f t="shared" si="21"/>
        <v>1004</v>
      </c>
      <c r="B1007" s="4" t="s">
        <v>2398</v>
      </c>
      <c r="C1007" s="4" t="s">
        <v>2399</v>
      </c>
      <c r="D1007" s="4" t="s">
        <v>84</v>
      </c>
      <c r="E1007" s="4"/>
      <c r="F1007" s="14"/>
      <c r="G1007" s="14"/>
      <c r="H1007" s="14"/>
      <c r="I1007" s="5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</row>
    <row r="1008" spans="1:86" x14ac:dyDescent="0.25">
      <c r="A1008" s="12">
        <f t="shared" si="21"/>
        <v>1005</v>
      </c>
      <c r="B1008" s="4" t="s">
        <v>2400</v>
      </c>
      <c r="C1008" s="4" t="s">
        <v>2401</v>
      </c>
      <c r="D1008" s="4" t="s">
        <v>1125</v>
      </c>
      <c r="E1008" s="4"/>
      <c r="F1008" s="14"/>
      <c r="G1008" s="14"/>
      <c r="H1008" s="14"/>
      <c r="I1008" s="5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</row>
    <row r="1009" spans="1:86" x14ac:dyDescent="0.25">
      <c r="A1009" s="12">
        <f t="shared" si="21"/>
        <v>1006</v>
      </c>
      <c r="B1009" s="4" t="s">
        <v>2402</v>
      </c>
      <c r="C1009" s="4" t="s">
        <v>2403</v>
      </c>
      <c r="D1009" s="4" t="s">
        <v>768</v>
      </c>
      <c r="E1009" s="4"/>
      <c r="F1009" s="14"/>
      <c r="G1009" s="14"/>
      <c r="H1009" s="14"/>
      <c r="I1009" s="5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</row>
    <row r="1010" spans="1:86" x14ac:dyDescent="0.25">
      <c r="A1010" s="12">
        <f t="shared" si="21"/>
        <v>1007</v>
      </c>
      <c r="B1010" s="4" t="s">
        <v>2404</v>
      </c>
      <c r="C1010" s="4" t="s">
        <v>2405</v>
      </c>
      <c r="D1010" s="4" t="s">
        <v>45</v>
      </c>
      <c r="E1010" s="4"/>
      <c r="F1010" s="14"/>
      <c r="G1010" s="14"/>
      <c r="H1010" s="14"/>
      <c r="I1010" s="5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</row>
    <row r="1011" spans="1:86" x14ac:dyDescent="0.25">
      <c r="A1011" s="12">
        <f t="shared" si="21"/>
        <v>1008</v>
      </c>
      <c r="B1011" s="4" t="s">
        <v>2406</v>
      </c>
      <c r="C1011" s="4" t="s">
        <v>2407</v>
      </c>
      <c r="D1011" s="4" t="s">
        <v>87</v>
      </c>
      <c r="E1011" s="4"/>
      <c r="F1011" s="14"/>
      <c r="G1011" s="14"/>
      <c r="H1011" s="14"/>
      <c r="I1011" s="5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</row>
    <row r="1012" spans="1:86" x14ac:dyDescent="0.25">
      <c r="A1012" s="12">
        <f t="shared" si="21"/>
        <v>1009</v>
      </c>
      <c r="B1012" s="4" t="s">
        <v>2408</v>
      </c>
      <c r="C1012" s="4" t="s">
        <v>2409</v>
      </c>
      <c r="D1012" s="4" t="s">
        <v>45</v>
      </c>
      <c r="E1012" s="4"/>
      <c r="F1012" s="14"/>
      <c r="G1012" s="14"/>
      <c r="H1012" s="14"/>
      <c r="I1012" s="5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</row>
    <row r="1013" spans="1:86" x14ac:dyDescent="0.25">
      <c r="A1013" s="12">
        <f t="shared" si="21"/>
        <v>1010</v>
      </c>
      <c r="B1013" s="4" t="s">
        <v>2410</v>
      </c>
      <c r="C1013" s="4" t="s">
        <v>2411</v>
      </c>
      <c r="D1013" s="4" t="s">
        <v>87</v>
      </c>
      <c r="E1013" s="4"/>
      <c r="F1013" s="14"/>
      <c r="G1013" s="14"/>
      <c r="H1013" s="14"/>
      <c r="I1013" s="5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</row>
    <row r="1014" spans="1:86" x14ac:dyDescent="0.25">
      <c r="A1014" s="12">
        <f t="shared" si="21"/>
        <v>1011</v>
      </c>
      <c r="B1014" s="4" t="s">
        <v>2412</v>
      </c>
      <c r="C1014" s="4" t="s">
        <v>2413</v>
      </c>
      <c r="D1014" s="4" t="s">
        <v>87</v>
      </c>
      <c r="E1014" s="4"/>
      <c r="F1014" s="14"/>
      <c r="G1014" s="14"/>
      <c r="H1014" s="14"/>
      <c r="I1014" s="5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</row>
    <row r="1015" spans="1:86" x14ac:dyDescent="0.25">
      <c r="A1015" s="12">
        <f t="shared" si="21"/>
        <v>1012</v>
      </c>
      <c r="B1015" s="4" t="s">
        <v>2414</v>
      </c>
      <c r="C1015" s="4" t="s">
        <v>2415</v>
      </c>
      <c r="D1015" s="4" t="s">
        <v>161</v>
      </c>
      <c r="E1015" s="4"/>
      <c r="F1015" s="14"/>
      <c r="G1015" s="14"/>
      <c r="H1015" s="14"/>
      <c r="I1015" s="5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</row>
    <row r="1016" spans="1:86" x14ac:dyDescent="0.25">
      <c r="A1016" s="12">
        <f t="shared" si="21"/>
        <v>1013</v>
      </c>
      <c r="B1016" s="4" t="s">
        <v>2416</v>
      </c>
      <c r="C1016" s="4" t="s">
        <v>2417</v>
      </c>
      <c r="D1016" s="4" t="s">
        <v>508</v>
      </c>
      <c r="E1016" s="4"/>
      <c r="F1016" s="14"/>
      <c r="G1016" s="14"/>
      <c r="H1016" s="14"/>
      <c r="I1016" s="5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</row>
    <row r="1017" spans="1:86" x14ac:dyDescent="0.25">
      <c r="A1017" s="12">
        <f t="shared" si="21"/>
        <v>1014</v>
      </c>
      <c r="B1017" s="4" t="s">
        <v>2418</v>
      </c>
      <c r="C1017" s="4" t="s">
        <v>2419</v>
      </c>
      <c r="D1017" s="4" t="s">
        <v>955</v>
      </c>
      <c r="E1017" s="4"/>
      <c r="F1017" s="14"/>
      <c r="G1017" s="14"/>
      <c r="H1017" s="14"/>
      <c r="I1017" s="5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</row>
    <row r="1018" spans="1:86" x14ac:dyDescent="0.25">
      <c r="A1018" s="12">
        <f t="shared" si="21"/>
        <v>1015</v>
      </c>
      <c r="B1018" s="4" t="s">
        <v>2420</v>
      </c>
      <c r="C1018" s="4" t="s">
        <v>2421</v>
      </c>
      <c r="D1018" s="4" t="s">
        <v>45</v>
      </c>
      <c r="E1018" s="4"/>
      <c r="F1018" s="14"/>
      <c r="G1018" s="14"/>
      <c r="H1018" s="14"/>
      <c r="I1018" s="5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</row>
    <row r="1019" spans="1:86" x14ac:dyDescent="0.25">
      <c r="A1019" s="12">
        <f t="shared" si="21"/>
        <v>1016</v>
      </c>
      <c r="B1019" s="4" t="s">
        <v>2422</v>
      </c>
      <c r="C1019" s="4" t="s">
        <v>2423</v>
      </c>
      <c r="D1019" s="4" t="s">
        <v>768</v>
      </c>
      <c r="E1019" s="4"/>
      <c r="F1019" s="14"/>
      <c r="G1019" s="14"/>
      <c r="H1019" s="14"/>
      <c r="I1019" s="5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</row>
    <row r="1020" spans="1:86" x14ac:dyDescent="0.25">
      <c r="A1020" s="12">
        <f t="shared" si="21"/>
        <v>1017</v>
      </c>
      <c r="B1020" s="4" t="s">
        <v>2424</v>
      </c>
      <c r="C1020" s="4" t="s">
        <v>2425</v>
      </c>
      <c r="D1020" s="4" t="s">
        <v>1125</v>
      </c>
      <c r="E1020" s="4"/>
      <c r="F1020" s="14"/>
      <c r="G1020" s="14"/>
      <c r="H1020" s="14"/>
      <c r="I1020" s="5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</row>
    <row r="1021" spans="1:86" x14ac:dyDescent="0.25">
      <c r="A1021" s="12">
        <f t="shared" si="21"/>
        <v>1018</v>
      </c>
      <c r="B1021" s="4" t="s">
        <v>2426</v>
      </c>
      <c r="C1021" s="4" t="s">
        <v>2427</v>
      </c>
      <c r="D1021" s="4" t="s">
        <v>87</v>
      </c>
      <c r="E1021" s="4"/>
      <c r="F1021" s="14"/>
      <c r="G1021" s="14"/>
      <c r="H1021" s="14"/>
      <c r="I1021" s="5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</row>
    <row r="1022" spans="1:86" x14ac:dyDescent="0.25">
      <c r="A1022" s="12">
        <f t="shared" si="21"/>
        <v>1019</v>
      </c>
      <c r="B1022" s="4" t="s">
        <v>2428</v>
      </c>
      <c r="C1022" s="4" t="s">
        <v>2429</v>
      </c>
      <c r="D1022" s="4" t="s">
        <v>45</v>
      </c>
      <c r="E1022" s="4"/>
      <c r="F1022" s="14"/>
      <c r="G1022" s="14"/>
      <c r="H1022" s="14"/>
      <c r="I1022" s="5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</row>
    <row r="1023" spans="1:86" x14ac:dyDescent="0.25">
      <c r="A1023" s="12">
        <f t="shared" si="21"/>
        <v>1020</v>
      </c>
      <c r="B1023" s="4" t="s">
        <v>2430</v>
      </c>
      <c r="C1023" s="4" t="s">
        <v>2431</v>
      </c>
      <c r="D1023" s="4" t="s">
        <v>45</v>
      </c>
      <c r="E1023" s="4"/>
      <c r="F1023" s="14"/>
      <c r="G1023" s="14"/>
      <c r="H1023" s="14"/>
      <c r="I1023" s="5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</row>
    <row r="1024" spans="1:86" x14ac:dyDescent="0.25">
      <c r="A1024" s="12">
        <f t="shared" si="21"/>
        <v>1021</v>
      </c>
      <c r="B1024" s="4" t="s">
        <v>2432</v>
      </c>
      <c r="C1024" s="4" t="s">
        <v>2433</v>
      </c>
      <c r="D1024" s="4" t="s">
        <v>45</v>
      </c>
      <c r="E1024" s="4"/>
      <c r="F1024" s="14"/>
      <c r="G1024" s="14"/>
      <c r="H1024" s="14"/>
      <c r="I1024" s="5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</row>
    <row r="1025" spans="1:86" x14ac:dyDescent="0.25">
      <c r="A1025" s="12">
        <f t="shared" si="21"/>
        <v>1022</v>
      </c>
      <c r="B1025" s="4" t="s">
        <v>2434</v>
      </c>
      <c r="C1025" s="4" t="s">
        <v>2435</v>
      </c>
      <c r="D1025" s="4" t="s">
        <v>768</v>
      </c>
      <c r="E1025" s="4"/>
      <c r="F1025" s="14"/>
      <c r="G1025" s="14"/>
      <c r="H1025" s="14"/>
      <c r="I1025" s="5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</row>
    <row r="1026" spans="1:86" x14ac:dyDescent="0.25">
      <c r="A1026" s="12">
        <f t="shared" si="21"/>
        <v>1023</v>
      </c>
      <c r="B1026" s="4" t="s">
        <v>2436</v>
      </c>
      <c r="C1026" s="4" t="s">
        <v>2437</v>
      </c>
      <c r="D1026" s="4" t="s">
        <v>87</v>
      </c>
      <c r="E1026" s="4"/>
      <c r="F1026" s="14"/>
      <c r="G1026" s="14"/>
      <c r="H1026" s="14"/>
      <c r="I1026" s="5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</row>
    <row r="1027" spans="1:86" x14ac:dyDescent="0.25">
      <c r="A1027" s="12">
        <f t="shared" si="21"/>
        <v>1024</v>
      </c>
      <c r="B1027" s="4" t="s">
        <v>2438</v>
      </c>
      <c r="C1027" s="4" t="s">
        <v>2439</v>
      </c>
      <c r="D1027" s="4" t="s">
        <v>1129</v>
      </c>
      <c r="E1027" s="4"/>
      <c r="F1027" s="14"/>
      <c r="G1027" s="14"/>
      <c r="H1027" s="14"/>
      <c r="I1027" s="5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</row>
    <row r="1028" spans="1:86" x14ac:dyDescent="0.25">
      <c r="A1028" s="12">
        <f t="shared" si="21"/>
        <v>1025</v>
      </c>
      <c r="B1028" s="4" t="s">
        <v>2440</v>
      </c>
      <c r="C1028" s="4" t="s">
        <v>2441</v>
      </c>
      <c r="D1028" s="4" t="s">
        <v>45</v>
      </c>
      <c r="E1028" s="4"/>
      <c r="F1028" s="14"/>
      <c r="G1028" s="14"/>
      <c r="H1028" s="14"/>
      <c r="I1028" s="5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</row>
    <row r="1029" spans="1:86" x14ac:dyDescent="0.25">
      <c r="A1029" s="12">
        <f t="shared" si="21"/>
        <v>1026</v>
      </c>
      <c r="B1029" s="4" t="s">
        <v>2442</v>
      </c>
      <c r="C1029" s="4" t="s">
        <v>2443</v>
      </c>
      <c r="D1029" s="4" t="s">
        <v>768</v>
      </c>
      <c r="E1029" s="4"/>
      <c r="F1029" s="14"/>
      <c r="G1029" s="14"/>
      <c r="H1029" s="14"/>
      <c r="I1029" s="5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</row>
    <row r="1030" spans="1:86" x14ac:dyDescent="0.25">
      <c r="A1030" s="12">
        <f t="shared" si="21"/>
        <v>1027</v>
      </c>
      <c r="B1030" s="4" t="s">
        <v>2444</v>
      </c>
      <c r="C1030" s="4" t="s">
        <v>2445</v>
      </c>
      <c r="D1030" s="4" t="s">
        <v>1125</v>
      </c>
      <c r="E1030" s="4"/>
      <c r="F1030" s="14"/>
      <c r="G1030" s="14"/>
      <c r="H1030" s="14"/>
      <c r="I1030" s="5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</row>
    <row r="1031" spans="1:86" x14ac:dyDescent="0.25">
      <c r="A1031" s="12">
        <f t="shared" si="21"/>
        <v>1028</v>
      </c>
      <c r="B1031" s="4" t="s">
        <v>2446</v>
      </c>
      <c r="C1031" s="4" t="s">
        <v>2447</v>
      </c>
      <c r="D1031" s="4" t="s">
        <v>1129</v>
      </c>
      <c r="E1031" s="4"/>
      <c r="F1031" s="14"/>
      <c r="G1031" s="14"/>
      <c r="H1031" s="14"/>
      <c r="I1031" s="5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</row>
    <row r="1032" spans="1:86" x14ac:dyDescent="0.25">
      <c r="A1032" s="12">
        <f t="shared" si="21"/>
        <v>1029</v>
      </c>
      <c r="B1032" s="4" t="s">
        <v>2448</v>
      </c>
      <c r="C1032" s="4" t="s">
        <v>2449</v>
      </c>
      <c r="D1032" s="4" t="s">
        <v>45</v>
      </c>
      <c r="E1032" s="4"/>
      <c r="F1032" s="14"/>
      <c r="G1032" s="14"/>
      <c r="H1032" s="14"/>
      <c r="I1032" s="5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</row>
    <row r="1033" spans="1:86" x14ac:dyDescent="0.25">
      <c r="A1033" s="12">
        <f t="shared" si="21"/>
        <v>1030</v>
      </c>
      <c r="B1033" s="4" t="s">
        <v>2450</v>
      </c>
      <c r="C1033" s="4" t="s">
        <v>2451</v>
      </c>
      <c r="D1033" s="4" t="s">
        <v>45</v>
      </c>
      <c r="E1033" s="4"/>
      <c r="F1033" s="14"/>
      <c r="G1033" s="14"/>
      <c r="H1033" s="14"/>
      <c r="I1033" s="5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</row>
    <row r="1034" spans="1:86" x14ac:dyDescent="0.25">
      <c r="A1034" s="12">
        <f t="shared" ref="A1034:A1097" si="22">+A1033+1</f>
        <v>1031</v>
      </c>
      <c r="B1034" s="4" t="s">
        <v>2452</v>
      </c>
      <c r="C1034" s="4" t="s">
        <v>2453</v>
      </c>
      <c r="D1034" s="4" t="s">
        <v>770</v>
      </c>
      <c r="E1034" s="4"/>
      <c r="F1034" s="14"/>
      <c r="G1034" s="14"/>
      <c r="H1034" s="14"/>
      <c r="I1034" s="5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</row>
    <row r="1035" spans="1:86" x14ac:dyDescent="0.25">
      <c r="A1035" s="12">
        <f t="shared" si="22"/>
        <v>1032</v>
      </c>
      <c r="B1035" s="4" t="s">
        <v>2454</v>
      </c>
      <c r="C1035" s="4" t="s">
        <v>2455</v>
      </c>
      <c r="D1035" s="4" t="s">
        <v>45</v>
      </c>
      <c r="E1035" s="4"/>
      <c r="F1035" s="14"/>
      <c r="G1035" s="14"/>
      <c r="H1035" s="14"/>
      <c r="I1035" s="5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</row>
    <row r="1036" spans="1:86" x14ac:dyDescent="0.25">
      <c r="A1036" s="12">
        <f t="shared" si="22"/>
        <v>1033</v>
      </c>
      <c r="B1036" s="4" t="s">
        <v>2456</v>
      </c>
      <c r="C1036" s="4" t="s">
        <v>2457</v>
      </c>
      <c r="D1036" s="4" t="s">
        <v>1123</v>
      </c>
      <c r="E1036" s="4"/>
      <c r="F1036" s="14"/>
      <c r="G1036" s="14"/>
      <c r="H1036" s="14"/>
      <c r="I1036" s="5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</row>
    <row r="1037" spans="1:86" x14ac:dyDescent="0.25">
      <c r="A1037" s="12">
        <f t="shared" si="22"/>
        <v>1034</v>
      </c>
      <c r="B1037" s="4" t="s">
        <v>2458</v>
      </c>
      <c r="C1037" s="4" t="s">
        <v>2459</v>
      </c>
      <c r="D1037" s="4" t="s">
        <v>45</v>
      </c>
      <c r="E1037" s="4"/>
      <c r="F1037" s="14"/>
      <c r="G1037" s="14"/>
      <c r="H1037" s="14"/>
      <c r="I1037" s="5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</row>
    <row r="1038" spans="1:86" x14ac:dyDescent="0.25">
      <c r="A1038" s="12">
        <f t="shared" si="22"/>
        <v>1035</v>
      </c>
      <c r="B1038" s="4" t="s">
        <v>2460</v>
      </c>
      <c r="C1038" s="4" t="s">
        <v>2461</v>
      </c>
      <c r="D1038" s="4" t="s">
        <v>45</v>
      </c>
      <c r="E1038" s="4"/>
      <c r="F1038" s="14"/>
      <c r="G1038" s="14"/>
      <c r="H1038" s="14"/>
      <c r="I1038" s="5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</row>
    <row r="1039" spans="1:86" x14ac:dyDescent="0.25">
      <c r="A1039" s="12">
        <f t="shared" si="22"/>
        <v>1036</v>
      </c>
      <c r="B1039" s="4" t="s">
        <v>2462</v>
      </c>
      <c r="C1039" s="4" t="s">
        <v>2463</v>
      </c>
      <c r="D1039" s="4" t="s">
        <v>45</v>
      </c>
      <c r="E1039" s="4"/>
      <c r="F1039" s="14"/>
      <c r="G1039" s="14"/>
      <c r="H1039" s="14"/>
      <c r="I1039" s="5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</row>
    <row r="1040" spans="1:86" x14ac:dyDescent="0.25">
      <c r="A1040" s="12">
        <f t="shared" si="22"/>
        <v>1037</v>
      </c>
      <c r="B1040" s="4" t="s">
        <v>2464</v>
      </c>
      <c r="C1040" s="4" t="s">
        <v>2465</v>
      </c>
      <c r="D1040" s="4" t="s">
        <v>1123</v>
      </c>
      <c r="E1040" s="4"/>
      <c r="F1040" s="14"/>
      <c r="G1040" s="14"/>
      <c r="H1040" s="14"/>
      <c r="I1040" s="5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</row>
    <row r="1041" spans="1:86" x14ac:dyDescent="0.25">
      <c r="A1041" s="12">
        <f t="shared" si="22"/>
        <v>1038</v>
      </c>
      <c r="B1041" s="4" t="s">
        <v>2466</v>
      </c>
      <c r="C1041" s="4" t="s">
        <v>2467</v>
      </c>
      <c r="D1041" s="4" t="s">
        <v>45</v>
      </c>
      <c r="E1041" s="4"/>
      <c r="F1041" s="14"/>
      <c r="G1041" s="14"/>
      <c r="H1041" s="14"/>
      <c r="I1041" s="5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</row>
    <row r="1042" spans="1:86" x14ac:dyDescent="0.25">
      <c r="A1042" s="12">
        <f t="shared" si="22"/>
        <v>1039</v>
      </c>
      <c r="B1042" s="4" t="s">
        <v>2468</v>
      </c>
      <c r="C1042" s="4" t="s">
        <v>2469</v>
      </c>
      <c r="D1042" s="4" t="s">
        <v>1130</v>
      </c>
      <c r="E1042" s="4"/>
      <c r="F1042" s="14"/>
      <c r="G1042" s="14"/>
      <c r="H1042" s="14"/>
      <c r="I1042" s="5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</row>
    <row r="1043" spans="1:86" x14ac:dyDescent="0.25">
      <c r="A1043" s="12">
        <f t="shared" si="22"/>
        <v>1040</v>
      </c>
      <c r="B1043" s="4" t="s">
        <v>2470</v>
      </c>
      <c r="C1043" s="4" t="s">
        <v>2471</v>
      </c>
      <c r="D1043" s="4" t="s">
        <v>161</v>
      </c>
      <c r="E1043" s="4"/>
      <c r="F1043" s="14"/>
      <c r="G1043" s="14"/>
      <c r="H1043" s="14"/>
      <c r="I1043" s="5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</row>
    <row r="1044" spans="1:86" x14ac:dyDescent="0.25">
      <c r="A1044" s="12">
        <f t="shared" si="22"/>
        <v>1041</v>
      </c>
      <c r="B1044" s="4" t="s">
        <v>2472</v>
      </c>
      <c r="C1044" s="4" t="s">
        <v>2473</v>
      </c>
      <c r="D1044" s="4" t="s">
        <v>45</v>
      </c>
      <c r="E1044" s="4"/>
      <c r="F1044" s="14"/>
      <c r="G1044" s="14"/>
      <c r="H1044" s="14"/>
      <c r="I1044" s="5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</row>
    <row r="1045" spans="1:86" x14ac:dyDescent="0.25">
      <c r="A1045" s="12">
        <f t="shared" si="22"/>
        <v>1042</v>
      </c>
      <c r="B1045" s="4" t="s">
        <v>2474</v>
      </c>
      <c r="C1045" s="4" t="s">
        <v>2475</v>
      </c>
      <c r="D1045" s="4" t="s">
        <v>45</v>
      </c>
      <c r="E1045" s="4"/>
      <c r="F1045" s="14"/>
      <c r="G1045" s="14"/>
      <c r="H1045" s="14"/>
      <c r="I1045" s="5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</row>
    <row r="1046" spans="1:86" x14ac:dyDescent="0.25">
      <c r="A1046" s="12">
        <f t="shared" si="22"/>
        <v>1043</v>
      </c>
      <c r="B1046" s="4" t="s">
        <v>2476</v>
      </c>
      <c r="C1046" s="4" t="s">
        <v>2477</v>
      </c>
      <c r="D1046" s="4" t="s">
        <v>45</v>
      </c>
      <c r="E1046" s="4"/>
      <c r="F1046" s="14"/>
      <c r="G1046" s="14"/>
      <c r="H1046" s="14"/>
      <c r="I1046" s="5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</row>
    <row r="1047" spans="1:86" x14ac:dyDescent="0.25">
      <c r="A1047" s="12">
        <f t="shared" si="22"/>
        <v>1044</v>
      </c>
      <c r="B1047" s="4" t="s">
        <v>1105</v>
      </c>
      <c r="C1047" s="4" t="s">
        <v>1106</v>
      </c>
      <c r="D1047" s="4" t="s">
        <v>768</v>
      </c>
      <c r="E1047" s="4"/>
      <c r="F1047" s="14"/>
      <c r="G1047" s="14"/>
      <c r="H1047" s="14"/>
      <c r="I1047" s="5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</row>
    <row r="1048" spans="1:86" x14ac:dyDescent="0.25">
      <c r="A1048" s="12">
        <f t="shared" si="22"/>
        <v>1045</v>
      </c>
      <c r="B1048" s="4" t="s">
        <v>1107</v>
      </c>
      <c r="C1048" s="4" t="s">
        <v>1108</v>
      </c>
      <c r="D1048" s="4" t="s">
        <v>768</v>
      </c>
      <c r="E1048" s="4"/>
      <c r="F1048" s="14"/>
      <c r="G1048" s="14"/>
      <c r="H1048" s="14"/>
      <c r="I1048" s="5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</row>
    <row r="1049" spans="1:86" x14ac:dyDescent="0.25">
      <c r="A1049" s="12">
        <f t="shared" si="22"/>
        <v>1046</v>
      </c>
      <c r="B1049" s="4" t="s">
        <v>2478</v>
      </c>
      <c r="C1049" s="4" t="s">
        <v>2479</v>
      </c>
      <c r="D1049" s="4" t="s">
        <v>45</v>
      </c>
      <c r="E1049" s="4"/>
      <c r="F1049" s="14"/>
      <c r="G1049" s="14"/>
      <c r="H1049" s="14"/>
      <c r="I1049" s="5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</row>
    <row r="1050" spans="1:86" x14ac:dyDescent="0.25">
      <c r="A1050" s="12">
        <f t="shared" si="22"/>
        <v>1047</v>
      </c>
      <c r="B1050" s="4" t="s">
        <v>2480</v>
      </c>
      <c r="C1050" s="4" t="s">
        <v>2481</v>
      </c>
      <c r="D1050" s="4" t="s">
        <v>1130</v>
      </c>
      <c r="E1050" s="4"/>
      <c r="F1050" s="14"/>
      <c r="G1050" s="14"/>
      <c r="H1050" s="14"/>
      <c r="I1050" s="5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</row>
    <row r="1051" spans="1:86" x14ac:dyDescent="0.25">
      <c r="A1051" s="12">
        <f t="shared" si="22"/>
        <v>1048</v>
      </c>
      <c r="B1051" s="4" t="s">
        <v>2482</v>
      </c>
      <c r="C1051" s="4" t="s">
        <v>2483</v>
      </c>
      <c r="D1051" s="4" t="s">
        <v>508</v>
      </c>
      <c r="E1051" s="4"/>
      <c r="F1051" s="14"/>
      <c r="G1051" s="14"/>
      <c r="H1051" s="14"/>
      <c r="I1051" s="5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</row>
    <row r="1052" spans="1:86" x14ac:dyDescent="0.25">
      <c r="A1052" s="12">
        <f t="shared" si="22"/>
        <v>1049</v>
      </c>
      <c r="B1052" s="4" t="s">
        <v>2484</v>
      </c>
      <c r="C1052" s="4" t="s">
        <v>2485</v>
      </c>
      <c r="D1052" s="4" t="s">
        <v>45</v>
      </c>
      <c r="E1052" s="4"/>
      <c r="F1052" s="14"/>
      <c r="G1052" s="14"/>
      <c r="H1052" s="14"/>
      <c r="I1052" s="5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</row>
    <row r="1053" spans="1:86" x14ac:dyDescent="0.25">
      <c r="A1053" s="12">
        <f t="shared" si="22"/>
        <v>1050</v>
      </c>
      <c r="B1053" s="4" t="s">
        <v>2486</v>
      </c>
      <c r="C1053" s="4" t="s">
        <v>2487</v>
      </c>
      <c r="D1053" s="4" t="s">
        <v>45</v>
      </c>
      <c r="E1053" s="4"/>
      <c r="F1053" s="14"/>
      <c r="G1053" s="14"/>
      <c r="H1053" s="14"/>
      <c r="I1053" s="5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</row>
    <row r="1054" spans="1:86" x14ac:dyDescent="0.25">
      <c r="A1054" s="12">
        <f t="shared" si="22"/>
        <v>1051</v>
      </c>
      <c r="B1054" s="4" t="s">
        <v>2488</v>
      </c>
      <c r="C1054" s="4" t="s">
        <v>2489</v>
      </c>
      <c r="D1054" s="4" t="s">
        <v>1125</v>
      </c>
      <c r="E1054" s="4"/>
      <c r="F1054" s="14"/>
      <c r="G1054" s="14"/>
      <c r="H1054" s="14"/>
      <c r="I1054" s="5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</row>
    <row r="1055" spans="1:86" x14ac:dyDescent="0.25">
      <c r="A1055" s="12">
        <f t="shared" si="22"/>
        <v>1052</v>
      </c>
      <c r="B1055" s="4" t="s">
        <v>2490</v>
      </c>
      <c r="C1055" s="4" t="s">
        <v>2491</v>
      </c>
      <c r="D1055" s="4" t="s">
        <v>45</v>
      </c>
      <c r="E1055" s="4"/>
      <c r="F1055" s="14"/>
      <c r="G1055" s="14"/>
      <c r="H1055" s="14"/>
      <c r="I1055" s="5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</row>
    <row r="1056" spans="1:86" x14ac:dyDescent="0.25">
      <c r="A1056" s="12">
        <f t="shared" si="22"/>
        <v>1053</v>
      </c>
      <c r="B1056" s="4" t="s">
        <v>2492</v>
      </c>
      <c r="C1056" s="4" t="s">
        <v>2493</v>
      </c>
      <c r="D1056" s="4" t="s">
        <v>87</v>
      </c>
      <c r="E1056" s="4"/>
      <c r="F1056" s="14"/>
      <c r="G1056" s="14"/>
      <c r="H1056" s="14"/>
      <c r="I1056" s="5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</row>
    <row r="1057" spans="1:86" x14ac:dyDescent="0.25">
      <c r="A1057" s="12">
        <f t="shared" si="22"/>
        <v>1054</v>
      </c>
      <c r="B1057" s="4" t="s">
        <v>2494</v>
      </c>
      <c r="C1057" s="4" t="s">
        <v>2495</v>
      </c>
      <c r="D1057" s="4" t="s">
        <v>45</v>
      </c>
      <c r="E1057" s="4"/>
      <c r="F1057" s="14"/>
      <c r="G1057" s="14"/>
      <c r="H1057" s="14"/>
      <c r="I1057" s="5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</row>
    <row r="1058" spans="1:86" x14ac:dyDescent="0.25">
      <c r="A1058" s="12">
        <f t="shared" si="22"/>
        <v>1055</v>
      </c>
      <c r="B1058" s="4" t="s">
        <v>2496</v>
      </c>
      <c r="C1058" s="4" t="s">
        <v>2497</v>
      </c>
      <c r="D1058" s="4" t="s">
        <v>768</v>
      </c>
      <c r="E1058" s="4"/>
      <c r="F1058" s="14"/>
      <c r="G1058" s="14"/>
      <c r="H1058" s="14"/>
      <c r="I1058" s="5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</row>
    <row r="1059" spans="1:86" x14ac:dyDescent="0.25">
      <c r="A1059" s="12">
        <f t="shared" si="22"/>
        <v>1056</v>
      </c>
      <c r="B1059" s="4" t="s">
        <v>2498</v>
      </c>
      <c r="C1059" s="4" t="s">
        <v>2499</v>
      </c>
      <c r="D1059" s="4" t="s">
        <v>45</v>
      </c>
      <c r="E1059" s="4"/>
      <c r="F1059" s="14"/>
      <c r="G1059" s="14"/>
      <c r="H1059" s="14"/>
      <c r="I1059" s="5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</row>
    <row r="1060" spans="1:86" x14ac:dyDescent="0.25">
      <c r="A1060" s="12">
        <f t="shared" si="22"/>
        <v>1057</v>
      </c>
      <c r="B1060" s="4" t="s">
        <v>2500</v>
      </c>
      <c r="C1060" s="4" t="s">
        <v>2501</v>
      </c>
      <c r="D1060" s="4" t="s">
        <v>1129</v>
      </c>
      <c r="E1060" s="4"/>
      <c r="F1060" s="14"/>
      <c r="G1060" s="14"/>
      <c r="H1060" s="14"/>
      <c r="I1060" s="5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</row>
    <row r="1061" spans="1:86" x14ac:dyDescent="0.25">
      <c r="A1061" s="12">
        <f t="shared" si="22"/>
        <v>1058</v>
      </c>
      <c r="B1061" s="4" t="s">
        <v>2502</v>
      </c>
      <c r="C1061" s="4" t="s">
        <v>2502</v>
      </c>
      <c r="D1061" s="4" t="s">
        <v>1129</v>
      </c>
      <c r="E1061" s="4"/>
      <c r="F1061" s="14"/>
      <c r="G1061" s="14"/>
      <c r="H1061" s="14"/>
      <c r="I1061" s="5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</row>
    <row r="1062" spans="1:86" x14ac:dyDescent="0.25">
      <c r="A1062" s="12">
        <f t="shared" si="22"/>
        <v>1059</v>
      </c>
      <c r="B1062" s="4" t="s">
        <v>1109</v>
      </c>
      <c r="C1062" s="4" t="s">
        <v>1110</v>
      </c>
      <c r="D1062" s="4" t="s">
        <v>45</v>
      </c>
      <c r="E1062" s="4"/>
      <c r="F1062" s="14"/>
      <c r="G1062" s="14"/>
      <c r="H1062" s="14"/>
      <c r="I1062" s="5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</row>
    <row r="1063" spans="1:86" x14ac:dyDescent="0.25">
      <c r="A1063" s="12">
        <f t="shared" si="22"/>
        <v>1060</v>
      </c>
      <c r="B1063" s="4" t="s">
        <v>1111</v>
      </c>
      <c r="C1063" s="4" t="s">
        <v>1112</v>
      </c>
      <c r="D1063" s="4" t="s">
        <v>45</v>
      </c>
      <c r="E1063" s="4"/>
      <c r="F1063" s="14"/>
      <c r="G1063" s="14"/>
      <c r="H1063" s="14"/>
      <c r="I1063" s="5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</row>
    <row r="1064" spans="1:86" x14ac:dyDescent="0.25">
      <c r="A1064" s="12">
        <f t="shared" si="22"/>
        <v>1061</v>
      </c>
      <c r="B1064" s="4" t="s">
        <v>2503</v>
      </c>
      <c r="C1064" s="4" t="s">
        <v>2504</v>
      </c>
      <c r="D1064" s="4" t="s">
        <v>45</v>
      </c>
      <c r="E1064" s="4"/>
      <c r="F1064" s="14"/>
      <c r="G1064" s="14"/>
      <c r="H1064" s="14"/>
      <c r="I1064" s="5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</row>
    <row r="1065" spans="1:86" x14ac:dyDescent="0.25">
      <c r="A1065" s="12">
        <f t="shared" si="22"/>
        <v>1062</v>
      </c>
      <c r="B1065" s="4" t="s">
        <v>2505</v>
      </c>
      <c r="C1065" s="4" t="s">
        <v>2506</v>
      </c>
      <c r="D1065" s="4" t="s">
        <v>45</v>
      </c>
      <c r="E1065" s="4"/>
      <c r="F1065" s="14"/>
      <c r="G1065" s="14"/>
      <c r="H1065" s="14"/>
      <c r="I1065" s="5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</row>
    <row r="1066" spans="1:86" x14ac:dyDescent="0.25">
      <c r="A1066" s="12">
        <f t="shared" si="22"/>
        <v>1063</v>
      </c>
      <c r="B1066" s="4" t="s">
        <v>2507</v>
      </c>
      <c r="C1066" s="4" t="s">
        <v>2508</v>
      </c>
      <c r="D1066" s="4" t="s">
        <v>45</v>
      </c>
      <c r="E1066" s="4"/>
      <c r="F1066" s="14"/>
      <c r="G1066" s="14"/>
      <c r="H1066" s="14"/>
      <c r="I1066" s="5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</row>
    <row r="1067" spans="1:86" x14ac:dyDescent="0.25">
      <c r="A1067" s="12">
        <f t="shared" si="22"/>
        <v>1064</v>
      </c>
      <c r="B1067" s="4" t="s">
        <v>2509</v>
      </c>
      <c r="C1067" s="4" t="s">
        <v>2510</v>
      </c>
      <c r="D1067" s="4" t="s">
        <v>45</v>
      </c>
      <c r="E1067" s="4"/>
      <c r="F1067" s="14"/>
      <c r="G1067" s="14"/>
      <c r="H1067" s="14"/>
      <c r="I1067" s="5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</row>
    <row r="1068" spans="1:86" x14ac:dyDescent="0.25">
      <c r="A1068" s="12">
        <f t="shared" si="22"/>
        <v>1065</v>
      </c>
      <c r="B1068" s="4" t="s">
        <v>2511</v>
      </c>
      <c r="C1068" s="4" t="s">
        <v>2512</v>
      </c>
      <c r="D1068" s="4" t="s">
        <v>45</v>
      </c>
      <c r="E1068" s="4"/>
      <c r="F1068" s="14"/>
      <c r="G1068" s="14"/>
      <c r="H1068" s="14"/>
      <c r="I1068" s="5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</row>
    <row r="1069" spans="1:86" x14ac:dyDescent="0.25">
      <c r="A1069" s="12">
        <f t="shared" si="22"/>
        <v>1066</v>
      </c>
      <c r="B1069" s="4" t="s">
        <v>2513</v>
      </c>
      <c r="C1069" s="4" t="s">
        <v>2514</v>
      </c>
      <c r="D1069" s="4" t="s">
        <v>45</v>
      </c>
      <c r="E1069" s="4"/>
      <c r="F1069" s="14"/>
      <c r="G1069" s="14"/>
      <c r="H1069" s="14"/>
      <c r="I1069" s="5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4"/>
      <c r="CC1069" s="4"/>
      <c r="CD1069" s="4"/>
      <c r="CE1069" s="4"/>
      <c r="CF1069" s="4"/>
      <c r="CG1069" s="4"/>
      <c r="CH1069" s="4"/>
    </row>
    <row r="1070" spans="1:86" x14ac:dyDescent="0.25">
      <c r="A1070" s="12">
        <f t="shared" si="22"/>
        <v>1067</v>
      </c>
      <c r="B1070" s="4" t="s">
        <v>2515</v>
      </c>
      <c r="C1070" s="4" t="s">
        <v>2516</v>
      </c>
      <c r="D1070" s="4" t="s">
        <v>84</v>
      </c>
      <c r="E1070" s="4"/>
      <c r="F1070" s="14"/>
      <c r="G1070" s="14"/>
      <c r="H1070" s="14"/>
      <c r="I1070" s="5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4"/>
      <c r="CC1070" s="4"/>
      <c r="CD1070" s="4"/>
      <c r="CE1070" s="4"/>
      <c r="CF1070" s="4"/>
      <c r="CG1070" s="4"/>
      <c r="CH1070" s="4"/>
    </row>
    <row r="1071" spans="1:86" x14ac:dyDescent="0.25">
      <c r="A1071" s="12">
        <f t="shared" si="22"/>
        <v>1068</v>
      </c>
      <c r="B1071" s="4" t="s">
        <v>1113</v>
      </c>
      <c r="C1071" s="4" t="s">
        <v>1114</v>
      </c>
      <c r="D1071" s="4" t="s">
        <v>1131</v>
      </c>
      <c r="E1071" s="4"/>
      <c r="F1071" s="14"/>
      <c r="G1071" s="14"/>
      <c r="H1071" s="14"/>
      <c r="I1071" s="5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4"/>
      <c r="CC1071" s="4"/>
      <c r="CD1071" s="4"/>
      <c r="CE1071" s="4"/>
      <c r="CF1071" s="4"/>
      <c r="CG1071" s="4"/>
      <c r="CH1071" s="4"/>
    </row>
    <row r="1072" spans="1:86" x14ac:dyDescent="0.25">
      <c r="A1072" s="12">
        <f t="shared" si="22"/>
        <v>1069</v>
      </c>
      <c r="B1072" s="4" t="s">
        <v>2517</v>
      </c>
      <c r="C1072" s="4" t="s">
        <v>2518</v>
      </c>
      <c r="D1072" s="4" t="s">
        <v>45</v>
      </c>
      <c r="E1072" s="4"/>
      <c r="F1072" s="14"/>
      <c r="G1072" s="14"/>
      <c r="H1072" s="14"/>
      <c r="I1072" s="5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4"/>
      <c r="CC1072" s="4"/>
      <c r="CD1072" s="4"/>
      <c r="CE1072" s="4"/>
      <c r="CF1072" s="4"/>
      <c r="CG1072" s="4"/>
      <c r="CH1072" s="4"/>
    </row>
    <row r="1073" spans="1:86" x14ac:dyDescent="0.25">
      <c r="A1073" s="12">
        <f t="shared" si="22"/>
        <v>1070</v>
      </c>
      <c r="B1073" s="4" t="s">
        <v>2519</v>
      </c>
      <c r="C1073" s="4" t="s">
        <v>2520</v>
      </c>
      <c r="D1073" s="4" t="s">
        <v>45</v>
      </c>
      <c r="E1073" s="4"/>
      <c r="F1073" s="14"/>
      <c r="G1073" s="14"/>
      <c r="H1073" s="14"/>
      <c r="I1073" s="5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4"/>
      <c r="CC1073" s="4"/>
      <c r="CD1073" s="4"/>
      <c r="CE1073" s="4"/>
      <c r="CF1073" s="4"/>
      <c r="CG1073" s="4"/>
      <c r="CH1073" s="4"/>
    </row>
    <row r="1074" spans="1:86" x14ac:dyDescent="0.25">
      <c r="A1074" s="12">
        <f t="shared" si="22"/>
        <v>1071</v>
      </c>
      <c r="B1074" s="4" t="s">
        <v>2521</v>
      </c>
      <c r="C1074" s="4" t="s">
        <v>2522</v>
      </c>
      <c r="D1074" s="4" t="s">
        <v>45</v>
      </c>
      <c r="E1074" s="4"/>
      <c r="F1074" s="14"/>
      <c r="G1074" s="14"/>
      <c r="H1074" s="14"/>
      <c r="I1074" s="5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4"/>
      <c r="CC1074" s="4"/>
      <c r="CD1074" s="4"/>
      <c r="CE1074" s="4"/>
      <c r="CF1074" s="4"/>
      <c r="CG1074" s="4"/>
      <c r="CH1074" s="4"/>
    </row>
    <row r="1075" spans="1:86" x14ac:dyDescent="0.25">
      <c r="A1075" s="12">
        <f t="shared" si="22"/>
        <v>1072</v>
      </c>
      <c r="B1075" s="4" t="s">
        <v>2523</v>
      </c>
      <c r="C1075" s="4" t="s">
        <v>2524</v>
      </c>
      <c r="D1075" s="4" t="s">
        <v>45</v>
      </c>
      <c r="E1075" s="4"/>
      <c r="F1075" s="14"/>
      <c r="G1075" s="14"/>
      <c r="H1075" s="14"/>
      <c r="I1075" s="5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4"/>
      <c r="CC1075" s="4"/>
      <c r="CD1075" s="4"/>
      <c r="CE1075" s="4"/>
      <c r="CF1075" s="4"/>
      <c r="CG1075" s="4"/>
      <c r="CH1075" s="4"/>
    </row>
    <row r="1076" spans="1:86" x14ac:dyDescent="0.25">
      <c r="A1076" s="12">
        <f t="shared" si="22"/>
        <v>1073</v>
      </c>
      <c r="B1076" s="4" t="s">
        <v>2525</v>
      </c>
      <c r="C1076" s="4" t="s">
        <v>2526</v>
      </c>
      <c r="D1076" s="4" t="s">
        <v>45</v>
      </c>
      <c r="E1076" s="4"/>
      <c r="F1076" s="14"/>
      <c r="G1076" s="14"/>
      <c r="H1076" s="14"/>
      <c r="I1076" s="5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4"/>
      <c r="CC1076" s="4"/>
      <c r="CD1076" s="4"/>
      <c r="CE1076" s="4"/>
      <c r="CF1076" s="4"/>
      <c r="CG1076" s="4"/>
      <c r="CH1076" s="4"/>
    </row>
    <row r="1077" spans="1:86" x14ac:dyDescent="0.25">
      <c r="A1077" s="12">
        <f t="shared" si="22"/>
        <v>1074</v>
      </c>
      <c r="B1077" s="4" t="s">
        <v>2527</v>
      </c>
      <c r="C1077" s="4" t="s">
        <v>2528</v>
      </c>
      <c r="D1077" s="4" t="s">
        <v>45</v>
      </c>
      <c r="E1077" s="4"/>
      <c r="F1077" s="14"/>
      <c r="G1077" s="14"/>
      <c r="H1077" s="14"/>
      <c r="I1077" s="5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4"/>
      <c r="CC1077" s="4"/>
      <c r="CD1077" s="4"/>
      <c r="CE1077" s="4"/>
      <c r="CF1077" s="4"/>
      <c r="CG1077" s="4"/>
      <c r="CH1077" s="4"/>
    </row>
    <row r="1078" spans="1:86" x14ac:dyDescent="0.25">
      <c r="A1078" s="12">
        <f t="shared" si="22"/>
        <v>1075</v>
      </c>
      <c r="B1078" s="4" t="s">
        <v>2529</v>
      </c>
      <c r="C1078" s="4" t="s">
        <v>2530</v>
      </c>
      <c r="D1078" s="4" t="s">
        <v>45</v>
      </c>
      <c r="E1078" s="4"/>
      <c r="F1078" s="14"/>
      <c r="G1078" s="14"/>
      <c r="H1078" s="14"/>
      <c r="I1078" s="5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4"/>
      <c r="CC1078" s="4"/>
      <c r="CD1078" s="4"/>
      <c r="CE1078" s="4"/>
      <c r="CF1078" s="4"/>
      <c r="CG1078" s="4"/>
      <c r="CH1078" s="4"/>
    </row>
    <row r="1079" spans="1:86" x14ac:dyDescent="0.25">
      <c r="A1079" s="12">
        <f t="shared" si="22"/>
        <v>1076</v>
      </c>
      <c r="B1079" s="4" t="s">
        <v>2531</v>
      </c>
      <c r="C1079" s="4" t="s">
        <v>2532</v>
      </c>
      <c r="D1079" s="4" t="s">
        <v>45</v>
      </c>
      <c r="E1079" s="4"/>
      <c r="F1079" s="14"/>
      <c r="G1079" s="14"/>
      <c r="H1079" s="14"/>
      <c r="I1079" s="5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4"/>
      <c r="CC1079" s="4"/>
      <c r="CD1079" s="4"/>
      <c r="CE1079" s="4"/>
      <c r="CF1079" s="4"/>
      <c r="CG1079" s="4"/>
      <c r="CH1079" s="4"/>
    </row>
    <row r="1080" spans="1:86" x14ac:dyDescent="0.25">
      <c r="A1080" s="12">
        <f t="shared" si="22"/>
        <v>1077</v>
      </c>
      <c r="B1080" s="4" t="s">
        <v>2533</v>
      </c>
      <c r="C1080" s="4" t="s">
        <v>2534</v>
      </c>
      <c r="D1080" s="4" t="s">
        <v>45</v>
      </c>
      <c r="E1080" s="4"/>
      <c r="F1080" s="14"/>
      <c r="G1080" s="14"/>
      <c r="H1080" s="14"/>
      <c r="I1080" s="5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</row>
    <row r="1081" spans="1:86" x14ac:dyDescent="0.25">
      <c r="A1081" s="12">
        <f t="shared" si="22"/>
        <v>1078</v>
      </c>
      <c r="B1081" s="4" t="s">
        <v>2535</v>
      </c>
      <c r="C1081" s="4" t="s">
        <v>2536</v>
      </c>
      <c r="D1081" s="4" t="s">
        <v>1125</v>
      </c>
      <c r="E1081" s="4"/>
      <c r="F1081" s="14"/>
      <c r="G1081" s="14"/>
      <c r="H1081" s="14"/>
      <c r="I1081" s="5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</row>
    <row r="1082" spans="1:86" x14ac:dyDescent="0.25">
      <c r="A1082" s="12">
        <f t="shared" si="22"/>
        <v>1079</v>
      </c>
      <c r="B1082" s="4" t="s">
        <v>2537</v>
      </c>
      <c r="C1082" s="4" t="s">
        <v>2538</v>
      </c>
      <c r="D1082" s="4" t="s">
        <v>1125</v>
      </c>
      <c r="E1082" s="4"/>
      <c r="F1082" s="14"/>
      <c r="G1082" s="14"/>
      <c r="H1082" s="14"/>
      <c r="I1082" s="5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4"/>
      <c r="CC1082" s="4"/>
      <c r="CD1082" s="4"/>
      <c r="CE1082" s="4"/>
      <c r="CF1082" s="4"/>
      <c r="CG1082" s="4"/>
      <c r="CH1082" s="4"/>
    </row>
    <row r="1083" spans="1:86" x14ac:dyDescent="0.25">
      <c r="A1083" s="12">
        <f t="shared" si="22"/>
        <v>1080</v>
      </c>
      <c r="B1083" s="4" t="s">
        <v>2539</v>
      </c>
      <c r="C1083" s="4" t="s">
        <v>2540</v>
      </c>
      <c r="D1083" s="4" t="s">
        <v>45</v>
      </c>
      <c r="E1083" s="4"/>
      <c r="F1083" s="14"/>
      <c r="G1083" s="14"/>
      <c r="H1083" s="14"/>
      <c r="I1083" s="5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4"/>
      <c r="CC1083" s="4"/>
      <c r="CD1083" s="4"/>
      <c r="CE1083" s="4"/>
      <c r="CF1083" s="4"/>
      <c r="CG1083" s="4"/>
      <c r="CH1083" s="4"/>
    </row>
    <row r="1084" spans="1:86" x14ac:dyDescent="0.25">
      <c r="A1084" s="12">
        <f t="shared" si="22"/>
        <v>1081</v>
      </c>
      <c r="B1084" s="4" t="s">
        <v>2541</v>
      </c>
      <c r="C1084" s="4" t="s">
        <v>2542</v>
      </c>
      <c r="D1084" s="4" t="s">
        <v>1131</v>
      </c>
      <c r="E1084" s="4"/>
      <c r="F1084" s="14"/>
      <c r="G1084" s="14"/>
      <c r="H1084" s="14"/>
      <c r="I1084" s="5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4"/>
      <c r="CC1084" s="4"/>
      <c r="CD1084" s="4"/>
      <c r="CE1084" s="4"/>
      <c r="CF1084" s="4"/>
      <c r="CG1084" s="4"/>
      <c r="CH1084" s="4"/>
    </row>
    <row r="1085" spans="1:86" x14ac:dyDescent="0.25">
      <c r="A1085" s="12">
        <f t="shared" si="22"/>
        <v>1082</v>
      </c>
      <c r="B1085" s="4" t="s">
        <v>2543</v>
      </c>
      <c r="C1085" s="4" t="s">
        <v>2544</v>
      </c>
      <c r="D1085" s="4" t="s">
        <v>45</v>
      </c>
      <c r="E1085" s="4"/>
      <c r="F1085" s="14"/>
      <c r="G1085" s="14"/>
      <c r="H1085" s="14"/>
      <c r="I1085" s="5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4"/>
      <c r="CC1085" s="4"/>
      <c r="CD1085" s="4"/>
      <c r="CE1085" s="4"/>
      <c r="CF1085" s="4"/>
      <c r="CG1085" s="4"/>
      <c r="CH1085" s="4"/>
    </row>
    <row r="1086" spans="1:86" x14ac:dyDescent="0.25">
      <c r="A1086" s="12">
        <f t="shared" si="22"/>
        <v>1083</v>
      </c>
      <c r="B1086" s="4" t="s">
        <v>2545</v>
      </c>
      <c r="C1086" s="4" t="s">
        <v>2546</v>
      </c>
      <c r="D1086" s="4" t="s">
        <v>45</v>
      </c>
      <c r="E1086" s="4"/>
      <c r="F1086" s="14"/>
      <c r="G1086" s="14"/>
      <c r="H1086" s="14"/>
      <c r="I1086" s="5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4"/>
      <c r="CC1086" s="4"/>
      <c r="CD1086" s="4"/>
      <c r="CE1086" s="4"/>
      <c r="CF1086" s="4"/>
      <c r="CG1086" s="4"/>
      <c r="CH1086" s="4"/>
    </row>
    <row r="1087" spans="1:86" x14ac:dyDescent="0.25">
      <c r="A1087" s="12">
        <f t="shared" si="22"/>
        <v>1084</v>
      </c>
      <c r="B1087" s="4" t="s">
        <v>2547</v>
      </c>
      <c r="C1087" s="4" t="s">
        <v>2548</v>
      </c>
      <c r="D1087" s="4" t="s">
        <v>45</v>
      </c>
      <c r="E1087" s="4"/>
      <c r="F1087" s="14"/>
      <c r="G1087" s="14"/>
      <c r="H1087" s="14"/>
      <c r="I1087" s="5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4"/>
      <c r="CC1087" s="4"/>
      <c r="CD1087" s="4"/>
      <c r="CE1087" s="4"/>
      <c r="CF1087" s="4"/>
      <c r="CG1087" s="4"/>
      <c r="CH1087" s="4"/>
    </row>
    <row r="1088" spans="1:86" x14ac:dyDescent="0.25">
      <c r="A1088" s="12">
        <f t="shared" si="22"/>
        <v>1085</v>
      </c>
      <c r="B1088" s="4" t="s">
        <v>2549</v>
      </c>
      <c r="C1088" s="4" t="s">
        <v>2550</v>
      </c>
      <c r="D1088" s="4" t="s">
        <v>768</v>
      </c>
      <c r="E1088" s="4"/>
      <c r="F1088" s="14"/>
      <c r="G1088" s="14"/>
      <c r="H1088" s="14"/>
      <c r="I1088" s="5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4"/>
      <c r="CC1088" s="4"/>
      <c r="CD1088" s="4"/>
      <c r="CE1088" s="4"/>
      <c r="CF1088" s="4"/>
      <c r="CG1088" s="4"/>
      <c r="CH1088" s="4"/>
    </row>
    <row r="1089" spans="1:86" x14ac:dyDescent="0.25">
      <c r="A1089" s="12">
        <f t="shared" si="22"/>
        <v>1086</v>
      </c>
      <c r="B1089" s="4" t="s">
        <v>2551</v>
      </c>
      <c r="C1089" s="4" t="s">
        <v>2552</v>
      </c>
      <c r="D1089" s="4" t="s">
        <v>45</v>
      </c>
      <c r="E1089" s="4"/>
      <c r="F1089" s="14"/>
      <c r="G1089" s="14"/>
      <c r="H1089" s="14"/>
      <c r="I1089" s="5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4"/>
      <c r="CC1089" s="4"/>
      <c r="CD1089" s="4"/>
      <c r="CE1089" s="4"/>
      <c r="CF1089" s="4"/>
      <c r="CG1089" s="4"/>
      <c r="CH1089" s="4"/>
    </row>
    <row r="1090" spans="1:86" x14ac:dyDescent="0.25">
      <c r="A1090" s="12">
        <f t="shared" si="22"/>
        <v>1087</v>
      </c>
      <c r="B1090" s="4" t="s">
        <v>2553</v>
      </c>
      <c r="C1090" s="4" t="s">
        <v>2554</v>
      </c>
      <c r="D1090" s="4" t="s">
        <v>84</v>
      </c>
      <c r="E1090" s="4"/>
      <c r="F1090" s="14"/>
      <c r="G1090" s="14"/>
      <c r="H1090" s="14"/>
      <c r="I1090" s="5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4"/>
      <c r="CC1090" s="4"/>
      <c r="CD1090" s="4"/>
      <c r="CE1090" s="4"/>
      <c r="CF1090" s="4"/>
      <c r="CG1090" s="4"/>
      <c r="CH1090" s="4"/>
    </row>
    <row r="1091" spans="1:86" x14ac:dyDescent="0.25">
      <c r="A1091" s="12">
        <f t="shared" si="22"/>
        <v>1088</v>
      </c>
      <c r="B1091" s="4" t="s">
        <v>2555</v>
      </c>
      <c r="C1091" s="4" t="s">
        <v>2556</v>
      </c>
      <c r="D1091" s="4" t="s">
        <v>45</v>
      </c>
      <c r="E1091" s="4"/>
      <c r="F1091" s="14"/>
      <c r="G1091" s="14"/>
      <c r="H1091" s="14"/>
      <c r="I1091" s="5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4"/>
      <c r="CC1091" s="4"/>
      <c r="CD1091" s="4"/>
      <c r="CE1091" s="4"/>
      <c r="CF1091" s="4"/>
      <c r="CG1091" s="4"/>
      <c r="CH1091" s="4"/>
    </row>
    <row r="1092" spans="1:86" x14ac:dyDescent="0.25">
      <c r="A1092" s="12">
        <f t="shared" si="22"/>
        <v>1089</v>
      </c>
      <c r="B1092" s="4" t="s">
        <v>2557</v>
      </c>
      <c r="C1092" s="4" t="s">
        <v>2558</v>
      </c>
      <c r="D1092" s="4" t="s">
        <v>45</v>
      </c>
      <c r="E1092" s="4"/>
      <c r="F1092" s="14"/>
      <c r="G1092" s="14"/>
      <c r="H1092" s="14"/>
      <c r="I1092" s="5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4"/>
      <c r="CC1092" s="4"/>
      <c r="CD1092" s="4"/>
      <c r="CE1092" s="4"/>
      <c r="CF1092" s="4"/>
      <c r="CG1092" s="4"/>
      <c r="CH1092" s="4"/>
    </row>
    <row r="1093" spans="1:86" x14ac:dyDescent="0.25">
      <c r="A1093" s="12">
        <f t="shared" si="22"/>
        <v>1090</v>
      </c>
      <c r="B1093" s="4" t="s">
        <v>2559</v>
      </c>
      <c r="C1093" s="4" t="s">
        <v>2560</v>
      </c>
      <c r="D1093" s="4" t="s">
        <v>45</v>
      </c>
      <c r="E1093" s="4"/>
      <c r="F1093" s="14"/>
      <c r="G1093" s="14"/>
      <c r="H1093" s="14"/>
      <c r="I1093" s="5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4"/>
      <c r="CC1093" s="4"/>
      <c r="CD1093" s="4"/>
      <c r="CE1093" s="4"/>
      <c r="CF1093" s="4"/>
      <c r="CG1093" s="4"/>
      <c r="CH1093" s="4"/>
    </row>
    <row r="1094" spans="1:86" x14ac:dyDescent="0.25">
      <c r="A1094" s="12">
        <f t="shared" si="22"/>
        <v>1091</v>
      </c>
      <c r="B1094" s="4" t="s">
        <v>2561</v>
      </c>
      <c r="C1094" s="4" t="s">
        <v>2562</v>
      </c>
      <c r="D1094" s="4" t="s">
        <v>45</v>
      </c>
      <c r="E1094" s="4"/>
      <c r="F1094" s="14"/>
      <c r="G1094" s="14"/>
      <c r="H1094" s="14"/>
      <c r="I1094" s="5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4"/>
      <c r="CC1094" s="4"/>
      <c r="CD1094" s="4"/>
      <c r="CE1094" s="4"/>
      <c r="CF1094" s="4"/>
      <c r="CG1094" s="4"/>
      <c r="CH1094" s="4"/>
    </row>
    <row r="1095" spans="1:86" x14ac:dyDescent="0.25">
      <c r="A1095" s="12">
        <f t="shared" si="22"/>
        <v>1092</v>
      </c>
      <c r="B1095" s="4" t="s">
        <v>2563</v>
      </c>
      <c r="C1095" s="4" t="s">
        <v>2564</v>
      </c>
      <c r="D1095" s="4" t="s">
        <v>161</v>
      </c>
      <c r="E1095" s="4"/>
      <c r="F1095" s="14"/>
      <c r="G1095" s="14"/>
      <c r="H1095" s="14"/>
      <c r="I1095" s="5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4"/>
      <c r="CC1095" s="4"/>
      <c r="CD1095" s="4"/>
      <c r="CE1095" s="4"/>
      <c r="CF1095" s="4"/>
      <c r="CG1095" s="4"/>
      <c r="CH1095" s="4"/>
    </row>
    <row r="1096" spans="1:86" x14ac:dyDescent="0.25">
      <c r="A1096" s="12">
        <f t="shared" si="22"/>
        <v>1093</v>
      </c>
      <c r="B1096" s="4" t="s">
        <v>2565</v>
      </c>
      <c r="C1096" s="4" t="s">
        <v>2566</v>
      </c>
      <c r="D1096" s="4" t="s">
        <v>45</v>
      </c>
      <c r="E1096" s="4"/>
      <c r="F1096" s="14"/>
      <c r="G1096" s="14"/>
      <c r="H1096" s="14"/>
      <c r="I1096" s="5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4"/>
      <c r="BW1096" s="4"/>
      <c r="BX1096" s="4"/>
      <c r="BY1096" s="4"/>
      <c r="BZ1096" s="4"/>
      <c r="CA1096" s="4"/>
      <c r="CB1096" s="4"/>
      <c r="CC1096" s="4"/>
      <c r="CD1096" s="4"/>
      <c r="CE1096" s="4"/>
      <c r="CF1096" s="4"/>
      <c r="CG1096" s="4"/>
      <c r="CH1096" s="4"/>
    </row>
    <row r="1097" spans="1:86" x14ac:dyDescent="0.25">
      <c r="A1097" s="12">
        <f t="shared" si="22"/>
        <v>1094</v>
      </c>
      <c r="B1097" s="4" t="s">
        <v>2567</v>
      </c>
      <c r="C1097" s="4" t="s">
        <v>2568</v>
      </c>
      <c r="D1097" s="4" t="s">
        <v>46</v>
      </c>
      <c r="E1097" s="4"/>
      <c r="F1097" s="14"/>
      <c r="G1097" s="14"/>
      <c r="H1097" s="14"/>
      <c r="I1097" s="5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4"/>
      <c r="BW1097" s="4"/>
      <c r="BX1097" s="4"/>
      <c r="BY1097" s="4"/>
      <c r="BZ1097" s="4"/>
      <c r="CA1097" s="4"/>
      <c r="CB1097" s="4"/>
      <c r="CC1097" s="4"/>
      <c r="CD1097" s="4"/>
      <c r="CE1097" s="4"/>
      <c r="CF1097" s="4"/>
      <c r="CG1097" s="4"/>
      <c r="CH1097" s="4"/>
    </row>
    <row r="1098" spans="1:86" x14ac:dyDescent="0.25">
      <c r="A1098" s="12">
        <f t="shared" ref="A1098:A1107" si="23">+A1097+1</f>
        <v>1095</v>
      </c>
      <c r="B1098" s="4" t="s">
        <v>1121</v>
      </c>
      <c r="C1098" s="4" t="s">
        <v>1122</v>
      </c>
      <c r="D1098" s="4" t="s">
        <v>45</v>
      </c>
      <c r="E1098" s="4"/>
      <c r="F1098" s="14"/>
      <c r="G1098" s="14"/>
      <c r="H1098" s="14"/>
      <c r="I1098" s="5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4"/>
      <c r="BW1098" s="4"/>
      <c r="BX1098" s="4"/>
      <c r="BY1098" s="4"/>
      <c r="BZ1098" s="4"/>
      <c r="CA1098" s="4"/>
      <c r="CB1098" s="4"/>
      <c r="CC1098" s="4"/>
      <c r="CD1098" s="4"/>
      <c r="CE1098" s="4"/>
      <c r="CF1098" s="4"/>
      <c r="CG1098" s="4"/>
      <c r="CH1098" s="4"/>
    </row>
    <row r="1099" spans="1:86" x14ac:dyDescent="0.25">
      <c r="A1099" s="12">
        <f t="shared" si="23"/>
        <v>1096</v>
      </c>
      <c r="B1099" s="13" t="s">
        <v>2593</v>
      </c>
      <c r="C1099" s="4" t="s">
        <v>2594</v>
      </c>
      <c r="D1099" s="4" t="s">
        <v>45</v>
      </c>
      <c r="E1099" s="4">
        <f>+[82]Main!$I$2</f>
        <v>141.35</v>
      </c>
      <c r="F1099" s="14">
        <f>+[82]Main!$I$4</f>
        <v>69059.707043799994</v>
      </c>
      <c r="G1099" s="14">
        <f>+[82]Main!$I$6-[82]Main!$I$5</f>
        <v>9898.6180000000004</v>
      </c>
      <c r="H1099" s="14">
        <f>+F1099+G1099</f>
        <v>78958.325043799996</v>
      </c>
      <c r="I1099" s="35" t="s">
        <v>2583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4"/>
      <c r="BW1099" s="4"/>
      <c r="BX1099" s="4"/>
      <c r="BY1099" s="4"/>
      <c r="BZ1099" s="4"/>
      <c r="CA1099" s="4"/>
      <c r="CB1099" s="4"/>
      <c r="CC1099" s="4"/>
      <c r="CD1099" s="4"/>
      <c r="CE1099" s="4"/>
      <c r="CF1099" s="4"/>
      <c r="CG1099" s="4"/>
      <c r="CH1099" s="4"/>
    </row>
    <row r="1100" spans="1:86" x14ac:dyDescent="0.25">
      <c r="A1100" s="12">
        <f t="shared" si="23"/>
        <v>1097</v>
      </c>
      <c r="B1100" s="13" t="s">
        <v>2705</v>
      </c>
      <c r="C1100" s="4" t="s">
        <v>2706</v>
      </c>
      <c r="D1100" s="4" t="s">
        <v>45</v>
      </c>
      <c r="E1100" s="4"/>
      <c r="F1100" s="14"/>
      <c r="G1100" s="14"/>
      <c r="H1100" s="14"/>
      <c r="I1100" s="5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4"/>
      <c r="BW1100" s="4"/>
      <c r="BX1100" s="4"/>
      <c r="BY1100" s="4"/>
      <c r="BZ1100" s="4"/>
      <c r="CA1100" s="4"/>
      <c r="CB1100" s="4"/>
      <c r="CC1100" s="4"/>
      <c r="CD1100" s="4"/>
      <c r="CE1100" s="4"/>
      <c r="CF1100" s="4"/>
      <c r="CG1100" s="4"/>
      <c r="CH1100" s="4"/>
    </row>
    <row r="1101" spans="1:86" x14ac:dyDescent="0.25">
      <c r="A1101" s="12">
        <f t="shared" si="23"/>
        <v>1098</v>
      </c>
      <c r="B1101" s="13" t="s">
        <v>1503</v>
      </c>
      <c r="C1101" s="4" t="s">
        <v>1504</v>
      </c>
      <c r="D1101" s="4" t="s">
        <v>45</v>
      </c>
      <c r="E1101" s="4">
        <f>+[83]Main!$I$2</f>
        <v>11.3</v>
      </c>
      <c r="F1101" s="14">
        <f>+[83]Main!$I$4</f>
        <v>1849.81</v>
      </c>
      <c r="G1101" s="14">
        <f>+[83]Main!$I$6-[83]Main!$I$5</f>
        <v>-775.1</v>
      </c>
      <c r="H1101" s="14">
        <f>+F1101+G1101</f>
        <v>1074.71</v>
      </c>
      <c r="I1101" s="34" t="s">
        <v>2583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4"/>
      <c r="BW1101" s="4"/>
      <c r="BX1101" s="4"/>
      <c r="BY1101" s="4"/>
      <c r="BZ1101" s="4"/>
      <c r="CA1101" s="4"/>
      <c r="CB1101" s="4"/>
      <c r="CC1101" s="4"/>
      <c r="CD1101" s="4"/>
      <c r="CE1101" s="4"/>
      <c r="CF1101" s="4"/>
      <c r="CG1101" s="4"/>
      <c r="CH1101" s="4"/>
    </row>
    <row r="1102" spans="1:86" x14ac:dyDescent="0.25">
      <c r="A1102" s="12">
        <f t="shared" si="23"/>
        <v>1099</v>
      </c>
      <c r="B1102" s="13" t="s">
        <v>3149</v>
      </c>
      <c r="C1102" s="39" t="s">
        <v>3148</v>
      </c>
      <c r="D1102" s="39" t="s">
        <v>768</v>
      </c>
      <c r="E1102" s="4">
        <f>+[84]Main!$I$2</f>
        <v>209</v>
      </c>
      <c r="F1102" s="14">
        <f>+[84]Main!$I$5*FX!C3</f>
        <v>11115.748496252399</v>
      </c>
      <c r="G1102" s="14">
        <f>+([84]Main!$I$7-[84]Main!$I$6)*FX!C3</f>
        <v>-1206.6192600000004</v>
      </c>
      <c r="H1102" s="14">
        <f>+F1102+G1102</f>
        <v>9909.1292362524</v>
      </c>
      <c r="I1102" s="40" t="s">
        <v>2708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4"/>
      <c r="BW1102" s="4"/>
      <c r="BX1102" s="4"/>
      <c r="BY1102" s="4"/>
      <c r="BZ1102" s="4"/>
      <c r="CA1102" s="4"/>
      <c r="CB1102" s="4"/>
      <c r="CC1102" s="4"/>
      <c r="CD1102" s="4"/>
      <c r="CE1102" s="4"/>
      <c r="CF1102" s="4"/>
      <c r="CG1102" s="4"/>
      <c r="CH1102" s="4"/>
    </row>
    <row r="1103" spans="1:86" x14ac:dyDescent="0.25">
      <c r="A1103" s="12">
        <f t="shared" si="23"/>
        <v>1100</v>
      </c>
      <c r="B1103" s="13" t="s">
        <v>810</v>
      </c>
      <c r="C1103" s="46" t="s">
        <v>3151</v>
      </c>
      <c r="D1103" s="46" t="s">
        <v>45</v>
      </c>
      <c r="E1103" s="4">
        <f>+[85]Main!$L$2</f>
        <v>204.45</v>
      </c>
      <c r="F1103" s="14">
        <f>+[85]Main!$L$4</f>
        <v>46314.58332315</v>
      </c>
      <c r="G1103" s="14">
        <f>+[85]Main!$L$6-[85]Main!$L$5</f>
        <v>-1716.0160000000001</v>
      </c>
      <c r="H1103" s="14">
        <f>+F1103+G1103</f>
        <v>44598.567323149997</v>
      </c>
      <c r="I1103" s="69" t="s">
        <v>3147</v>
      </c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4"/>
      <c r="BW1103" s="4"/>
      <c r="BX1103" s="4"/>
      <c r="BY1103" s="4"/>
      <c r="BZ1103" s="4"/>
      <c r="CA1103" s="4"/>
      <c r="CB1103" s="4"/>
      <c r="CC1103" s="4"/>
      <c r="CD1103" s="4"/>
      <c r="CE1103" s="4"/>
      <c r="CF1103" s="4"/>
      <c r="CG1103" s="4"/>
      <c r="CH1103" s="4"/>
    </row>
    <row r="1104" spans="1:86" x14ac:dyDescent="0.25">
      <c r="A1104" s="12">
        <f t="shared" si="23"/>
        <v>1101</v>
      </c>
      <c r="B1104" s="13" t="s">
        <v>3557</v>
      </c>
      <c r="C1104" s="68" t="s">
        <v>3560</v>
      </c>
      <c r="D1104" s="68" t="s">
        <v>3561</v>
      </c>
      <c r="E1104" s="4">
        <f>+[86]Main!$J$2</f>
        <v>35.5</v>
      </c>
      <c r="F1104" s="14">
        <f>+[86]Main!$J$4</f>
        <v>22549.600000000002</v>
      </c>
      <c r="G1104" s="14">
        <f>+[86]Main!$J$6-[86]Main!$J$5</f>
        <v>2040.9379999999996</v>
      </c>
      <c r="H1104" s="14">
        <f>+F1104+G1104</f>
        <v>24590.538</v>
      </c>
      <c r="I1104" s="69" t="s">
        <v>3147</v>
      </c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4"/>
      <c r="BW1104" s="4"/>
      <c r="BX1104" s="4"/>
      <c r="BY1104" s="4"/>
      <c r="BZ1104" s="4"/>
      <c r="CA1104" s="4"/>
      <c r="CB1104" s="4"/>
      <c r="CC1104" s="4"/>
      <c r="CD1104" s="4"/>
      <c r="CE1104" s="4"/>
      <c r="CF1104" s="4"/>
      <c r="CG1104" s="4"/>
      <c r="CH1104" s="4"/>
    </row>
    <row r="1105" spans="1:86" x14ac:dyDescent="0.25">
      <c r="A1105" s="12">
        <f t="shared" si="23"/>
        <v>1102</v>
      </c>
      <c r="B1105" s="68" t="s">
        <v>3559</v>
      </c>
      <c r="C1105" s="68" t="s">
        <v>3562</v>
      </c>
      <c r="D1105" s="68" t="s">
        <v>45</v>
      </c>
      <c r="E1105" s="4"/>
      <c r="F1105" s="14"/>
      <c r="G1105" s="14"/>
      <c r="H1105" s="14"/>
      <c r="I1105" s="5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4"/>
      <c r="BW1105" s="4"/>
      <c r="BX1105" s="4"/>
      <c r="BY1105" s="4"/>
      <c r="BZ1105" s="4"/>
      <c r="CA1105" s="4"/>
      <c r="CB1105" s="4"/>
      <c r="CC1105" s="4"/>
      <c r="CD1105" s="4"/>
      <c r="CE1105" s="4"/>
      <c r="CF1105" s="4"/>
      <c r="CG1105" s="4"/>
      <c r="CH1105" s="4"/>
    </row>
    <row r="1106" spans="1:86" x14ac:dyDescent="0.25">
      <c r="A1106" s="12">
        <f t="shared" si="23"/>
        <v>1103</v>
      </c>
      <c r="B1106" s="4"/>
      <c r="C1106" s="4"/>
      <c r="D1106" s="4"/>
      <c r="E1106" s="4"/>
      <c r="F1106" s="14"/>
      <c r="G1106" s="14"/>
      <c r="H1106" s="14"/>
      <c r="I1106" s="5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4"/>
      <c r="BW1106" s="4"/>
      <c r="BX1106" s="4"/>
      <c r="BY1106" s="4"/>
      <c r="BZ1106" s="4"/>
      <c r="CA1106" s="4"/>
      <c r="CB1106" s="4"/>
      <c r="CC1106" s="4"/>
      <c r="CD1106" s="4"/>
      <c r="CE1106" s="4"/>
      <c r="CF1106" s="4"/>
      <c r="CG1106" s="4"/>
      <c r="CH1106" s="4"/>
    </row>
    <row r="1107" spans="1:86" x14ac:dyDescent="0.25">
      <c r="A1107" s="12">
        <f t="shared" si="23"/>
        <v>1104</v>
      </c>
      <c r="B1107" s="4"/>
      <c r="C1107" s="4"/>
      <c r="D1107" s="4"/>
      <c r="E1107" s="4"/>
      <c r="F1107" s="14"/>
      <c r="G1107" s="14"/>
      <c r="H1107" s="14"/>
      <c r="I1107" s="5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4"/>
      <c r="BW1107" s="4"/>
      <c r="BX1107" s="4"/>
      <c r="BY1107" s="4"/>
      <c r="BZ1107" s="4"/>
      <c r="CA1107" s="4"/>
      <c r="CB1107" s="4"/>
      <c r="CC1107" s="4"/>
      <c r="CD1107" s="4"/>
      <c r="CE1107" s="4"/>
      <c r="CF1107" s="4"/>
      <c r="CG1107" s="4"/>
      <c r="CH1107" s="4"/>
    </row>
    <row r="1108" spans="1:86" x14ac:dyDescent="0.25">
      <c r="A1108" s="4"/>
      <c r="B1108" s="4"/>
      <c r="C1108" s="4"/>
      <c r="D1108" s="4"/>
      <c r="E1108" s="4"/>
      <c r="F1108" s="14"/>
      <c r="G1108" s="14"/>
      <c r="H1108" s="14"/>
      <c r="I1108" s="5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4"/>
      <c r="BW1108" s="4"/>
      <c r="BX1108" s="4"/>
      <c r="BY1108" s="4"/>
      <c r="BZ1108" s="4"/>
      <c r="CA1108" s="4"/>
      <c r="CB1108" s="4"/>
      <c r="CC1108" s="4"/>
      <c r="CD1108" s="4"/>
      <c r="CE1108" s="4"/>
      <c r="CF1108" s="4"/>
      <c r="CG1108" s="4"/>
      <c r="CH1108" s="4"/>
    </row>
    <row r="1109" spans="1:86" x14ac:dyDescent="0.25">
      <c r="A1109" s="4"/>
      <c r="B1109" s="4"/>
      <c r="C1109" s="4"/>
      <c r="D1109" s="4"/>
      <c r="E1109" s="4"/>
      <c r="F1109" s="14"/>
      <c r="G1109" s="14"/>
      <c r="H1109" s="14"/>
      <c r="I1109" s="5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4"/>
      <c r="BW1109" s="4"/>
      <c r="BX1109" s="4"/>
      <c r="BY1109" s="4"/>
      <c r="BZ1109" s="4"/>
      <c r="CA1109" s="4"/>
      <c r="CB1109" s="4"/>
      <c r="CC1109" s="4"/>
      <c r="CD1109" s="4"/>
      <c r="CE1109" s="4"/>
      <c r="CF1109" s="4"/>
      <c r="CG1109" s="4"/>
      <c r="CH1109" s="4"/>
    </row>
    <row r="1110" spans="1:86" x14ac:dyDescent="0.25">
      <c r="A1110" s="4"/>
      <c r="B1110" s="4"/>
      <c r="C1110" s="4"/>
      <c r="D1110" s="4"/>
      <c r="E1110" s="4"/>
      <c r="F1110" s="14"/>
      <c r="G1110" s="14"/>
      <c r="H1110" s="14"/>
      <c r="I1110" s="5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4"/>
      <c r="BW1110" s="4"/>
      <c r="BX1110" s="4"/>
      <c r="BY1110" s="4"/>
      <c r="BZ1110" s="4"/>
      <c r="CA1110" s="4"/>
      <c r="CB1110" s="4"/>
      <c r="CC1110" s="4"/>
      <c r="CD1110" s="4"/>
      <c r="CE1110" s="4"/>
      <c r="CF1110" s="4"/>
      <c r="CG1110" s="4"/>
      <c r="CH1110" s="4"/>
    </row>
    <row r="1111" spans="1:86" x14ac:dyDescent="0.25">
      <c r="A1111" s="4"/>
      <c r="B1111" s="4"/>
      <c r="C1111" s="4"/>
      <c r="D1111" s="4"/>
      <c r="E1111" s="4"/>
      <c r="F1111" s="14"/>
      <c r="G1111" s="14"/>
      <c r="H1111" s="14"/>
      <c r="I1111" s="5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4"/>
      <c r="BW1111" s="4"/>
      <c r="BX1111" s="4"/>
      <c r="BY1111" s="4"/>
      <c r="BZ1111" s="4"/>
      <c r="CA1111" s="4"/>
      <c r="CB1111" s="4"/>
      <c r="CC1111" s="4"/>
      <c r="CD1111" s="4"/>
      <c r="CE1111" s="4"/>
      <c r="CF1111" s="4"/>
      <c r="CG1111" s="4"/>
      <c r="CH1111" s="4"/>
    </row>
    <row r="1112" spans="1:86" x14ac:dyDescent="0.25">
      <c r="A1112" s="4"/>
      <c r="B1112" s="4"/>
      <c r="C1112" s="4"/>
      <c r="D1112" s="4"/>
      <c r="E1112" s="4"/>
      <c r="F1112" s="14"/>
      <c r="G1112" s="14"/>
      <c r="H1112" s="14"/>
      <c r="I1112" s="5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4"/>
      <c r="BW1112" s="4"/>
      <c r="BX1112" s="4"/>
      <c r="BY1112" s="4"/>
      <c r="BZ1112" s="4"/>
      <c r="CA1112" s="4"/>
      <c r="CB1112" s="4"/>
      <c r="CC1112" s="4"/>
      <c r="CD1112" s="4"/>
      <c r="CE1112" s="4"/>
      <c r="CF1112" s="4"/>
      <c r="CG1112" s="4"/>
      <c r="CH1112" s="4"/>
    </row>
    <row r="1113" spans="1:86" x14ac:dyDescent="0.25">
      <c r="A1113" s="4"/>
      <c r="B1113" s="4"/>
      <c r="C1113" s="4"/>
      <c r="D1113" s="4"/>
      <c r="E1113" s="4"/>
      <c r="F1113" s="14"/>
      <c r="G1113" s="14"/>
      <c r="H1113" s="14"/>
      <c r="I1113" s="5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4"/>
      <c r="BW1113" s="4"/>
      <c r="BX1113" s="4"/>
      <c r="BY1113" s="4"/>
      <c r="BZ1113" s="4"/>
      <c r="CA1113" s="4"/>
      <c r="CB1113" s="4"/>
      <c r="CC1113" s="4"/>
      <c r="CD1113" s="4"/>
      <c r="CE1113" s="4"/>
      <c r="CF1113" s="4"/>
      <c r="CG1113" s="4"/>
      <c r="CH1113" s="4"/>
    </row>
    <row r="1114" spans="1:86" x14ac:dyDescent="0.25">
      <c r="A1114" s="4"/>
      <c r="B1114" s="4"/>
      <c r="C1114" s="4"/>
      <c r="D1114" s="4"/>
      <c r="E1114" s="4"/>
      <c r="F1114" s="14"/>
      <c r="G1114" s="14"/>
      <c r="H1114" s="14"/>
      <c r="I1114" s="5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4"/>
      <c r="BW1114" s="4"/>
      <c r="BX1114" s="4"/>
      <c r="BY1114" s="4"/>
      <c r="BZ1114" s="4"/>
      <c r="CA1114" s="4"/>
      <c r="CB1114" s="4"/>
      <c r="CC1114" s="4"/>
      <c r="CD1114" s="4"/>
      <c r="CE1114" s="4"/>
      <c r="CF1114" s="4"/>
      <c r="CG1114" s="4"/>
      <c r="CH1114" s="4"/>
    </row>
    <row r="1115" spans="1:86" x14ac:dyDescent="0.25">
      <c r="A1115" s="4"/>
      <c r="B1115" s="4"/>
      <c r="C1115" s="4"/>
      <c r="D1115" s="4"/>
      <c r="E1115" s="4"/>
      <c r="F1115" s="14"/>
      <c r="G1115" s="14"/>
      <c r="H1115" s="14"/>
      <c r="I1115" s="5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4"/>
      <c r="BW1115" s="4"/>
      <c r="BX1115" s="4"/>
      <c r="BY1115" s="4"/>
      <c r="BZ1115" s="4"/>
      <c r="CA1115" s="4"/>
      <c r="CB1115" s="4"/>
      <c r="CC1115" s="4"/>
      <c r="CD1115" s="4"/>
      <c r="CE1115" s="4"/>
      <c r="CF1115" s="4"/>
      <c r="CG1115" s="4"/>
      <c r="CH1115" s="4"/>
    </row>
    <row r="1116" spans="1:86" x14ac:dyDescent="0.25">
      <c r="A1116" s="4"/>
      <c r="B1116" s="4"/>
      <c r="C1116" s="4"/>
      <c r="D1116" s="4"/>
      <c r="E1116" s="4"/>
      <c r="F1116" s="14"/>
      <c r="G1116" s="14"/>
      <c r="H1116" s="14"/>
      <c r="I1116" s="5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4"/>
      <c r="BW1116" s="4"/>
      <c r="BX1116" s="4"/>
      <c r="BY1116" s="4"/>
      <c r="BZ1116" s="4"/>
      <c r="CA1116" s="4"/>
      <c r="CB1116" s="4"/>
      <c r="CC1116" s="4"/>
      <c r="CD1116" s="4"/>
      <c r="CE1116" s="4"/>
      <c r="CF1116" s="4"/>
      <c r="CG1116" s="4"/>
      <c r="CH1116" s="4"/>
    </row>
    <row r="1117" spans="1:86" x14ac:dyDescent="0.25">
      <c r="A1117" s="4"/>
      <c r="B1117" s="4"/>
      <c r="C1117" s="4"/>
      <c r="D1117" s="4"/>
      <c r="E1117" s="4"/>
      <c r="F1117" s="14"/>
      <c r="G1117" s="14"/>
      <c r="H1117" s="14"/>
      <c r="I1117" s="5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4"/>
      <c r="BW1117" s="4"/>
      <c r="BX1117" s="4"/>
      <c r="BY1117" s="4"/>
      <c r="BZ1117" s="4"/>
      <c r="CA1117" s="4"/>
      <c r="CB1117" s="4"/>
      <c r="CC1117" s="4"/>
      <c r="CD1117" s="4"/>
      <c r="CE1117" s="4"/>
      <c r="CF1117" s="4"/>
      <c r="CG1117" s="4"/>
      <c r="CH1117" s="4"/>
    </row>
    <row r="1118" spans="1:86" x14ac:dyDescent="0.25">
      <c r="A1118" s="4"/>
      <c r="B1118" s="4"/>
      <c r="C1118" s="4"/>
      <c r="D1118" s="4"/>
      <c r="E1118" s="4"/>
      <c r="F1118" s="14"/>
      <c r="G1118" s="14"/>
      <c r="H1118" s="14"/>
      <c r="I1118" s="5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4"/>
      <c r="BW1118" s="4"/>
      <c r="BX1118" s="4"/>
      <c r="BY1118" s="4"/>
      <c r="BZ1118" s="4"/>
      <c r="CA1118" s="4"/>
      <c r="CB1118" s="4"/>
      <c r="CC1118" s="4"/>
      <c r="CD1118" s="4"/>
      <c r="CE1118" s="4"/>
      <c r="CF1118" s="4"/>
      <c r="CG1118" s="4"/>
      <c r="CH1118" s="4"/>
    </row>
    <row r="1119" spans="1:86" x14ac:dyDescent="0.25">
      <c r="A1119" s="4"/>
      <c r="B1119" s="4"/>
      <c r="C1119" s="4"/>
      <c r="D1119" s="4"/>
      <c r="E1119" s="4"/>
      <c r="F1119" s="14"/>
      <c r="G1119" s="14"/>
      <c r="H1119" s="14"/>
      <c r="I1119" s="5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4"/>
      <c r="BW1119" s="4"/>
      <c r="BX1119" s="4"/>
      <c r="BY1119" s="4"/>
      <c r="BZ1119" s="4"/>
      <c r="CA1119" s="4"/>
      <c r="CB1119" s="4"/>
      <c r="CC1119" s="4"/>
      <c r="CD1119" s="4"/>
      <c r="CE1119" s="4"/>
      <c r="CF1119" s="4"/>
      <c r="CG1119" s="4"/>
      <c r="CH1119" s="4"/>
    </row>
    <row r="1120" spans="1:86" x14ac:dyDescent="0.25">
      <c r="A1120" s="4"/>
      <c r="B1120" s="4"/>
      <c r="C1120" s="4"/>
      <c r="D1120" s="4"/>
      <c r="E1120" s="4"/>
      <c r="F1120" s="14"/>
      <c r="G1120" s="14"/>
      <c r="H1120" s="14"/>
      <c r="I1120" s="5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4"/>
      <c r="BW1120" s="4"/>
      <c r="BX1120" s="4"/>
      <c r="BY1120" s="4"/>
      <c r="BZ1120" s="4"/>
      <c r="CA1120" s="4"/>
      <c r="CB1120" s="4"/>
      <c r="CC1120" s="4"/>
      <c r="CD1120" s="4"/>
      <c r="CE1120" s="4"/>
      <c r="CF1120" s="4"/>
      <c r="CG1120" s="4"/>
      <c r="CH1120" s="4"/>
    </row>
    <row r="1121" spans="1:86" x14ac:dyDescent="0.25">
      <c r="A1121" s="4"/>
      <c r="B1121" s="4"/>
      <c r="C1121" s="4"/>
      <c r="D1121" s="4"/>
      <c r="E1121" s="4"/>
      <c r="F1121" s="14"/>
      <c r="G1121" s="14"/>
      <c r="H1121" s="14"/>
      <c r="I1121" s="5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4"/>
      <c r="BW1121" s="4"/>
      <c r="BX1121" s="4"/>
      <c r="BY1121" s="4"/>
      <c r="BZ1121" s="4"/>
      <c r="CA1121" s="4"/>
      <c r="CB1121" s="4"/>
      <c r="CC1121" s="4"/>
      <c r="CD1121" s="4"/>
      <c r="CE1121" s="4"/>
      <c r="CF1121" s="4"/>
      <c r="CG1121" s="4"/>
      <c r="CH1121" s="4"/>
    </row>
    <row r="1122" spans="1:86" x14ac:dyDescent="0.25">
      <c r="A1122" s="4"/>
      <c r="B1122" s="4"/>
      <c r="C1122" s="4"/>
      <c r="D1122" s="4"/>
      <c r="E1122" s="4"/>
      <c r="F1122" s="14"/>
      <c r="G1122" s="14"/>
      <c r="H1122" s="14"/>
      <c r="I1122" s="5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4"/>
      <c r="BW1122" s="4"/>
      <c r="BX1122" s="4"/>
      <c r="BY1122" s="4"/>
      <c r="BZ1122" s="4"/>
      <c r="CA1122" s="4"/>
      <c r="CB1122" s="4"/>
      <c r="CC1122" s="4"/>
      <c r="CD1122" s="4"/>
      <c r="CE1122" s="4"/>
      <c r="CF1122" s="4"/>
      <c r="CG1122" s="4"/>
      <c r="CH1122" s="4"/>
    </row>
    <row r="1123" spans="1:86" x14ac:dyDescent="0.25">
      <c r="A1123" s="4"/>
      <c r="B1123" s="4"/>
      <c r="C1123" s="4"/>
      <c r="D1123" s="4"/>
      <c r="E1123" s="4"/>
      <c r="F1123" s="14"/>
      <c r="G1123" s="14"/>
      <c r="H1123" s="14"/>
      <c r="I1123" s="5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4"/>
      <c r="BW1123" s="4"/>
      <c r="BX1123" s="4"/>
      <c r="BY1123" s="4"/>
      <c r="BZ1123" s="4"/>
      <c r="CA1123" s="4"/>
      <c r="CB1123" s="4"/>
      <c r="CC1123" s="4"/>
      <c r="CD1123" s="4"/>
      <c r="CE1123" s="4"/>
      <c r="CF1123" s="4"/>
      <c r="CG1123" s="4"/>
      <c r="CH1123" s="4"/>
    </row>
    <row r="1124" spans="1:86" x14ac:dyDescent="0.25">
      <c r="A1124" s="4"/>
      <c r="B1124" s="4"/>
      <c r="C1124" s="4"/>
      <c r="D1124" s="4"/>
      <c r="E1124" s="4"/>
      <c r="F1124" s="14"/>
      <c r="G1124" s="14"/>
      <c r="H1124" s="14"/>
      <c r="I1124" s="5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4"/>
      <c r="BW1124" s="4"/>
      <c r="BX1124" s="4"/>
      <c r="BY1124" s="4"/>
      <c r="BZ1124" s="4"/>
      <c r="CA1124" s="4"/>
      <c r="CB1124" s="4"/>
      <c r="CC1124" s="4"/>
      <c r="CD1124" s="4"/>
      <c r="CE1124" s="4"/>
      <c r="CF1124" s="4"/>
      <c r="CG1124" s="4"/>
      <c r="CH1124" s="4"/>
    </row>
    <row r="1125" spans="1:86" x14ac:dyDescent="0.25">
      <c r="A1125" s="4"/>
      <c r="B1125" s="4"/>
      <c r="C1125" s="4"/>
      <c r="D1125" s="4"/>
      <c r="E1125" s="4"/>
      <c r="F1125" s="14"/>
      <c r="G1125" s="14"/>
      <c r="H1125" s="14"/>
      <c r="I1125" s="5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4"/>
      <c r="BW1125" s="4"/>
      <c r="BX1125" s="4"/>
      <c r="BY1125" s="4"/>
      <c r="BZ1125" s="4"/>
      <c r="CA1125" s="4"/>
      <c r="CB1125" s="4"/>
      <c r="CC1125" s="4"/>
      <c r="CD1125" s="4"/>
      <c r="CE1125" s="4"/>
      <c r="CF1125" s="4"/>
      <c r="CG1125" s="4"/>
      <c r="CH1125" s="4"/>
    </row>
    <row r="1126" spans="1:86" x14ac:dyDescent="0.25">
      <c r="A1126" s="4"/>
      <c r="B1126" s="4"/>
      <c r="C1126" s="4"/>
      <c r="D1126" s="4"/>
      <c r="E1126" s="4"/>
      <c r="F1126" s="14"/>
      <c r="G1126" s="14"/>
      <c r="H1126" s="14"/>
      <c r="I1126" s="5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4"/>
      <c r="BW1126" s="4"/>
      <c r="BX1126" s="4"/>
      <c r="BY1126" s="4"/>
      <c r="BZ1126" s="4"/>
      <c r="CA1126" s="4"/>
      <c r="CB1126" s="4"/>
      <c r="CC1126" s="4"/>
      <c r="CD1126" s="4"/>
      <c r="CE1126" s="4"/>
      <c r="CF1126" s="4"/>
      <c r="CG1126" s="4"/>
      <c r="CH1126" s="4"/>
    </row>
    <row r="1127" spans="1:86" x14ac:dyDescent="0.25">
      <c r="A1127" s="4"/>
      <c r="B1127" s="4"/>
      <c r="C1127" s="4"/>
      <c r="D1127" s="4"/>
      <c r="E1127" s="4"/>
      <c r="F1127" s="14"/>
      <c r="G1127" s="14"/>
      <c r="H1127" s="14"/>
      <c r="I1127" s="5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4"/>
      <c r="BW1127" s="4"/>
      <c r="BX1127" s="4"/>
      <c r="BY1127" s="4"/>
      <c r="BZ1127" s="4"/>
      <c r="CA1127" s="4"/>
      <c r="CB1127" s="4"/>
      <c r="CC1127" s="4"/>
      <c r="CD1127" s="4"/>
      <c r="CE1127" s="4"/>
      <c r="CF1127" s="4"/>
      <c r="CG1127" s="4"/>
      <c r="CH1127" s="4"/>
    </row>
    <row r="1128" spans="1:86" x14ac:dyDescent="0.25">
      <c r="A1128" s="4"/>
      <c r="B1128" s="4"/>
      <c r="C1128" s="4"/>
      <c r="D1128" s="4"/>
      <c r="E1128" s="4"/>
      <c r="F1128" s="14"/>
      <c r="G1128" s="14"/>
      <c r="H1128" s="14"/>
      <c r="I1128" s="5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4"/>
      <c r="BW1128" s="4"/>
      <c r="BX1128" s="4"/>
      <c r="BY1128" s="4"/>
      <c r="BZ1128" s="4"/>
      <c r="CA1128" s="4"/>
      <c r="CB1128" s="4"/>
      <c r="CC1128" s="4"/>
      <c r="CD1128" s="4"/>
      <c r="CE1128" s="4"/>
      <c r="CF1128" s="4"/>
      <c r="CG1128" s="4"/>
      <c r="CH1128" s="4"/>
    </row>
    <row r="1129" spans="1:86" x14ac:dyDescent="0.25">
      <c r="A1129" s="4"/>
      <c r="B1129" s="4"/>
      <c r="C1129" s="4"/>
      <c r="D1129" s="4"/>
      <c r="E1129" s="4"/>
      <c r="F1129" s="14"/>
      <c r="G1129" s="14"/>
      <c r="H1129" s="14"/>
      <c r="I1129" s="5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4"/>
      <c r="BW1129" s="4"/>
      <c r="BX1129" s="4"/>
      <c r="BY1129" s="4"/>
      <c r="BZ1129" s="4"/>
      <c r="CA1129" s="4"/>
      <c r="CB1129" s="4"/>
      <c r="CC1129" s="4"/>
      <c r="CD1129" s="4"/>
      <c r="CE1129" s="4"/>
      <c r="CF1129" s="4"/>
      <c r="CG1129" s="4"/>
      <c r="CH1129" s="4"/>
    </row>
    <row r="1130" spans="1:86" x14ac:dyDescent="0.25">
      <c r="A1130" s="4"/>
      <c r="B1130" s="4"/>
      <c r="C1130" s="4"/>
      <c r="D1130" s="4"/>
      <c r="E1130" s="4"/>
      <c r="F1130" s="14"/>
      <c r="G1130" s="14"/>
      <c r="H1130" s="14"/>
      <c r="I1130" s="5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4"/>
      <c r="BW1130" s="4"/>
      <c r="BX1130" s="4"/>
      <c r="BY1130" s="4"/>
      <c r="BZ1130" s="4"/>
      <c r="CA1130" s="4"/>
      <c r="CB1130" s="4"/>
      <c r="CC1130" s="4"/>
      <c r="CD1130" s="4"/>
      <c r="CE1130" s="4"/>
      <c r="CF1130" s="4"/>
      <c r="CG1130" s="4"/>
      <c r="CH1130" s="4"/>
    </row>
    <row r="1131" spans="1:86" x14ac:dyDescent="0.25">
      <c r="A1131" s="4"/>
      <c r="B1131" s="4"/>
      <c r="C1131" s="4"/>
      <c r="D1131" s="4"/>
      <c r="E1131" s="4"/>
      <c r="F1131" s="14"/>
      <c r="G1131" s="14"/>
      <c r="H1131" s="14"/>
      <c r="I1131" s="5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4"/>
      <c r="BW1131" s="4"/>
      <c r="BX1131" s="4"/>
      <c r="BY1131" s="4"/>
      <c r="BZ1131" s="4"/>
      <c r="CA1131" s="4"/>
      <c r="CB1131" s="4"/>
      <c r="CC1131" s="4"/>
      <c r="CD1131" s="4"/>
      <c r="CE1131" s="4"/>
      <c r="CF1131" s="4"/>
      <c r="CG1131" s="4"/>
      <c r="CH1131" s="4"/>
    </row>
    <row r="1132" spans="1:86" x14ac:dyDescent="0.25">
      <c r="A1132" s="4"/>
      <c r="B1132" s="4"/>
      <c r="C1132" s="4"/>
      <c r="D1132" s="4"/>
      <c r="E1132" s="4"/>
      <c r="F1132" s="14"/>
      <c r="G1132" s="14"/>
      <c r="H1132" s="14"/>
      <c r="I1132" s="5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4"/>
      <c r="BW1132" s="4"/>
      <c r="BX1132" s="4"/>
      <c r="BY1132" s="4"/>
      <c r="BZ1132" s="4"/>
      <c r="CA1132" s="4"/>
      <c r="CB1132" s="4"/>
      <c r="CC1132" s="4"/>
      <c r="CD1132" s="4"/>
      <c r="CE1132" s="4"/>
      <c r="CF1132" s="4"/>
      <c r="CG1132" s="4"/>
      <c r="CH1132" s="4"/>
    </row>
    <row r="1133" spans="1:86" x14ac:dyDescent="0.25">
      <c r="A1133" s="4"/>
      <c r="B1133" s="4"/>
      <c r="C1133" s="4"/>
      <c r="D1133" s="4"/>
      <c r="E1133" s="4"/>
      <c r="F1133" s="14"/>
      <c r="G1133" s="14"/>
      <c r="H1133" s="14"/>
      <c r="I1133" s="5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4"/>
      <c r="BW1133" s="4"/>
      <c r="BX1133" s="4"/>
      <c r="BY1133" s="4"/>
      <c r="BZ1133" s="4"/>
      <c r="CA1133" s="4"/>
      <c r="CB1133" s="4"/>
      <c r="CC1133" s="4"/>
      <c r="CD1133" s="4"/>
      <c r="CE1133" s="4"/>
      <c r="CF1133" s="4"/>
      <c r="CG1133" s="4"/>
      <c r="CH1133" s="4"/>
    </row>
    <row r="1134" spans="1:86" x14ac:dyDescent="0.25">
      <c r="A1134" s="4"/>
      <c r="B1134" s="4"/>
      <c r="C1134" s="4"/>
      <c r="D1134" s="4"/>
      <c r="E1134" s="4"/>
      <c r="F1134" s="14"/>
      <c r="G1134" s="14"/>
      <c r="H1134" s="14"/>
      <c r="I1134" s="5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4"/>
      <c r="BW1134" s="4"/>
      <c r="BX1134" s="4"/>
      <c r="BY1134" s="4"/>
      <c r="BZ1134" s="4"/>
      <c r="CA1134" s="4"/>
      <c r="CB1134" s="4"/>
      <c r="CC1134" s="4"/>
      <c r="CD1134" s="4"/>
      <c r="CE1134" s="4"/>
      <c r="CF1134" s="4"/>
      <c r="CG1134" s="4"/>
      <c r="CH1134" s="4"/>
    </row>
    <row r="1135" spans="1:86" x14ac:dyDescent="0.25">
      <c r="A1135" s="4"/>
      <c r="B1135" s="4"/>
      <c r="C1135" s="4"/>
      <c r="D1135" s="4"/>
      <c r="E1135" s="4"/>
      <c r="F1135" s="14"/>
      <c r="G1135" s="14"/>
      <c r="H1135" s="14"/>
      <c r="I1135" s="5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4"/>
      <c r="BW1135" s="4"/>
      <c r="BX1135" s="4"/>
      <c r="BY1135" s="4"/>
      <c r="BZ1135" s="4"/>
      <c r="CA1135" s="4"/>
      <c r="CB1135" s="4"/>
      <c r="CC1135" s="4"/>
      <c r="CD1135" s="4"/>
      <c r="CE1135" s="4"/>
      <c r="CF1135" s="4"/>
      <c r="CG1135" s="4"/>
      <c r="CH1135" s="4"/>
    </row>
    <row r="1136" spans="1:86" x14ac:dyDescent="0.25">
      <c r="A1136" s="4"/>
      <c r="B1136" s="4"/>
      <c r="C1136" s="4"/>
      <c r="D1136" s="4"/>
      <c r="E1136" s="4"/>
      <c r="F1136" s="14"/>
      <c r="G1136" s="14"/>
      <c r="H1136" s="14"/>
      <c r="I1136" s="5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4"/>
      <c r="BW1136" s="4"/>
      <c r="BX1136" s="4"/>
      <c r="BY1136" s="4"/>
      <c r="BZ1136" s="4"/>
      <c r="CA1136" s="4"/>
      <c r="CB1136" s="4"/>
      <c r="CC1136" s="4"/>
      <c r="CD1136" s="4"/>
      <c r="CE1136" s="4"/>
      <c r="CF1136" s="4"/>
      <c r="CG1136" s="4"/>
      <c r="CH1136" s="4"/>
    </row>
    <row r="1137" spans="1:86" x14ac:dyDescent="0.25">
      <c r="A1137" s="4"/>
      <c r="B1137" s="4"/>
      <c r="C1137" s="4"/>
      <c r="D1137" s="4"/>
      <c r="E1137" s="4"/>
      <c r="F1137" s="14"/>
      <c r="G1137" s="14"/>
      <c r="H1137" s="14"/>
      <c r="I1137" s="5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4"/>
      <c r="BW1137" s="4"/>
      <c r="BX1137" s="4"/>
      <c r="BY1137" s="4"/>
      <c r="BZ1137" s="4"/>
      <c r="CA1137" s="4"/>
      <c r="CB1137" s="4"/>
      <c r="CC1137" s="4"/>
      <c r="CD1137" s="4"/>
      <c r="CE1137" s="4"/>
      <c r="CF1137" s="4"/>
      <c r="CG1137" s="4"/>
      <c r="CH1137" s="4"/>
    </row>
    <row r="1138" spans="1:86" x14ac:dyDescent="0.25">
      <c r="A1138" s="4"/>
      <c r="B1138" s="4"/>
      <c r="C1138" s="4"/>
      <c r="D1138" s="4"/>
      <c r="E1138" s="4"/>
      <c r="F1138" s="14"/>
      <c r="G1138" s="14"/>
      <c r="H1138" s="14"/>
      <c r="I1138" s="5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4"/>
      <c r="BW1138" s="4"/>
      <c r="BX1138" s="4"/>
      <c r="BY1138" s="4"/>
      <c r="BZ1138" s="4"/>
      <c r="CA1138" s="4"/>
      <c r="CB1138" s="4"/>
      <c r="CC1138" s="4"/>
      <c r="CD1138" s="4"/>
      <c r="CE1138" s="4"/>
      <c r="CF1138" s="4"/>
      <c r="CG1138" s="4"/>
      <c r="CH1138" s="4"/>
    </row>
    <row r="1139" spans="1:86" x14ac:dyDescent="0.25">
      <c r="A1139" s="4"/>
      <c r="B1139" s="4"/>
      <c r="C1139" s="4"/>
      <c r="D1139" s="4"/>
      <c r="E1139" s="4"/>
      <c r="F1139" s="14"/>
      <c r="G1139" s="14"/>
      <c r="H1139" s="14"/>
      <c r="I1139" s="5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4"/>
      <c r="BW1139" s="4"/>
      <c r="BX1139" s="4"/>
      <c r="BY1139" s="4"/>
      <c r="BZ1139" s="4"/>
      <c r="CA1139" s="4"/>
      <c r="CB1139" s="4"/>
      <c r="CC1139" s="4"/>
      <c r="CD1139" s="4"/>
      <c r="CE1139" s="4"/>
      <c r="CF1139" s="4"/>
      <c r="CG1139" s="4"/>
      <c r="CH1139" s="4"/>
    </row>
    <row r="1140" spans="1:86" x14ac:dyDescent="0.25">
      <c r="A1140" s="4"/>
      <c r="B1140" s="4"/>
      <c r="C1140" s="4"/>
      <c r="D1140" s="4"/>
      <c r="E1140" s="4"/>
      <c r="F1140" s="14"/>
      <c r="G1140" s="14"/>
      <c r="H1140" s="14"/>
      <c r="I1140" s="5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4"/>
      <c r="BW1140" s="4"/>
      <c r="BX1140" s="4"/>
      <c r="BY1140" s="4"/>
      <c r="BZ1140" s="4"/>
      <c r="CA1140" s="4"/>
      <c r="CB1140" s="4"/>
      <c r="CC1140" s="4"/>
      <c r="CD1140" s="4"/>
      <c r="CE1140" s="4"/>
      <c r="CF1140" s="4"/>
      <c r="CG1140" s="4"/>
      <c r="CH1140" s="4"/>
    </row>
    <row r="1141" spans="1:86" x14ac:dyDescent="0.25">
      <c r="A1141" s="4"/>
      <c r="B1141" s="4"/>
      <c r="C1141" s="4"/>
      <c r="D1141" s="4"/>
      <c r="E1141" s="4"/>
      <c r="F1141" s="14"/>
      <c r="G1141" s="14"/>
      <c r="H1141" s="14"/>
      <c r="I1141" s="5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4"/>
      <c r="BW1141" s="4"/>
      <c r="BX1141" s="4"/>
      <c r="BY1141" s="4"/>
      <c r="BZ1141" s="4"/>
      <c r="CA1141" s="4"/>
      <c r="CB1141" s="4"/>
      <c r="CC1141" s="4"/>
      <c r="CD1141" s="4"/>
      <c r="CE1141" s="4"/>
      <c r="CF1141" s="4"/>
      <c r="CG1141" s="4"/>
      <c r="CH1141" s="4"/>
    </row>
    <row r="1142" spans="1:86" x14ac:dyDescent="0.25">
      <c r="A1142" s="4"/>
      <c r="B1142" s="4"/>
      <c r="C1142" s="4"/>
      <c r="D1142" s="4"/>
      <c r="E1142" s="4"/>
      <c r="F1142" s="14"/>
      <c r="G1142" s="14"/>
      <c r="H1142" s="14"/>
      <c r="I1142" s="5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4"/>
      <c r="BW1142" s="4"/>
      <c r="BX1142" s="4"/>
      <c r="BY1142" s="4"/>
      <c r="BZ1142" s="4"/>
      <c r="CA1142" s="4"/>
      <c r="CB1142" s="4"/>
      <c r="CC1142" s="4"/>
      <c r="CD1142" s="4"/>
      <c r="CE1142" s="4"/>
      <c r="CF1142" s="4"/>
      <c r="CG1142" s="4"/>
      <c r="CH1142" s="4"/>
    </row>
    <row r="1143" spans="1:86" x14ac:dyDescent="0.25">
      <c r="A1143" s="4"/>
      <c r="B1143" s="4"/>
      <c r="C1143" s="4"/>
      <c r="D1143" s="4"/>
      <c r="E1143" s="4"/>
      <c r="F1143" s="14"/>
      <c r="G1143" s="14"/>
      <c r="H1143" s="14"/>
      <c r="I1143" s="5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4"/>
      <c r="BW1143" s="4"/>
      <c r="BX1143" s="4"/>
      <c r="BY1143" s="4"/>
      <c r="BZ1143" s="4"/>
      <c r="CA1143" s="4"/>
      <c r="CB1143" s="4"/>
      <c r="CC1143" s="4"/>
      <c r="CD1143" s="4"/>
      <c r="CE1143" s="4"/>
      <c r="CF1143" s="4"/>
      <c r="CG1143" s="4"/>
      <c r="CH1143" s="4"/>
    </row>
    <row r="1144" spans="1:86" x14ac:dyDescent="0.25">
      <c r="A1144" s="4"/>
      <c r="B1144" s="4"/>
      <c r="C1144" s="4"/>
      <c r="D1144" s="4"/>
      <c r="E1144" s="4"/>
      <c r="F1144" s="14"/>
      <c r="G1144" s="14"/>
      <c r="H1144" s="14"/>
      <c r="I1144" s="5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4"/>
      <c r="BW1144" s="4"/>
      <c r="BX1144" s="4"/>
      <c r="BY1144" s="4"/>
      <c r="BZ1144" s="4"/>
      <c r="CA1144" s="4"/>
      <c r="CB1144" s="4"/>
      <c r="CC1144" s="4"/>
      <c r="CD1144" s="4"/>
      <c r="CE1144" s="4"/>
      <c r="CF1144" s="4"/>
      <c r="CG1144" s="4"/>
      <c r="CH1144" s="4"/>
    </row>
    <row r="1145" spans="1:86" x14ac:dyDescent="0.25">
      <c r="A1145" s="4"/>
      <c r="B1145" s="4"/>
      <c r="C1145" s="4"/>
      <c r="D1145" s="4"/>
      <c r="E1145" s="4"/>
      <c r="F1145" s="14"/>
      <c r="G1145" s="14"/>
      <c r="H1145" s="14"/>
      <c r="I1145" s="5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4"/>
      <c r="BW1145" s="4"/>
      <c r="BX1145" s="4"/>
      <c r="BY1145" s="4"/>
      <c r="BZ1145" s="4"/>
      <c r="CA1145" s="4"/>
      <c r="CB1145" s="4"/>
      <c r="CC1145" s="4"/>
      <c r="CD1145" s="4"/>
      <c r="CE1145" s="4"/>
      <c r="CF1145" s="4"/>
      <c r="CG1145" s="4"/>
      <c r="CH1145" s="4"/>
    </row>
    <row r="1146" spans="1:86" x14ac:dyDescent="0.25">
      <c r="A1146" s="4"/>
      <c r="B1146" s="4"/>
      <c r="C1146" s="4"/>
      <c r="D1146" s="4"/>
      <c r="E1146" s="4"/>
      <c r="F1146" s="14"/>
      <c r="G1146" s="14"/>
      <c r="H1146" s="14"/>
      <c r="I1146" s="5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4"/>
      <c r="BW1146" s="4"/>
      <c r="BX1146" s="4"/>
      <c r="BY1146" s="4"/>
      <c r="BZ1146" s="4"/>
      <c r="CA1146" s="4"/>
      <c r="CB1146" s="4"/>
      <c r="CC1146" s="4"/>
      <c r="CD1146" s="4"/>
      <c r="CE1146" s="4"/>
      <c r="CF1146" s="4"/>
      <c r="CG1146" s="4"/>
      <c r="CH1146" s="4"/>
    </row>
    <row r="1147" spans="1:86" x14ac:dyDescent="0.25">
      <c r="A1147" s="4"/>
      <c r="B1147" s="4"/>
      <c r="C1147" s="4"/>
      <c r="D1147" s="4"/>
      <c r="E1147" s="4"/>
      <c r="F1147" s="14"/>
      <c r="G1147" s="14"/>
      <c r="H1147" s="14"/>
      <c r="I1147" s="5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4"/>
      <c r="BW1147" s="4"/>
      <c r="BX1147" s="4"/>
      <c r="BY1147" s="4"/>
      <c r="BZ1147" s="4"/>
      <c r="CA1147" s="4"/>
      <c r="CB1147" s="4"/>
      <c r="CC1147" s="4"/>
      <c r="CD1147" s="4"/>
      <c r="CE1147" s="4"/>
      <c r="CF1147" s="4"/>
      <c r="CG1147" s="4"/>
      <c r="CH1147" s="4"/>
    </row>
    <row r="1148" spans="1:86" x14ac:dyDescent="0.25">
      <c r="A1148" s="4"/>
      <c r="B1148" s="4"/>
      <c r="C1148" s="4"/>
      <c r="D1148" s="4"/>
      <c r="E1148" s="4"/>
      <c r="F1148" s="14"/>
      <c r="G1148" s="14"/>
      <c r="H1148" s="14"/>
      <c r="I1148" s="5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4"/>
      <c r="BW1148" s="4"/>
      <c r="BX1148" s="4"/>
      <c r="BY1148" s="4"/>
      <c r="BZ1148" s="4"/>
      <c r="CA1148" s="4"/>
      <c r="CB1148" s="4"/>
      <c r="CC1148" s="4"/>
      <c r="CD1148" s="4"/>
      <c r="CE1148" s="4"/>
      <c r="CF1148" s="4"/>
      <c r="CG1148" s="4"/>
      <c r="CH1148" s="4"/>
    </row>
    <row r="1149" spans="1:86" x14ac:dyDescent="0.25">
      <c r="A1149" s="4"/>
      <c r="B1149" s="4"/>
      <c r="C1149" s="4"/>
      <c r="D1149" s="4"/>
      <c r="E1149" s="4"/>
      <c r="F1149" s="14"/>
      <c r="G1149" s="14"/>
      <c r="H1149" s="14"/>
      <c r="I1149" s="5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4"/>
      <c r="BW1149" s="4"/>
      <c r="BX1149" s="4"/>
      <c r="BY1149" s="4"/>
      <c r="BZ1149" s="4"/>
      <c r="CA1149" s="4"/>
      <c r="CB1149" s="4"/>
      <c r="CC1149" s="4"/>
      <c r="CD1149" s="4"/>
      <c r="CE1149" s="4"/>
      <c r="CF1149" s="4"/>
      <c r="CG1149" s="4"/>
      <c r="CH1149" s="4"/>
    </row>
    <row r="1150" spans="1:86" x14ac:dyDescent="0.25">
      <c r="A1150" s="4"/>
      <c r="B1150" s="4"/>
      <c r="C1150" s="4"/>
      <c r="D1150" s="4"/>
      <c r="E1150" s="4"/>
      <c r="F1150" s="14"/>
      <c r="G1150" s="14"/>
      <c r="H1150" s="14"/>
      <c r="I1150" s="5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4"/>
      <c r="BW1150" s="4"/>
      <c r="BX1150" s="4"/>
      <c r="BY1150" s="4"/>
      <c r="BZ1150" s="4"/>
      <c r="CA1150" s="4"/>
      <c r="CB1150" s="4"/>
      <c r="CC1150" s="4"/>
      <c r="CD1150" s="4"/>
      <c r="CE1150" s="4"/>
      <c r="CF1150" s="4"/>
      <c r="CG1150" s="4"/>
      <c r="CH1150" s="4"/>
    </row>
    <row r="1151" spans="1:86" x14ac:dyDescent="0.25">
      <c r="A1151" s="4"/>
      <c r="B1151" s="4"/>
      <c r="C1151" s="4"/>
      <c r="D1151" s="4"/>
      <c r="E1151" s="4"/>
      <c r="F1151" s="14"/>
      <c r="G1151" s="14"/>
      <c r="H1151" s="14"/>
      <c r="I1151" s="5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4"/>
      <c r="BW1151" s="4"/>
      <c r="BX1151" s="4"/>
      <c r="BY1151" s="4"/>
      <c r="BZ1151" s="4"/>
      <c r="CA1151" s="4"/>
      <c r="CB1151" s="4"/>
      <c r="CC1151" s="4"/>
      <c r="CD1151" s="4"/>
      <c r="CE1151" s="4"/>
      <c r="CF1151" s="4"/>
      <c r="CG1151" s="4"/>
      <c r="CH1151" s="4"/>
    </row>
    <row r="1152" spans="1:86" x14ac:dyDescent="0.25">
      <c r="A1152" s="4"/>
      <c r="B1152" s="4"/>
      <c r="C1152" s="4"/>
      <c r="D1152" s="4"/>
      <c r="E1152" s="4"/>
      <c r="F1152" s="14"/>
      <c r="G1152" s="14"/>
      <c r="H1152" s="14"/>
      <c r="I1152" s="5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4"/>
      <c r="BW1152" s="4"/>
      <c r="BX1152" s="4"/>
      <c r="BY1152" s="4"/>
      <c r="BZ1152" s="4"/>
      <c r="CA1152" s="4"/>
      <c r="CB1152" s="4"/>
      <c r="CC1152" s="4"/>
      <c r="CD1152" s="4"/>
      <c r="CE1152" s="4"/>
      <c r="CF1152" s="4"/>
      <c r="CG1152" s="4"/>
      <c r="CH1152" s="4"/>
    </row>
    <row r="1153" spans="1:86" x14ac:dyDescent="0.25">
      <c r="A1153" s="4"/>
      <c r="B1153" s="4"/>
      <c r="C1153" s="4"/>
      <c r="D1153" s="4"/>
      <c r="E1153" s="4"/>
      <c r="F1153" s="14"/>
      <c r="G1153" s="14"/>
      <c r="H1153" s="14"/>
      <c r="I1153" s="5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4"/>
      <c r="BW1153" s="4"/>
      <c r="BX1153" s="4"/>
      <c r="BY1153" s="4"/>
      <c r="BZ1153" s="4"/>
      <c r="CA1153" s="4"/>
      <c r="CB1153" s="4"/>
      <c r="CC1153" s="4"/>
      <c r="CD1153" s="4"/>
      <c r="CE1153" s="4"/>
      <c r="CF1153" s="4"/>
      <c r="CG1153" s="4"/>
      <c r="CH1153" s="4"/>
    </row>
    <row r="1154" spans="1:86" x14ac:dyDescent="0.25">
      <c r="A1154" s="4"/>
      <c r="B1154" s="4"/>
      <c r="C1154" s="4"/>
      <c r="D1154" s="4"/>
      <c r="E1154" s="4"/>
      <c r="F1154" s="14"/>
      <c r="G1154" s="14"/>
      <c r="H1154" s="14"/>
      <c r="I1154" s="5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4"/>
      <c r="BW1154" s="4"/>
      <c r="BX1154" s="4"/>
      <c r="BY1154" s="4"/>
      <c r="BZ1154" s="4"/>
      <c r="CA1154" s="4"/>
      <c r="CB1154" s="4"/>
      <c r="CC1154" s="4"/>
      <c r="CD1154" s="4"/>
      <c r="CE1154" s="4"/>
      <c r="CF1154" s="4"/>
      <c r="CG1154" s="4"/>
      <c r="CH1154" s="4"/>
    </row>
    <row r="1155" spans="1:86" x14ac:dyDescent="0.25">
      <c r="A1155" s="4"/>
      <c r="B1155" s="4"/>
      <c r="C1155" s="4"/>
      <c r="D1155" s="4"/>
      <c r="E1155" s="4"/>
      <c r="F1155" s="14"/>
      <c r="G1155" s="14"/>
      <c r="H1155" s="14"/>
      <c r="I1155" s="5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4"/>
      <c r="BW1155" s="4"/>
      <c r="BX1155" s="4"/>
      <c r="BY1155" s="4"/>
      <c r="BZ1155" s="4"/>
      <c r="CA1155" s="4"/>
      <c r="CB1155" s="4"/>
      <c r="CC1155" s="4"/>
      <c r="CD1155" s="4"/>
      <c r="CE1155" s="4"/>
      <c r="CF1155" s="4"/>
      <c r="CG1155" s="4"/>
      <c r="CH1155" s="4"/>
    </row>
    <row r="1156" spans="1:86" x14ac:dyDescent="0.25">
      <c r="A1156" s="4"/>
      <c r="B1156" s="4"/>
      <c r="C1156" s="4"/>
      <c r="D1156" s="4"/>
      <c r="E1156" s="4"/>
      <c r="F1156" s="14"/>
      <c r="G1156" s="14"/>
      <c r="H1156" s="14"/>
      <c r="I1156" s="5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4"/>
      <c r="BW1156" s="4"/>
      <c r="BX1156" s="4"/>
      <c r="BY1156" s="4"/>
      <c r="BZ1156" s="4"/>
      <c r="CA1156" s="4"/>
      <c r="CB1156" s="4"/>
      <c r="CC1156" s="4"/>
      <c r="CD1156" s="4"/>
      <c r="CE1156" s="4"/>
      <c r="CF1156" s="4"/>
      <c r="CG1156" s="4"/>
      <c r="CH1156" s="4"/>
    </row>
    <row r="1157" spans="1:86" x14ac:dyDescent="0.25">
      <c r="A1157" s="4"/>
      <c r="B1157" s="4"/>
      <c r="C1157" s="4"/>
      <c r="D1157" s="4"/>
      <c r="E1157" s="4"/>
      <c r="F1157" s="14"/>
      <c r="G1157" s="14"/>
      <c r="H1157" s="14"/>
      <c r="I1157" s="5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4"/>
      <c r="BW1157" s="4"/>
      <c r="BX1157" s="4"/>
      <c r="BY1157" s="4"/>
      <c r="BZ1157" s="4"/>
      <c r="CA1157" s="4"/>
      <c r="CB1157" s="4"/>
      <c r="CC1157" s="4"/>
      <c r="CD1157" s="4"/>
      <c r="CE1157" s="4"/>
      <c r="CF1157" s="4"/>
      <c r="CG1157" s="4"/>
      <c r="CH1157" s="4"/>
    </row>
    <row r="1158" spans="1:86" x14ac:dyDescent="0.25">
      <c r="A1158" s="4"/>
      <c r="B1158" s="4"/>
      <c r="C1158" s="4"/>
      <c r="D1158" s="4"/>
      <c r="E1158" s="4"/>
      <c r="F1158" s="14"/>
      <c r="G1158" s="14"/>
      <c r="H1158" s="14"/>
      <c r="I1158" s="5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4"/>
      <c r="BW1158" s="4"/>
      <c r="BX1158" s="4"/>
      <c r="BY1158" s="4"/>
      <c r="BZ1158" s="4"/>
      <c r="CA1158" s="4"/>
      <c r="CB1158" s="4"/>
      <c r="CC1158" s="4"/>
      <c r="CD1158" s="4"/>
      <c r="CE1158" s="4"/>
      <c r="CF1158" s="4"/>
      <c r="CG1158" s="4"/>
      <c r="CH1158" s="4"/>
    </row>
    <row r="1159" spans="1:86" x14ac:dyDescent="0.25">
      <c r="A1159" s="4"/>
      <c r="B1159" s="4"/>
      <c r="C1159" s="4"/>
      <c r="D1159" s="4"/>
      <c r="E1159" s="4"/>
      <c r="F1159" s="14"/>
      <c r="G1159" s="14"/>
      <c r="H1159" s="14"/>
      <c r="I1159" s="5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4"/>
      <c r="BW1159" s="4"/>
      <c r="BX1159" s="4"/>
      <c r="BY1159" s="4"/>
      <c r="BZ1159" s="4"/>
      <c r="CA1159" s="4"/>
      <c r="CB1159" s="4"/>
      <c r="CC1159" s="4"/>
      <c r="CD1159" s="4"/>
      <c r="CE1159" s="4"/>
      <c r="CF1159" s="4"/>
      <c r="CG1159" s="4"/>
      <c r="CH1159" s="4"/>
    </row>
    <row r="1160" spans="1:86" x14ac:dyDescent="0.25">
      <c r="A1160" s="4"/>
      <c r="B1160" s="4"/>
      <c r="C1160" s="4"/>
      <c r="D1160" s="4"/>
      <c r="E1160" s="4"/>
      <c r="F1160" s="14"/>
      <c r="G1160" s="14"/>
      <c r="H1160" s="14"/>
      <c r="I1160" s="5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4"/>
      <c r="BW1160" s="4"/>
      <c r="BX1160" s="4"/>
      <c r="BY1160" s="4"/>
      <c r="BZ1160" s="4"/>
      <c r="CA1160" s="4"/>
      <c r="CB1160" s="4"/>
      <c r="CC1160" s="4"/>
      <c r="CD1160" s="4"/>
      <c r="CE1160" s="4"/>
      <c r="CF1160" s="4"/>
      <c r="CG1160" s="4"/>
      <c r="CH1160" s="4"/>
    </row>
    <row r="1161" spans="1:86" x14ac:dyDescent="0.25">
      <c r="A1161" s="4"/>
      <c r="B1161" s="4"/>
      <c r="C1161" s="4"/>
      <c r="D1161" s="4"/>
      <c r="E1161" s="4"/>
      <c r="F1161" s="14"/>
      <c r="G1161" s="14"/>
      <c r="H1161" s="14"/>
      <c r="I1161" s="5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4"/>
      <c r="BW1161" s="4"/>
      <c r="BX1161" s="4"/>
      <c r="BY1161" s="4"/>
      <c r="BZ1161" s="4"/>
      <c r="CA1161" s="4"/>
      <c r="CB1161" s="4"/>
      <c r="CC1161" s="4"/>
      <c r="CD1161" s="4"/>
      <c r="CE1161" s="4"/>
      <c r="CF1161" s="4"/>
      <c r="CG1161" s="4"/>
      <c r="CH1161" s="4"/>
    </row>
    <row r="1162" spans="1:86" x14ac:dyDescent="0.25">
      <c r="A1162" s="4"/>
      <c r="B1162" s="4"/>
      <c r="C1162" s="4"/>
      <c r="D1162" s="4"/>
      <c r="E1162" s="4"/>
      <c r="F1162" s="14"/>
      <c r="G1162" s="14"/>
      <c r="H1162" s="14"/>
      <c r="I1162" s="5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4"/>
      <c r="BW1162" s="4"/>
      <c r="BX1162" s="4"/>
      <c r="BY1162" s="4"/>
      <c r="BZ1162" s="4"/>
      <c r="CA1162" s="4"/>
      <c r="CB1162" s="4"/>
      <c r="CC1162" s="4"/>
      <c r="CD1162" s="4"/>
      <c r="CE1162" s="4"/>
      <c r="CF1162" s="4"/>
      <c r="CG1162" s="4"/>
      <c r="CH1162" s="4"/>
    </row>
    <row r="1163" spans="1:86" x14ac:dyDescent="0.25">
      <c r="A1163" s="4"/>
      <c r="B1163" s="4"/>
      <c r="C1163" s="4"/>
      <c r="D1163" s="4"/>
      <c r="E1163" s="4"/>
      <c r="F1163" s="14"/>
      <c r="G1163" s="14"/>
      <c r="H1163" s="14"/>
      <c r="I1163" s="5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4"/>
      <c r="BW1163" s="4"/>
      <c r="BX1163" s="4"/>
      <c r="BY1163" s="4"/>
      <c r="BZ1163" s="4"/>
      <c r="CA1163" s="4"/>
      <c r="CB1163" s="4"/>
      <c r="CC1163" s="4"/>
      <c r="CD1163" s="4"/>
      <c r="CE1163" s="4"/>
      <c r="CF1163" s="4"/>
      <c r="CG1163" s="4"/>
      <c r="CH1163" s="4"/>
    </row>
    <row r="1164" spans="1:86" x14ac:dyDescent="0.25">
      <c r="A1164" s="4"/>
      <c r="B1164" s="4"/>
      <c r="C1164" s="4"/>
      <c r="D1164" s="4"/>
      <c r="E1164" s="4"/>
      <c r="F1164" s="14"/>
      <c r="G1164" s="14"/>
      <c r="H1164" s="14"/>
      <c r="I1164" s="5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4"/>
      <c r="BW1164" s="4"/>
      <c r="BX1164" s="4"/>
      <c r="BY1164" s="4"/>
      <c r="BZ1164" s="4"/>
      <c r="CA1164" s="4"/>
      <c r="CB1164" s="4"/>
      <c r="CC1164" s="4"/>
      <c r="CD1164" s="4"/>
      <c r="CE1164" s="4"/>
      <c r="CF1164" s="4"/>
      <c r="CG1164" s="4"/>
      <c r="CH1164" s="4"/>
    </row>
    <row r="1165" spans="1:86" x14ac:dyDescent="0.25">
      <c r="A1165" s="4"/>
      <c r="B1165" s="4"/>
      <c r="C1165" s="4"/>
      <c r="D1165" s="4"/>
      <c r="E1165" s="4"/>
      <c r="F1165" s="14"/>
      <c r="G1165" s="14"/>
      <c r="H1165" s="14"/>
      <c r="I1165" s="5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4"/>
      <c r="BW1165" s="4"/>
      <c r="BX1165" s="4"/>
      <c r="BY1165" s="4"/>
      <c r="BZ1165" s="4"/>
      <c r="CA1165" s="4"/>
      <c r="CB1165" s="4"/>
      <c r="CC1165" s="4"/>
      <c r="CD1165" s="4"/>
      <c r="CE1165" s="4"/>
      <c r="CF1165" s="4"/>
      <c r="CG1165" s="4"/>
      <c r="CH1165" s="4"/>
    </row>
    <row r="1166" spans="1:86" x14ac:dyDescent="0.25">
      <c r="A1166" s="4"/>
      <c r="B1166" s="4"/>
      <c r="C1166" s="4"/>
      <c r="D1166" s="4"/>
      <c r="E1166" s="4"/>
      <c r="F1166" s="14"/>
      <c r="G1166" s="14"/>
      <c r="H1166" s="14"/>
      <c r="I1166" s="5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4"/>
      <c r="BW1166" s="4"/>
      <c r="BX1166" s="4"/>
      <c r="BY1166" s="4"/>
      <c r="BZ1166" s="4"/>
      <c r="CA1166" s="4"/>
      <c r="CB1166" s="4"/>
      <c r="CC1166" s="4"/>
      <c r="CD1166" s="4"/>
      <c r="CE1166" s="4"/>
      <c r="CF1166" s="4"/>
      <c r="CG1166" s="4"/>
      <c r="CH1166" s="4"/>
    </row>
    <row r="1167" spans="1:86" x14ac:dyDescent="0.25">
      <c r="A1167" s="4"/>
      <c r="B1167" s="4"/>
      <c r="C1167" s="4"/>
      <c r="D1167" s="4"/>
      <c r="E1167" s="4"/>
      <c r="F1167" s="14"/>
      <c r="G1167" s="14"/>
      <c r="H1167" s="14"/>
      <c r="I1167" s="5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4"/>
      <c r="BW1167" s="4"/>
      <c r="BX1167" s="4"/>
      <c r="BY1167" s="4"/>
      <c r="BZ1167" s="4"/>
      <c r="CA1167" s="4"/>
      <c r="CB1167" s="4"/>
      <c r="CC1167" s="4"/>
      <c r="CD1167" s="4"/>
      <c r="CE1167" s="4"/>
      <c r="CF1167" s="4"/>
      <c r="CG1167" s="4"/>
      <c r="CH1167" s="4"/>
    </row>
    <row r="1168" spans="1:86" x14ac:dyDescent="0.25">
      <c r="A1168" s="4"/>
      <c r="B1168" s="4"/>
      <c r="C1168" s="4"/>
      <c r="D1168" s="4"/>
      <c r="E1168" s="4"/>
      <c r="F1168" s="14"/>
      <c r="G1168" s="14"/>
      <c r="H1168" s="14"/>
      <c r="I1168" s="5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4"/>
      <c r="BW1168" s="4"/>
      <c r="BX1168" s="4"/>
      <c r="BY1168" s="4"/>
      <c r="BZ1168" s="4"/>
      <c r="CA1168" s="4"/>
      <c r="CB1168" s="4"/>
      <c r="CC1168" s="4"/>
      <c r="CD1168" s="4"/>
      <c r="CE1168" s="4"/>
      <c r="CF1168" s="4"/>
      <c r="CG1168" s="4"/>
      <c r="CH1168" s="4"/>
    </row>
    <row r="1169" spans="1:86" x14ac:dyDescent="0.25">
      <c r="A1169" s="4"/>
      <c r="B1169" s="4"/>
      <c r="C1169" s="4"/>
      <c r="D1169" s="4"/>
      <c r="E1169" s="4"/>
      <c r="F1169" s="14"/>
      <c r="G1169" s="14"/>
      <c r="H1169" s="14"/>
      <c r="I1169" s="5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4"/>
      <c r="BW1169" s="4"/>
      <c r="BX1169" s="4"/>
      <c r="BY1169" s="4"/>
      <c r="BZ1169" s="4"/>
      <c r="CA1169" s="4"/>
      <c r="CB1169" s="4"/>
      <c r="CC1169" s="4"/>
      <c r="CD1169" s="4"/>
      <c r="CE1169" s="4"/>
      <c r="CF1169" s="4"/>
      <c r="CG1169" s="4"/>
      <c r="CH1169" s="4"/>
    </row>
    <row r="1170" spans="1:86" x14ac:dyDescent="0.25">
      <c r="A1170" s="4"/>
      <c r="B1170" s="4"/>
      <c r="C1170" s="4"/>
      <c r="D1170" s="4"/>
      <c r="E1170" s="4"/>
      <c r="F1170" s="14"/>
      <c r="G1170" s="14"/>
      <c r="H1170" s="14"/>
      <c r="I1170" s="5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4"/>
      <c r="BW1170" s="4"/>
      <c r="BX1170" s="4"/>
      <c r="BY1170" s="4"/>
      <c r="BZ1170" s="4"/>
      <c r="CA1170" s="4"/>
      <c r="CB1170" s="4"/>
      <c r="CC1170" s="4"/>
      <c r="CD1170" s="4"/>
      <c r="CE1170" s="4"/>
      <c r="CF1170" s="4"/>
      <c r="CG1170" s="4"/>
      <c r="CH1170" s="4"/>
    </row>
    <row r="1171" spans="1:86" x14ac:dyDescent="0.25">
      <c r="A1171" s="4"/>
      <c r="B1171" s="4"/>
      <c r="C1171" s="4"/>
      <c r="D1171" s="4"/>
      <c r="E1171" s="4"/>
      <c r="F1171" s="14"/>
      <c r="G1171" s="14"/>
      <c r="H1171" s="14"/>
      <c r="I1171" s="5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4"/>
      <c r="BW1171" s="4"/>
      <c r="BX1171" s="4"/>
      <c r="BY1171" s="4"/>
      <c r="BZ1171" s="4"/>
      <c r="CA1171" s="4"/>
      <c r="CB1171" s="4"/>
      <c r="CC1171" s="4"/>
      <c r="CD1171" s="4"/>
      <c r="CE1171" s="4"/>
      <c r="CF1171" s="4"/>
      <c r="CG1171" s="4"/>
      <c r="CH1171" s="4"/>
    </row>
    <row r="1172" spans="1:86" x14ac:dyDescent="0.25">
      <c r="A1172" s="4"/>
      <c r="B1172" s="4"/>
      <c r="C1172" s="4"/>
      <c r="D1172" s="4"/>
      <c r="E1172" s="4"/>
      <c r="F1172" s="14"/>
      <c r="G1172" s="14"/>
      <c r="H1172" s="14"/>
      <c r="I1172" s="5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4"/>
      <c r="BW1172" s="4"/>
      <c r="BX1172" s="4"/>
      <c r="BY1172" s="4"/>
      <c r="BZ1172" s="4"/>
      <c r="CA1172" s="4"/>
      <c r="CB1172" s="4"/>
      <c r="CC1172" s="4"/>
      <c r="CD1172" s="4"/>
      <c r="CE1172" s="4"/>
      <c r="CF1172" s="4"/>
      <c r="CG1172" s="4"/>
      <c r="CH1172" s="4"/>
    </row>
    <row r="1173" spans="1:86" x14ac:dyDescent="0.25">
      <c r="A1173" s="4"/>
      <c r="B1173" s="4"/>
      <c r="C1173" s="4"/>
      <c r="D1173" s="4"/>
      <c r="E1173" s="4"/>
      <c r="F1173" s="14"/>
      <c r="G1173" s="14"/>
      <c r="H1173" s="14"/>
      <c r="I1173" s="5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4"/>
      <c r="BW1173" s="4"/>
      <c r="BX1173" s="4"/>
      <c r="BY1173" s="4"/>
      <c r="BZ1173" s="4"/>
      <c r="CA1173" s="4"/>
      <c r="CB1173" s="4"/>
      <c r="CC1173" s="4"/>
      <c r="CD1173" s="4"/>
      <c r="CE1173" s="4"/>
      <c r="CF1173" s="4"/>
      <c r="CG1173" s="4"/>
      <c r="CH1173" s="4"/>
    </row>
    <row r="1174" spans="1:86" x14ac:dyDescent="0.25">
      <c r="A1174" s="4"/>
      <c r="B1174" s="4"/>
      <c r="C1174" s="4"/>
      <c r="D1174" s="4"/>
      <c r="E1174" s="4"/>
      <c r="F1174" s="14"/>
      <c r="G1174" s="14"/>
      <c r="H1174" s="14"/>
      <c r="I1174" s="5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4"/>
      <c r="BW1174" s="4"/>
      <c r="BX1174" s="4"/>
      <c r="BY1174" s="4"/>
      <c r="BZ1174" s="4"/>
      <c r="CA1174" s="4"/>
      <c r="CB1174" s="4"/>
      <c r="CC1174" s="4"/>
      <c r="CD1174" s="4"/>
      <c r="CE1174" s="4"/>
      <c r="CF1174" s="4"/>
      <c r="CG1174" s="4"/>
      <c r="CH1174" s="4"/>
    </row>
    <row r="1175" spans="1:86" x14ac:dyDescent="0.25">
      <c r="A1175" s="4"/>
      <c r="B1175" s="4"/>
      <c r="C1175" s="4"/>
      <c r="D1175" s="4"/>
      <c r="E1175" s="4"/>
      <c r="F1175" s="14"/>
      <c r="G1175" s="14"/>
      <c r="H1175" s="14"/>
      <c r="I1175" s="5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4"/>
      <c r="BW1175" s="4"/>
      <c r="BX1175" s="4"/>
      <c r="BY1175" s="4"/>
      <c r="BZ1175" s="4"/>
      <c r="CA1175" s="4"/>
      <c r="CB1175" s="4"/>
      <c r="CC1175" s="4"/>
      <c r="CD1175" s="4"/>
      <c r="CE1175" s="4"/>
      <c r="CF1175" s="4"/>
      <c r="CG1175" s="4"/>
      <c r="CH1175" s="4"/>
    </row>
    <row r="1176" spans="1:86" x14ac:dyDescent="0.25">
      <c r="A1176" s="4"/>
      <c r="B1176" s="4"/>
      <c r="C1176" s="4"/>
      <c r="D1176" s="4"/>
      <c r="E1176" s="4"/>
      <c r="F1176" s="14"/>
      <c r="G1176" s="14"/>
      <c r="H1176" s="14"/>
      <c r="I1176" s="5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4"/>
      <c r="BW1176" s="4"/>
      <c r="BX1176" s="4"/>
      <c r="BY1176" s="4"/>
      <c r="BZ1176" s="4"/>
      <c r="CA1176" s="4"/>
      <c r="CB1176" s="4"/>
      <c r="CC1176" s="4"/>
      <c r="CD1176" s="4"/>
      <c r="CE1176" s="4"/>
      <c r="CF1176" s="4"/>
      <c r="CG1176" s="4"/>
      <c r="CH1176" s="4"/>
    </row>
    <row r="1177" spans="1:86" x14ac:dyDescent="0.25">
      <c r="A1177" s="4"/>
      <c r="B1177" s="4"/>
      <c r="C1177" s="4"/>
      <c r="D1177" s="4"/>
      <c r="E1177" s="4"/>
      <c r="F1177" s="14"/>
      <c r="G1177" s="14"/>
      <c r="H1177" s="14"/>
      <c r="I1177" s="5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4"/>
      <c r="BW1177" s="4"/>
      <c r="BX1177" s="4"/>
      <c r="BY1177" s="4"/>
      <c r="BZ1177" s="4"/>
      <c r="CA1177" s="4"/>
      <c r="CB1177" s="4"/>
      <c r="CC1177" s="4"/>
      <c r="CD1177" s="4"/>
      <c r="CE1177" s="4"/>
      <c r="CF1177" s="4"/>
      <c r="CG1177" s="4"/>
      <c r="CH1177" s="4"/>
    </row>
    <row r="1178" spans="1:86" x14ac:dyDescent="0.25">
      <c r="A1178" s="4"/>
      <c r="B1178" s="4"/>
      <c r="C1178" s="4"/>
      <c r="D1178" s="4"/>
      <c r="E1178" s="4"/>
      <c r="F1178" s="14"/>
      <c r="G1178" s="14"/>
      <c r="H1178" s="14"/>
      <c r="I1178" s="5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4"/>
      <c r="BW1178" s="4"/>
      <c r="BX1178" s="4"/>
      <c r="BY1178" s="4"/>
      <c r="BZ1178" s="4"/>
      <c r="CA1178" s="4"/>
      <c r="CB1178" s="4"/>
      <c r="CC1178" s="4"/>
      <c r="CD1178" s="4"/>
      <c r="CE1178" s="4"/>
      <c r="CF1178" s="4"/>
      <c r="CG1178" s="4"/>
      <c r="CH1178" s="4"/>
    </row>
    <row r="1179" spans="1:86" x14ac:dyDescent="0.25">
      <c r="A1179" s="4"/>
      <c r="B1179" s="4"/>
      <c r="C1179" s="4"/>
      <c r="D1179" s="4"/>
      <c r="E1179" s="4"/>
      <c r="F1179" s="14"/>
      <c r="G1179" s="14"/>
      <c r="H1179" s="14"/>
      <c r="I1179" s="5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4"/>
      <c r="BW1179" s="4"/>
      <c r="BX1179" s="4"/>
      <c r="BY1179" s="4"/>
      <c r="BZ1179" s="4"/>
      <c r="CA1179" s="4"/>
      <c r="CB1179" s="4"/>
      <c r="CC1179" s="4"/>
      <c r="CD1179" s="4"/>
      <c r="CE1179" s="4"/>
      <c r="CF1179" s="4"/>
      <c r="CG1179" s="4"/>
      <c r="CH1179" s="4"/>
    </row>
    <row r="1180" spans="1:86" x14ac:dyDescent="0.25">
      <c r="A1180" s="4"/>
      <c r="B1180" s="4"/>
      <c r="C1180" s="4"/>
      <c r="D1180" s="4"/>
      <c r="E1180" s="4"/>
      <c r="F1180" s="14"/>
      <c r="G1180" s="14"/>
      <c r="H1180" s="14"/>
      <c r="I1180" s="5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4"/>
      <c r="BW1180" s="4"/>
      <c r="BX1180" s="4"/>
      <c r="BY1180" s="4"/>
      <c r="BZ1180" s="4"/>
      <c r="CA1180" s="4"/>
      <c r="CB1180" s="4"/>
      <c r="CC1180" s="4"/>
      <c r="CD1180" s="4"/>
      <c r="CE1180" s="4"/>
      <c r="CF1180" s="4"/>
      <c r="CG1180" s="4"/>
      <c r="CH1180" s="4"/>
    </row>
    <row r="1181" spans="1:86" x14ac:dyDescent="0.25">
      <c r="A1181" s="4"/>
      <c r="B1181" s="4"/>
      <c r="C1181" s="4"/>
      <c r="D1181" s="4"/>
      <c r="E1181" s="4"/>
      <c r="F1181" s="14"/>
      <c r="G1181" s="14"/>
      <c r="H1181" s="14"/>
      <c r="I1181" s="5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4"/>
      <c r="BW1181" s="4"/>
      <c r="BX1181" s="4"/>
      <c r="BY1181" s="4"/>
      <c r="BZ1181" s="4"/>
      <c r="CA1181" s="4"/>
      <c r="CB1181" s="4"/>
      <c r="CC1181" s="4"/>
      <c r="CD1181" s="4"/>
      <c r="CE1181" s="4"/>
      <c r="CF1181" s="4"/>
      <c r="CG1181" s="4"/>
      <c r="CH1181" s="4"/>
    </row>
    <row r="1182" spans="1:86" x14ac:dyDescent="0.25">
      <c r="A1182" s="4"/>
      <c r="B1182" s="4"/>
      <c r="C1182" s="4"/>
      <c r="D1182" s="4"/>
      <c r="E1182" s="4"/>
      <c r="F1182" s="14"/>
      <c r="G1182" s="14"/>
      <c r="H1182" s="14"/>
      <c r="I1182" s="5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4"/>
      <c r="BW1182" s="4"/>
      <c r="BX1182" s="4"/>
      <c r="BY1182" s="4"/>
      <c r="BZ1182" s="4"/>
      <c r="CA1182" s="4"/>
      <c r="CB1182" s="4"/>
      <c r="CC1182" s="4"/>
      <c r="CD1182" s="4"/>
      <c r="CE1182" s="4"/>
      <c r="CF1182" s="4"/>
      <c r="CG1182" s="4"/>
      <c r="CH1182" s="4"/>
    </row>
    <row r="1183" spans="1:86" x14ac:dyDescent="0.25">
      <c r="A1183" s="4"/>
      <c r="B1183" s="4"/>
      <c r="C1183" s="4"/>
      <c r="D1183" s="4"/>
      <c r="E1183" s="4"/>
      <c r="F1183" s="14"/>
      <c r="G1183" s="14"/>
      <c r="H1183" s="14"/>
      <c r="I1183" s="5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4"/>
      <c r="BW1183" s="4"/>
      <c r="BX1183" s="4"/>
      <c r="BY1183" s="4"/>
      <c r="BZ1183" s="4"/>
      <c r="CA1183" s="4"/>
      <c r="CB1183" s="4"/>
      <c r="CC1183" s="4"/>
      <c r="CD1183" s="4"/>
      <c r="CE1183" s="4"/>
      <c r="CF1183" s="4"/>
      <c r="CG1183" s="4"/>
      <c r="CH1183" s="4"/>
    </row>
    <row r="1184" spans="1:86" x14ac:dyDescent="0.25">
      <c r="A1184" s="4"/>
      <c r="B1184" s="4"/>
      <c r="C1184" s="4"/>
      <c r="D1184" s="4"/>
      <c r="E1184" s="4"/>
      <c r="F1184" s="14"/>
      <c r="G1184" s="14"/>
      <c r="H1184" s="14"/>
      <c r="I1184" s="5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4"/>
      <c r="BW1184" s="4"/>
      <c r="BX1184" s="4"/>
      <c r="BY1184" s="4"/>
      <c r="BZ1184" s="4"/>
      <c r="CA1184" s="4"/>
      <c r="CB1184" s="4"/>
      <c r="CC1184" s="4"/>
      <c r="CD1184" s="4"/>
      <c r="CE1184" s="4"/>
      <c r="CF1184" s="4"/>
      <c r="CG1184" s="4"/>
      <c r="CH1184" s="4"/>
    </row>
    <row r="1185" spans="1:86" x14ac:dyDescent="0.25">
      <c r="A1185" s="4"/>
      <c r="B1185" s="4"/>
      <c r="C1185" s="4"/>
      <c r="D1185" s="4"/>
      <c r="E1185" s="4"/>
      <c r="F1185" s="14"/>
      <c r="G1185" s="14"/>
      <c r="H1185" s="14"/>
      <c r="I1185" s="5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4"/>
      <c r="BW1185" s="4"/>
      <c r="BX1185" s="4"/>
      <c r="BY1185" s="4"/>
      <c r="BZ1185" s="4"/>
      <c r="CA1185" s="4"/>
      <c r="CB1185" s="4"/>
      <c r="CC1185" s="4"/>
      <c r="CD1185" s="4"/>
      <c r="CE1185" s="4"/>
      <c r="CF1185" s="4"/>
      <c r="CG1185" s="4"/>
      <c r="CH1185" s="4"/>
    </row>
    <row r="1186" spans="1:86" x14ac:dyDescent="0.25">
      <c r="A1186" s="4"/>
      <c r="B1186" s="4"/>
      <c r="C1186" s="4"/>
      <c r="D1186" s="4"/>
      <c r="E1186" s="4"/>
      <c r="F1186" s="14"/>
      <c r="G1186" s="14"/>
      <c r="H1186" s="14"/>
      <c r="I1186" s="5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4"/>
      <c r="BW1186" s="4"/>
      <c r="BX1186" s="4"/>
      <c r="BY1186" s="4"/>
      <c r="BZ1186" s="4"/>
      <c r="CA1186" s="4"/>
      <c r="CB1186" s="4"/>
      <c r="CC1186" s="4"/>
      <c r="CD1186" s="4"/>
      <c r="CE1186" s="4"/>
      <c r="CF1186" s="4"/>
      <c r="CG1186" s="4"/>
      <c r="CH1186" s="4"/>
    </row>
    <row r="1187" spans="1:86" x14ac:dyDescent="0.25">
      <c r="A1187" s="4"/>
      <c r="B1187" s="4"/>
      <c r="C1187" s="4"/>
      <c r="D1187" s="4"/>
      <c r="E1187" s="4"/>
      <c r="F1187" s="14"/>
      <c r="G1187" s="14"/>
      <c r="H1187" s="14"/>
      <c r="I1187" s="5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4"/>
      <c r="BW1187" s="4"/>
      <c r="BX1187" s="4"/>
      <c r="BY1187" s="4"/>
      <c r="BZ1187" s="4"/>
      <c r="CA1187" s="4"/>
      <c r="CB1187" s="4"/>
      <c r="CC1187" s="4"/>
      <c r="CD1187" s="4"/>
      <c r="CE1187" s="4"/>
      <c r="CF1187" s="4"/>
      <c r="CG1187" s="4"/>
      <c r="CH1187" s="4"/>
    </row>
    <row r="1188" spans="1:86" x14ac:dyDescent="0.25">
      <c r="A1188" s="4"/>
      <c r="B1188" s="4"/>
      <c r="C1188" s="4"/>
      <c r="D1188" s="4"/>
      <c r="E1188" s="4"/>
      <c r="F1188" s="14"/>
      <c r="G1188" s="14"/>
      <c r="H1188" s="14"/>
      <c r="I1188" s="5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4"/>
      <c r="BW1188" s="4"/>
      <c r="BX1188" s="4"/>
      <c r="BY1188" s="4"/>
      <c r="BZ1188" s="4"/>
      <c r="CA1188" s="4"/>
      <c r="CB1188" s="4"/>
      <c r="CC1188" s="4"/>
      <c r="CD1188" s="4"/>
      <c r="CE1188" s="4"/>
      <c r="CF1188" s="4"/>
      <c r="CG1188" s="4"/>
      <c r="CH1188" s="4"/>
    </row>
    <row r="1189" spans="1:86" x14ac:dyDescent="0.25">
      <c r="A1189" s="4"/>
      <c r="B1189" s="4"/>
      <c r="C1189" s="4"/>
      <c r="D1189" s="4"/>
      <c r="E1189" s="4"/>
      <c r="F1189" s="14"/>
      <c r="G1189" s="14"/>
      <c r="H1189" s="14"/>
      <c r="I1189" s="5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4"/>
      <c r="BW1189" s="4"/>
      <c r="BX1189" s="4"/>
      <c r="BY1189" s="4"/>
      <c r="BZ1189" s="4"/>
      <c r="CA1189" s="4"/>
      <c r="CB1189" s="4"/>
      <c r="CC1189" s="4"/>
      <c r="CD1189" s="4"/>
      <c r="CE1189" s="4"/>
      <c r="CF1189" s="4"/>
      <c r="CG1189" s="4"/>
      <c r="CH1189" s="4"/>
    </row>
    <row r="1190" spans="1:86" x14ac:dyDescent="0.25">
      <c r="A1190" s="4"/>
      <c r="B1190" s="4"/>
      <c r="C1190" s="4"/>
      <c r="D1190" s="4"/>
      <c r="E1190" s="4"/>
      <c r="F1190" s="14"/>
      <c r="G1190" s="14"/>
      <c r="H1190" s="14"/>
      <c r="I1190" s="5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4"/>
      <c r="BW1190" s="4"/>
      <c r="BX1190" s="4"/>
      <c r="BY1190" s="4"/>
      <c r="BZ1190" s="4"/>
      <c r="CA1190" s="4"/>
      <c r="CB1190" s="4"/>
      <c r="CC1190" s="4"/>
      <c r="CD1190" s="4"/>
      <c r="CE1190" s="4"/>
      <c r="CF1190" s="4"/>
      <c r="CG1190" s="4"/>
      <c r="CH1190" s="4"/>
    </row>
    <row r="1191" spans="1:86" x14ac:dyDescent="0.25">
      <c r="A1191" s="4"/>
      <c r="B1191" s="4"/>
      <c r="C1191" s="4"/>
      <c r="D1191" s="4"/>
      <c r="E1191" s="4"/>
      <c r="F1191" s="14"/>
      <c r="G1191" s="14"/>
      <c r="H1191" s="14"/>
      <c r="I1191" s="5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4"/>
      <c r="BW1191" s="4"/>
      <c r="BX1191" s="4"/>
      <c r="BY1191" s="4"/>
      <c r="BZ1191" s="4"/>
      <c r="CA1191" s="4"/>
      <c r="CB1191" s="4"/>
      <c r="CC1191" s="4"/>
      <c r="CD1191" s="4"/>
      <c r="CE1191" s="4"/>
      <c r="CF1191" s="4"/>
      <c r="CG1191" s="4"/>
      <c r="CH1191" s="4"/>
    </row>
    <row r="1192" spans="1:86" x14ac:dyDescent="0.25">
      <c r="A1192" s="4"/>
      <c r="B1192" s="4"/>
      <c r="C1192" s="4"/>
      <c r="D1192" s="4"/>
      <c r="E1192" s="4"/>
      <c r="F1192" s="14"/>
      <c r="G1192" s="14"/>
      <c r="H1192" s="14"/>
      <c r="I1192" s="5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4"/>
      <c r="BW1192" s="4"/>
      <c r="BX1192" s="4"/>
      <c r="BY1192" s="4"/>
      <c r="BZ1192" s="4"/>
      <c r="CA1192" s="4"/>
      <c r="CB1192" s="4"/>
      <c r="CC1192" s="4"/>
      <c r="CD1192" s="4"/>
      <c r="CE1192" s="4"/>
      <c r="CF1192" s="4"/>
      <c r="CG1192" s="4"/>
      <c r="CH1192" s="4"/>
    </row>
    <row r="1193" spans="1:86" x14ac:dyDescent="0.25">
      <c r="A1193" s="4"/>
      <c r="B1193" s="4"/>
      <c r="C1193" s="4"/>
      <c r="D1193" s="4"/>
      <c r="E1193" s="4"/>
      <c r="F1193" s="14"/>
      <c r="G1193" s="14"/>
      <c r="H1193" s="14"/>
      <c r="I1193" s="5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4"/>
      <c r="BW1193" s="4"/>
      <c r="BX1193" s="4"/>
      <c r="BY1193" s="4"/>
      <c r="BZ1193" s="4"/>
      <c r="CA1193" s="4"/>
      <c r="CB1193" s="4"/>
      <c r="CC1193" s="4"/>
      <c r="CD1193" s="4"/>
      <c r="CE1193" s="4"/>
      <c r="CF1193" s="4"/>
      <c r="CG1193" s="4"/>
      <c r="CH1193" s="4"/>
    </row>
    <row r="1194" spans="1:86" x14ac:dyDescent="0.25">
      <c r="A1194" s="4"/>
      <c r="B1194" s="4"/>
      <c r="C1194" s="4"/>
      <c r="D1194" s="4"/>
      <c r="E1194" s="4"/>
      <c r="F1194" s="14"/>
      <c r="G1194" s="14"/>
      <c r="H1194" s="14"/>
      <c r="I1194" s="5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4"/>
      <c r="BW1194" s="4"/>
      <c r="BX1194" s="4"/>
      <c r="BY1194" s="4"/>
      <c r="BZ1194" s="4"/>
      <c r="CA1194" s="4"/>
      <c r="CB1194" s="4"/>
      <c r="CC1194" s="4"/>
      <c r="CD1194" s="4"/>
      <c r="CE1194" s="4"/>
      <c r="CF1194" s="4"/>
      <c r="CG1194" s="4"/>
      <c r="CH1194" s="4"/>
    </row>
    <row r="1195" spans="1:86" x14ac:dyDescent="0.25">
      <c r="A1195" s="4"/>
      <c r="B1195" s="4"/>
      <c r="C1195" s="4"/>
      <c r="D1195" s="4"/>
      <c r="E1195" s="4"/>
      <c r="F1195" s="14"/>
      <c r="G1195" s="14"/>
      <c r="H1195" s="14"/>
      <c r="I1195" s="5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4"/>
      <c r="BW1195" s="4"/>
      <c r="BX1195" s="4"/>
      <c r="BY1195" s="4"/>
      <c r="BZ1195" s="4"/>
      <c r="CA1195" s="4"/>
      <c r="CB1195" s="4"/>
      <c r="CC1195" s="4"/>
      <c r="CD1195" s="4"/>
      <c r="CE1195" s="4"/>
      <c r="CF1195" s="4"/>
      <c r="CG1195" s="4"/>
      <c r="CH1195" s="4"/>
    </row>
    <row r="1196" spans="1:86" x14ac:dyDescent="0.25">
      <c r="A1196" s="4"/>
      <c r="B1196" s="4"/>
      <c r="C1196" s="4"/>
      <c r="D1196" s="4"/>
      <c r="E1196" s="4"/>
      <c r="F1196" s="14"/>
      <c r="G1196" s="14"/>
      <c r="H1196" s="14"/>
      <c r="I1196" s="5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4"/>
      <c r="BW1196" s="4"/>
      <c r="BX1196" s="4"/>
      <c r="BY1196" s="4"/>
      <c r="BZ1196" s="4"/>
      <c r="CA1196" s="4"/>
      <c r="CB1196" s="4"/>
      <c r="CC1196" s="4"/>
      <c r="CD1196" s="4"/>
      <c r="CE1196" s="4"/>
      <c r="CF1196" s="4"/>
      <c r="CG1196" s="4"/>
      <c r="CH1196" s="4"/>
    </row>
    <row r="1197" spans="1:86" x14ac:dyDescent="0.25">
      <c r="A1197" s="4"/>
      <c r="B1197" s="4"/>
      <c r="C1197" s="4"/>
      <c r="D1197" s="4"/>
      <c r="E1197" s="4"/>
      <c r="F1197" s="14"/>
      <c r="G1197" s="14"/>
      <c r="H1197" s="14"/>
      <c r="I1197" s="5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4"/>
      <c r="BW1197" s="4"/>
      <c r="BX1197" s="4"/>
      <c r="BY1197" s="4"/>
      <c r="BZ1197" s="4"/>
      <c r="CA1197" s="4"/>
      <c r="CB1197" s="4"/>
      <c r="CC1197" s="4"/>
      <c r="CD1197" s="4"/>
      <c r="CE1197" s="4"/>
      <c r="CF1197" s="4"/>
      <c r="CG1197" s="4"/>
      <c r="CH1197" s="4"/>
    </row>
    <row r="1198" spans="1:86" x14ac:dyDescent="0.25">
      <c r="A1198" s="4"/>
      <c r="B1198" s="4"/>
      <c r="C1198" s="4"/>
      <c r="D1198" s="4"/>
      <c r="E1198" s="4"/>
      <c r="F1198" s="14"/>
      <c r="G1198" s="14"/>
      <c r="H1198" s="14"/>
      <c r="I1198" s="5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4"/>
      <c r="BW1198" s="4"/>
      <c r="BX1198" s="4"/>
      <c r="BY1198" s="4"/>
      <c r="BZ1198" s="4"/>
      <c r="CA1198" s="4"/>
      <c r="CB1198" s="4"/>
      <c r="CC1198" s="4"/>
      <c r="CD1198" s="4"/>
      <c r="CE1198" s="4"/>
      <c r="CF1198" s="4"/>
      <c r="CG1198" s="4"/>
      <c r="CH1198" s="4"/>
    </row>
    <row r="1199" spans="1:86" x14ac:dyDescent="0.25">
      <c r="A1199" s="4"/>
      <c r="B1199" s="4"/>
      <c r="C1199" s="4"/>
      <c r="D1199" s="4"/>
      <c r="E1199" s="4"/>
      <c r="F1199" s="14"/>
      <c r="G1199" s="14"/>
      <c r="H1199" s="14"/>
      <c r="I1199" s="5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4"/>
      <c r="BW1199" s="4"/>
      <c r="BX1199" s="4"/>
      <c r="BY1199" s="4"/>
      <c r="BZ1199" s="4"/>
      <c r="CA1199" s="4"/>
      <c r="CB1199" s="4"/>
      <c r="CC1199" s="4"/>
      <c r="CD1199" s="4"/>
      <c r="CE1199" s="4"/>
      <c r="CF1199" s="4"/>
      <c r="CG1199" s="4"/>
      <c r="CH1199" s="4"/>
    </row>
    <row r="1200" spans="1:86" x14ac:dyDescent="0.25">
      <c r="A1200" s="4"/>
      <c r="B1200" s="4"/>
      <c r="C1200" s="4"/>
      <c r="D1200" s="4"/>
      <c r="E1200" s="4"/>
      <c r="F1200" s="14"/>
      <c r="G1200" s="14"/>
      <c r="H1200" s="14"/>
      <c r="I1200" s="5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4"/>
      <c r="BW1200" s="4"/>
      <c r="BX1200" s="4"/>
      <c r="BY1200" s="4"/>
      <c r="BZ1200" s="4"/>
      <c r="CA1200" s="4"/>
      <c r="CB1200" s="4"/>
      <c r="CC1200" s="4"/>
      <c r="CD1200" s="4"/>
      <c r="CE1200" s="4"/>
      <c r="CF1200" s="4"/>
      <c r="CG1200" s="4"/>
      <c r="CH1200" s="4"/>
    </row>
    <row r="1201" spans="1:86" x14ac:dyDescent="0.25">
      <c r="A1201" s="4"/>
      <c r="B1201" s="4"/>
      <c r="C1201" s="4"/>
      <c r="D1201" s="4"/>
      <c r="E1201" s="4"/>
      <c r="F1201" s="14"/>
      <c r="G1201" s="14"/>
      <c r="H1201" s="14"/>
      <c r="I1201" s="5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4"/>
      <c r="BW1201" s="4"/>
      <c r="BX1201" s="4"/>
      <c r="BY1201" s="4"/>
      <c r="BZ1201" s="4"/>
      <c r="CA1201" s="4"/>
      <c r="CB1201" s="4"/>
      <c r="CC1201" s="4"/>
      <c r="CD1201" s="4"/>
      <c r="CE1201" s="4"/>
      <c r="CF1201" s="4"/>
      <c r="CG1201" s="4"/>
      <c r="CH1201" s="4"/>
    </row>
    <row r="1202" spans="1:86" x14ac:dyDescent="0.25">
      <c r="A1202" s="4"/>
      <c r="B1202" s="4"/>
      <c r="C1202" s="4"/>
      <c r="D1202" s="4"/>
      <c r="E1202" s="4"/>
      <c r="F1202" s="14"/>
      <c r="G1202" s="14"/>
      <c r="H1202" s="14"/>
      <c r="I1202" s="5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4"/>
      <c r="BW1202" s="4"/>
      <c r="BX1202" s="4"/>
      <c r="BY1202" s="4"/>
      <c r="BZ1202" s="4"/>
      <c r="CA1202" s="4"/>
      <c r="CB1202" s="4"/>
      <c r="CC1202" s="4"/>
      <c r="CD1202" s="4"/>
      <c r="CE1202" s="4"/>
      <c r="CF1202" s="4"/>
      <c r="CG1202" s="4"/>
      <c r="CH1202" s="4"/>
    </row>
    <row r="1203" spans="1:86" x14ac:dyDescent="0.25">
      <c r="A1203" s="4"/>
      <c r="B1203" s="4"/>
      <c r="C1203" s="4"/>
      <c r="D1203" s="4"/>
      <c r="E1203" s="4"/>
      <c r="F1203" s="14"/>
      <c r="G1203" s="14"/>
      <c r="H1203" s="14"/>
      <c r="I1203" s="5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4"/>
      <c r="BW1203" s="4"/>
      <c r="BX1203" s="4"/>
      <c r="BY1203" s="4"/>
      <c r="BZ1203" s="4"/>
      <c r="CA1203" s="4"/>
      <c r="CB1203" s="4"/>
      <c r="CC1203" s="4"/>
      <c r="CD1203" s="4"/>
      <c r="CE1203" s="4"/>
      <c r="CF1203" s="4"/>
      <c r="CG1203" s="4"/>
      <c r="CH1203" s="4"/>
    </row>
    <row r="1204" spans="1:86" x14ac:dyDescent="0.25">
      <c r="A1204" s="4"/>
      <c r="B1204" s="4"/>
      <c r="C1204" s="4"/>
      <c r="D1204" s="4"/>
      <c r="E1204" s="4"/>
      <c r="F1204" s="14"/>
      <c r="G1204" s="14"/>
      <c r="H1204" s="14"/>
      <c r="I1204" s="5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4"/>
      <c r="BW1204" s="4"/>
      <c r="BX1204" s="4"/>
      <c r="BY1204" s="4"/>
      <c r="BZ1204" s="4"/>
      <c r="CA1204" s="4"/>
      <c r="CB1204" s="4"/>
      <c r="CC1204" s="4"/>
      <c r="CD1204" s="4"/>
      <c r="CE1204" s="4"/>
      <c r="CF1204" s="4"/>
      <c r="CG1204" s="4"/>
      <c r="CH1204" s="4"/>
    </row>
    <row r="1205" spans="1:86" x14ac:dyDescent="0.25">
      <c r="A1205" s="4"/>
      <c r="B1205" s="4"/>
      <c r="C1205" s="4"/>
      <c r="D1205" s="4"/>
      <c r="E1205" s="4"/>
      <c r="F1205" s="14"/>
      <c r="G1205" s="14"/>
      <c r="H1205" s="14"/>
      <c r="I1205" s="5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4"/>
      <c r="BW1205" s="4"/>
      <c r="BX1205" s="4"/>
      <c r="BY1205" s="4"/>
      <c r="BZ1205" s="4"/>
      <c r="CA1205" s="4"/>
      <c r="CB1205" s="4"/>
      <c r="CC1205" s="4"/>
      <c r="CD1205" s="4"/>
      <c r="CE1205" s="4"/>
      <c r="CF1205" s="4"/>
      <c r="CG1205" s="4"/>
      <c r="CH1205" s="4"/>
    </row>
    <row r="1206" spans="1:86" x14ac:dyDescent="0.25">
      <c r="A1206" s="4"/>
      <c r="B1206" s="4"/>
      <c r="C1206" s="4"/>
      <c r="D1206" s="4"/>
      <c r="E1206" s="4"/>
      <c r="F1206" s="14"/>
      <c r="G1206" s="14"/>
      <c r="H1206" s="14"/>
      <c r="I1206" s="5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4"/>
      <c r="BW1206" s="4"/>
      <c r="BX1206" s="4"/>
      <c r="BY1206" s="4"/>
      <c r="BZ1206" s="4"/>
      <c r="CA1206" s="4"/>
      <c r="CB1206" s="4"/>
      <c r="CC1206" s="4"/>
      <c r="CD1206" s="4"/>
      <c r="CE1206" s="4"/>
      <c r="CF1206" s="4"/>
      <c r="CG1206" s="4"/>
      <c r="CH1206" s="4"/>
    </row>
    <row r="1207" spans="1:86" x14ac:dyDescent="0.25">
      <c r="A1207" s="4"/>
      <c r="B1207" s="4"/>
      <c r="C1207" s="4"/>
      <c r="D1207" s="4"/>
      <c r="E1207" s="4"/>
      <c r="F1207" s="14"/>
      <c r="G1207" s="14"/>
      <c r="H1207" s="14"/>
      <c r="I1207" s="5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4"/>
      <c r="BW1207" s="4"/>
      <c r="BX1207" s="4"/>
      <c r="BY1207" s="4"/>
      <c r="BZ1207" s="4"/>
      <c r="CA1207" s="4"/>
      <c r="CB1207" s="4"/>
      <c r="CC1207" s="4"/>
      <c r="CD1207" s="4"/>
      <c r="CE1207" s="4"/>
      <c r="CF1207" s="4"/>
      <c r="CG1207" s="4"/>
      <c r="CH1207" s="4"/>
    </row>
    <row r="1208" spans="1:86" x14ac:dyDescent="0.25">
      <c r="A1208" s="4"/>
      <c r="B1208" s="4"/>
      <c r="C1208" s="4"/>
      <c r="D1208" s="4"/>
      <c r="E1208" s="4"/>
      <c r="F1208" s="14"/>
      <c r="G1208" s="14"/>
      <c r="H1208" s="14"/>
      <c r="I1208" s="5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4"/>
      <c r="BW1208" s="4"/>
      <c r="BX1208" s="4"/>
      <c r="BY1208" s="4"/>
      <c r="BZ1208" s="4"/>
      <c r="CA1208" s="4"/>
      <c r="CB1208" s="4"/>
      <c r="CC1208" s="4"/>
      <c r="CD1208" s="4"/>
      <c r="CE1208" s="4"/>
      <c r="CF1208" s="4"/>
      <c r="CG1208" s="4"/>
      <c r="CH1208" s="4"/>
    </row>
    <row r="1209" spans="1:86" x14ac:dyDescent="0.25">
      <c r="A1209" s="4"/>
      <c r="B1209" s="4"/>
      <c r="C1209" s="4"/>
      <c r="D1209" s="4"/>
      <c r="E1209" s="4"/>
      <c r="F1209" s="14"/>
      <c r="G1209" s="14"/>
      <c r="H1209" s="14"/>
      <c r="I1209" s="5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4"/>
      <c r="BW1209" s="4"/>
      <c r="BX1209" s="4"/>
      <c r="BY1209" s="4"/>
      <c r="BZ1209" s="4"/>
      <c r="CA1209" s="4"/>
      <c r="CB1209" s="4"/>
      <c r="CC1209" s="4"/>
      <c r="CD1209" s="4"/>
      <c r="CE1209" s="4"/>
      <c r="CF1209" s="4"/>
      <c r="CG1209" s="4"/>
      <c r="CH1209" s="4"/>
    </row>
    <row r="1210" spans="1:86" x14ac:dyDescent="0.25">
      <c r="A1210" s="4"/>
      <c r="B1210" s="4"/>
      <c r="C1210" s="4"/>
      <c r="D1210" s="4"/>
      <c r="E1210" s="4"/>
      <c r="F1210" s="14"/>
      <c r="G1210" s="14"/>
      <c r="H1210" s="14"/>
      <c r="I1210" s="5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4"/>
      <c r="BW1210" s="4"/>
      <c r="BX1210" s="4"/>
      <c r="BY1210" s="4"/>
      <c r="BZ1210" s="4"/>
      <c r="CA1210" s="4"/>
      <c r="CB1210" s="4"/>
      <c r="CC1210" s="4"/>
      <c r="CD1210" s="4"/>
      <c r="CE1210" s="4"/>
      <c r="CF1210" s="4"/>
      <c r="CG1210" s="4"/>
      <c r="CH1210" s="4"/>
    </row>
    <row r="1211" spans="1:86" x14ac:dyDescent="0.25">
      <c r="A1211" s="4"/>
      <c r="B1211" s="4"/>
      <c r="C1211" s="4"/>
      <c r="D1211" s="4"/>
      <c r="E1211" s="4"/>
      <c r="F1211" s="14"/>
      <c r="G1211" s="14"/>
      <c r="H1211" s="14"/>
      <c r="I1211" s="5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4"/>
      <c r="BW1211" s="4"/>
      <c r="BX1211" s="4"/>
      <c r="BY1211" s="4"/>
      <c r="BZ1211" s="4"/>
      <c r="CA1211" s="4"/>
      <c r="CB1211" s="4"/>
      <c r="CC1211" s="4"/>
      <c r="CD1211" s="4"/>
      <c r="CE1211" s="4"/>
      <c r="CF1211" s="4"/>
      <c r="CG1211" s="4"/>
      <c r="CH1211" s="4"/>
    </row>
    <row r="1212" spans="1:86" x14ac:dyDescent="0.25">
      <c r="A1212" s="4"/>
      <c r="B1212" s="4"/>
      <c r="C1212" s="4"/>
      <c r="D1212" s="4"/>
      <c r="E1212" s="4"/>
      <c r="F1212" s="14"/>
      <c r="G1212" s="14"/>
      <c r="H1212" s="14"/>
      <c r="I1212" s="5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4"/>
      <c r="BW1212" s="4"/>
      <c r="BX1212" s="4"/>
      <c r="BY1212" s="4"/>
      <c r="BZ1212" s="4"/>
      <c r="CA1212" s="4"/>
      <c r="CB1212" s="4"/>
      <c r="CC1212" s="4"/>
      <c r="CD1212" s="4"/>
      <c r="CE1212" s="4"/>
      <c r="CF1212" s="4"/>
      <c r="CG1212" s="4"/>
      <c r="CH1212" s="4"/>
    </row>
    <row r="1213" spans="1:86" x14ac:dyDescent="0.25">
      <c r="A1213" s="4"/>
      <c r="B1213" s="4"/>
      <c r="C1213" s="4"/>
      <c r="D1213" s="4"/>
      <c r="E1213" s="4"/>
      <c r="F1213" s="14"/>
      <c r="G1213" s="14"/>
      <c r="H1213" s="14"/>
      <c r="I1213" s="5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4"/>
      <c r="BW1213" s="4"/>
      <c r="BX1213" s="4"/>
      <c r="BY1213" s="4"/>
      <c r="BZ1213" s="4"/>
      <c r="CA1213" s="4"/>
      <c r="CB1213" s="4"/>
      <c r="CC1213" s="4"/>
      <c r="CD1213" s="4"/>
      <c r="CE1213" s="4"/>
      <c r="CF1213" s="4"/>
      <c r="CG1213" s="4"/>
      <c r="CH1213" s="4"/>
    </row>
    <row r="1214" spans="1:86" x14ac:dyDescent="0.25">
      <c r="A1214" s="4"/>
      <c r="B1214" s="4"/>
      <c r="C1214" s="4"/>
      <c r="D1214" s="4"/>
      <c r="E1214" s="4"/>
      <c r="F1214" s="14"/>
      <c r="G1214" s="14"/>
      <c r="H1214" s="14"/>
      <c r="I1214" s="5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4"/>
      <c r="BW1214" s="4"/>
      <c r="BX1214" s="4"/>
      <c r="BY1214" s="4"/>
      <c r="BZ1214" s="4"/>
      <c r="CA1214" s="4"/>
      <c r="CB1214" s="4"/>
      <c r="CC1214" s="4"/>
      <c r="CD1214" s="4"/>
      <c r="CE1214" s="4"/>
      <c r="CF1214" s="4"/>
      <c r="CG1214" s="4"/>
      <c r="CH1214" s="4"/>
    </row>
    <row r="1215" spans="1:86" x14ac:dyDescent="0.25">
      <c r="A1215" s="4"/>
      <c r="B1215" s="4"/>
      <c r="C1215" s="4"/>
      <c r="D1215" s="4"/>
      <c r="E1215" s="4"/>
      <c r="F1215" s="14"/>
      <c r="G1215" s="14"/>
      <c r="H1215" s="14"/>
      <c r="I1215" s="5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4"/>
      <c r="BW1215" s="4"/>
      <c r="BX1215" s="4"/>
      <c r="BY1215" s="4"/>
      <c r="BZ1215" s="4"/>
      <c r="CA1215" s="4"/>
      <c r="CB1215" s="4"/>
      <c r="CC1215" s="4"/>
      <c r="CD1215" s="4"/>
      <c r="CE1215" s="4"/>
      <c r="CF1215" s="4"/>
      <c r="CG1215" s="4"/>
      <c r="CH1215" s="4"/>
    </row>
    <row r="1216" spans="1:86" x14ac:dyDescent="0.25">
      <c r="A1216" s="4"/>
      <c r="B1216" s="4"/>
      <c r="C1216" s="4"/>
      <c r="D1216" s="4"/>
      <c r="E1216" s="4"/>
      <c r="F1216" s="14"/>
      <c r="G1216" s="14"/>
      <c r="H1216" s="14"/>
      <c r="I1216" s="5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4"/>
      <c r="BW1216" s="4"/>
      <c r="BX1216" s="4"/>
      <c r="BY1216" s="4"/>
      <c r="BZ1216" s="4"/>
      <c r="CA1216" s="4"/>
      <c r="CB1216" s="4"/>
      <c r="CC1216" s="4"/>
      <c r="CD1216" s="4"/>
      <c r="CE1216" s="4"/>
      <c r="CF1216" s="4"/>
      <c r="CG1216" s="4"/>
      <c r="CH1216" s="4"/>
    </row>
    <row r="1217" spans="1:86" x14ac:dyDescent="0.25">
      <c r="A1217" s="4"/>
      <c r="B1217" s="4"/>
      <c r="C1217" s="4"/>
      <c r="D1217" s="4"/>
      <c r="E1217" s="4"/>
      <c r="F1217" s="14"/>
      <c r="G1217" s="14"/>
      <c r="H1217" s="14"/>
      <c r="I1217" s="5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4"/>
      <c r="BW1217" s="4"/>
      <c r="BX1217" s="4"/>
      <c r="BY1217" s="4"/>
      <c r="BZ1217" s="4"/>
      <c r="CA1217" s="4"/>
      <c r="CB1217" s="4"/>
      <c r="CC1217" s="4"/>
      <c r="CD1217" s="4"/>
      <c r="CE1217" s="4"/>
      <c r="CF1217" s="4"/>
      <c r="CG1217" s="4"/>
      <c r="CH1217" s="4"/>
    </row>
    <row r="1218" spans="1:86" x14ac:dyDescent="0.25">
      <c r="A1218" s="4"/>
      <c r="B1218" s="4"/>
      <c r="C1218" s="4"/>
      <c r="D1218" s="4"/>
      <c r="E1218" s="4"/>
      <c r="F1218" s="14"/>
      <c r="G1218" s="14"/>
      <c r="H1218" s="14"/>
      <c r="I1218" s="5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4"/>
      <c r="BW1218" s="4"/>
      <c r="BX1218" s="4"/>
      <c r="BY1218" s="4"/>
      <c r="BZ1218" s="4"/>
      <c r="CA1218" s="4"/>
      <c r="CB1218" s="4"/>
      <c r="CC1218" s="4"/>
      <c r="CD1218" s="4"/>
      <c r="CE1218" s="4"/>
      <c r="CF1218" s="4"/>
      <c r="CG1218" s="4"/>
      <c r="CH1218" s="4"/>
    </row>
    <row r="1219" spans="1:86" x14ac:dyDescent="0.25">
      <c r="A1219" s="4"/>
      <c r="B1219" s="4"/>
      <c r="C1219" s="4"/>
      <c r="D1219" s="4"/>
      <c r="E1219" s="4"/>
      <c r="F1219" s="14"/>
      <c r="G1219" s="14"/>
      <c r="H1219" s="14"/>
      <c r="I1219" s="5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4"/>
      <c r="BW1219" s="4"/>
      <c r="BX1219" s="4"/>
      <c r="BY1219" s="4"/>
      <c r="BZ1219" s="4"/>
      <c r="CA1219" s="4"/>
      <c r="CB1219" s="4"/>
      <c r="CC1219" s="4"/>
      <c r="CD1219" s="4"/>
      <c r="CE1219" s="4"/>
      <c r="CF1219" s="4"/>
      <c r="CG1219" s="4"/>
      <c r="CH1219" s="4"/>
    </row>
    <row r="1220" spans="1:86" x14ac:dyDescent="0.25">
      <c r="A1220" s="4"/>
      <c r="B1220" s="4"/>
      <c r="C1220" s="4"/>
      <c r="D1220" s="4"/>
      <c r="E1220" s="4"/>
      <c r="F1220" s="14"/>
      <c r="G1220" s="14"/>
      <c r="H1220" s="14"/>
      <c r="I1220" s="5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4"/>
      <c r="BW1220" s="4"/>
      <c r="BX1220" s="4"/>
      <c r="BY1220" s="4"/>
      <c r="BZ1220" s="4"/>
      <c r="CA1220" s="4"/>
      <c r="CB1220" s="4"/>
      <c r="CC1220" s="4"/>
      <c r="CD1220" s="4"/>
      <c r="CE1220" s="4"/>
      <c r="CF1220" s="4"/>
      <c r="CG1220" s="4"/>
      <c r="CH1220" s="4"/>
    </row>
    <row r="1221" spans="1:86" x14ac:dyDescent="0.25">
      <c r="A1221" s="4"/>
      <c r="B1221" s="4"/>
      <c r="C1221" s="4"/>
      <c r="D1221" s="4"/>
      <c r="E1221" s="4"/>
      <c r="F1221" s="14"/>
      <c r="G1221" s="14"/>
      <c r="H1221" s="14"/>
      <c r="I1221" s="5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4"/>
      <c r="BW1221" s="4"/>
      <c r="BX1221" s="4"/>
      <c r="BY1221" s="4"/>
      <c r="BZ1221" s="4"/>
      <c r="CA1221" s="4"/>
      <c r="CB1221" s="4"/>
      <c r="CC1221" s="4"/>
      <c r="CD1221" s="4"/>
      <c r="CE1221" s="4"/>
      <c r="CF1221" s="4"/>
      <c r="CG1221" s="4"/>
      <c r="CH1221" s="4"/>
    </row>
    <row r="1222" spans="1:86" x14ac:dyDescent="0.25">
      <c r="A1222" s="4"/>
      <c r="B1222" s="4"/>
      <c r="C1222" s="4"/>
      <c r="D1222" s="4"/>
      <c r="E1222" s="4"/>
      <c r="F1222" s="14"/>
      <c r="G1222" s="14"/>
      <c r="H1222" s="14"/>
      <c r="I1222" s="5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4"/>
      <c r="BW1222" s="4"/>
      <c r="BX1222" s="4"/>
      <c r="BY1222" s="4"/>
      <c r="BZ1222" s="4"/>
      <c r="CA1222" s="4"/>
      <c r="CB1222" s="4"/>
      <c r="CC1222" s="4"/>
      <c r="CD1222" s="4"/>
      <c r="CE1222" s="4"/>
      <c r="CF1222" s="4"/>
      <c r="CG1222" s="4"/>
      <c r="CH1222" s="4"/>
    </row>
    <row r="1223" spans="1:86" x14ac:dyDescent="0.25">
      <c r="A1223" s="4"/>
      <c r="B1223" s="4"/>
      <c r="C1223" s="4"/>
      <c r="D1223" s="4"/>
      <c r="E1223" s="4"/>
      <c r="F1223" s="14"/>
      <c r="G1223" s="14"/>
      <c r="H1223" s="14"/>
      <c r="I1223" s="5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4"/>
      <c r="BW1223" s="4"/>
      <c r="BX1223" s="4"/>
      <c r="BY1223" s="4"/>
      <c r="BZ1223" s="4"/>
      <c r="CA1223" s="4"/>
      <c r="CB1223" s="4"/>
      <c r="CC1223" s="4"/>
      <c r="CD1223" s="4"/>
      <c r="CE1223" s="4"/>
      <c r="CF1223" s="4"/>
      <c r="CG1223" s="4"/>
      <c r="CH1223" s="4"/>
    </row>
    <row r="1224" spans="1:86" x14ac:dyDescent="0.25">
      <c r="A1224" s="4"/>
      <c r="B1224" s="4"/>
      <c r="C1224" s="4"/>
      <c r="D1224" s="4"/>
      <c r="E1224" s="4"/>
      <c r="F1224" s="14"/>
      <c r="G1224" s="14"/>
      <c r="H1224" s="14"/>
      <c r="I1224" s="5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4"/>
      <c r="BW1224" s="4"/>
      <c r="BX1224" s="4"/>
      <c r="BY1224" s="4"/>
      <c r="BZ1224" s="4"/>
      <c r="CA1224" s="4"/>
      <c r="CB1224" s="4"/>
      <c r="CC1224" s="4"/>
      <c r="CD1224" s="4"/>
      <c r="CE1224" s="4"/>
      <c r="CF1224" s="4"/>
      <c r="CG1224" s="4"/>
      <c r="CH1224" s="4"/>
    </row>
    <row r="1225" spans="1:86" x14ac:dyDescent="0.25">
      <c r="A1225" s="4"/>
      <c r="B1225" s="4"/>
      <c r="C1225" s="4"/>
      <c r="D1225" s="4"/>
      <c r="E1225" s="4"/>
      <c r="F1225" s="14"/>
      <c r="G1225" s="14"/>
      <c r="H1225" s="14"/>
      <c r="I1225" s="5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4"/>
      <c r="BW1225" s="4"/>
      <c r="BX1225" s="4"/>
      <c r="BY1225" s="4"/>
      <c r="BZ1225" s="4"/>
      <c r="CA1225" s="4"/>
      <c r="CB1225" s="4"/>
      <c r="CC1225" s="4"/>
      <c r="CD1225" s="4"/>
      <c r="CE1225" s="4"/>
      <c r="CF1225" s="4"/>
      <c r="CG1225" s="4"/>
      <c r="CH1225" s="4"/>
    </row>
    <row r="1226" spans="1:86" x14ac:dyDescent="0.25">
      <c r="A1226" s="4"/>
      <c r="B1226" s="4"/>
      <c r="C1226" s="4"/>
      <c r="D1226" s="4"/>
      <c r="E1226" s="4"/>
      <c r="F1226" s="14"/>
      <c r="G1226" s="14"/>
      <c r="H1226" s="14"/>
      <c r="I1226" s="5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4"/>
      <c r="BW1226" s="4"/>
      <c r="BX1226" s="4"/>
      <c r="BY1226" s="4"/>
      <c r="BZ1226" s="4"/>
      <c r="CA1226" s="4"/>
      <c r="CB1226" s="4"/>
      <c r="CC1226" s="4"/>
      <c r="CD1226" s="4"/>
      <c r="CE1226" s="4"/>
      <c r="CF1226" s="4"/>
      <c r="CG1226" s="4"/>
      <c r="CH1226" s="4"/>
    </row>
    <row r="1227" spans="1:86" x14ac:dyDescent="0.25">
      <c r="A1227" s="4"/>
      <c r="B1227" s="4"/>
      <c r="C1227" s="4"/>
      <c r="D1227" s="4"/>
      <c r="E1227" s="4"/>
      <c r="F1227" s="14"/>
      <c r="G1227" s="14"/>
      <c r="H1227" s="14"/>
      <c r="I1227" s="5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4"/>
      <c r="BW1227" s="4"/>
      <c r="BX1227" s="4"/>
      <c r="BY1227" s="4"/>
      <c r="BZ1227" s="4"/>
      <c r="CA1227" s="4"/>
      <c r="CB1227" s="4"/>
      <c r="CC1227" s="4"/>
      <c r="CD1227" s="4"/>
      <c r="CE1227" s="4"/>
      <c r="CF1227" s="4"/>
      <c r="CG1227" s="4"/>
      <c r="CH1227" s="4"/>
    </row>
    <row r="1228" spans="1:86" x14ac:dyDescent="0.25">
      <c r="A1228" s="4"/>
      <c r="B1228" s="4"/>
      <c r="C1228" s="4"/>
      <c r="D1228" s="4"/>
      <c r="E1228" s="4"/>
      <c r="F1228" s="14"/>
      <c r="G1228" s="14"/>
      <c r="H1228" s="14"/>
      <c r="I1228" s="5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4"/>
      <c r="BW1228" s="4"/>
      <c r="BX1228" s="4"/>
      <c r="BY1228" s="4"/>
      <c r="BZ1228" s="4"/>
      <c r="CA1228" s="4"/>
      <c r="CB1228" s="4"/>
      <c r="CC1228" s="4"/>
      <c r="CD1228" s="4"/>
      <c r="CE1228" s="4"/>
      <c r="CF1228" s="4"/>
      <c r="CG1228" s="4"/>
      <c r="CH1228" s="4"/>
    </row>
    <row r="1229" spans="1:86" x14ac:dyDescent="0.25">
      <c r="A1229" s="4"/>
      <c r="B1229" s="4"/>
      <c r="C1229" s="4"/>
      <c r="D1229" s="4"/>
      <c r="E1229" s="4"/>
      <c r="F1229" s="14"/>
      <c r="G1229" s="14"/>
      <c r="H1229" s="14"/>
      <c r="I1229" s="5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4"/>
      <c r="BW1229" s="4"/>
      <c r="BX1229" s="4"/>
      <c r="BY1229" s="4"/>
      <c r="BZ1229" s="4"/>
      <c r="CA1229" s="4"/>
      <c r="CB1229" s="4"/>
      <c r="CC1229" s="4"/>
      <c r="CD1229" s="4"/>
      <c r="CE1229" s="4"/>
      <c r="CF1229" s="4"/>
      <c r="CG1229" s="4"/>
      <c r="CH1229" s="4"/>
    </row>
    <row r="1230" spans="1:86" x14ac:dyDescent="0.25">
      <c r="A1230" s="4"/>
      <c r="B1230" s="4"/>
      <c r="C1230" s="4"/>
      <c r="D1230" s="4"/>
      <c r="E1230" s="4"/>
      <c r="F1230" s="14"/>
      <c r="G1230" s="14"/>
      <c r="H1230" s="14"/>
      <c r="I1230" s="5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4"/>
      <c r="BW1230" s="4"/>
      <c r="BX1230" s="4"/>
      <c r="BY1230" s="4"/>
      <c r="BZ1230" s="4"/>
      <c r="CA1230" s="4"/>
      <c r="CB1230" s="4"/>
      <c r="CC1230" s="4"/>
      <c r="CD1230" s="4"/>
      <c r="CE1230" s="4"/>
      <c r="CF1230" s="4"/>
      <c r="CG1230" s="4"/>
      <c r="CH1230" s="4"/>
    </row>
    <row r="1231" spans="1:86" x14ac:dyDescent="0.25">
      <c r="A1231" s="4"/>
      <c r="B1231" s="4"/>
      <c r="C1231" s="4"/>
      <c r="D1231" s="4"/>
      <c r="E1231" s="4"/>
      <c r="F1231" s="14"/>
      <c r="G1231" s="14"/>
      <c r="H1231" s="14"/>
      <c r="I1231" s="5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4"/>
      <c r="BW1231" s="4"/>
      <c r="BX1231" s="4"/>
      <c r="BY1231" s="4"/>
      <c r="BZ1231" s="4"/>
      <c r="CA1231" s="4"/>
      <c r="CB1231" s="4"/>
      <c r="CC1231" s="4"/>
      <c r="CD1231" s="4"/>
      <c r="CE1231" s="4"/>
      <c r="CF1231" s="4"/>
      <c r="CG1231" s="4"/>
      <c r="CH1231" s="4"/>
    </row>
    <row r="1232" spans="1:86" x14ac:dyDescent="0.25">
      <c r="A1232" s="4"/>
      <c r="B1232" s="4"/>
      <c r="C1232" s="4"/>
      <c r="D1232" s="4"/>
      <c r="E1232" s="4"/>
      <c r="F1232" s="14"/>
      <c r="G1232" s="14"/>
      <c r="H1232" s="14"/>
      <c r="I1232" s="5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4"/>
      <c r="BW1232" s="4"/>
      <c r="BX1232" s="4"/>
      <c r="BY1232" s="4"/>
      <c r="BZ1232" s="4"/>
      <c r="CA1232" s="4"/>
      <c r="CB1232" s="4"/>
      <c r="CC1232" s="4"/>
      <c r="CD1232" s="4"/>
      <c r="CE1232" s="4"/>
      <c r="CF1232" s="4"/>
      <c r="CG1232" s="4"/>
      <c r="CH1232" s="4"/>
    </row>
    <row r="1233" spans="1:86" x14ac:dyDescent="0.25">
      <c r="A1233" s="4"/>
      <c r="B1233" s="4"/>
      <c r="C1233" s="4"/>
      <c r="D1233" s="4"/>
      <c r="E1233" s="4"/>
      <c r="F1233" s="14"/>
      <c r="G1233" s="14"/>
      <c r="H1233" s="14"/>
      <c r="I1233" s="5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4"/>
      <c r="BW1233" s="4"/>
      <c r="BX1233" s="4"/>
      <c r="BY1233" s="4"/>
      <c r="BZ1233" s="4"/>
      <c r="CA1233" s="4"/>
      <c r="CB1233" s="4"/>
      <c r="CC1233" s="4"/>
      <c r="CD1233" s="4"/>
      <c r="CE1233" s="4"/>
      <c r="CF1233" s="4"/>
      <c r="CG1233" s="4"/>
      <c r="CH1233" s="4"/>
    </row>
    <row r="1234" spans="1:86" x14ac:dyDescent="0.25">
      <c r="A1234" s="4"/>
      <c r="B1234" s="4"/>
      <c r="C1234" s="4"/>
      <c r="D1234" s="4"/>
      <c r="E1234" s="4"/>
      <c r="F1234" s="4"/>
      <c r="G1234" s="4"/>
      <c r="H1234" s="4"/>
      <c r="I1234" s="5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4"/>
      <c r="BW1234" s="4"/>
      <c r="BX1234" s="4"/>
      <c r="BY1234" s="4"/>
      <c r="BZ1234" s="4"/>
      <c r="CA1234" s="4"/>
      <c r="CB1234" s="4"/>
      <c r="CC1234" s="4"/>
      <c r="CD1234" s="4"/>
      <c r="CE1234" s="4"/>
      <c r="CF1234" s="4"/>
      <c r="CG1234" s="4"/>
      <c r="CH1234" s="4"/>
    </row>
    <row r="1235" spans="1:86" x14ac:dyDescent="0.25">
      <c r="A1235" s="4"/>
      <c r="B1235" s="4"/>
      <c r="C1235" s="4"/>
      <c r="D1235" s="4"/>
      <c r="E1235" s="4"/>
      <c r="F1235" s="4"/>
      <c r="G1235" s="4"/>
      <c r="H1235" s="4"/>
      <c r="I1235" s="5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4"/>
      <c r="BW1235" s="4"/>
      <c r="BX1235" s="4"/>
      <c r="BY1235" s="4"/>
      <c r="BZ1235" s="4"/>
      <c r="CA1235" s="4"/>
      <c r="CB1235" s="4"/>
      <c r="CC1235" s="4"/>
      <c r="CD1235" s="4"/>
      <c r="CE1235" s="4"/>
      <c r="CF1235" s="4"/>
      <c r="CG1235" s="4"/>
      <c r="CH1235" s="4"/>
    </row>
    <row r="1236" spans="1:86" x14ac:dyDescent="0.25">
      <c r="A1236" s="4"/>
      <c r="B1236" s="4"/>
      <c r="C1236" s="4"/>
      <c r="D1236" s="4"/>
      <c r="E1236" s="4"/>
      <c r="F1236" s="4"/>
      <c r="G1236" s="4"/>
      <c r="H1236" s="4"/>
      <c r="I1236" s="5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4"/>
      <c r="BW1236" s="4"/>
      <c r="BX1236" s="4"/>
      <c r="BY1236" s="4"/>
      <c r="BZ1236" s="4"/>
      <c r="CA1236" s="4"/>
      <c r="CB1236" s="4"/>
      <c r="CC1236" s="4"/>
      <c r="CD1236" s="4"/>
      <c r="CE1236" s="4"/>
      <c r="CF1236" s="4"/>
      <c r="CG1236" s="4"/>
      <c r="CH1236" s="4"/>
    </row>
    <row r="1237" spans="1:86" x14ac:dyDescent="0.25">
      <c r="A1237" s="4"/>
      <c r="B1237" s="4"/>
      <c r="C1237" s="4"/>
      <c r="D1237" s="4"/>
      <c r="E1237" s="4"/>
      <c r="F1237" s="4"/>
      <c r="G1237" s="4"/>
      <c r="H1237" s="4"/>
      <c r="I1237" s="5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4"/>
      <c r="BW1237" s="4"/>
      <c r="BX1237" s="4"/>
      <c r="BY1237" s="4"/>
      <c r="BZ1237" s="4"/>
      <c r="CA1237" s="4"/>
      <c r="CB1237" s="4"/>
      <c r="CC1237" s="4"/>
      <c r="CD1237" s="4"/>
      <c r="CE1237" s="4"/>
      <c r="CF1237" s="4"/>
      <c r="CG1237" s="4"/>
      <c r="CH1237" s="4"/>
    </row>
    <row r="1238" spans="1:86" x14ac:dyDescent="0.25">
      <c r="A1238" s="4"/>
      <c r="B1238" s="4"/>
      <c r="C1238" s="4"/>
      <c r="D1238" s="4"/>
      <c r="E1238" s="4"/>
      <c r="F1238" s="4"/>
      <c r="G1238" s="4"/>
      <c r="H1238" s="4"/>
      <c r="I1238" s="5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4"/>
      <c r="BW1238" s="4"/>
      <c r="BX1238" s="4"/>
      <c r="BY1238" s="4"/>
      <c r="BZ1238" s="4"/>
      <c r="CA1238" s="4"/>
      <c r="CB1238" s="4"/>
      <c r="CC1238" s="4"/>
      <c r="CD1238" s="4"/>
      <c r="CE1238" s="4"/>
      <c r="CF1238" s="4"/>
      <c r="CG1238" s="4"/>
      <c r="CH1238" s="4"/>
    </row>
    <row r="1239" spans="1:86" x14ac:dyDescent="0.25">
      <c r="A1239" s="4"/>
      <c r="B1239" s="4"/>
      <c r="C1239" s="4"/>
      <c r="D1239" s="4"/>
      <c r="E1239" s="4"/>
      <c r="F1239" s="4"/>
      <c r="G1239" s="4"/>
      <c r="H1239" s="4"/>
      <c r="I1239" s="5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4"/>
      <c r="BW1239" s="4"/>
      <c r="BX1239" s="4"/>
      <c r="BY1239" s="4"/>
      <c r="BZ1239" s="4"/>
      <c r="CA1239" s="4"/>
      <c r="CB1239" s="4"/>
      <c r="CC1239" s="4"/>
      <c r="CD1239" s="4"/>
      <c r="CE1239" s="4"/>
      <c r="CF1239" s="4"/>
      <c r="CG1239" s="4"/>
      <c r="CH1239" s="4"/>
    </row>
    <row r="1240" spans="1:86" x14ac:dyDescent="0.25">
      <c r="A1240" s="4"/>
      <c r="B1240" s="4"/>
      <c r="C1240" s="4"/>
      <c r="D1240" s="4"/>
      <c r="E1240" s="4"/>
      <c r="F1240" s="4"/>
      <c r="G1240" s="4"/>
      <c r="H1240" s="4"/>
      <c r="I1240" s="5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4"/>
      <c r="BW1240" s="4"/>
      <c r="BX1240" s="4"/>
      <c r="BY1240" s="4"/>
      <c r="BZ1240" s="4"/>
      <c r="CA1240" s="4"/>
      <c r="CB1240" s="4"/>
      <c r="CC1240" s="4"/>
      <c r="CD1240" s="4"/>
      <c r="CE1240" s="4"/>
      <c r="CF1240" s="4"/>
      <c r="CG1240" s="4"/>
      <c r="CH1240" s="4"/>
    </row>
    <row r="1241" spans="1:86" x14ac:dyDescent="0.25">
      <c r="A1241" s="4"/>
      <c r="B1241" s="4"/>
      <c r="C1241" s="4"/>
      <c r="D1241" s="4"/>
      <c r="E1241" s="4"/>
      <c r="F1241" s="4"/>
      <c r="G1241" s="4"/>
      <c r="H1241" s="4"/>
      <c r="I1241" s="5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4"/>
      <c r="BW1241" s="4"/>
      <c r="BX1241" s="4"/>
      <c r="BY1241" s="4"/>
      <c r="BZ1241" s="4"/>
      <c r="CA1241" s="4"/>
      <c r="CB1241" s="4"/>
      <c r="CC1241" s="4"/>
      <c r="CD1241" s="4"/>
      <c r="CE1241" s="4"/>
      <c r="CF1241" s="4"/>
      <c r="CG1241" s="4"/>
      <c r="CH1241" s="4"/>
    </row>
    <row r="1242" spans="1:86" x14ac:dyDescent="0.25">
      <c r="A1242" s="4"/>
      <c r="B1242" s="4"/>
      <c r="C1242" s="4"/>
      <c r="D1242" s="4"/>
      <c r="E1242" s="4"/>
      <c r="F1242" s="4"/>
      <c r="G1242" s="4"/>
      <c r="H1242" s="4"/>
      <c r="I1242" s="5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4"/>
      <c r="BW1242" s="4"/>
      <c r="BX1242" s="4"/>
      <c r="BY1242" s="4"/>
      <c r="BZ1242" s="4"/>
      <c r="CA1242" s="4"/>
      <c r="CB1242" s="4"/>
      <c r="CC1242" s="4"/>
      <c r="CD1242" s="4"/>
      <c r="CE1242" s="4"/>
      <c r="CF1242" s="4"/>
      <c r="CG1242" s="4"/>
      <c r="CH1242" s="4"/>
    </row>
    <row r="1243" spans="1:86" x14ac:dyDescent="0.25">
      <c r="A1243" s="4"/>
      <c r="B1243" s="4"/>
      <c r="C1243" s="4"/>
      <c r="D1243" s="4"/>
      <c r="E1243" s="4"/>
      <c r="F1243" s="4"/>
      <c r="G1243" s="4"/>
      <c r="H1243" s="4"/>
      <c r="I1243" s="5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4"/>
      <c r="BW1243" s="4"/>
      <c r="BX1243" s="4"/>
      <c r="BY1243" s="4"/>
      <c r="BZ1243" s="4"/>
      <c r="CA1243" s="4"/>
      <c r="CB1243" s="4"/>
      <c r="CC1243" s="4"/>
      <c r="CD1243" s="4"/>
      <c r="CE1243" s="4"/>
      <c r="CF1243" s="4"/>
      <c r="CG1243" s="4"/>
      <c r="CH1243" s="4"/>
    </row>
    <row r="1244" spans="1:86" x14ac:dyDescent="0.25">
      <c r="A1244" s="4"/>
      <c r="B1244" s="4"/>
      <c r="C1244" s="4"/>
      <c r="D1244" s="4"/>
      <c r="E1244" s="4"/>
      <c r="F1244" s="4"/>
      <c r="G1244" s="4"/>
      <c r="H1244" s="4"/>
      <c r="I1244" s="5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4"/>
      <c r="BW1244" s="4"/>
      <c r="BX1244" s="4"/>
      <c r="BY1244" s="4"/>
      <c r="BZ1244" s="4"/>
      <c r="CA1244" s="4"/>
      <c r="CB1244" s="4"/>
      <c r="CC1244" s="4"/>
      <c r="CD1244" s="4"/>
      <c r="CE1244" s="4"/>
      <c r="CF1244" s="4"/>
      <c r="CG1244" s="4"/>
      <c r="CH1244" s="4"/>
    </row>
    <row r="1245" spans="1:86" x14ac:dyDescent="0.25">
      <c r="A1245" s="4"/>
      <c r="B1245" s="4"/>
      <c r="C1245" s="4"/>
      <c r="D1245" s="4"/>
      <c r="E1245" s="4"/>
      <c r="F1245" s="4"/>
      <c r="G1245" s="4"/>
      <c r="H1245" s="4"/>
      <c r="I1245" s="5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4"/>
      <c r="BW1245" s="4"/>
      <c r="BX1245" s="4"/>
      <c r="BY1245" s="4"/>
      <c r="BZ1245" s="4"/>
      <c r="CA1245" s="4"/>
      <c r="CB1245" s="4"/>
      <c r="CC1245" s="4"/>
      <c r="CD1245" s="4"/>
      <c r="CE1245" s="4"/>
      <c r="CF1245" s="4"/>
      <c r="CG1245" s="4"/>
      <c r="CH1245" s="4"/>
    </row>
    <row r="1246" spans="1:86" x14ac:dyDescent="0.25">
      <c r="A1246" s="4"/>
      <c r="B1246" s="4"/>
      <c r="C1246" s="4"/>
      <c r="D1246" s="4"/>
      <c r="E1246" s="4"/>
      <c r="F1246" s="4"/>
      <c r="G1246" s="4"/>
      <c r="H1246" s="4"/>
      <c r="I1246" s="5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4"/>
      <c r="BW1246" s="4"/>
      <c r="BX1246" s="4"/>
      <c r="BY1246" s="4"/>
      <c r="BZ1246" s="4"/>
      <c r="CA1246" s="4"/>
      <c r="CB1246" s="4"/>
      <c r="CC1246" s="4"/>
      <c r="CD1246" s="4"/>
      <c r="CE1246" s="4"/>
      <c r="CF1246" s="4"/>
      <c r="CG1246" s="4"/>
      <c r="CH1246" s="4"/>
    </row>
    <row r="1247" spans="1:86" x14ac:dyDescent="0.25">
      <c r="A1247" s="4"/>
      <c r="B1247" s="4"/>
      <c r="C1247" s="4"/>
      <c r="D1247" s="4"/>
      <c r="E1247" s="4"/>
      <c r="F1247" s="4"/>
      <c r="G1247" s="4"/>
      <c r="H1247" s="4"/>
      <c r="I1247" s="5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4"/>
      <c r="BW1247" s="4"/>
      <c r="BX1247" s="4"/>
      <c r="BY1247" s="4"/>
      <c r="BZ1247" s="4"/>
      <c r="CA1247" s="4"/>
      <c r="CB1247" s="4"/>
      <c r="CC1247" s="4"/>
      <c r="CD1247" s="4"/>
      <c r="CE1247" s="4"/>
      <c r="CF1247" s="4"/>
      <c r="CG1247" s="4"/>
      <c r="CH1247" s="4"/>
    </row>
    <row r="1248" spans="1:86" x14ac:dyDescent="0.25">
      <c r="A1248" s="4"/>
      <c r="B1248" s="4"/>
      <c r="C1248" s="4"/>
      <c r="D1248" s="4"/>
      <c r="E1248" s="4"/>
      <c r="F1248" s="4"/>
      <c r="G1248" s="4"/>
      <c r="H1248" s="4"/>
      <c r="I1248" s="5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4"/>
      <c r="BW1248" s="4"/>
      <c r="BX1248" s="4"/>
      <c r="BY1248" s="4"/>
      <c r="BZ1248" s="4"/>
      <c r="CA1248" s="4"/>
      <c r="CB1248" s="4"/>
      <c r="CC1248" s="4"/>
      <c r="CD1248" s="4"/>
      <c r="CE1248" s="4"/>
      <c r="CF1248" s="4"/>
      <c r="CG1248" s="4"/>
      <c r="CH1248" s="4"/>
    </row>
    <row r="1249" spans="1:86" x14ac:dyDescent="0.25">
      <c r="A1249" s="4"/>
      <c r="B1249" s="4"/>
      <c r="C1249" s="4"/>
      <c r="D1249" s="4"/>
      <c r="E1249" s="4"/>
      <c r="F1249" s="4"/>
      <c r="G1249" s="4"/>
      <c r="H1249" s="4"/>
      <c r="I1249" s="5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4"/>
      <c r="BW1249" s="4"/>
      <c r="BX1249" s="4"/>
      <c r="BY1249" s="4"/>
      <c r="BZ1249" s="4"/>
      <c r="CA1249" s="4"/>
      <c r="CB1249" s="4"/>
      <c r="CC1249" s="4"/>
      <c r="CD1249" s="4"/>
      <c r="CE1249" s="4"/>
      <c r="CF1249" s="4"/>
      <c r="CG1249" s="4"/>
      <c r="CH1249" s="4"/>
    </row>
    <row r="1250" spans="1:86" x14ac:dyDescent="0.25">
      <c r="A1250" s="4"/>
      <c r="B1250" s="4"/>
      <c r="C1250" s="4"/>
      <c r="D1250" s="4"/>
      <c r="E1250" s="4"/>
      <c r="F1250" s="4"/>
      <c r="G1250" s="4"/>
      <c r="H1250" s="4"/>
      <c r="I1250" s="5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4"/>
      <c r="BW1250" s="4"/>
      <c r="BX1250" s="4"/>
      <c r="BY1250" s="4"/>
      <c r="BZ1250" s="4"/>
      <c r="CA1250" s="4"/>
      <c r="CB1250" s="4"/>
      <c r="CC1250" s="4"/>
      <c r="CD1250" s="4"/>
      <c r="CE1250" s="4"/>
      <c r="CF1250" s="4"/>
      <c r="CG1250" s="4"/>
      <c r="CH1250" s="4"/>
    </row>
    <row r="1251" spans="1:86" x14ac:dyDescent="0.25">
      <c r="A1251" s="4"/>
      <c r="B1251" s="4"/>
      <c r="C1251" s="4"/>
      <c r="D1251" s="4"/>
      <c r="E1251" s="4"/>
      <c r="F1251" s="4"/>
      <c r="G1251" s="4"/>
      <c r="H1251" s="4"/>
      <c r="I1251" s="5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4"/>
      <c r="BW1251" s="4"/>
      <c r="BX1251" s="4"/>
      <c r="BY1251" s="4"/>
      <c r="BZ1251" s="4"/>
      <c r="CA1251" s="4"/>
      <c r="CB1251" s="4"/>
      <c r="CC1251" s="4"/>
      <c r="CD1251" s="4"/>
      <c r="CE1251" s="4"/>
      <c r="CF1251" s="4"/>
      <c r="CG1251" s="4"/>
      <c r="CH1251" s="4"/>
    </row>
    <row r="1252" spans="1:86" x14ac:dyDescent="0.25">
      <c r="A1252" s="4"/>
      <c r="B1252" s="4"/>
      <c r="C1252" s="4"/>
      <c r="D1252" s="4"/>
      <c r="E1252" s="4"/>
      <c r="F1252" s="4"/>
      <c r="G1252" s="4"/>
      <c r="H1252" s="4"/>
      <c r="I1252" s="5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4"/>
      <c r="BW1252" s="4"/>
      <c r="BX1252" s="4"/>
      <c r="BY1252" s="4"/>
      <c r="BZ1252" s="4"/>
      <c r="CA1252" s="4"/>
      <c r="CB1252" s="4"/>
      <c r="CC1252" s="4"/>
      <c r="CD1252" s="4"/>
      <c r="CE1252" s="4"/>
      <c r="CF1252" s="4"/>
      <c r="CG1252" s="4"/>
      <c r="CH1252" s="4"/>
    </row>
    <row r="1253" spans="1:86" x14ac:dyDescent="0.25">
      <c r="A1253" s="4"/>
      <c r="B1253" s="4"/>
      <c r="C1253" s="4"/>
      <c r="D1253" s="4"/>
      <c r="E1253" s="4"/>
      <c r="F1253" s="4"/>
      <c r="G1253" s="4"/>
      <c r="H1253" s="4"/>
      <c r="I1253" s="5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4"/>
      <c r="BW1253" s="4"/>
      <c r="BX1253" s="4"/>
      <c r="BY1253" s="4"/>
      <c r="BZ1253" s="4"/>
      <c r="CA1253" s="4"/>
      <c r="CB1253" s="4"/>
      <c r="CC1253" s="4"/>
      <c r="CD1253" s="4"/>
      <c r="CE1253" s="4"/>
      <c r="CF1253" s="4"/>
      <c r="CG1253" s="4"/>
      <c r="CH1253" s="4"/>
    </row>
    <row r="1254" spans="1:86" x14ac:dyDescent="0.25">
      <c r="A1254" s="4"/>
      <c r="B1254" s="4"/>
      <c r="C1254" s="4"/>
      <c r="D1254" s="4"/>
      <c r="E1254" s="4"/>
      <c r="F1254" s="4"/>
      <c r="G1254" s="4"/>
      <c r="H1254" s="4"/>
      <c r="I1254" s="5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4"/>
      <c r="BW1254" s="4"/>
      <c r="BX1254" s="4"/>
      <c r="BY1254" s="4"/>
      <c r="BZ1254" s="4"/>
      <c r="CA1254" s="4"/>
      <c r="CB1254" s="4"/>
      <c r="CC1254" s="4"/>
      <c r="CD1254" s="4"/>
      <c r="CE1254" s="4"/>
      <c r="CF1254" s="4"/>
      <c r="CG1254" s="4"/>
      <c r="CH1254" s="4"/>
    </row>
    <row r="1255" spans="1:86" x14ac:dyDescent="0.25">
      <c r="A1255" s="4"/>
      <c r="B1255" s="4"/>
      <c r="C1255" s="4"/>
      <c r="D1255" s="4"/>
      <c r="E1255" s="4"/>
      <c r="F1255" s="4"/>
      <c r="G1255" s="4"/>
      <c r="H1255" s="4"/>
      <c r="I1255" s="5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4"/>
      <c r="BW1255" s="4"/>
      <c r="BX1255" s="4"/>
      <c r="BY1255" s="4"/>
      <c r="BZ1255" s="4"/>
      <c r="CA1255" s="4"/>
      <c r="CB1255" s="4"/>
      <c r="CC1255" s="4"/>
      <c r="CD1255" s="4"/>
      <c r="CE1255" s="4"/>
      <c r="CF1255" s="4"/>
      <c r="CG1255" s="4"/>
      <c r="CH1255" s="4"/>
    </row>
    <row r="1256" spans="1:86" x14ac:dyDescent="0.25">
      <c r="A1256" s="4"/>
      <c r="B1256" s="4"/>
      <c r="C1256" s="4"/>
      <c r="D1256" s="4"/>
      <c r="E1256" s="4"/>
      <c r="F1256" s="4"/>
      <c r="G1256" s="4"/>
      <c r="H1256" s="4"/>
      <c r="I1256" s="5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4"/>
      <c r="BW1256" s="4"/>
      <c r="BX1256" s="4"/>
      <c r="BY1256" s="4"/>
      <c r="BZ1256" s="4"/>
      <c r="CA1256" s="4"/>
      <c r="CB1256" s="4"/>
      <c r="CC1256" s="4"/>
      <c r="CD1256" s="4"/>
      <c r="CE1256" s="4"/>
      <c r="CF1256" s="4"/>
      <c r="CG1256" s="4"/>
      <c r="CH1256" s="4"/>
    </row>
    <row r="1257" spans="1:86" x14ac:dyDescent="0.25">
      <c r="A1257" s="4"/>
      <c r="B1257" s="4"/>
      <c r="C1257" s="4"/>
      <c r="D1257" s="4"/>
      <c r="E1257" s="4"/>
      <c r="F1257" s="4"/>
      <c r="G1257" s="4"/>
      <c r="H1257" s="4"/>
      <c r="I1257" s="5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4"/>
      <c r="BW1257" s="4"/>
      <c r="BX1257" s="4"/>
      <c r="BY1257" s="4"/>
      <c r="BZ1257" s="4"/>
      <c r="CA1257" s="4"/>
      <c r="CB1257" s="4"/>
      <c r="CC1257" s="4"/>
      <c r="CD1257" s="4"/>
      <c r="CE1257" s="4"/>
      <c r="CF1257" s="4"/>
      <c r="CG1257" s="4"/>
      <c r="CH1257" s="4"/>
    </row>
    <row r="1258" spans="1:86" x14ac:dyDescent="0.25">
      <c r="A1258" s="4"/>
      <c r="B1258" s="4"/>
      <c r="C1258" s="4"/>
      <c r="D1258" s="4"/>
      <c r="E1258" s="4"/>
      <c r="F1258" s="4"/>
      <c r="G1258" s="4"/>
      <c r="H1258" s="4"/>
      <c r="I1258" s="5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4"/>
      <c r="BW1258" s="4"/>
      <c r="BX1258" s="4"/>
      <c r="BY1258" s="4"/>
      <c r="BZ1258" s="4"/>
      <c r="CA1258" s="4"/>
      <c r="CB1258" s="4"/>
      <c r="CC1258" s="4"/>
      <c r="CD1258" s="4"/>
      <c r="CE1258" s="4"/>
      <c r="CF1258" s="4"/>
      <c r="CG1258" s="4"/>
      <c r="CH1258" s="4"/>
    </row>
    <row r="1259" spans="1:86" x14ac:dyDescent="0.25">
      <c r="A1259" s="4"/>
      <c r="B1259" s="4"/>
      <c r="C1259" s="4"/>
      <c r="D1259" s="4"/>
      <c r="E1259" s="4"/>
      <c r="F1259" s="4"/>
      <c r="G1259" s="4"/>
      <c r="H1259" s="4"/>
      <c r="I1259" s="5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4"/>
      <c r="BW1259" s="4"/>
      <c r="BX1259" s="4"/>
      <c r="BY1259" s="4"/>
      <c r="BZ1259" s="4"/>
      <c r="CA1259" s="4"/>
      <c r="CB1259" s="4"/>
      <c r="CC1259" s="4"/>
      <c r="CD1259" s="4"/>
      <c r="CE1259" s="4"/>
      <c r="CF1259" s="4"/>
      <c r="CG1259" s="4"/>
      <c r="CH1259" s="4"/>
    </row>
    <row r="1260" spans="1:86" x14ac:dyDescent="0.25">
      <c r="A1260" s="4"/>
      <c r="B1260" s="4"/>
      <c r="C1260" s="4"/>
      <c r="D1260" s="4"/>
      <c r="E1260" s="4"/>
      <c r="F1260" s="4"/>
      <c r="G1260" s="4"/>
      <c r="H1260" s="4"/>
      <c r="I1260" s="5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4"/>
      <c r="BW1260" s="4"/>
      <c r="BX1260" s="4"/>
      <c r="BY1260" s="4"/>
      <c r="BZ1260" s="4"/>
      <c r="CA1260" s="4"/>
      <c r="CB1260" s="4"/>
      <c r="CC1260" s="4"/>
      <c r="CD1260" s="4"/>
      <c r="CE1260" s="4"/>
      <c r="CF1260" s="4"/>
      <c r="CG1260" s="4"/>
      <c r="CH1260" s="4"/>
    </row>
    <row r="1261" spans="1:86" x14ac:dyDescent="0.25">
      <c r="A1261" s="4"/>
      <c r="B1261" s="4"/>
      <c r="C1261" s="4"/>
      <c r="D1261" s="4"/>
      <c r="E1261" s="4"/>
      <c r="F1261" s="4"/>
      <c r="G1261" s="4"/>
      <c r="H1261" s="4"/>
      <c r="I1261" s="5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4"/>
      <c r="BW1261" s="4"/>
      <c r="BX1261" s="4"/>
      <c r="BY1261" s="4"/>
      <c r="BZ1261" s="4"/>
      <c r="CA1261" s="4"/>
      <c r="CB1261" s="4"/>
      <c r="CC1261" s="4"/>
      <c r="CD1261" s="4"/>
      <c r="CE1261" s="4"/>
      <c r="CF1261" s="4"/>
      <c r="CG1261" s="4"/>
      <c r="CH1261" s="4"/>
    </row>
    <row r="1262" spans="1:86" x14ac:dyDescent="0.25">
      <c r="A1262" s="4"/>
      <c r="B1262" s="4"/>
      <c r="C1262" s="4"/>
      <c r="D1262" s="4"/>
      <c r="E1262" s="4"/>
      <c r="F1262" s="4"/>
      <c r="G1262" s="4"/>
      <c r="H1262" s="4"/>
      <c r="I1262" s="5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4"/>
      <c r="BW1262" s="4"/>
      <c r="BX1262" s="4"/>
      <c r="BY1262" s="4"/>
      <c r="BZ1262" s="4"/>
      <c r="CA1262" s="4"/>
      <c r="CB1262" s="4"/>
      <c r="CC1262" s="4"/>
      <c r="CD1262" s="4"/>
      <c r="CE1262" s="4"/>
      <c r="CF1262" s="4"/>
      <c r="CG1262" s="4"/>
      <c r="CH1262" s="4"/>
    </row>
    <row r="1263" spans="1:86" x14ac:dyDescent="0.25">
      <c r="A1263" s="4"/>
      <c r="B1263" s="4"/>
      <c r="C1263" s="4"/>
      <c r="D1263" s="4"/>
      <c r="E1263" s="4"/>
      <c r="F1263" s="4"/>
      <c r="G1263" s="4"/>
      <c r="H1263" s="4"/>
      <c r="I1263" s="5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4"/>
      <c r="BW1263" s="4"/>
      <c r="BX1263" s="4"/>
      <c r="BY1263" s="4"/>
      <c r="BZ1263" s="4"/>
      <c r="CA1263" s="4"/>
      <c r="CB1263" s="4"/>
      <c r="CC1263" s="4"/>
      <c r="CD1263" s="4"/>
      <c r="CE1263" s="4"/>
      <c r="CF1263" s="4"/>
      <c r="CG1263" s="4"/>
      <c r="CH1263" s="4"/>
    </row>
    <row r="1264" spans="1:86" x14ac:dyDescent="0.25">
      <c r="A1264" s="4"/>
      <c r="B1264" s="4"/>
      <c r="C1264" s="4"/>
      <c r="D1264" s="4"/>
      <c r="E1264" s="4"/>
      <c r="F1264" s="4"/>
      <c r="G1264" s="4"/>
      <c r="H1264" s="4"/>
      <c r="I1264" s="5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4"/>
      <c r="BW1264" s="4"/>
      <c r="BX1264" s="4"/>
      <c r="BY1264" s="4"/>
      <c r="BZ1264" s="4"/>
      <c r="CA1264" s="4"/>
      <c r="CB1264" s="4"/>
      <c r="CC1264" s="4"/>
      <c r="CD1264" s="4"/>
      <c r="CE1264" s="4"/>
      <c r="CF1264" s="4"/>
      <c r="CG1264" s="4"/>
      <c r="CH1264" s="4"/>
    </row>
    <row r="1265" spans="1:86" x14ac:dyDescent="0.25">
      <c r="A1265" s="4"/>
      <c r="B1265" s="4"/>
      <c r="C1265" s="4"/>
      <c r="D1265" s="4"/>
      <c r="E1265" s="4"/>
      <c r="F1265" s="4"/>
      <c r="G1265" s="4"/>
      <c r="H1265" s="4"/>
      <c r="I1265" s="5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4"/>
      <c r="BW1265" s="4"/>
      <c r="BX1265" s="4"/>
      <c r="BY1265" s="4"/>
      <c r="BZ1265" s="4"/>
      <c r="CA1265" s="4"/>
      <c r="CB1265" s="4"/>
      <c r="CC1265" s="4"/>
      <c r="CD1265" s="4"/>
      <c r="CE1265" s="4"/>
      <c r="CF1265" s="4"/>
      <c r="CG1265" s="4"/>
      <c r="CH1265" s="4"/>
    </row>
    <row r="1266" spans="1:86" x14ac:dyDescent="0.25">
      <c r="A1266" s="4"/>
      <c r="B1266" s="4"/>
      <c r="C1266" s="4"/>
      <c r="D1266" s="4"/>
      <c r="E1266" s="4"/>
      <c r="F1266" s="4"/>
      <c r="G1266" s="4"/>
      <c r="H1266" s="4"/>
      <c r="I1266" s="5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4"/>
      <c r="BW1266" s="4"/>
      <c r="BX1266" s="4"/>
      <c r="BY1266" s="4"/>
      <c r="BZ1266" s="4"/>
      <c r="CA1266" s="4"/>
      <c r="CB1266" s="4"/>
      <c r="CC1266" s="4"/>
      <c r="CD1266" s="4"/>
      <c r="CE1266" s="4"/>
      <c r="CF1266" s="4"/>
      <c r="CG1266" s="4"/>
      <c r="CH1266" s="4"/>
    </row>
    <row r="1267" spans="1:86" x14ac:dyDescent="0.25">
      <c r="A1267" s="4"/>
      <c r="B1267" s="4"/>
      <c r="C1267" s="4"/>
      <c r="D1267" s="4"/>
      <c r="E1267" s="4"/>
      <c r="F1267" s="4"/>
      <c r="G1267" s="4"/>
      <c r="H1267" s="4"/>
      <c r="I1267" s="5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4"/>
      <c r="BW1267" s="4"/>
      <c r="BX1267" s="4"/>
      <c r="BY1267" s="4"/>
      <c r="BZ1267" s="4"/>
      <c r="CA1267" s="4"/>
      <c r="CB1267" s="4"/>
      <c r="CC1267" s="4"/>
      <c r="CD1267" s="4"/>
      <c r="CE1267" s="4"/>
      <c r="CF1267" s="4"/>
      <c r="CG1267" s="4"/>
      <c r="CH1267" s="4"/>
    </row>
    <row r="1268" spans="1:86" x14ac:dyDescent="0.25">
      <c r="A1268" s="4"/>
      <c r="B1268" s="4"/>
      <c r="C1268" s="4"/>
      <c r="D1268" s="4"/>
      <c r="E1268" s="4"/>
      <c r="F1268" s="4"/>
      <c r="G1268" s="4"/>
      <c r="H1268" s="4"/>
      <c r="I1268" s="5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4"/>
      <c r="BW1268" s="4"/>
      <c r="BX1268" s="4"/>
      <c r="BY1268" s="4"/>
      <c r="BZ1268" s="4"/>
      <c r="CA1268" s="4"/>
      <c r="CB1268" s="4"/>
      <c r="CC1268" s="4"/>
      <c r="CD1268" s="4"/>
      <c r="CE1268" s="4"/>
      <c r="CF1268" s="4"/>
      <c r="CG1268" s="4"/>
      <c r="CH1268" s="4"/>
    </row>
    <row r="1269" spans="1:86" x14ac:dyDescent="0.25">
      <c r="A1269" s="4"/>
      <c r="B1269" s="4"/>
      <c r="C1269" s="4"/>
      <c r="D1269" s="4"/>
      <c r="E1269" s="4"/>
      <c r="F1269" s="4"/>
      <c r="G1269" s="4"/>
      <c r="H1269" s="4"/>
      <c r="I1269" s="5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  <c r="AM1269" s="4"/>
      <c r="AN1269" s="4"/>
      <c r="AO1269" s="4"/>
      <c r="AP1269" s="4"/>
      <c r="AQ1269" s="4"/>
      <c r="AR1269" s="4"/>
      <c r="AS1269" s="4"/>
      <c r="AT1269" s="4"/>
      <c r="AU1269" s="4"/>
      <c r="AV1269" s="4"/>
      <c r="AW1269" s="4"/>
      <c r="AX1269" s="4"/>
      <c r="AY1269" s="4"/>
      <c r="AZ1269" s="4"/>
      <c r="BA1269" s="4"/>
      <c r="BB1269" s="4"/>
      <c r="BC1269" s="4"/>
      <c r="BD1269" s="4"/>
      <c r="BE1269" s="4"/>
      <c r="BF1269" s="4"/>
      <c r="BG1269" s="4"/>
      <c r="BH1269" s="4"/>
      <c r="BI1269" s="4"/>
      <c r="BJ1269" s="4"/>
      <c r="BK1269" s="4"/>
      <c r="BL1269" s="4"/>
      <c r="BM1269" s="4"/>
      <c r="BN1269" s="4"/>
      <c r="BO1269" s="4"/>
      <c r="BP1269" s="4"/>
      <c r="BQ1269" s="4"/>
      <c r="BR1269" s="4"/>
      <c r="BS1269" s="4"/>
      <c r="BT1269" s="4"/>
      <c r="BU1269" s="4"/>
      <c r="BV1269" s="4"/>
      <c r="BW1269" s="4"/>
      <c r="BX1269" s="4"/>
      <c r="BY1269" s="4"/>
      <c r="BZ1269" s="4"/>
      <c r="CA1269" s="4"/>
      <c r="CB1269" s="4"/>
      <c r="CC1269" s="4"/>
      <c r="CD1269" s="4"/>
      <c r="CE1269" s="4"/>
      <c r="CF1269" s="4"/>
      <c r="CG1269" s="4"/>
      <c r="CH1269" s="4"/>
    </row>
  </sheetData>
  <conditionalFormatting sqref="C4:C1100">
    <cfRule type="duplicateValues" dxfId="2" priority="103"/>
    <cfRule type="duplicateValues" dxfId="1" priority="104"/>
  </conditionalFormatting>
  <conditionalFormatting sqref="C4:C1102">
    <cfRule type="duplicateValues" dxfId="0" priority="107"/>
  </conditionalFormatting>
  <hyperlinks>
    <hyperlink ref="B9" r:id="rId1" xr:uid="{46297B94-AC14-45CC-AA0C-4FAAB7EF8F6D}"/>
    <hyperlink ref="B20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3" r:id="rId7" xr:uid="{D55ED292-2F81-464F-B65E-BE78D3C95B57}"/>
    <hyperlink ref="B12" r:id="rId8" xr:uid="{0EBF7698-D3BC-4934-A7F4-537F29CCF8B4}"/>
    <hyperlink ref="B98" r:id="rId9" xr:uid="{79586EC1-F21B-4073-BA24-BCB8D7768073}"/>
    <hyperlink ref="B123" r:id="rId10" xr:uid="{1691DF9F-80EE-40F0-98FB-85DD567180FC}"/>
    <hyperlink ref="B87" r:id="rId11" xr:uid="{64F849D1-F450-4555-80C6-CED6178FD111}"/>
    <hyperlink ref="B31" r:id="rId12" xr:uid="{63C8BBD0-BBF5-4728-B63F-8778ACFA73CD}"/>
    <hyperlink ref="B32" r:id="rId13" xr:uid="{C5A87BC8-E354-423F-B92C-B011D75ECCCF}"/>
    <hyperlink ref="B21" r:id="rId14" xr:uid="{6ABBC8AF-1788-4F66-83E4-735DE38C0666}"/>
    <hyperlink ref="B48" r:id="rId15" xr:uid="{0BC635AE-4F95-4E10-A94F-2732C9C0ACF1}"/>
    <hyperlink ref="B73" r:id="rId16" xr:uid="{57F98D26-B165-4AB9-8C32-F2C275C9856F}"/>
    <hyperlink ref="B18" r:id="rId17" xr:uid="{F0E412CC-AA9E-433F-8B58-0ADD79B99C59}"/>
    <hyperlink ref="B35" r:id="rId18" xr:uid="{230AD7FC-F6A7-47D6-9C2D-0B01018AAD14}"/>
    <hyperlink ref="B15" r:id="rId19" xr:uid="{ADC65BE2-5B3F-4EB3-89B1-58E7D9C5B4C1}"/>
    <hyperlink ref="B108" r:id="rId20" xr:uid="{42D9B4C2-49DB-4976-8CCA-C4017A3941C0}"/>
    <hyperlink ref="B57" r:id="rId21" xr:uid="{86E91B6F-F7FB-481D-B8D1-FEE07E94759F}"/>
    <hyperlink ref="B24" r:id="rId22" xr:uid="{3B29A2B2-ACEC-4631-9D2B-137FB4FD8485}"/>
    <hyperlink ref="B16" r:id="rId23" xr:uid="{59B51422-4A12-4402-88DB-27D64A7EE5EC}"/>
    <hyperlink ref="B5" r:id="rId24" xr:uid="{A958CCC7-0F6A-4E85-B00A-C650FD6A1173}"/>
    <hyperlink ref="B17" r:id="rId25" xr:uid="{0C051AFE-4486-4BFC-AB84-764B7F49FF92}"/>
    <hyperlink ref="B23" r:id="rId26" xr:uid="{34FF06C9-667C-4E52-8F71-7CA624B5B13B}"/>
    <hyperlink ref="B22" r:id="rId27" xr:uid="{912F90E8-A4B5-4A8F-A5AE-C3A000A1F07B}"/>
    <hyperlink ref="B52" r:id="rId28" xr:uid="{15F4BDC5-BFD9-42E4-9244-2FAAB753FC64}"/>
    <hyperlink ref="B25" r:id="rId29" xr:uid="{7DDF0BE1-A6F4-4611-B633-C1D1EA6C2139}"/>
    <hyperlink ref="B14" r:id="rId30" xr:uid="{A8F25F35-C408-4366-97C0-6F9FD7113006}"/>
    <hyperlink ref="B26" r:id="rId31" xr:uid="{E8B9AE54-1883-496E-9EBB-058A9138CA18}"/>
    <hyperlink ref="B47" r:id="rId32" xr:uid="{B14F56C4-0269-430C-B784-857F30E85725}"/>
    <hyperlink ref="B28" r:id="rId33" xr:uid="{DDD3A7BD-556F-44BA-AE30-F939360FC127}"/>
    <hyperlink ref="B29" r:id="rId34" xr:uid="{2C831D96-B4B9-491E-831B-5894D585E8C8}"/>
    <hyperlink ref="B50" r:id="rId35" xr:uid="{5B06212A-3594-4A82-A65F-019D409C886F}"/>
    <hyperlink ref="B58" r:id="rId36" xr:uid="{AC9CA120-06B3-450A-8BD8-3F4B6FD6CA81}"/>
    <hyperlink ref="B59" r:id="rId37" xr:uid="{F18E5EE9-0C6D-4617-AC11-EC59FD45803C}"/>
    <hyperlink ref="B40" r:id="rId38" xr:uid="{8EA1C049-EA77-423B-8550-C70B9E5854CF}"/>
    <hyperlink ref="B33" r:id="rId39" xr:uid="{B84EC302-2735-4656-8952-595D8500CFD6}"/>
    <hyperlink ref="B27" r:id="rId40" xr:uid="{6B787C62-59B7-46FE-9933-77EE574BE474}"/>
    <hyperlink ref="B34" r:id="rId41" xr:uid="{D3FA63AD-BF24-425B-98A5-2CE3BF3D1EEA}"/>
    <hyperlink ref="B42" r:id="rId42" xr:uid="{0861642F-9E36-4921-A816-2FAEB50142F3}"/>
    <hyperlink ref="B61" r:id="rId43" xr:uid="{CE35F8AF-4D81-4514-AAE3-A0B6A1DFAF53}"/>
    <hyperlink ref="B51" r:id="rId44" xr:uid="{36869399-1692-4FD6-930E-D7887A95E3DC}"/>
    <hyperlink ref="B89" r:id="rId45" xr:uid="{36250E3E-3E1A-4D5F-BF38-AF1827922505}"/>
    <hyperlink ref="B156" r:id="rId46" xr:uid="{6BE6B375-FE8F-41D2-9638-C08176153FC9}"/>
    <hyperlink ref="B155" r:id="rId47" xr:uid="{83D93FC6-E047-4DB4-9086-8432ADFFE781}"/>
    <hyperlink ref="B30" r:id="rId48" xr:uid="{135277CF-6DC3-47F7-8FC6-007EBD401D21}"/>
    <hyperlink ref="B92" r:id="rId49" xr:uid="{B5BADCA7-FA1F-4469-8A4E-6DBF15BC2D45}"/>
    <hyperlink ref="B41" r:id="rId50" xr:uid="{DBE7D97F-741F-4800-8404-1F451AE4011C}"/>
    <hyperlink ref="B66" r:id="rId51" xr:uid="{0E9D99A8-629A-40C5-9D3C-7194C13A22B7}"/>
    <hyperlink ref="B148" r:id="rId52" xr:uid="{F85335ED-F5E2-4F84-9E57-1E2C1D595DC8}"/>
    <hyperlink ref="B19" r:id="rId53" xr:uid="{D135A82C-11BB-4EAD-A0B7-FCC5F0615625}"/>
    <hyperlink ref="B43" r:id="rId54" xr:uid="{094B8790-8C71-4E0F-8C2B-530826ADB19A}"/>
    <hyperlink ref="B131" r:id="rId55" xr:uid="{0E3C612F-A0F5-453F-BC38-C02F2D2FA502}"/>
    <hyperlink ref="B75" r:id="rId56" xr:uid="{3F9849AA-4262-44B1-BA9B-685CC173DF66}"/>
    <hyperlink ref="B205" r:id="rId57" xr:uid="{D1EBA843-70C5-4428-A072-81B6E708F014}"/>
    <hyperlink ref="B323" r:id="rId58" xr:uid="{A7EA8EE8-AC20-400C-A0E2-D86C34E0AC9B}"/>
    <hyperlink ref="B11" r:id="rId59" xr:uid="{E9F4DA1F-D069-4239-B886-BC201C31B81D}"/>
    <hyperlink ref="B49" r:id="rId60" xr:uid="{F38B3DB2-1F85-47E7-95A8-73CD5818464B}"/>
    <hyperlink ref="B82" r:id="rId61" xr:uid="{DA0B8C0C-33D7-41F2-88B7-6BDB934C3545}"/>
    <hyperlink ref="B209" r:id="rId62" xr:uid="{4F30C6D9-CD3F-4669-A3E7-171F621E2514}"/>
    <hyperlink ref="B84" r:id="rId63" xr:uid="{53669B02-34BA-4B85-AA51-86A4CC1BFCD4}"/>
    <hyperlink ref="B104" r:id="rId64" xr:uid="{74C3A2E7-0C03-48E3-B42F-9BC0BC403D8B}"/>
    <hyperlink ref="B322" r:id="rId65" xr:uid="{2EF44218-0FFB-4AD2-AA85-724FAB9B6964}"/>
    <hyperlink ref="B46" r:id="rId66" xr:uid="{A67C8237-A0F1-4A17-A742-D6FE9552A04A}"/>
    <hyperlink ref="B45" r:id="rId67" xr:uid="{26ECE735-DD01-4AC2-A7BF-B58A0C21AC4C}"/>
    <hyperlink ref="B56" r:id="rId68" xr:uid="{6718A887-05B5-4711-BDAC-F73D7E4BCA46}"/>
    <hyperlink ref="B249" r:id="rId69" xr:uid="{B18B5185-F69E-4727-B9A5-9536254CB591}"/>
    <hyperlink ref="B60" r:id="rId70" xr:uid="{727AB356-39CF-4BB2-99B5-9FB8245AFDE6}"/>
    <hyperlink ref="B36" r:id="rId71" xr:uid="{A7954308-0310-4A3F-A898-8AA2046ABEF3}"/>
    <hyperlink ref="B38" r:id="rId72" xr:uid="{CD207CF6-4C45-4FA4-9692-EAC880B06FBC}"/>
    <hyperlink ref="B62" r:id="rId73" xr:uid="{63B6BA87-ED53-4EDA-AA5E-C182D12A623D}"/>
    <hyperlink ref="B68" r:id="rId74" xr:uid="{B7B70500-171D-4A40-BAED-5F900D3C4524}"/>
    <hyperlink ref="B78" r:id="rId75" xr:uid="{FEB4F40A-21A1-4154-9B05-F59B8A06263C}"/>
    <hyperlink ref="B93" r:id="rId76" xr:uid="{0053453D-700B-44AA-BC1B-981AD992E1CC}"/>
    <hyperlink ref="B134" r:id="rId77" xr:uid="{646239C4-1DE0-47B0-8A7F-6EDCD4A7379E}"/>
    <hyperlink ref="B154" r:id="rId78" xr:uid="{0C4F2B8B-E9BD-400F-85EB-B74291F1866B}"/>
    <hyperlink ref="B178" r:id="rId79" xr:uid="{EE957A18-C1D3-4C3C-A662-B9CA7DC06F8D}"/>
    <hyperlink ref="B122" r:id="rId80" xr:uid="{955F7B47-6997-4737-A3CE-BAEA5B36D5C3}"/>
    <hyperlink ref="B76" r:id="rId81" xr:uid="{77B560CC-6503-4732-BA03-EBD96AB1C1E8}"/>
    <hyperlink ref="B1100" r:id="rId82" xr:uid="{CC7AF7EF-FD58-40F3-9751-C19C471B5320}"/>
    <hyperlink ref="B1101" r:id="rId83" xr:uid="{52749962-867F-4855-ACBB-76F6560C195D}"/>
    <hyperlink ref="B1099" r:id="rId84" xr:uid="{183849A2-82AE-4CD1-A9BB-C5F5B0BD616B}"/>
    <hyperlink ref="B293" r:id="rId85" xr:uid="{169337C6-DF90-4649-B61A-B3A727423BB4}"/>
    <hyperlink ref="B1102" r:id="rId86" xr:uid="{C33CEF87-C448-44DC-8D3C-76ED6050B4C6}"/>
    <hyperlink ref="B1103" r:id="rId87" xr:uid="{08DFB937-4A07-43A5-8FDF-1CAC363B74F2}"/>
    <hyperlink ref="B10" r:id="rId88" xr:uid="{C6D6D9DF-939F-4B72-9D11-E3B4B0414215}"/>
    <hyperlink ref="B1104" r:id="rId89" xr:uid="{63599463-F68C-4CE4-AE26-A9201E39804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EB21D-A40A-44EE-91A8-34673298BBA9}">
  <dimension ref="A1:O427"/>
  <sheetViews>
    <sheetView topLeftCell="A415" zoomScale="200" zoomScaleNormal="200" workbookViewId="0">
      <selection activeCell="B428" sqref="B428"/>
    </sheetView>
  </sheetViews>
  <sheetFormatPr defaultRowHeight="12.75" x14ac:dyDescent="0.2"/>
  <cols>
    <col min="1" max="1" width="5" style="52" bestFit="1" customWidth="1"/>
    <col min="2" max="2" width="21.5703125" style="52" customWidth="1"/>
    <col min="3" max="16384" width="9.140625" style="52"/>
  </cols>
  <sheetData>
    <row r="1" spans="1:15" x14ac:dyDescent="0.2">
      <c r="A1" s="13" t="s">
        <v>958</v>
      </c>
    </row>
    <row r="2" spans="1:15" x14ac:dyDescent="0.2">
      <c r="A2" s="52" t="s">
        <v>771</v>
      </c>
    </row>
    <row r="3" spans="1:15" x14ac:dyDescent="0.2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</row>
    <row r="4" spans="1:15" x14ac:dyDescent="0.2">
      <c r="A4" s="53">
        <v>1</v>
      </c>
      <c r="B4" s="54" t="s">
        <v>6</v>
      </c>
      <c r="C4" s="55" t="s">
        <v>31</v>
      </c>
    </row>
    <row r="5" spans="1:15" x14ac:dyDescent="0.2">
      <c r="A5" s="53">
        <f>1+A4</f>
        <v>2</v>
      </c>
      <c r="B5" s="54" t="s">
        <v>8</v>
      </c>
      <c r="C5" s="55" t="s">
        <v>428</v>
      </c>
    </row>
    <row r="6" spans="1:15" x14ac:dyDescent="0.2">
      <c r="A6" s="53">
        <f t="shared" ref="A6:A57" si="0">1+A5</f>
        <v>3</v>
      </c>
      <c r="B6" s="54" t="s">
        <v>2608</v>
      </c>
      <c r="C6" s="55" t="s">
        <v>34</v>
      </c>
    </row>
    <row r="7" spans="1:15" x14ac:dyDescent="0.2">
      <c r="A7" s="53">
        <f t="shared" si="0"/>
        <v>4</v>
      </c>
      <c r="B7" s="54" t="s">
        <v>3161</v>
      </c>
      <c r="C7" s="55" t="s">
        <v>811</v>
      </c>
    </row>
    <row r="8" spans="1:15" x14ac:dyDescent="0.2">
      <c r="A8" s="53">
        <f t="shared" si="0"/>
        <v>5</v>
      </c>
      <c r="B8" s="54" t="s">
        <v>11</v>
      </c>
      <c r="C8" s="55" t="s">
        <v>37</v>
      </c>
    </row>
    <row r="9" spans="1:15" x14ac:dyDescent="0.2">
      <c r="A9" s="53">
        <f t="shared" si="0"/>
        <v>6</v>
      </c>
      <c r="B9" s="54" t="s">
        <v>14</v>
      </c>
      <c r="C9" s="55" t="s">
        <v>36</v>
      </c>
    </row>
    <row r="10" spans="1:15" x14ac:dyDescent="0.2">
      <c r="A10" s="53">
        <f t="shared" si="0"/>
        <v>7</v>
      </c>
      <c r="B10" s="54" t="s">
        <v>115</v>
      </c>
      <c r="C10" s="55" t="s">
        <v>116</v>
      </c>
    </row>
    <row r="11" spans="1:15" x14ac:dyDescent="0.2">
      <c r="A11" s="53">
        <f t="shared" si="0"/>
        <v>8</v>
      </c>
      <c r="B11" s="54" t="s">
        <v>202</v>
      </c>
      <c r="C11" s="55" t="s">
        <v>203</v>
      </c>
    </row>
    <row r="12" spans="1:15" x14ac:dyDescent="0.2">
      <c r="A12" s="53">
        <f t="shared" si="0"/>
        <v>9</v>
      </c>
      <c r="B12" s="52" t="s">
        <v>15</v>
      </c>
      <c r="C12" s="53" t="s">
        <v>57</v>
      </c>
    </row>
    <row r="13" spans="1:15" x14ac:dyDescent="0.2">
      <c r="A13" s="53">
        <f t="shared" si="0"/>
        <v>10</v>
      </c>
      <c r="B13" s="52" t="s">
        <v>25</v>
      </c>
      <c r="C13" s="52" t="s">
        <v>25</v>
      </c>
    </row>
    <row r="14" spans="1:15" x14ac:dyDescent="0.2">
      <c r="A14" s="53">
        <f t="shared" si="0"/>
        <v>11</v>
      </c>
      <c r="B14" s="52" t="s">
        <v>3527</v>
      </c>
      <c r="C14" s="52" t="s">
        <v>3528</v>
      </c>
      <c r="D14" s="52" t="s">
        <v>768</v>
      </c>
    </row>
    <row r="15" spans="1:15" x14ac:dyDescent="0.2">
      <c r="A15" s="53">
        <f t="shared" si="0"/>
        <v>12</v>
      </c>
      <c r="B15" s="52" t="s">
        <v>18</v>
      </c>
      <c r="C15" s="52" t="s">
        <v>3529</v>
      </c>
    </row>
    <row r="16" spans="1:15" x14ac:dyDescent="0.2">
      <c r="A16" s="53">
        <f t="shared" si="0"/>
        <v>13</v>
      </c>
      <c r="B16" s="52" t="s">
        <v>3530</v>
      </c>
      <c r="C16" s="52" t="s">
        <v>2594</v>
      </c>
    </row>
    <row r="17" spans="1:4" x14ac:dyDescent="0.2">
      <c r="A17" s="53">
        <f t="shared" si="0"/>
        <v>14</v>
      </c>
      <c r="B17" s="52" t="s">
        <v>810</v>
      </c>
      <c r="C17" s="52" t="s">
        <v>3531</v>
      </c>
    </row>
    <row r="18" spans="1:4" x14ac:dyDescent="0.2">
      <c r="A18" s="53">
        <f t="shared" si="0"/>
        <v>15</v>
      </c>
      <c r="B18" s="52" t="s">
        <v>3532</v>
      </c>
      <c r="C18" s="52" t="s">
        <v>3533</v>
      </c>
    </row>
    <row r="19" spans="1:4" x14ac:dyDescent="0.2">
      <c r="A19" s="53">
        <f t="shared" si="0"/>
        <v>16</v>
      </c>
      <c r="B19" s="52" t="s">
        <v>340</v>
      </c>
      <c r="C19" s="52" t="s">
        <v>341</v>
      </c>
    </row>
    <row r="20" spans="1:4" x14ac:dyDescent="0.2">
      <c r="A20" s="53">
        <f t="shared" si="0"/>
        <v>17</v>
      </c>
      <c r="B20" s="52" t="s">
        <v>3534</v>
      </c>
      <c r="C20" s="52" t="s">
        <v>807</v>
      </c>
      <c r="D20" s="52" t="s">
        <v>3535</v>
      </c>
    </row>
    <row r="21" spans="1:4" x14ac:dyDescent="0.2">
      <c r="A21" s="53">
        <f t="shared" si="0"/>
        <v>18</v>
      </c>
      <c r="B21" s="52" t="s">
        <v>543</v>
      </c>
      <c r="C21" s="52" t="s">
        <v>544</v>
      </c>
    </row>
    <row r="22" spans="1:4" x14ac:dyDescent="0.2">
      <c r="A22" s="53">
        <f t="shared" si="0"/>
        <v>19</v>
      </c>
      <c r="B22" s="52" t="s">
        <v>873</v>
      </c>
      <c r="C22" s="52" t="s">
        <v>3544</v>
      </c>
      <c r="D22" s="52" t="s">
        <v>46</v>
      </c>
    </row>
    <row r="23" spans="1:4" x14ac:dyDescent="0.2">
      <c r="A23" s="53">
        <f t="shared" si="0"/>
        <v>20</v>
      </c>
      <c r="B23" s="52" t="s">
        <v>575</v>
      </c>
      <c r="C23" s="52" t="s">
        <v>576</v>
      </c>
    </row>
    <row r="24" spans="1:4" x14ac:dyDescent="0.2">
      <c r="A24" s="53">
        <f t="shared" si="0"/>
        <v>21</v>
      </c>
      <c r="B24" s="52" t="s">
        <v>3536</v>
      </c>
      <c r="C24" s="52" t="s">
        <v>656</v>
      </c>
      <c r="D24" s="52" t="s">
        <v>3537</v>
      </c>
    </row>
    <row r="25" spans="1:4" x14ac:dyDescent="0.2">
      <c r="A25" s="53">
        <f t="shared" si="0"/>
        <v>22</v>
      </c>
      <c r="B25" s="52" t="s">
        <v>3538</v>
      </c>
      <c r="C25" s="52" t="s">
        <v>872</v>
      </c>
    </row>
    <row r="26" spans="1:4" x14ac:dyDescent="0.2">
      <c r="A26" s="53">
        <f t="shared" si="0"/>
        <v>23</v>
      </c>
      <c r="B26" s="52" t="s">
        <v>683</v>
      </c>
      <c r="C26" s="52" t="s">
        <v>684</v>
      </c>
    </row>
    <row r="27" spans="1:4" x14ac:dyDescent="0.2">
      <c r="A27" s="53">
        <f t="shared" si="0"/>
        <v>24</v>
      </c>
      <c r="B27" s="52" t="s">
        <v>13</v>
      </c>
    </row>
    <row r="28" spans="1:4" x14ac:dyDescent="0.2">
      <c r="A28" s="53">
        <f t="shared" si="0"/>
        <v>25</v>
      </c>
      <c r="B28" s="52" t="s">
        <v>16</v>
      </c>
    </row>
    <row r="29" spans="1:4" x14ac:dyDescent="0.2">
      <c r="A29" s="53">
        <f t="shared" si="0"/>
        <v>26</v>
      </c>
      <c r="B29" s="52" t="s">
        <v>776</v>
      </c>
    </row>
    <row r="30" spans="1:4" x14ac:dyDescent="0.2">
      <c r="A30" s="53">
        <f t="shared" si="0"/>
        <v>27</v>
      </c>
      <c r="B30" s="52" t="s">
        <v>111</v>
      </c>
    </row>
    <row r="31" spans="1:4" x14ac:dyDescent="0.2">
      <c r="A31" s="53">
        <f t="shared" si="0"/>
        <v>28</v>
      </c>
      <c r="B31" s="52" t="s">
        <v>64</v>
      </c>
    </row>
    <row r="32" spans="1:4" x14ac:dyDescent="0.2">
      <c r="A32" s="53">
        <f t="shared" si="0"/>
        <v>29</v>
      </c>
      <c r="B32" s="52" t="s">
        <v>3539</v>
      </c>
    </row>
    <row r="33" spans="1:3" x14ac:dyDescent="0.2">
      <c r="A33" s="53">
        <f t="shared" si="0"/>
        <v>30</v>
      </c>
      <c r="B33" s="52" t="s">
        <v>27</v>
      </c>
    </row>
    <row r="34" spans="1:3" x14ac:dyDescent="0.2">
      <c r="A34" s="53">
        <f t="shared" si="0"/>
        <v>31</v>
      </c>
      <c r="B34" s="52" t="s">
        <v>22</v>
      </c>
    </row>
    <row r="35" spans="1:3" x14ac:dyDescent="0.2">
      <c r="A35" s="53">
        <f t="shared" si="0"/>
        <v>32</v>
      </c>
      <c r="B35" s="52" t="s">
        <v>772</v>
      </c>
    </row>
    <row r="36" spans="1:3" x14ac:dyDescent="0.2">
      <c r="A36" s="53">
        <f t="shared" si="0"/>
        <v>33</v>
      </c>
      <c r="B36" s="52" t="s">
        <v>3540</v>
      </c>
    </row>
    <row r="37" spans="1:3" x14ac:dyDescent="0.2">
      <c r="A37" s="53">
        <f t="shared" si="0"/>
        <v>34</v>
      </c>
      <c r="B37" s="52" t="s">
        <v>959</v>
      </c>
    </row>
    <row r="38" spans="1:3" x14ac:dyDescent="0.2">
      <c r="A38" s="53">
        <f t="shared" si="0"/>
        <v>35</v>
      </c>
      <c r="B38" s="52" t="s">
        <v>3541</v>
      </c>
    </row>
    <row r="39" spans="1:3" x14ac:dyDescent="0.2">
      <c r="A39" s="53">
        <f t="shared" si="0"/>
        <v>36</v>
      </c>
      <c r="B39" s="52" t="s">
        <v>61</v>
      </c>
    </row>
    <row r="40" spans="1:3" x14ac:dyDescent="0.2">
      <c r="A40" s="53">
        <f t="shared" si="0"/>
        <v>37</v>
      </c>
      <c r="B40" s="52" t="s">
        <v>130</v>
      </c>
    </row>
    <row r="41" spans="1:3" x14ac:dyDescent="0.2">
      <c r="A41" s="53">
        <f t="shared" si="0"/>
        <v>38</v>
      </c>
      <c r="B41" s="52" t="s">
        <v>10</v>
      </c>
    </row>
    <row r="42" spans="1:3" x14ac:dyDescent="0.2">
      <c r="A42" s="53">
        <f t="shared" si="0"/>
        <v>39</v>
      </c>
      <c r="B42" s="54" t="s">
        <v>3164</v>
      </c>
      <c r="C42" s="55" t="s">
        <v>3165</v>
      </c>
    </row>
    <row r="43" spans="1:3" x14ac:dyDescent="0.2">
      <c r="A43" s="53">
        <f t="shared" si="0"/>
        <v>40</v>
      </c>
      <c r="B43" s="54" t="s">
        <v>3166</v>
      </c>
      <c r="C43" s="55" t="s">
        <v>499</v>
      </c>
    </row>
    <row r="44" spans="1:3" x14ac:dyDescent="0.2">
      <c r="A44" s="53">
        <f t="shared" si="0"/>
        <v>41</v>
      </c>
      <c r="B44" s="54" t="s">
        <v>3167</v>
      </c>
      <c r="C44" s="55" t="s">
        <v>3168</v>
      </c>
    </row>
    <row r="45" spans="1:3" x14ac:dyDescent="0.2">
      <c r="A45" s="53">
        <f t="shared" si="0"/>
        <v>42</v>
      </c>
      <c r="B45" s="54" t="s">
        <v>113</v>
      </c>
      <c r="C45" s="55"/>
    </row>
    <row r="46" spans="1:3" x14ac:dyDescent="0.2">
      <c r="A46" s="53">
        <f t="shared" si="0"/>
        <v>43</v>
      </c>
      <c r="B46" s="54" t="s">
        <v>819</v>
      </c>
      <c r="C46" s="55"/>
    </row>
    <row r="47" spans="1:3" x14ac:dyDescent="0.2">
      <c r="A47" s="53">
        <f t="shared" si="0"/>
        <v>44</v>
      </c>
      <c r="B47" s="54" t="s">
        <v>3545</v>
      </c>
      <c r="C47" s="55"/>
    </row>
    <row r="48" spans="1:3" x14ac:dyDescent="0.2">
      <c r="A48" s="53">
        <f t="shared" si="0"/>
        <v>45</v>
      </c>
      <c r="B48" s="54" t="s">
        <v>3546</v>
      </c>
      <c r="C48" s="55"/>
    </row>
    <row r="49" spans="1:3" x14ac:dyDescent="0.2">
      <c r="A49" s="53">
        <f t="shared" si="0"/>
        <v>46</v>
      </c>
      <c r="B49" s="54" t="s">
        <v>2705</v>
      </c>
      <c r="C49" s="55"/>
    </row>
    <row r="50" spans="1:3" x14ac:dyDescent="0.2">
      <c r="A50" s="53">
        <f t="shared" si="0"/>
        <v>47</v>
      </c>
      <c r="B50" s="54" t="s">
        <v>3547</v>
      </c>
      <c r="C50" s="55"/>
    </row>
    <row r="51" spans="1:3" x14ac:dyDescent="0.2">
      <c r="A51" s="53">
        <f t="shared" si="0"/>
        <v>48</v>
      </c>
      <c r="B51" s="54" t="s">
        <v>1216</v>
      </c>
      <c r="C51" s="55"/>
    </row>
    <row r="52" spans="1:3" x14ac:dyDescent="0.2">
      <c r="A52" s="53">
        <f t="shared" si="0"/>
        <v>49</v>
      </c>
      <c r="B52" s="54" t="s">
        <v>1463</v>
      </c>
      <c r="C52" s="55"/>
    </row>
    <row r="53" spans="1:3" x14ac:dyDescent="0.2">
      <c r="A53" s="53">
        <f t="shared" si="0"/>
        <v>50</v>
      </c>
      <c r="B53" s="54" t="s">
        <v>3548</v>
      </c>
      <c r="C53" s="55"/>
    </row>
    <row r="54" spans="1:3" x14ac:dyDescent="0.2">
      <c r="A54" s="53">
        <f t="shared" si="0"/>
        <v>51</v>
      </c>
      <c r="B54" s="54" t="s">
        <v>465</v>
      </c>
      <c r="C54" s="55"/>
    </row>
    <row r="55" spans="1:3" x14ac:dyDescent="0.2">
      <c r="A55" s="53">
        <f t="shared" si="0"/>
        <v>52</v>
      </c>
      <c r="B55" s="54" t="s">
        <v>3549</v>
      </c>
      <c r="C55" s="55"/>
    </row>
    <row r="56" spans="1:3" x14ac:dyDescent="0.2">
      <c r="A56" s="53">
        <f t="shared" si="0"/>
        <v>53</v>
      </c>
      <c r="B56" s="54" t="s">
        <v>135</v>
      </c>
      <c r="C56" s="55"/>
    </row>
    <row r="57" spans="1:3" x14ac:dyDescent="0.2">
      <c r="A57" s="53">
        <f t="shared" si="0"/>
        <v>54</v>
      </c>
      <c r="B57" s="52" t="s">
        <v>268</v>
      </c>
    </row>
    <row r="59" spans="1:3" x14ac:dyDescent="0.2">
      <c r="A59" s="53">
        <v>1</v>
      </c>
      <c r="B59" s="16" t="s">
        <v>808</v>
      </c>
    </row>
    <row r="60" spans="1:3" x14ac:dyDescent="0.2">
      <c r="A60" s="53">
        <f t="shared" ref="A60:A123" si="1">1+A59</f>
        <v>2</v>
      </c>
      <c r="B60" s="52" t="s">
        <v>3155</v>
      </c>
      <c r="C60" s="55" t="s">
        <v>808</v>
      </c>
    </row>
    <row r="61" spans="1:3" x14ac:dyDescent="0.2">
      <c r="A61" s="53">
        <f t="shared" si="1"/>
        <v>3</v>
      </c>
      <c r="B61" s="52" t="s">
        <v>3156</v>
      </c>
      <c r="C61" s="55" t="s">
        <v>808</v>
      </c>
    </row>
    <row r="62" spans="1:3" x14ac:dyDescent="0.2">
      <c r="A62" s="53">
        <f t="shared" si="1"/>
        <v>4</v>
      </c>
      <c r="B62" s="52" t="s">
        <v>3157</v>
      </c>
      <c r="C62" s="55" t="s">
        <v>808</v>
      </c>
    </row>
    <row r="63" spans="1:3" x14ac:dyDescent="0.2">
      <c r="A63" s="53">
        <f t="shared" si="1"/>
        <v>5</v>
      </c>
      <c r="B63" s="54" t="s">
        <v>916</v>
      </c>
      <c r="C63" s="55" t="s">
        <v>808</v>
      </c>
    </row>
    <row r="64" spans="1:3" x14ac:dyDescent="0.2">
      <c r="A64" s="53">
        <f t="shared" si="1"/>
        <v>6</v>
      </c>
      <c r="B64" s="54" t="s">
        <v>888</v>
      </c>
      <c r="C64" s="55" t="s">
        <v>808</v>
      </c>
    </row>
    <row r="65" spans="1:4" x14ac:dyDescent="0.2">
      <c r="A65" s="53">
        <f t="shared" si="1"/>
        <v>7</v>
      </c>
      <c r="B65" s="54" t="s">
        <v>3162</v>
      </c>
      <c r="C65" s="55" t="s">
        <v>808</v>
      </c>
    </row>
    <row r="66" spans="1:4" x14ac:dyDescent="0.2">
      <c r="A66" s="53">
        <f t="shared" si="1"/>
        <v>8</v>
      </c>
      <c r="B66" s="54" t="s">
        <v>3163</v>
      </c>
      <c r="C66" s="55" t="s">
        <v>808</v>
      </c>
    </row>
    <row r="67" spans="1:4" x14ac:dyDescent="0.2">
      <c r="A67" s="53">
        <f t="shared" si="1"/>
        <v>9</v>
      </c>
      <c r="B67" s="54" t="s">
        <v>3169</v>
      </c>
      <c r="C67" s="55" t="s">
        <v>808</v>
      </c>
    </row>
    <row r="68" spans="1:4" x14ac:dyDescent="0.2">
      <c r="A68" s="53">
        <f t="shared" si="1"/>
        <v>10</v>
      </c>
      <c r="B68" s="54" t="s">
        <v>3170</v>
      </c>
      <c r="C68" s="55" t="s">
        <v>808</v>
      </c>
    </row>
    <row r="69" spans="1:4" x14ac:dyDescent="0.2">
      <c r="A69" s="53">
        <f t="shared" si="1"/>
        <v>11</v>
      </c>
      <c r="B69" s="54" t="s">
        <v>3171</v>
      </c>
      <c r="C69" s="55" t="s">
        <v>808</v>
      </c>
    </row>
    <row r="70" spans="1:4" x14ac:dyDescent="0.2">
      <c r="A70" s="53">
        <f t="shared" si="1"/>
        <v>12</v>
      </c>
      <c r="B70" s="54" t="s">
        <v>3172</v>
      </c>
      <c r="C70" s="55" t="s">
        <v>808</v>
      </c>
    </row>
    <row r="71" spans="1:4" x14ac:dyDescent="0.2">
      <c r="A71" s="53">
        <f t="shared" si="1"/>
        <v>13</v>
      </c>
      <c r="B71" s="54" t="s">
        <v>3542</v>
      </c>
      <c r="C71" s="55" t="s">
        <v>808</v>
      </c>
    </row>
    <row r="72" spans="1:4" x14ac:dyDescent="0.2">
      <c r="A72" s="53">
        <f t="shared" si="1"/>
        <v>14</v>
      </c>
      <c r="B72" s="54" t="s">
        <v>3543</v>
      </c>
      <c r="C72" s="55" t="s">
        <v>808</v>
      </c>
    </row>
    <row r="73" spans="1:4" x14ac:dyDescent="0.2">
      <c r="A73" s="53">
        <f t="shared" si="1"/>
        <v>15</v>
      </c>
      <c r="B73" s="54" t="s">
        <v>3173</v>
      </c>
      <c r="C73" s="55" t="s">
        <v>808</v>
      </c>
    </row>
    <row r="74" spans="1:4" x14ac:dyDescent="0.2">
      <c r="A74" s="53">
        <f t="shared" si="1"/>
        <v>16</v>
      </c>
      <c r="B74" s="54" t="s">
        <v>3174</v>
      </c>
      <c r="C74" s="55" t="s">
        <v>808</v>
      </c>
    </row>
    <row r="75" spans="1:4" x14ac:dyDescent="0.2">
      <c r="A75" s="53">
        <f t="shared" si="1"/>
        <v>17</v>
      </c>
      <c r="B75" s="54" t="s">
        <v>3175</v>
      </c>
      <c r="C75" s="55" t="s">
        <v>808</v>
      </c>
    </row>
    <row r="76" spans="1:4" x14ac:dyDescent="0.2">
      <c r="A76" s="53">
        <f t="shared" si="1"/>
        <v>18</v>
      </c>
      <c r="B76" s="54" t="s">
        <v>3176</v>
      </c>
      <c r="C76" s="55" t="s">
        <v>808</v>
      </c>
    </row>
    <row r="77" spans="1:4" x14ac:dyDescent="0.2">
      <c r="A77" s="53">
        <f t="shared" si="1"/>
        <v>19</v>
      </c>
      <c r="B77" s="54" t="s">
        <v>810</v>
      </c>
      <c r="C77" s="55" t="s">
        <v>808</v>
      </c>
    </row>
    <row r="78" spans="1:4" x14ac:dyDescent="0.2">
      <c r="A78" s="53">
        <f t="shared" si="1"/>
        <v>20</v>
      </c>
      <c r="B78" s="54" t="s">
        <v>3177</v>
      </c>
      <c r="C78" s="55" t="s">
        <v>1205</v>
      </c>
    </row>
    <row r="79" spans="1:4" x14ac:dyDescent="0.2">
      <c r="A79" s="53">
        <f t="shared" si="1"/>
        <v>21</v>
      </c>
      <c r="B79" s="54" t="s">
        <v>889</v>
      </c>
      <c r="C79" s="55" t="s">
        <v>808</v>
      </c>
      <c r="D79" s="60">
        <v>10000</v>
      </c>
    </row>
    <row r="80" spans="1:4" x14ac:dyDescent="0.2">
      <c r="A80" s="53">
        <f t="shared" si="1"/>
        <v>22</v>
      </c>
      <c r="B80" s="54" t="s">
        <v>3178</v>
      </c>
      <c r="C80" s="55" t="s">
        <v>808</v>
      </c>
    </row>
    <row r="81" spans="1:3" x14ac:dyDescent="0.2">
      <c r="A81" s="53">
        <f t="shared" si="1"/>
        <v>23</v>
      </c>
      <c r="B81" s="54" t="s">
        <v>3179</v>
      </c>
      <c r="C81" s="55" t="s">
        <v>808</v>
      </c>
    </row>
    <row r="82" spans="1:3" x14ac:dyDescent="0.2">
      <c r="A82" s="53">
        <f t="shared" si="1"/>
        <v>24</v>
      </c>
      <c r="B82" s="54" t="s">
        <v>3180</v>
      </c>
      <c r="C82" s="55" t="s">
        <v>808</v>
      </c>
    </row>
    <row r="83" spans="1:3" x14ac:dyDescent="0.2">
      <c r="A83" s="53">
        <f t="shared" si="1"/>
        <v>25</v>
      </c>
      <c r="B83" s="54" t="s">
        <v>3181</v>
      </c>
      <c r="C83" s="55" t="s">
        <v>808</v>
      </c>
    </row>
    <row r="84" spans="1:3" x14ac:dyDescent="0.2">
      <c r="A84" s="53">
        <f t="shared" si="1"/>
        <v>26</v>
      </c>
      <c r="B84" s="54" t="s">
        <v>3182</v>
      </c>
      <c r="C84" s="55" t="s">
        <v>808</v>
      </c>
    </row>
    <row r="85" spans="1:3" x14ac:dyDescent="0.2">
      <c r="A85" s="53">
        <f t="shared" si="1"/>
        <v>27</v>
      </c>
      <c r="B85" s="54" t="s">
        <v>3183</v>
      </c>
      <c r="C85" s="55" t="s">
        <v>808</v>
      </c>
    </row>
    <row r="86" spans="1:3" x14ac:dyDescent="0.2">
      <c r="A86" s="53">
        <f t="shared" si="1"/>
        <v>28</v>
      </c>
      <c r="B86" s="54" t="s">
        <v>3184</v>
      </c>
      <c r="C86" s="55" t="s">
        <v>808</v>
      </c>
    </row>
    <row r="87" spans="1:3" x14ac:dyDescent="0.2">
      <c r="A87" s="53">
        <f t="shared" si="1"/>
        <v>29</v>
      </c>
      <c r="B87" s="54" t="s">
        <v>3185</v>
      </c>
      <c r="C87" s="55" t="s">
        <v>808</v>
      </c>
    </row>
    <row r="88" spans="1:3" x14ac:dyDescent="0.2">
      <c r="A88" s="53">
        <f t="shared" si="1"/>
        <v>30</v>
      </c>
      <c r="B88" s="54" t="s">
        <v>3186</v>
      </c>
      <c r="C88" s="55" t="s">
        <v>808</v>
      </c>
    </row>
    <row r="89" spans="1:3" x14ac:dyDescent="0.2">
      <c r="A89" s="53">
        <f t="shared" si="1"/>
        <v>31</v>
      </c>
      <c r="B89" s="54" t="s">
        <v>3187</v>
      </c>
      <c r="C89" s="55" t="s">
        <v>808</v>
      </c>
    </row>
    <row r="90" spans="1:3" x14ac:dyDescent="0.2">
      <c r="A90" s="53">
        <f t="shared" si="1"/>
        <v>32</v>
      </c>
      <c r="B90" s="54" t="s">
        <v>3188</v>
      </c>
      <c r="C90" s="55" t="s">
        <v>808</v>
      </c>
    </row>
    <row r="91" spans="1:3" x14ac:dyDescent="0.2">
      <c r="A91" s="53">
        <f t="shared" si="1"/>
        <v>33</v>
      </c>
      <c r="B91" s="54" t="s">
        <v>3189</v>
      </c>
      <c r="C91" s="55" t="s">
        <v>808</v>
      </c>
    </row>
    <row r="92" spans="1:3" x14ac:dyDescent="0.2">
      <c r="A92" s="53">
        <f t="shared" si="1"/>
        <v>34</v>
      </c>
      <c r="B92" s="56" t="s">
        <v>3190</v>
      </c>
      <c r="C92" s="57" t="s">
        <v>808</v>
      </c>
    </row>
    <row r="93" spans="1:3" x14ac:dyDescent="0.2">
      <c r="A93" s="53">
        <f t="shared" si="1"/>
        <v>35</v>
      </c>
      <c r="B93" s="54" t="s">
        <v>3191</v>
      </c>
      <c r="C93" s="55" t="s">
        <v>808</v>
      </c>
    </row>
    <row r="94" spans="1:3" x14ac:dyDescent="0.2">
      <c r="A94" s="53">
        <f t="shared" si="1"/>
        <v>36</v>
      </c>
      <c r="B94" s="54" t="s">
        <v>3192</v>
      </c>
      <c r="C94" s="55" t="s">
        <v>808</v>
      </c>
    </row>
    <row r="95" spans="1:3" x14ac:dyDescent="0.2">
      <c r="A95" s="53">
        <f t="shared" si="1"/>
        <v>37</v>
      </c>
      <c r="B95" s="54" t="s">
        <v>3193</v>
      </c>
      <c r="C95" s="55" t="s">
        <v>808</v>
      </c>
    </row>
    <row r="96" spans="1:3" x14ac:dyDescent="0.2">
      <c r="A96" s="53">
        <f t="shared" si="1"/>
        <v>38</v>
      </c>
      <c r="B96" s="54" t="s">
        <v>3194</v>
      </c>
      <c r="C96" s="55" t="s">
        <v>808</v>
      </c>
    </row>
    <row r="97" spans="1:3" x14ac:dyDescent="0.2">
      <c r="A97" s="53">
        <f t="shared" si="1"/>
        <v>39</v>
      </c>
      <c r="B97" s="54" t="s">
        <v>3195</v>
      </c>
      <c r="C97" s="55" t="s">
        <v>808</v>
      </c>
    </row>
    <row r="98" spans="1:3" x14ac:dyDescent="0.2">
      <c r="A98" s="53">
        <f t="shared" si="1"/>
        <v>40</v>
      </c>
      <c r="B98" s="54" t="s">
        <v>3196</v>
      </c>
      <c r="C98" s="55" t="s">
        <v>808</v>
      </c>
    </row>
    <row r="99" spans="1:3" x14ac:dyDescent="0.2">
      <c r="A99" s="53">
        <f t="shared" si="1"/>
        <v>41</v>
      </c>
      <c r="B99" s="54" t="s">
        <v>3197</v>
      </c>
      <c r="C99" s="55" t="s">
        <v>808</v>
      </c>
    </row>
    <row r="100" spans="1:3" x14ac:dyDescent="0.2">
      <c r="A100" s="53">
        <f t="shared" si="1"/>
        <v>42</v>
      </c>
      <c r="B100" s="54" t="s">
        <v>3198</v>
      </c>
      <c r="C100" s="55" t="s">
        <v>808</v>
      </c>
    </row>
    <row r="101" spans="1:3" x14ac:dyDescent="0.2">
      <c r="A101" s="53">
        <f t="shared" si="1"/>
        <v>43</v>
      </c>
      <c r="B101" s="54" t="s">
        <v>3199</v>
      </c>
      <c r="C101" s="55" t="s">
        <v>808</v>
      </c>
    </row>
    <row r="102" spans="1:3" x14ac:dyDescent="0.2">
      <c r="A102" s="53">
        <f t="shared" si="1"/>
        <v>44</v>
      </c>
      <c r="B102" s="54" t="s">
        <v>3200</v>
      </c>
      <c r="C102" s="55" t="s">
        <v>808</v>
      </c>
    </row>
    <row r="103" spans="1:3" x14ac:dyDescent="0.2">
      <c r="A103" s="53">
        <f t="shared" si="1"/>
        <v>45</v>
      </c>
      <c r="B103" s="54" t="s">
        <v>3201</v>
      </c>
      <c r="C103" s="55" t="s">
        <v>808</v>
      </c>
    </row>
    <row r="104" spans="1:3" x14ac:dyDescent="0.2">
      <c r="A104" s="53">
        <f t="shared" si="1"/>
        <v>46</v>
      </c>
      <c r="B104" s="56" t="s">
        <v>3202</v>
      </c>
      <c r="C104" s="57" t="s">
        <v>808</v>
      </c>
    </row>
    <row r="105" spans="1:3" x14ac:dyDescent="0.2">
      <c r="A105" s="53">
        <f t="shared" si="1"/>
        <v>47</v>
      </c>
      <c r="B105" s="54" t="s">
        <v>3203</v>
      </c>
      <c r="C105" s="55" t="s">
        <v>808</v>
      </c>
    </row>
    <row r="106" spans="1:3" x14ac:dyDescent="0.2">
      <c r="A106" s="53">
        <f t="shared" si="1"/>
        <v>48</v>
      </c>
      <c r="B106" s="54" t="s">
        <v>3204</v>
      </c>
      <c r="C106" s="55" t="s">
        <v>808</v>
      </c>
    </row>
    <row r="107" spans="1:3" x14ac:dyDescent="0.2">
      <c r="A107" s="53">
        <f t="shared" si="1"/>
        <v>49</v>
      </c>
      <c r="B107" s="54" t="s">
        <v>3205</v>
      </c>
      <c r="C107" s="55" t="s">
        <v>808</v>
      </c>
    </row>
    <row r="108" spans="1:3" x14ac:dyDescent="0.2">
      <c r="A108" s="53">
        <f t="shared" si="1"/>
        <v>50</v>
      </c>
      <c r="B108" s="54" t="s">
        <v>3206</v>
      </c>
      <c r="C108" s="55" t="s">
        <v>808</v>
      </c>
    </row>
    <row r="109" spans="1:3" x14ac:dyDescent="0.2">
      <c r="A109" s="53">
        <f t="shared" si="1"/>
        <v>51</v>
      </c>
      <c r="B109" s="54" t="s">
        <v>3207</v>
      </c>
      <c r="C109" s="55" t="s">
        <v>808</v>
      </c>
    </row>
    <row r="110" spans="1:3" x14ac:dyDescent="0.2">
      <c r="A110" s="53">
        <f t="shared" si="1"/>
        <v>52</v>
      </c>
      <c r="B110" s="54" t="s">
        <v>3208</v>
      </c>
      <c r="C110" s="55" t="s">
        <v>808</v>
      </c>
    </row>
    <row r="111" spans="1:3" x14ac:dyDescent="0.2">
      <c r="A111" s="53">
        <f t="shared" si="1"/>
        <v>53</v>
      </c>
      <c r="B111" s="54" t="s">
        <v>3209</v>
      </c>
      <c r="C111" s="55" t="s">
        <v>808</v>
      </c>
    </row>
    <row r="112" spans="1:3" x14ac:dyDescent="0.2">
      <c r="A112" s="53">
        <f t="shared" si="1"/>
        <v>54</v>
      </c>
      <c r="B112" s="54" t="s">
        <v>3210</v>
      </c>
      <c r="C112" s="55" t="s">
        <v>808</v>
      </c>
    </row>
    <row r="113" spans="1:3" x14ac:dyDescent="0.2">
      <c r="A113" s="53">
        <f t="shared" si="1"/>
        <v>55</v>
      </c>
      <c r="B113" s="56" t="s">
        <v>3211</v>
      </c>
      <c r="C113" s="57" t="s">
        <v>808</v>
      </c>
    </row>
    <row r="114" spans="1:3" x14ac:dyDescent="0.2">
      <c r="A114" s="53">
        <f t="shared" si="1"/>
        <v>56</v>
      </c>
      <c r="B114" s="56" t="s">
        <v>3212</v>
      </c>
      <c r="C114" s="57" t="s">
        <v>808</v>
      </c>
    </row>
    <row r="115" spans="1:3" x14ac:dyDescent="0.2">
      <c r="A115" s="53">
        <f t="shared" si="1"/>
        <v>57</v>
      </c>
      <c r="B115" s="56" t="s">
        <v>3213</v>
      </c>
      <c r="C115" s="57" t="s">
        <v>808</v>
      </c>
    </row>
    <row r="116" spans="1:3" x14ac:dyDescent="0.2">
      <c r="A116" s="53">
        <f t="shared" si="1"/>
        <v>58</v>
      </c>
      <c r="B116" s="54" t="s">
        <v>3214</v>
      </c>
      <c r="C116" s="55" t="s">
        <v>808</v>
      </c>
    </row>
    <row r="117" spans="1:3" x14ac:dyDescent="0.2">
      <c r="A117" s="53">
        <f t="shared" si="1"/>
        <v>59</v>
      </c>
      <c r="B117" s="54" t="s">
        <v>3215</v>
      </c>
      <c r="C117" s="55" t="s">
        <v>808</v>
      </c>
    </row>
    <row r="118" spans="1:3" x14ac:dyDescent="0.2">
      <c r="A118" s="53">
        <f t="shared" si="1"/>
        <v>60</v>
      </c>
      <c r="B118" s="54" t="s">
        <v>3216</v>
      </c>
      <c r="C118" s="55" t="s">
        <v>808</v>
      </c>
    </row>
    <row r="119" spans="1:3" x14ac:dyDescent="0.2">
      <c r="A119" s="53">
        <f t="shared" si="1"/>
        <v>61</v>
      </c>
      <c r="B119" s="54" t="s">
        <v>3217</v>
      </c>
      <c r="C119" s="55" t="s">
        <v>808</v>
      </c>
    </row>
    <row r="120" spans="1:3" x14ac:dyDescent="0.2">
      <c r="A120" s="53">
        <f t="shared" si="1"/>
        <v>62</v>
      </c>
      <c r="B120" s="54" t="s">
        <v>3218</v>
      </c>
      <c r="C120" s="55" t="s">
        <v>808</v>
      </c>
    </row>
    <row r="121" spans="1:3" x14ac:dyDescent="0.2">
      <c r="A121" s="53">
        <f t="shared" si="1"/>
        <v>63</v>
      </c>
      <c r="B121" s="54" t="s">
        <v>3219</v>
      </c>
      <c r="C121" s="55" t="s">
        <v>808</v>
      </c>
    </row>
    <row r="122" spans="1:3" x14ac:dyDescent="0.2">
      <c r="A122" s="53">
        <f t="shared" si="1"/>
        <v>64</v>
      </c>
      <c r="B122" s="54" t="s">
        <v>3220</v>
      </c>
      <c r="C122" s="55" t="s">
        <v>808</v>
      </c>
    </row>
    <row r="123" spans="1:3" x14ac:dyDescent="0.2">
      <c r="A123" s="53">
        <f t="shared" si="1"/>
        <v>65</v>
      </c>
      <c r="B123" s="54" t="s">
        <v>3221</v>
      </c>
      <c r="C123" s="55" t="s">
        <v>808</v>
      </c>
    </row>
    <row r="124" spans="1:3" x14ac:dyDescent="0.2">
      <c r="A124" s="53">
        <f t="shared" ref="A124:A187" si="2">1+A123</f>
        <v>66</v>
      </c>
      <c r="B124" s="54" t="s">
        <v>3222</v>
      </c>
      <c r="C124" s="55" t="s">
        <v>808</v>
      </c>
    </row>
    <row r="125" spans="1:3" x14ac:dyDescent="0.2">
      <c r="A125" s="53">
        <f t="shared" si="2"/>
        <v>67</v>
      </c>
      <c r="B125" s="56" t="s">
        <v>3223</v>
      </c>
      <c r="C125" s="57" t="s">
        <v>808</v>
      </c>
    </row>
    <row r="126" spans="1:3" x14ac:dyDescent="0.2">
      <c r="A126" s="53">
        <f t="shared" si="2"/>
        <v>68</v>
      </c>
      <c r="B126" s="56" t="s">
        <v>3224</v>
      </c>
      <c r="C126" s="57" t="s">
        <v>808</v>
      </c>
    </row>
    <row r="127" spans="1:3" x14ac:dyDescent="0.2">
      <c r="A127" s="53">
        <f t="shared" si="2"/>
        <v>69</v>
      </c>
      <c r="B127" s="54" t="s">
        <v>3225</v>
      </c>
      <c r="C127" s="55" t="s">
        <v>808</v>
      </c>
    </row>
    <row r="128" spans="1:3" x14ac:dyDescent="0.2">
      <c r="A128" s="53">
        <f t="shared" si="2"/>
        <v>70</v>
      </c>
      <c r="B128" s="56" t="s">
        <v>3226</v>
      </c>
      <c r="C128" s="57" t="s">
        <v>808</v>
      </c>
    </row>
    <row r="129" spans="1:3" x14ac:dyDescent="0.2">
      <c r="A129" s="53">
        <f t="shared" si="2"/>
        <v>71</v>
      </c>
      <c r="B129" s="54" t="s">
        <v>3227</v>
      </c>
      <c r="C129" s="55" t="s">
        <v>808</v>
      </c>
    </row>
    <row r="130" spans="1:3" x14ac:dyDescent="0.2">
      <c r="A130" s="53">
        <f t="shared" si="2"/>
        <v>72</v>
      </c>
      <c r="B130" s="54" t="s">
        <v>3228</v>
      </c>
      <c r="C130" s="55" t="s">
        <v>808</v>
      </c>
    </row>
    <row r="131" spans="1:3" x14ac:dyDescent="0.2">
      <c r="A131" s="53">
        <f t="shared" si="2"/>
        <v>73</v>
      </c>
      <c r="B131" s="54" t="s">
        <v>3229</v>
      </c>
      <c r="C131" s="55" t="s">
        <v>808</v>
      </c>
    </row>
    <row r="132" spans="1:3" x14ac:dyDescent="0.2">
      <c r="A132" s="53">
        <f t="shared" si="2"/>
        <v>74</v>
      </c>
      <c r="B132" s="54" t="s">
        <v>3230</v>
      </c>
      <c r="C132" s="55" t="s">
        <v>808</v>
      </c>
    </row>
    <row r="133" spans="1:3" x14ac:dyDescent="0.2">
      <c r="A133" s="53">
        <f t="shared" si="2"/>
        <v>75</v>
      </c>
      <c r="B133" s="54" t="s">
        <v>3231</v>
      </c>
      <c r="C133" s="55" t="s">
        <v>808</v>
      </c>
    </row>
    <row r="134" spans="1:3" x14ac:dyDescent="0.2">
      <c r="A134" s="53">
        <f t="shared" si="2"/>
        <v>76</v>
      </c>
      <c r="B134" s="54" t="s">
        <v>3232</v>
      </c>
      <c r="C134" s="55" t="s">
        <v>808</v>
      </c>
    </row>
    <row r="135" spans="1:3" x14ac:dyDescent="0.2">
      <c r="A135" s="53">
        <f t="shared" si="2"/>
        <v>77</v>
      </c>
      <c r="B135" s="54" t="s">
        <v>3233</v>
      </c>
      <c r="C135" s="55" t="s">
        <v>808</v>
      </c>
    </row>
    <row r="136" spans="1:3" x14ac:dyDescent="0.2">
      <c r="A136" s="53">
        <f t="shared" si="2"/>
        <v>78</v>
      </c>
      <c r="B136" s="54" t="s">
        <v>3234</v>
      </c>
      <c r="C136" s="55" t="s">
        <v>808</v>
      </c>
    </row>
    <row r="137" spans="1:3" x14ac:dyDescent="0.2">
      <c r="A137" s="53">
        <f t="shared" si="2"/>
        <v>79</v>
      </c>
      <c r="B137" s="54" t="s">
        <v>3235</v>
      </c>
      <c r="C137" s="55" t="s">
        <v>808</v>
      </c>
    </row>
    <row r="138" spans="1:3" x14ac:dyDescent="0.2">
      <c r="A138" s="53">
        <f t="shared" si="2"/>
        <v>80</v>
      </c>
      <c r="B138" s="54" t="s">
        <v>3236</v>
      </c>
      <c r="C138" s="55" t="s">
        <v>808</v>
      </c>
    </row>
    <row r="139" spans="1:3" x14ac:dyDescent="0.2">
      <c r="A139" s="53">
        <f t="shared" si="2"/>
        <v>81</v>
      </c>
      <c r="B139" s="54" t="s">
        <v>3237</v>
      </c>
      <c r="C139" s="55" t="s">
        <v>808</v>
      </c>
    </row>
    <row r="140" spans="1:3" x14ac:dyDescent="0.2">
      <c r="A140" s="53">
        <f t="shared" si="2"/>
        <v>82</v>
      </c>
      <c r="B140" s="54" t="s">
        <v>3238</v>
      </c>
      <c r="C140" s="55" t="s">
        <v>808</v>
      </c>
    </row>
    <row r="141" spans="1:3" x14ac:dyDescent="0.2">
      <c r="A141" s="53">
        <f t="shared" si="2"/>
        <v>83</v>
      </c>
      <c r="B141" s="56" t="s">
        <v>3239</v>
      </c>
      <c r="C141" s="55" t="s">
        <v>808</v>
      </c>
    </row>
    <row r="142" spans="1:3" x14ac:dyDescent="0.2">
      <c r="A142" s="53">
        <f t="shared" si="2"/>
        <v>84</v>
      </c>
      <c r="B142" s="54" t="s">
        <v>3240</v>
      </c>
      <c r="C142" s="55" t="s">
        <v>808</v>
      </c>
    </row>
    <row r="143" spans="1:3" x14ac:dyDescent="0.2">
      <c r="A143" s="53">
        <f t="shared" si="2"/>
        <v>85</v>
      </c>
      <c r="B143" s="54" t="s">
        <v>3241</v>
      </c>
      <c r="C143" s="55" t="s">
        <v>808</v>
      </c>
    </row>
    <row r="144" spans="1:3" x14ac:dyDescent="0.2">
      <c r="A144" s="53">
        <f t="shared" si="2"/>
        <v>86</v>
      </c>
      <c r="B144" s="54" t="s">
        <v>3242</v>
      </c>
      <c r="C144" s="55" t="s">
        <v>808</v>
      </c>
    </row>
    <row r="145" spans="1:3" x14ac:dyDescent="0.2">
      <c r="A145" s="53">
        <f t="shared" si="2"/>
        <v>87</v>
      </c>
      <c r="B145" s="54" t="s">
        <v>3243</v>
      </c>
      <c r="C145" s="55" t="s">
        <v>808</v>
      </c>
    </row>
    <row r="146" spans="1:3" x14ac:dyDescent="0.2">
      <c r="A146" s="53">
        <f t="shared" si="2"/>
        <v>88</v>
      </c>
      <c r="B146" s="54" t="s">
        <v>3244</v>
      </c>
      <c r="C146" s="55" t="s">
        <v>808</v>
      </c>
    </row>
    <row r="147" spans="1:3" x14ac:dyDescent="0.2">
      <c r="A147" s="53">
        <f t="shared" si="2"/>
        <v>89</v>
      </c>
      <c r="B147" s="54" t="s">
        <v>3245</v>
      </c>
      <c r="C147" s="55" t="s">
        <v>808</v>
      </c>
    </row>
    <row r="148" spans="1:3" x14ac:dyDescent="0.2">
      <c r="A148" s="53">
        <f t="shared" si="2"/>
        <v>90</v>
      </c>
      <c r="B148" s="54" t="s">
        <v>3246</v>
      </c>
      <c r="C148" s="55" t="s">
        <v>808</v>
      </c>
    </row>
    <row r="149" spans="1:3" x14ac:dyDescent="0.2">
      <c r="A149" s="53">
        <f t="shared" si="2"/>
        <v>91</v>
      </c>
      <c r="B149" s="54" t="s">
        <v>3247</v>
      </c>
      <c r="C149" s="55" t="s">
        <v>808</v>
      </c>
    </row>
    <row r="150" spans="1:3" x14ac:dyDescent="0.2">
      <c r="A150" s="53">
        <f t="shared" si="2"/>
        <v>92</v>
      </c>
      <c r="B150" s="54" t="s">
        <v>3248</v>
      </c>
      <c r="C150" s="55" t="s">
        <v>808</v>
      </c>
    </row>
    <row r="151" spans="1:3" x14ac:dyDescent="0.2">
      <c r="A151" s="53">
        <f t="shared" si="2"/>
        <v>93</v>
      </c>
      <c r="B151" s="54" t="s">
        <v>3249</v>
      </c>
      <c r="C151" s="55" t="s">
        <v>808</v>
      </c>
    </row>
    <row r="152" spans="1:3" x14ac:dyDescent="0.2">
      <c r="A152" s="53">
        <f t="shared" si="2"/>
        <v>94</v>
      </c>
      <c r="B152" s="54" t="s">
        <v>3250</v>
      </c>
      <c r="C152" s="55" t="s">
        <v>808</v>
      </c>
    </row>
    <row r="153" spans="1:3" x14ac:dyDescent="0.2">
      <c r="A153" s="53">
        <f t="shared" si="2"/>
        <v>95</v>
      </c>
      <c r="B153" s="54" t="s">
        <v>3251</v>
      </c>
      <c r="C153" s="55" t="s">
        <v>808</v>
      </c>
    </row>
    <row r="154" spans="1:3" x14ac:dyDescent="0.2">
      <c r="A154" s="53">
        <f t="shared" si="2"/>
        <v>96</v>
      </c>
      <c r="B154" s="54" t="s">
        <v>3252</v>
      </c>
      <c r="C154" s="55" t="s">
        <v>808</v>
      </c>
    </row>
    <row r="155" spans="1:3" x14ac:dyDescent="0.2">
      <c r="A155" s="53">
        <f t="shared" si="2"/>
        <v>97</v>
      </c>
      <c r="B155" s="54" t="s">
        <v>3253</v>
      </c>
      <c r="C155" s="55" t="s">
        <v>808</v>
      </c>
    </row>
    <row r="156" spans="1:3" x14ac:dyDescent="0.2">
      <c r="A156" s="53">
        <f t="shared" si="2"/>
        <v>98</v>
      </c>
      <c r="B156" s="54" t="s">
        <v>3254</v>
      </c>
      <c r="C156" s="55" t="s">
        <v>808</v>
      </c>
    </row>
    <row r="157" spans="1:3" x14ac:dyDescent="0.2">
      <c r="A157" s="53">
        <f t="shared" si="2"/>
        <v>99</v>
      </c>
      <c r="B157" s="54" t="s">
        <v>3255</v>
      </c>
      <c r="C157" s="55" t="s">
        <v>808</v>
      </c>
    </row>
    <row r="158" spans="1:3" x14ac:dyDescent="0.2">
      <c r="A158" s="53">
        <f t="shared" si="2"/>
        <v>100</v>
      </c>
      <c r="B158" s="54" t="s">
        <v>3256</v>
      </c>
      <c r="C158" s="55" t="s">
        <v>808</v>
      </c>
    </row>
    <row r="159" spans="1:3" x14ac:dyDescent="0.2">
      <c r="A159" s="53">
        <f t="shared" si="2"/>
        <v>101</v>
      </c>
      <c r="B159" s="54" t="s">
        <v>3257</v>
      </c>
      <c r="C159" s="55" t="s">
        <v>808</v>
      </c>
    </row>
    <row r="160" spans="1:3" x14ac:dyDescent="0.2">
      <c r="A160" s="53">
        <f t="shared" si="2"/>
        <v>102</v>
      </c>
      <c r="B160" s="54" t="s">
        <v>3258</v>
      </c>
      <c r="C160" s="55" t="s">
        <v>808</v>
      </c>
    </row>
    <row r="161" spans="1:3" x14ac:dyDescent="0.2">
      <c r="A161" s="53">
        <f t="shared" si="2"/>
        <v>103</v>
      </c>
      <c r="B161" s="54" t="s">
        <v>3259</v>
      </c>
      <c r="C161" s="55" t="s">
        <v>808</v>
      </c>
    </row>
    <row r="162" spans="1:3" x14ac:dyDescent="0.2">
      <c r="A162" s="53">
        <f t="shared" si="2"/>
        <v>104</v>
      </c>
      <c r="B162" s="54" t="s">
        <v>3260</v>
      </c>
      <c r="C162" s="55" t="s">
        <v>808</v>
      </c>
    </row>
    <row r="163" spans="1:3" x14ac:dyDescent="0.2">
      <c r="A163" s="53">
        <f t="shared" si="2"/>
        <v>105</v>
      </c>
      <c r="B163" s="54" t="s">
        <v>3261</v>
      </c>
      <c r="C163" s="55" t="s">
        <v>808</v>
      </c>
    </row>
    <row r="164" spans="1:3" x14ac:dyDescent="0.2">
      <c r="A164" s="53">
        <f t="shared" si="2"/>
        <v>106</v>
      </c>
      <c r="B164" s="54" t="s">
        <v>3262</v>
      </c>
      <c r="C164" s="55" t="s">
        <v>808</v>
      </c>
    </row>
    <row r="165" spans="1:3" x14ac:dyDescent="0.2">
      <c r="A165" s="53">
        <f t="shared" si="2"/>
        <v>107</v>
      </c>
      <c r="B165" s="54" t="s">
        <v>3263</v>
      </c>
      <c r="C165" s="55" t="s">
        <v>808</v>
      </c>
    </row>
    <row r="166" spans="1:3" x14ac:dyDescent="0.2">
      <c r="A166" s="53">
        <f t="shared" si="2"/>
        <v>108</v>
      </c>
      <c r="B166" s="54" t="s">
        <v>3264</v>
      </c>
      <c r="C166" s="55" t="s">
        <v>808</v>
      </c>
    </row>
    <row r="167" spans="1:3" x14ac:dyDescent="0.2">
      <c r="A167" s="53">
        <f t="shared" si="2"/>
        <v>109</v>
      </c>
      <c r="B167" s="54" t="s">
        <v>3265</v>
      </c>
      <c r="C167" s="55" t="s">
        <v>808</v>
      </c>
    </row>
    <row r="168" spans="1:3" x14ac:dyDescent="0.2">
      <c r="A168" s="53">
        <f t="shared" si="2"/>
        <v>110</v>
      </c>
      <c r="B168" s="54" t="s">
        <v>3266</v>
      </c>
      <c r="C168" s="55" t="s">
        <v>808</v>
      </c>
    </row>
    <row r="169" spans="1:3" x14ac:dyDescent="0.2">
      <c r="A169" s="53">
        <f t="shared" si="2"/>
        <v>111</v>
      </c>
      <c r="B169" s="54" t="s">
        <v>3267</v>
      </c>
      <c r="C169" s="55" t="s">
        <v>808</v>
      </c>
    </row>
    <row r="170" spans="1:3" x14ac:dyDescent="0.2">
      <c r="A170" s="53">
        <f t="shared" si="2"/>
        <v>112</v>
      </c>
      <c r="B170" s="54" t="s">
        <v>3268</v>
      </c>
      <c r="C170" s="55" t="s">
        <v>808</v>
      </c>
    </row>
    <row r="171" spans="1:3" x14ac:dyDescent="0.2">
      <c r="A171" s="53">
        <f t="shared" si="2"/>
        <v>113</v>
      </c>
      <c r="B171" s="56" t="s">
        <v>3269</v>
      </c>
      <c r="C171" s="57" t="s">
        <v>808</v>
      </c>
    </row>
    <row r="172" spans="1:3" x14ac:dyDescent="0.2">
      <c r="A172" s="53">
        <f t="shared" si="2"/>
        <v>114</v>
      </c>
      <c r="B172" s="54" t="s">
        <v>3270</v>
      </c>
      <c r="C172" s="55" t="s">
        <v>808</v>
      </c>
    </row>
    <row r="173" spans="1:3" x14ac:dyDescent="0.2">
      <c r="A173" s="53">
        <f t="shared" si="2"/>
        <v>115</v>
      </c>
      <c r="B173" s="54" t="s">
        <v>3271</v>
      </c>
      <c r="C173" s="55" t="s">
        <v>808</v>
      </c>
    </row>
    <row r="174" spans="1:3" x14ac:dyDescent="0.2">
      <c r="A174" s="53">
        <f t="shared" si="2"/>
        <v>116</v>
      </c>
      <c r="B174" s="54" t="s">
        <v>3272</v>
      </c>
      <c r="C174" s="55" t="s">
        <v>808</v>
      </c>
    </row>
    <row r="175" spans="1:3" x14ac:dyDescent="0.2">
      <c r="A175" s="53">
        <f t="shared" si="2"/>
        <v>117</v>
      </c>
      <c r="B175" s="54" t="s">
        <v>3273</v>
      </c>
      <c r="C175" s="55" t="s">
        <v>808</v>
      </c>
    </row>
    <row r="176" spans="1:3" x14ac:dyDescent="0.2">
      <c r="A176" s="53">
        <f t="shared" si="2"/>
        <v>118</v>
      </c>
      <c r="B176" s="54" t="s">
        <v>3274</v>
      </c>
      <c r="C176" s="55" t="s">
        <v>808</v>
      </c>
    </row>
    <row r="177" spans="1:3" x14ac:dyDescent="0.2">
      <c r="A177" s="53">
        <f t="shared" si="2"/>
        <v>119</v>
      </c>
      <c r="B177" s="54" t="s">
        <v>3275</v>
      </c>
      <c r="C177" s="55" t="s">
        <v>808</v>
      </c>
    </row>
    <row r="178" spans="1:3" x14ac:dyDescent="0.2">
      <c r="A178" s="53">
        <f t="shared" si="2"/>
        <v>120</v>
      </c>
      <c r="B178" s="54" t="s">
        <v>3276</v>
      </c>
      <c r="C178" s="55" t="s">
        <v>808</v>
      </c>
    </row>
    <row r="179" spans="1:3" x14ac:dyDescent="0.2">
      <c r="A179" s="53">
        <f t="shared" si="2"/>
        <v>121</v>
      </c>
      <c r="B179" s="54" t="s">
        <v>3277</v>
      </c>
      <c r="C179" s="55" t="s">
        <v>808</v>
      </c>
    </row>
    <row r="180" spans="1:3" x14ac:dyDescent="0.2">
      <c r="A180" s="53">
        <f t="shared" si="2"/>
        <v>122</v>
      </c>
      <c r="B180" s="54" t="s">
        <v>3278</v>
      </c>
      <c r="C180" s="55" t="s">
        <v>808</v>
      </c>
    </row>
    <row r="181" spans="1:3" x14ac:dyDescent="0.2">
      <c r="A181" s="53">
        <f t="shared" si="2"/>
        <v>123</v>
      </c>
      <c r="B181" s="54" t="s">
        <v>3279</v>
      </c>
      <c r="C181" s="55" t="s">
        <v>808</v>
      </c>
    </row>
    <row r="182" spans="1:3" x14ac:dyDescent="0.2">
      <c r="A182" s="53">
        <f t="shared" si="2"/>
        <v>124</v>
      </c>
      <c r="B182" s="54" t="s">
        <v>3280</v>
      </c>
      <c r="C182" s="55" t="s">
        <v>808</v>
      </c>
    </row>
    <row r="183" spans="1:3" x14ac:dyDescent="0.2">
      <c r="A183" s="53">
        <f t="shared" si="2"/>
        <v>125</v>
      </c>
      <c r="B183" s="56" t="s">
        <v>3281</v>
      </c>
      <c r="C183" s="57" t="s">
        <v>808</v>
      </c>
    </row>
    <row r="184" spans="1:3" x14ac:dyDescent="0.2">
      <c r="A184" s="53">
        <f t="shared" si="2"/>
        <v>126</v>
      </c>
      <c r="B184" s="54" t="s">
        <v>3282</v>
      </c>
      <c r="C184" s="55" t="s">
        <v>808</v>
      </c>
    </row>
    <row r="185" spans="1:3" x14ac:dyDescent="0.2">
      <c r="A185" s="53">
        <f t="shared" si="2"/>
        <v>127</v>
      </c>
      <c r="B185" s="56" t="s">
        <v>3283</v>
      </c>
      <c r="C185" s="57" t="s">
        <v>808</v>
      </c>
    </row>
    <row r="186" spans="1:3" x14ac:dyDescent="0.2">
      <c r="A186" s="53">
        <f t="shared" si="2"/>
        <v>128</v>
      </c>
      <c r="B186" s="54" t="s">
        <v>3284</v>
      </c>
      <c r="C186" s="55" t="s">
        <v>808</v>
      </c>
    </row>
    <row r="187" spans="1:3" x14ac:dyDescent="0.2">
      <c r="A187" s="53">
        <f t="shared" si="2"/>
        <v>129</v>
      </c>
      <c r="B187" s="54" t="s">
        <v>3285</v>
      </c>
      <c r="C187" s="55" t="s">
        <v>808</v>
      </c>
    </row>
    <row r="188" spans="1:3" x14ac:dyDescent="0.2">
      <c r="A188" s="53">
        <f t="shared" ref="A188:A251" si="3">1+A187</f>
        <v>130</v>
      </c>
      <c r="B188" s="54" t="s">
        <v>3286</v>
      </c>
      <c r="C188" s="55" t="s">
        <v>808</v>
      </c>
    </row>
    <row r="189" spans="1:3" x14ac:dyDescent="0.2">
      <c r="A189" s="53">
        <f t="shared" si="3"/>
        <v>131</v>
      </c>
      <c r="B189" s="54" t="s">
        <v>3287</v>
      </c>
      <c r="C189" s="55" t="s">
        <v>808</v>
      </c>
    </row>
    <row r="190" spans="1:3" x14ac:dyDescent="0.2">
      <c r="A190" s="53">
        <f t="shared" si="3"/>
        <v>132</v>
      </c>
      <c r="B190" s="54" t="s">
        <v>3288</v>
      </c>
      <c r="C190" s="55" t="s">
        <v>808</v>
      </c>
    </row>
    <row r="191" spans="1:3" x14ac:dyDescent="0.2">
      <c r="A191" s="53">
        <f t="shared" si="3"/>
        <v>133</v>
      </c>
      <c r="B191" s="54" t="s">
        <v>3289</v>
      </c>
      <c r="C191" s="55" t="s">
        <v>808</v>
      </c>
    </row>
    <row r="192" spans="1:3" x14ac:dyDescent="0.2">
      <c r="A192" s="53">
        <f t="shared" si="3"/>
        <v>134</v>
      </c>
      <c r="B192" s="54" t="s">
        <v>3290</v>
      </c>
      <c r="C192" s="55" t="s">
        <v>808</v>
      </c>
    </row>
    <row r="193" spans="1:3" x14ac:dyDescent="0.2">
      <c r="A193" s="53">
        <f t="shared" si="3"/>
        <v>135</v>
      </c>
      <c r="B193" s="56" t="s">
        <v>3291</v>
      </c>
      <c r="C193" s="57" t="s">
        <v>808</v>
      </c>
    </row>
    <row r="194" spans="1:3" x14ac:dyDescent="0.2">
      <c r="A194" s="53">
        <f t="shared" si="3"/>
        <v>136</v>
      </c>
      <c r="B194" s="54" t="s">
        <v>3292</v>
      </c>
      <c r="C194" s="55" t="s">
        <v>808</v>
      </c>
    </row>
    <row r="195" spans="1:3" x14ac:dyDescent="0.2">
      <c r="A195" s="53">
        <f t="shared" si="3"/>
        <v>137</v>
      </c>
      <c r="B195" s="54" t="s">
        <v>3293</v>
      </c>
      <c r="C195" s="55" t="s">
        <v>808</v>
      </c>
    </row>
    <row r="196" spans="1:3" x14ac:dyDescent="0.2">
      <c r="A196" s="53">
        <f t="shared" si="3"/>
        <v>138</v>
      </c>
      <c r="B196" s="54" t="s">
        <v>3294</v>
      </c>
      <c r="C196" s="55" t="s">
        <v>808</v>
      </c>
    </row>
    <row r="197" spans="1:3" x14ac:dyDescent="0.2">
      <c r="A197" s="53">
        <f t="shared" si="3"/>
        <v>139</v>
      </c>
      <c r="B197" s="54" t="s">
        <v>3295</v>
      </c>
      <c r="C197" s="55" t="s">
        <v>808</v>
      </c>
    </row>
    <row r="198" spans="1:3" x14ac:dyDescent="0.2">
      <c r="A198" s="53">
        <f t="shared" si="3"/>
        <v>140</v>
      </c>
      <c r="B198" s="54" t="s">
        <v>3296</v>
      </c>
      <c r="C198" s="55" t="s">
        <v>808</v>
      </c>
    </row>
    <row r="199" spans="1:3" x14ac:dyDescent="0.2">
      <c r="A199" s="53">
        <f t="shared" si="3"/>
        <v>141</v>
      </c>
      <c r="B199" s="54" t="s">
        <v>3297</v>
      </c>
      <c r="C199" s="55" t="s">
        <v>808</v>
      </c>
    </row>
    <row r="200" spans="1:3" x14ac:dyDescent="0.2">
      <c r="A200" s="53">
        <f t="shared" si="3"/>
        <v>142</v>
      </c>
      <c r="B200" s="54" t="s">
        <v>3298</v>
      </c>
      <c r="C200" s="55" t="s">
        <v>808</v>
      </c>
    </row>
    <row r="201" spans="1:3" x14ac:dyDescent="0.2">
      <c r="A201" s="53">
        <f t="shared" si="3"/>
        <v>143</v>
      </c>
      <c r="B201" s="54" t="s">
        <v>3299</v>
      </c>
      <c r="C201" s="55" t="s">
        <v>808</v>
      </c>
    </row>
    <row r="202" spans="1:3" x14ac:dyDescent="0.2">
      <c r="A202" s="53">
        <f t="shared" si="3"/>
        <v>144</v>
      </c>
      <c r="B202" s="56" t="s">
        <v>3300</v>
      </c>
      <c r="C202" s="57" t="s">
        <v>808</v>
      </c>
    </row>
    <row r="203" spans="1:3" x14ac:dyDescent="0.2">
      <c r="A203" s="53">
        <f t="shared" si="3"/>
        <v>145</v>
      </c>
      <c r="B203" s="54" t="s">
        <v>3301</v>
      </c>
      <c r="C203" s="55" t="s">
        <v>808</v>
      </c>
    </row>
    <row r="204" spans="1:3" x14ac:dyDescent="0.2">
      <c r="A204" s="53">
        <f t="shared" si="3"/>
        <v>146</v>
      </c>
      <c r="B204" s="54" t="s">
        <v>3302</v>
      </c>
      <c r="C204" s="55" t="s">
        <v>808</v>
      </c>
    </row>
    <row r="205" spans="1:3" x14ac:dyDescent="0.2">
      <c r="A205" s="53">
        <f t="shared" si="3"/>
        <v>147</v>
      </c>
      <c r="B205" s="54" t="s">
        <v>3303</v>
      </c>
      <c r="C205" s="55" t="s">
        <v>808</v>
      </c>
    </row>
    <row r="206" spans="1:3" x14ac:dyDescent="0.2">
      <c r="A206" s="53">
        <f t="shared" si="3"/>
        <v>148</v>
      </c>
      <c r="B206" s="54" t="s">
        <v>3304</v>
      </c>
      <c r="C206" s="55" t="s">
        <v>808</v>
      </c>
    </row>
    <row r="207" spans="1:3" x14ac:dyDescent="0.2">
      <c r="A207" s="53">
        <f t="shared" si="3"/>
        <v>149</v>
      </c>
      <c r="B207" s="54" t="s">
        <v>3305</v>
      </c>
      <c r="C207" s="55" t="s">
        <v>808</v>
      </c>
    </row>
    <row r="208" spans="1:3" x14ac:dyDescent="0.2">
      <c r="A208" s="53">
        <f t="shared" si="3"/>
        <v>150</v>
      </c>
      <c r="B208" s="54" t="s">
        <v>3306</v>
      </c>
      <c r="C208" s="55" t="s">
        <v>808</v>
      </c>
    </row>
    <row r="209" spans="1:3" x14ac:dyDescent="0.2">
      <c r="A209" s="53">
        <f t="shared" si="3"/>
        <v>151</v>
      </c>
      <c r="B209" s="54" t="s">
        <v>3307</v>
      </c>
      <c r="C209" s="55" t="s">
        <v>808</v>
      </c>
    </row>
    <row r="210" spans="1:3" x14ac:dyDescent="0.2">
      <c r="A210" s="53">
        <f t="shared" si="3"/>
        <v>152</v>
      </c>
      <c r="B210" s="56" t="s">
        <v>3308</v>
      </c>
      <c r="C210" s="57" t="s">
        <v>808</v>
      </c>
    </row>
    <row r="211" spans="1:3" x14ac:dyDescent="0.2">
      <c r="A211" s="53">
        <f t="shared" si="3"/>
        <v>153</v>
      </c>
      <c r="B211" s="54" t="s">
        <v>3309</v>
      </c>
      <c r="C211" s="55" t="s">
        <v>808</v>
      </c>
    </row>
    <row r="212" spans="1:3" x14ac:dyDescent="0.2">
      <c r="A212" s="53">
        <f t="shared" si="3"/>
        <v>154</v>
      </c>
      <c r="B212" s="54" t="s">
        <v>3310</v>
      </c>
      <c r="C212" s="55" t="s">
        <v>808</v>
      </c>
    </row>
    <row r="213" spans="1:3" x14ac:dyDescent="0.2">
      <c r="A213" s="53">
        <f t="shared" si="3"/>
        <v>155</v>
      </c>
      <c r="B213" s="54" t="s">
        <v>3311</v>
      </c>
      <c r="C213" s="55" t="s">
        <v>808</v>
      </c>
    </row>
    <row r="214" spans="1:3" x14ac:dyDescent="0.2">
      <c r="A214" s="53">
        <f t="shared" si="3"/>
        <v>156</v>
      </c>
      <c r="B214" s="54" t="s">
        <v>3312</v>
      </c>
      <c r="C214" s="55" t="s">
        <v>808</v>
      </c>
    </row>
    <row r="215" spans="1:3" x14ac:dyDescent="0.2">
      <c r="A215" s="53">
        <f t="shared" si="3"/>
        <v>157</v>
      </c>
      <c r="B215" s="54" t="s">
        <v>3313</v>
      </c>
      <c r="C215" s="55" t="s">
        <v>808</v>
      </c>
    </row>
    <row r="216" spans="1:3" x14ac:dyDescent="0.2">
      <c r="A216" s="53">
        <f t="shared" si="3"/>
        <v>158</v>
      </c>
      <c r="B216" s="54" t="s">
        <v>3314</v>
      </c>
      <c r="C216" s="55" t="s">
        <v>808</v>
      </c>
    </row>
    <row r="217" spans="1:3" x14ac:dyDescent="0.2">
      <c r="A217" s="53">
        <f t="shared" si="3"/>
        <v>159</v>
      </c>
      <c r="B217" s="54" t="s">
        <v>3315</v>
      </c>
      <c r="C217" s="55" t="s">
        <v>808</v>
      </c>
    </row>
    <row r="218" spans="1:3" x14ac:dyDescent="0.2">
      <c r="A218" s="53">
        <f t="shared" si="3"/>
        <v>160</v>
      </c>
      <c r="B218" s="54" t="s">
        <v>3316</v>
      </c>
      <c r="C218" s="55" t="s">
        <v>808</v>
      </c>
    </row>
    <row r="219" spans="1:3" x14ac:dyDescent="0.2">
      <c r="A219" s="53">
        <f t="shared" si="3"/>
        <v>161</v>
      </c>
      <c r="B219" s="54" t="s">
        <v>3317</v>
      </c>
      <c r="C219" s="55" t="s">
        <v>808</v>
      </c>
    </row>
    <row r="220" spans="1:3" x14ac:dyDescent="0.2">
      <c r="A220" s="53">
        <f t="shared" si="3"/>
        <v>162</v>
      </c>
      <c r="B220" s="56" t="s">
        <v>3318</v>
      </c>
      <c r="C220" s="57" t="s">
        <v>808</v>
      </c>
    </row>
    <row r="221" spans="1:3" x14ac:dyDescent="0.2">
      <c r="A221" s="53">
        <f t="shared" si="3"/>
        <v>163</v>
      </c>
      <c r="B221" s="54" t="s">
        <v>3319</v>
      </c>
      <c r="C221" s="55" t="s">
        <v>808</v>
      </c>
    </row>
    <row r="222" spans="1:3" x14ac:dyDescent="0.2">
      <c r="A222" s="53">
        <f t="shared" si="3"/>
        <v>164</v>
      </c>
      <c r="B222" s="54" t="s">
        <v>3320</v>
      </c>
      <c r="C222" s="55" t="s">
        <v>808</v>
      </c>
    </row>
    <row r="223" spans="1:3" x14ac:dyDescent="0.2">
      <c r="A223" s="53">
        <f t="shared" si="3"/>
        <v>165</v>
      </c>
      <c r="B223" s="54" t="s">
        <v>3321</v>
      </c>
      <c r="C223" s="55" t="s">
        <v>808</v>
      </c>
    </row>
    <row r="224" spans="1:3" x14ac:dyDescent="0.2">
      <c r="A224" s="53">
        <f t="shared" si="3"/>
        <v>166</v>
      </c>
      <c r="B224" s="54" t="s">
        <v>3322</v>
      </c>
      <c r="C224" s="55" t="s">
        <v>808</v>
      </c>
    </row>
    <row r="225" spans="1:3" x14ac:dyDescent="0.2">
      <c r="A225" s="53">
        <f t="shared" si="3"/>
        <v>167</v>
      </c>
      <c r="B225" s="56" t="s">
        <v>3323</v>
      </c>
      <c r="C225" s="57" t="s">
        <v>808</v>
      </c>
    </row>
    <row r="226" spans="1:3" x14ac:dyDescent="0.2">
      <c r="A226" s="53">
        <f t="shared" si="3"/>
        <v>168</v>
      </c>
      <c r="B226" s="54" t="s">
        <v>3324</v>
      </c>
      <c r="C226" s="55" t="s">
        <v>808</v>
      </c>
    </row>
    <row r="227" spans="1:3" x14ac:dyDescent="0.2">
      <c r="A227" s="53">
        <f t="shared" si="3"/>
        <v>169</v>
      </c>
      <c r="B227" s="54" t="s">
        <v>3325</v>
      </c>
      <c r="C227" s="55" t="s">
        <v>808</v>
      </c>
    </row>
    <row r="228" spans="1:3" x14ac:dyDescent="0.2">
      <c r="A228" s="53">
        <f t="shared" si="3"/>
        <v>170</v>
      </c>
      <c r="B228" s="54" t="s">
        <v>3326</v>
      </c>
      <c r="C228" s="55" t="s">
        <v>808</v>
      </c>
    </row>
    <row r="229" spans="1:3" x14ac:dyDescent="0.2">
      <c r="A229" s="53">
        <f t="shared" si="3"/>
        <v>171</v>
      </c>
      <c r="B229" s="58" t="s">
        <v>3327</v>
      </c>
      <c r="C229" s="59" t="s">
        <v>808</v>
      </c>
    </row>
    <row r="230" spans="1:3" x14ac:dyDescent="0.2">
      <c r="A230" s="53">
        <f t="shared" si="3"/>
        <v>172</v>
      </c>
      <c r="B230" s="54" t="s">
        <v>3328</v>
      </c>
      <c r="C230" s="55" t="s">
        <v>808</v>
      </c>
    </row>
    <row r="231" spans="1:3" x14ac:dyDescent="0.2">
      <c r="A231" s="53">
        <f t="shared" si="3"/>
        <v>173</v>
      </c>
      <c r="B231" s="54" t="s">
        <v>3329</v>
      </c>
      <c r="C231" s="55" t="s">
        <v>808</v>
      </c>
    </row>
    <row r="232" spans="1:3" x14ac:dyDescent="0.2">
      <c r="A232" s="53">
        <f t="shared" si="3"/>
        <v>174</v>
      </c>
      <c r="B232" s="54" t="s">
        <v>3330</v>
      </c>
      <c r="C232" s="55" t="s">
        <v>808</v>
      </c>
    </row>
    <row r="233" spans="1:3" x14ac:dyDescent="0.2">
      <c r="A233" s="53">
        <f t="shared" si="3"/>
        <v>175</v>
      </c>
      <c r="B233" s="54" t="s">
        <v>3331</v>
      </c>
      <c r="C233" s="55" t="s">
        <v>808</v>
      </c>
    </row>
    <row r="234" spans="1:3" x14ac:dyDescent="0.2">
      <c r="A234" s="53">
        <f t="shared" si="3"/>
        <v>176</v>
      </c>
      <c r="B234" s="54" t="s">
        <v>3332</v>
      </c>
      <c r="C234" s="55" t="s">
        <v>808</v>
      </c>
    </row>
    <row r="235" spans="1:3" x14ac:dyDescent="0.2">
      <c r="A235" s="53">
        <f t="shared" si="3"/>
        <v>177</v>
      </c>
      <c r="B235" s="54" t="s">
        <v>3333</v>
      </c>
      <c r="C235" s="55" t="s">
        <v>808</v>
      </c>
    </row>
    <row r="236" spans="1:3" x14ac:dyDescent="0.2">
      <c r="A236" s="53">
        <f t="shared" si="3"/>
        <v>178</v>
      </c>
      <c r="B236" s="54" t="s">
        <v>3334</v>
      </c>
      <c r="C236" s="55" t="s">
        <v>808</v>
      </c>
    </row>
    <row r="237" spans="1:3" x14ac:dyDescent="0.2">
      <c r="A237" s="53">
        <f t="shared" si="3"/>
        <v>179</v>
      </c>
      <c r="B237" s="54" t="s">
        <v>3335</v>
      </c>
      <c r="C237" s="55" t="s">
        <v>808</v>
      </c>
    </row>
    <row r="238" spans="1:3" x14ac:dyDescent="0.2">
      <c r="A238" s="53">
        <f t="shared" si="3"/>
        <v>180</v>
      </c>
      <c r="B238" s="54" t="s">
        <v>3336</v>
      </c>
      <c r="C238" s="55" t="s">
        <v>808</v>
      </c>
    </row>
    <row r="239" spans="1:3" x14ac:dyDescent="0.2">
      <c r="A239" s="53">
        <f t="shared" si="3"/>
        <v>181</v>
      </c>
      <c r="B239" s="54" t="s">
        <v>3337</v>
      </c>
      <c r="C239" s="55" t="s">
        <v>808</v>
      </c>
    </row>
    <row r="240" spans="1:3" x14ac:dyDescent="0.2">
      <c r="A240" s="53">
        <f t="shared" si="3"/>
        <v>182</v>
      </c>
      <c r="B240" s="56" t="s">
        <v>3338</v>
      </c>
      <c r="C240" s="57" t="s">
        <v>808</v>
      </c>
    </row>
    <row r="241" spans="1:3" x14ac:dyDescent="0.2">
      <c r="A241" s="53">
        <f t="shared" si="3"/>
        <v>183</v>
      </c>
      <c r="B241" s="54" t="s">
        <v>3339</v>
      </c>
      <c r="C241" s="55" t="s">
        <v>808</v>
      </c>
    </row>
    <row r="242" spans="1:3" x14ac:dyDescent="0.2">
      <c r="A242" s="53">
        <f t="shared" si="3"/>
        <v>184</v>
      </c>
      <c r="B242" s="54" t="s">
        <v>3340</v>
      </c>
      <c r="C242" s="55" t="s">
        <v>808</v>
      </c>
    </row>
    <row r="243" spans="1:3" x14ac:dyDescent="0.2">
      <c r="A243" s="53">
        <f t="shared" si="3"/>
        <v>185</v>
      </c>
      <c r="B243" s="54" t="s">
        <v>3341</v>
      </c>
      <c r="C243" s="55" t="s">
        <v>808</v>
      </c>
    </row>
    <row r="244" spans="1:3" x14ac:dyDescent="0.2">
      <c r="A244" s="53">
        <f t="shared" si="3"/>
        <v>186</v>
      </c>
      <c r="B244" s="54" t="s">
        <v>3342</v>
      </c>
      <c r="C244" s="55" t="s">
        <v>808</v>
      </c>
    </row>
    <row r="245" spans="1:3" x14ac:dyDescent="0.2">
      <c r="A245" s="53">
        <f t="shared" si="3"/>
        <v>187</v>
      </c>
      <c r="B245" s="54" t="s">
        <v>3343</v>
      </c>
      <c r="C245" s="55" t="s">
        <v>808</v>
      </c>
    </row>
    <row r="246" spans="1:3" x14ac:dyDescent="0.2">
      <c r="A246" s="53">
        <f t="shared" si="3"/>
        <v>188</v>
      </c>
      <c r="B246" s="54" t="s">
        <v>3344</v>
      </c>
      <c r="C246" s="55" t="s">
        <v>808</v>
      </c>
    </row>
    <row r="247" spans="1:3" x14ac:dyDescent="0.2">
      <c r="A247" s="53">
        <f t="shared" si="3"/>
        <v>189</v>
      </c>
      <c r="B247" s="54" t="s">
        <v>3345</v>
      </c>
      <c r="C247" s="55" t="s">
        <v>808</v>
      </c>
    </row>
    <row r="248" spans="1:3" x14ac:dyDescent="0.2">
      <c r="A248" s="53">
        <f t="shared" si="3"/>
        <v>190</v>
      </c>
      <c r="B248" s="54" t="s">
        <v>3346</v>
      </c>
      <c r="C248" s="55" t="s">
        <v>808</v>
      </c>
    </row>
    <row r="249" spans="1:3" x14ac:dyDescent="0.2">
      <c r="A249" s="53">
        <f t="shared" si="3"/>
        <v>191</v>
      </c>
      <c r="B249" s="54" t="s">
        <v>3347</v>
      </c>
      <c r="C249" s="55" t="s">
        <v>808</v>
      </c>
    </row>
    <row r="250" spans="1:3" x14ac:dyDescent="0.2">
      <c r="A250" s="53">
        <f t="shared" si="3"/>
        <v>192</v>
      </c>
      <c r="B250" s="54" t="s">
        <v>3348</v>
      </c>
      <c r="C250" s="55" t="s">
        <v>808</v>
      </c>
    </row>
    <row r="251" spans="1:3" x14ac:dyDescent="0.2">
      <c r="A251" s="53">
        <f t="shared" si="3"/>
        <v>193</v>
      </c>
      <c r="B251" s="54" t="s">
        <v>3349</v>
      </c>
      <c r="C251" s="55" t="s">
        <v>808</v>
      </c>
    </row>
    <row r="252" spans="1:3" x14ac:dyDescent="0.2">
      <c r="A252" s="53">
        <f t="shared" ref="A252:A315" si="4">1+A251</f>
        <v>194</v>
      </c>
      <c r="B252" s="54" t="s">
        <v>3350</v>
      </c>
      <c r="C252" s="55" t="s">
        <v>808</v>
      </c>
    </row>
    <row r="253" spans="1:3" x14ac:dyDescent="0.2">
      <c r="A253" s="53">
        <f t="shared" si="4"/>
        <v>195</v>
      </c>
      <c r="B253" s="54" t="s">
        <v>3351</v>
      </c>
      <c r="C253" s="55" t="s">
        <v>808</v>
      </c>
    </row>
    <row r="254" spans="1:3" x14ac:dyDescent="0.2">
      <c r="A254" s="53">
        <f t="shared" si="4"/>
        <v>196</v>
      </c>
      <c r="B254" s="54" t="s">
        <v>3352</v>
      </c>
      <c r="C254" s="55" t="s">
        <v>808</v>
      </c>
    </row>
    <row r="255" spans="1:3" x14ac:dyDescent="0.2">
      <c r="A255" s="53">
        <f t="shared" si="4"/>
        <v>197</v>
      </c>
      <c r="B255" s="54" t="s">
        <v>3353</v>
      </c>
      <c r="C255" s="55" t="s">
        <v>808</v>
      </c>
    </row>
    <row r="256" spans="1:3" x14ac:dyDescent="0.2">
      <c r="A256" s="53">
        <f t="shared" si="4"/>
        <v>198</v>
      </c>
      <c r="B256" s="54" t="s">
        <v>3354</v>
      </c>
      <c r="C256" s="55" t="s">
        <v>808</v>
      </c>
    </row>
    <row r="257" spans="1:3" x14ac:dyDescent="0.2">
      <c r="A257" s="53">
        <f t="shared" si="4"/>
        <v>199</v>
      </c>
      <c r="B257" s="54" t="s">
        <v>3355</v>
      </c>
      <c r="C257" s="55" t="s">
        <v>808</v>
      </c>
    </row>
    <row r="258" spans="1:3" x14ac:dyDescent="0.2">
      <c r="A258" s="53">
        <f t="shared" si="4"/>
        <v>200</v>
      </c>
      <c r="B258" s="54" t="s">
        <v>3356</v>
      </c>
      <c r="C258" s="55" t="s">
        <v>808</v>
      </c>
    </row>
    <row r="259" spans="1:3" x14ac:dyDescent="0.2">
      <c r="A259" s="53">
        <f t="shared" si="4"/>
        <v>201</v>
      </c>
      <c r="B259" s="54" t="s">
        <v>3357</v>
      </c>
      <c r="C259" s="55" t="s">
        <v>808</v>
      </c>
    </row>
    <row r="260" spans="1:3" x14ac:dyDescent="0.2">
      <c r="A260" s="53">
        <f t="shared" si="4"/>
        <v>202</v>
      </c>
      <c r="B260" s="54" t="s">
        <v>3358</v>
      </c>
      <c r="C260" s="55" t="s">
        <v>808</v>
      </c>
    </row>
    <row r="261" spans="1:3" x14ac:dyDescent="0.2">
      <c r="A261" s="53">
        <f t="shared" si="4"/>
        <v>203</v>
      </c>
      <c r="B261" s="54" t="s">
        <v>3359</v>
      </c>
      <c r="C261" s="55" t="s">
        <v>808</v>
      </c>
    </row>
    <row r="262" spans="1:3" x14ac:dyDescent="0.2">
      <c r="A262" s="53">
        <f t="shared" si="4"/>
        <v>204</v>
      </c>
      <c r="B262" s="54" t="s">
        <v>3360</v>
      </c>
      <c r="C262" s="55" t="s">
        <v>808</v>
      </c>
    </row>
    <row r="263" spans="1:3" x14ac:dyDescent="0.2">
      <c r="A263" s="53">
        <f t="shared" si="4"/>
        <v>205</v>
      </c>
      <c r="B263" s="54" t="s">
        <v>3361</v>
      </c>
      <c r="C263" s="55" t="s">
        <v>808</v>
      </c>
    </row>
    <row r="264" spans="1:3" x14ac:dyDescent="0.2">
      <c r="A264" s="53">
        <f t="shared" si="4"/>
        <v>206</v>
      </c>
      <c r="B264" s="54" t="s">
        <v>3362</v>
      </c>
      <c r="C264" s="55" t="s">
        <v>808</v>
      </c>
    </row>
    <row r="265" spans="1:3" x14ac:dyDescent="0.2">
      <c r="A265" s="53">
        <f t="shared" si="4"/>
        <v>207</v>
      </c>
      <c r="B265" s="54" t="s">
        <v>3363</v>
      </c>
      <c r="C265" s="55" t="s">
        <v>808</v>
      </c>
    </row>
    <row r="266" spans="1:3" x14ac:dyDescent="0.2">
      <c r="A266" s="53">
        <f t="shared" si="4"/>
        <v>208</v>
      </c>
      <c r="B266" s="54" t="s">
        <v>3364</v>
      </c>
      <c r="C266" s="55" t="s">
        <v>808</v>
      </c>
    </row>
    <row r="267" spans="1:3" x14ac:dyDescent="0.2">
      <c r="A267" s="53">
        <f t="shared" si="4"/>
        <v>209</v>
      </c>
      <c r="B267" s="54" t="s">
        <v>3365</v>
      </c>
      <c r="C267" s="55" t="s">
        <v>808</v>
      </c>
    </row>
    <row r="268" spans="1:3" x14ac:dyDescent="0.2">
      <c r="A268" s="53">
        <f t="shared" si="4"/>
        <v>210</v>
      </c>
      <c r="B268" s="54" t="s">
        <v>3366</v>
      </c>
      <c r="C268" s="55" t="s">
        <v>808</v>
      </c>
    </row>
    <row r="269" spans="1:3" x14ac:dyDescent="0.2">
      <c r="A269" s="53">
        <f t="shared" si="4"/>
        <v>211</v>
      </c>
      <c r="B269" s="54" t="s">
        <v>3367</v>
      </c>
      <c r="C269" s="55" t="s">
        <v>808</v>
      </c>
    </row>
    <row r="270" spans="1:3" x14ac:dyDescent="0.2">
      <c r="A270" s="53">
        <f t="shared" si="4"/>
        <v>212</v>
      </c>
      <c r="B270" s="54" t="s">
        <v>3368</v>
      </c>
      <c r="C270" s="55" t="s">
        <v>808</v>
      </c>
    </row>
    <row r="271" spans="1:3" x14ac:dyDescent="0.2">
      <c r="A271" s="53">
        <f t="shared" si="4"/>
        <v>213</v>
      </c>
      <c r="B271" s="54" t="s">
        <v>3369</v>
      </c>
      <c r="C271" s="55" t="s">
        <v>808</v>
      </c>
    </row>
    <row r="272" spans="1:3" x14ac:dyDescent="0.2">
      <c r="A272" s="53">
        <f t="shared" si="4"/>
        <v>214</v>
      </c>
      <c r="B272" s="54" t="s">
        <v>3370</v>
      </c>
      <c r="C272" s="55" t="s">
        <v>808</v>
      </c>
    </row>
    <row r="273" spans="1:3" x14ac:dyDescent="0.2">
      <c r="A273" s="53">
        <f t="shared" si="4"/>
        <v>215</v>
      </c>
      <c r="B273" s="54" t="s">
        <v>3371</v>
      </c>
      <c r="C273" s="55" t="s">
        <v>808</v>
      </c>
    </row>
    <row r="274" spans="1:3" x14ac:dyDescent="0.2">
      <c r="A274" s="53">
        <f t="shared" si="4"/>
        <v>216</v>
      </c>
      <c r="B274" s="54" t="s">
        <v>3372</v>
      </c>
      <c r="C274" s="55" t="s">
        <v>808</v>
      </c>
    </row>
    <row r="275" spans="1:3" x14ac:dyDescent="0.2">
      <c r="A275" s="53">
        <f t="shared" si="4"/>
        <v>217</v>
      </c>
      <c r="B275" s="54" t="s">
        <v>3373</v>
      </c>
      <c r="C275" s="55" t="s">
        <v>808</v>
      </c>
    </row>
    <row r="276" spans="1:3" x14ac:dyDescent="0.2">
      <c r="A276" s="53">
        <f t="shared" si="4"/>
        <v>218</v>
      </c>
      <c r="B276" s="54" t="s">
        <v>3374</v>
      </c>
      <c r="C276" s="55" t="s">
        <v>808</v>
      </c>
    </row>
    <row r="277" spans="1:3" x14ac:dyDescent="0.2">
      <c r="A277" s="53">
        <f t="shared" si="4"/>
        <v>219</v>
      </c>
      <c r="B277" s="54" t="s">
        <v>3375</v>
      </c>
      <c r="C277" s="55" t="s">
        <v>808</v>
      </c>
    </row>
    <row r="278" spans="1:3" x14ac:dyDescent="0.2">
      <c r="A278" s="53">
        <f t="shared" si="4"/>
        <v>220</v>
      </c>
      <c r="B278" s="54" t="s">
        <v>3376</v>
      </c>
      <c r="C278" s="55" t="s">
        <v>808</v>
      </c>
    </row>
    <row r="279" spans="1:3" x14ac:dyDescent="0.2">
      <c r="A279" s="53">
        <f t="shared" si="4"/>
        <v>221</v>
      </c>
      <c r="B279" s="54" t="s">
        <v>3377</v>
      </c>
      <c r="C279" s="55" t="s">
        <v>808</v>
      </c>
    </row>
    <row r="280" spans="1:3" x14ac:dyDescent="0.2">
      <c r="A280" s="53">
        <f t="shared" si="4"/>
        <v>222</v>
      </c>
      <c r="B280" s="54" t="s">
        <v>3378</v>
      </c>
      <c r="C280" s="55" t="s">
        <v>808</v>
      </c>
    </row>
    <row r="281" spans="1:3" x14ac:dyDescent="0.2">
      <c r="A281" s="53">
        <f t="shared" si="4"/>
        <v>223</v>
      </c>
      <c r="B281" s="54" t="s">
        <v>3379</v>
      </c>
      <c r="C281" s="55" t="s">
        <v>808</v>
      </c>
    </row>
    <row r="282" spans="1:3" x14ac:dyDescent="0.2">
      <c r="A282" s="53">
        <f t="shared" si="4"/>
        <v>224</v>
      </c>
      <c r="B282" s="54" t="s">
        <v>3380</v>
      </c>
      <c r="C282" s="55" t="s">
        <v>808</v>
      </c>
    </row>
    <row r="283" spans="1:3" x14ac:dyDescent="0.2">
      <c r="A283" s="53">
        <f t="shared" si="4"/>
        <v>225</v>
      </c>
      <c r="B283" s="54" t="s">
        <v>3381</v>
      </c>
      <c r="C283" s="55" t="s">
        <v>808</v>
      </c>
    </row>
    <row r="284" spans="1:3" x14ac:dyDescent="0.2">
      <c r="A284" s="53">
        <f t="shared" si="4"/>
        <v>226</v>
      </c>
      <c r="B284" s="54" t="s">
        <v>3382</v>
      </c>
      <c r="C284" s="55" t="s">
        <v>808</v>
      </c>
    </row>
    <row r="285" spans="1:3" x14ac:dyDescent="0.2">
      <c r="A285" s="53">
        <f t="shared" si="4"/>
        <v>227</v>
      </c>
      <c r="B285" s="54" t="s">
        <v>3383</v>
      </c>
      <c r="C285" s="55" t="s">
        <v>808</v>
      </c>
    </row>
    <row r="286" spans="1:3" x14ac:dyDescent="0.2">
      <c r="A286" s="53">
        <f t="shared" si="4"/>
        <v>228</v>
      </c>
      <c r="B286" s="54" t="s">
        <v>3384</v>
      </c>
      <c r="C286" s="55" t="s">
        <v>808</v>
      </c>
    </row>
    <row r="287" spans="1:3" x14ac:dyDescent="0.2">
      <c r="A287" s="53">
        <f t="shared" si="4"/>
        <v>229</v>
      </c>
      <c r="B287" s="54" t="s">
        <v>3385</v>
      </c>
      <c r="C287" s="55" t="s">
        <v>808</v>
      </c>
    </row>
    <row r="288" spans="1:3" x14ac:dyDescent="0.2">
      <c r="A288" s="53">
        <f t="shared" si="4"/>
        <v>230</v>
      </c>
      <c r="B288" s="56" t="s">
        <v>3386</v>
      </c>
      <c r="C288" s="57" t="s">
        <v>808</v>
      </c>
    </row>
    <row r="289" spans="1:3" x14ac:dyDescent="0.2">
      <c r="A289" s="53">
        <f t="shared" si="4"/>
        <v>231</v>
      </c>
      <c r="B289" s="56" t="s">
        <v>3387</v>
      </c>
      <c r="C289" s="57" t="s">
        <v>808</v>
      </c>
    </row>
    <row r="290" spans="1:3" x14ac:dyDescent="0.2">
      <c r="A290" s="53">
        <f t="shared" si="4"/>
        <v>232</v>
      </c>
      <c r="B290" s="56" t="s">
        <v>3388</v>
      </c>
      <c r="C290" s="55" t="s">
        <v>808</v>
      </c>
    </row>
    <row r="291" spans="1:3" x14ac:dyDescent="0.2">
      <c r="A291" s="53">
        <f t="shared" si="4"/>
        <v>233</v>
      </c>
      <c r="B291" s="54" t="s">
        <v>3389</v>
      </c>
      <c r="C291" s="55" t="s">
        <v>808</v>
      </c>
    </row>
    <row r="292" spans="1:3" x14ac:dyDescent="0.2">
      <c r="A292" s="53">
        <f t="shared" si="4"/>
        <v>234</v>
      </c>
      <c r="B292" s="54" t="s">
        <v>3390</v>
      </c>
      <c r="C292" s="55" t="s">
        <v>808</v>
      </c>
    </row>
    <row r="293" spans="1:3" x14ac:dyDescent="0.2">
      <c r="A293" s="53">
        <f t="shared" si="4"/>
        <v>235</v>
      </c>
      <c r="B293" s="54" t="s">
        <v>3391</v>
      </c>
      <c r="C293" s="55" t="s">
        <v>808</v>
      </c>
    </row>
    <row r="294" spans="1:3" x14ac:dyDescent="0.2">
      <c r="A294" s="53">
        <f t="shared" si="4"/>
        <v>236</v>
      </c>
      <c r="B294" s="56" t="s">
        <v>3392</v>
      </c>
      <c r="C294" s="57" t="s">
        <v>808</v>
      </c>
    </row>
    <row r="295" spans="1:3" x14ac:dyDescent="0.2">
      <c r="A295" s="53">
        <f t="shared" si="4"/>
        <v>237</v>
      </c>
      <c r="B295" s="56" t="s">
        <v>3393</v>
      </c>
      <c r="C295" s="57" t="s">
        <v>808</v>
      </c>
    </row>
    <row r="296" spans="1:3" x14ac:dyDescent="0.2">
      <c r="A296" s="53">
        <f t="shared" si="4"/>
        <v>238</v>
      </c>
      <c r="B296" s="54" t="s">
        <v>3394</v>
      </c>
      <c r="C296" s="55" t="s">
        <v>808</v>
      </c>
    </row>
    <row r="297" spans="1:3" x14ac:dyDescent="0.2">
      <c r="A297" s="53">
        <f t="shared" si="4"/>
        <v>239</v>
      </c>
      <c r="B297" s="54" t="s">
        <v>3395</v>
      </c>
      <c r="C297" s="55" t="s">
        <v>808</v>
      </c>
    </row>
    <row r="298" spans="1:3" x14ac:dyDescent="0.2">
      <c r="A298" s="53">
        <f t="shared" si="4"/>
        <v>240</v>
      </c>
      <c r="B298" s="54" t="s">
        <v>3396</v>
      </c>
      <c r="C298" s="55" t="s">
        <v>808</v>
      </c>
    </row>
    <row r="299" spans="1:3" x14ac:dyDescent="0.2">
      <c r="A299" s="53">
        <f t="shared" si="4"/>
        <v>241</v>
      </c>
      <c r="B299" s="54" t="s">
        <v>3397</v>
      </c>
      <c r="C299" s="55" t="s">
        <v>808</v>
      </c>
    </row>
    <row r="300" spans="1:3" x14ac:dyDescent="0.2">
      <c r="A300" s="53">
        <f t="shared" si="4"/>
        <v>242</v>
      </c>
      <c r="B300" s="54" t="s">
        <v>3398</v>
      </c>
      <c r="C300" s="55" t="s">
        <v>808</v>
      </c>
    </row>
    <row r="301" spans="1:3" x14ac:dyDescent="0.2">
      <c r="A301" s="53">
        <f t="shared" si="4"/>
        <v>243</v>
      </c>
      <c r="B301" s="54" t="s">
        <v>3399</v>
      </c>
      <c r="C301" s="55" t="s">
        <v>808</v>
      </c>
    </row>
    <row r="302" spans="1:3" x14ac:dyDescent="0.2">
      <c r="A302" s="53">
        <f t="shared" si="4"/>
        <v>244</v>
      </c>
      <c r="B302" s="54" t="s">
        <v>3400</v>
      </c>
      <c r="C302" s="55" t="s">
        <v>808</v>
      </c>
    </row>
    <row r="303" spans="1:3" x14ac:dyDescent="0.2">
      <c r="A303" s="53">
        <f t="shared" si="4"/>
        <v>245</v>
      </c>
      <c r="B303" s="54" t="s">
        <v>3401</v>
      </c>
      <c r="C303" s="55" t="s">
        <v>808</v>
      </c>
    </row>
    <row r="304" spans="1:3" x14ac:dyDescent="0.2">
      <c r="A304" s="53">
        <f t="shared" si="4"/>
        <v>246</v>
      </c>
      <c r="B304" s="54" t="s">
        <v>3402</v>
      </c>
      <c r="C304" s="55" t="s">
        <v>808</v>
      </c>
    </row>
    <row r="305" spans="1:3" x14ac:dyDescent="0.2">
      <c r="A305" s="53">
        <f t="shared" si="4"/>
        <v>247</v>
      </c>
      <c r="B305" s="54" t="s">
        <v>3403</v>
      </c>
      <c r="C305" s="55" t="s">
        <v>808</v>
      </c>
    </row>
    <row r="306" spans="1:3" x14ac:dyDescent="0.2">
      <c r="A306" s="53">
        <f t="shared" si="4"/>
        <v>248</v>
      </c>
      <c r="B306" s="54" t="s">
        <v>3404</v>
      </c>
      <c r="C306" s="55" t="s">
        <v>808</v>
      </c>
    </row>
    <row r="307" spans="1:3" x14ac:dyDescent="0.2">
      <c r="A307" s="53">
        <f t="shared" si="4"/>
        <v>249</v>
      </c>
      <c r="B307" s="54" t="s">
        <v>3405</v>
      </c>
      <c r="C307" s="55" t="s">
        <v>808</v>
      </c>
    </row>
    <row r="308" spans="1:3" x14ac:dyDescent="0.2">
      <c r="A308" s="53">
        <f t="shared" si="4"/>
        <v>250</v>
      </c>
      <c r="B308" s="54" t="s">
        <v>3406</v>
      </c>
      <c r="C308" s="55" t="s">
        <v>808</v>
      </c>
    </row>
    <row r="309" spans="1:3" x14ac:dyDescent="0.2">
      <c r="A309" s="53">
        <f t="shared" si="4"/>
        <v>251</v>
      </c>
      <c r="B309" s="54" t="s">
        <v>3407</v>
      </c>
      <c r="C309" s="55" t="s">
        <v>808</v>
      </c>
    </row>
    <row r="310" spans="1:3" x14ac:dyDescent="0.2">
      <c r="A310" s="53">
        <f t="shared" si="4"/>
        <v>252</v>
      </c>
      <c r="B310" s="54" t="s">
        <v>3408</v>
      </c>
      <c r="C310" s="55" t="s">
        <v>808</v>
      </c>
    </row>
    <row r="311" spans="1:3" x14ac:dyDescent="0.2">
      <c r="A311" s="53">
        <f t="shared" si="4"/>
        <v>253</v>
      </c>
      <c r="B311" s="54" t="s">
        <v>3409</v>
      </c>
      <c r="C311" s="55" t="s">
        <v>808</v>
      </c>
    </row>
    <row r="312" spans="1:3" x14ac:dyDescent="0.2">
      <c r="A312" s="53">
        <f t="shared" si="4"/>
        <v>254</v>
      </c>
      <c r="B312" s="56" t="s">
        <v>3410</v>
      </c>
      <c r="C312" s="57" t="s">
        <v>808</v>
      </c>
    </row>
    <row r="313" spans="1:3" x14ac:dyDescent="0.2">
      <c r="A313" s="53">
        <f t="shared" si="4"/>
        <v>255</v>
      </c>
      <c r="B313" s="54" t="s">
        <v>3411</v>
      </c>
      <c r="C313" s="55" t="s">
        <v>808</v>
      </c>
    </row>
    <row r="314" spans="1:3" x14ac:dyDescent="0.2">
      <c r="A314" s="53">
        <f t="shared" si="4"/>
        <v>256</v>
      </c>
      <c r="B314" s="56" t="s">
        <v>3412</v>
      </c>
      <c r="C314" s="57" t="s">
        <v>808</v>
      </c>
    </row>
    <row r="315" spans="1:3" x14ac:dyDescent="0.2">
      <c r="A315" s="53">
        <f t="shared" si="4"/>
        <v>257</v>
      </c>
      <c r="B315" s="56" t="s">
        <v>3413</v>
      </c>
      <c r="C315" s="57" t="s">
        <v>808</v>
      </c>
    </row>
    <row r="316" spans="1:3" x14ac:dyDescent="0.2">
      <c r="A316" s="53">
        <f t="shared" ref="A316:A379" si="5">1+A315</f>
        <v>258</v>
      </c>
      <c r="B316" s="54" t="s">
        <v>3414</v>
      </c>
      <c r="C316" s="55" t="s">
        <v>808</v>
      </c>
    </row>
    <row r="317" spans="1:3" x14ac:dyDescent="0.2">
      <c r="A317" s="53">
        <f t="shared" si="5"/>
        <v>259</v>
      </c>
      <c r="B317" s="54" t="s">
        <v>3415</v>
      </c>
      <c r="C317" s="55" t="s">
        <v>808</v>
      </c>
    </row>
    <row r="318" spans="1:3" x14ac:dyDescent="0.2">
      <c r="A318" s="53">
        <f t="shared" si="5"/>
        <v>260</v>
      </c>
      <c r="B318" s="54" t="s">
        <v>3416</v>
      </c>
      <c r="C318" s="55" t="s">
        <v>808</v>
      </c>
    </row>
    <row r="319" spans="1:3" x14ac:dyDescent="0.2">
      <c r="A319" s="53">
        <f t="shared" si="5"/>
        <v>261</v>
      </c>
      <c r="B319" s="54" t="s">
        <v>3417</v>
      </c>
      <c r="C319" s="55" t="s">
        <v>808</v>
      </c>
    </row>
    <row r="320" spans="1:3" x14ac:dyDescent="0.2">
      <c r="A320" s="53">
        <f t="shared" si="5"/>
        <v>262</v>
      </c>
      <c r="B320" s="54" t="s">
        <v>3418</v>
      </c>
      <c r="C320" s="55" t="s">
        <v>808</v>
      </c>
    </row>
    <row r="321" spans="1:3" x14ac:dyDescent="0.2">
      <c r="A321" s="53">
        <f t="shared" si="5"/>
        <v>263</v>
      </c>
      <c r="B321" s="54" t="s">
        <v>3419</v>
      </c>
      <c r="C321" s="55" t="s">
        <v>808</v>
      </c>
    </row>
    <row r="322" spans="1:3" x14ac:dyDescent="0.2">
      <c r="A322" s="53">
        <f t="shared" si="5"/>
        <v>264</v>
      </c>
      <c r="B322" s="54" t="s">
        <v>3420</v>
      </c>
      <c r="C322" s="55" t="s">
        <v>808</v>
      </c>
    </row>
    <row r="323" spans="1:3" x14ac:dyDescent="0.2">
      <c r="A323" s="53">
        <f t="shared" si="5"/>
        <v>265</v>
      </c>
      <c r="B323" s="54" t="s">
        <v>3421</v>
      </c>
      <c r="C323" s="55" t="s">
        <v>808</v>
      </c>
    </row>
    <row r="324" spans="1:3" x14ac:dyDescent="0.2">
      <c r="A324" s="53">
        <f t="shared" si="5"/>
        <v>266</v>
      </c>
      <c r="B324" s="56" t="s">
        <v>3422</v>
      </c>
      <c r="C324" s="57" t="s">
        <v>808</v>
      </c>
    </row>
    <row r="325" spans="1:3" x14ac:dyDescent="0.2">
      <c r="A325" s="53">
        <f t="shared" si="5"/>
        <v>267</v>
      </c>
      <c r="B325" s="54" t="s">
        <v>3423</v>
      </c>
      <c r="C325" s="55" t="s">
        <v>808</v>
      </c>
    </row>
    <row r="326" spans="1:3" x14ac:dyDescent="0.2">
      <c r="A326" s="53">
        <f t="shared" si="5"/>
        <v>268</v>
      </c>
      <c r="B326" s="54" t="s">
        <v>3424</v>
      </c>
      <c r="C326" s="55" t="s">
        <v>808</v>
      </c>
    </row>
    <row r="327" spans="1:3" x14ac:dyDescent="0.2">
      <c r="A327" s="53">
        <f t="shared" si="5"/>
        <v>269</v>
      </c>
      <c r="B327" s="54" t="s">
        <v>3425</v>
      </c>
      <c r="C327" s="55" t="s">
        <v>808</v>
      </c>
    </row>
    <row r="328" spans="1:3" x14ac:dyDescent="0.2">
      <c r="A328" s="53">
        <f t="shared" si="5"/>
        <v>270</v>
      </c>
      <c r="B328" s="54" t="s">
        <v>3426</v>
      </c>
      <c r="C328" s="55" t="s">
        <v>808</v>
      </c>
    </row>
    <row r="329" spans="1:3" x14ac:dyDescent="0.2">
      <c r="A329" s="53">
        <f t="shared" si="5"/>
        <v>271</v>
      </c>
      <c r="B329" s="54" t="s">
        <v>3427</v>
      </c>
      <c r="C329" s="55" t="s">
        <v>808</v>
      </c>
    </row>
    <row r="330" spans="1:3" x14ac:dyDescent="0.2">
      <c r="A330" s="53">
        <f t="shared" si="5"/>
        <v>272</v>
      </c>
      <c r="B330" s="54" t="s">
        <v>3428</v>
      </c>
      <c r="C330" s="55" t="s">
        <v>808</v>
      </c>
    </row>
    <row r="331" spans="1:3" x14ac:dyDescent="0.2">
      <c r="A331" s="53">
        <f t="shared" si="5"/>
        <v>273</v>
      </c>
      <c r="B331" s="54" t="s">
        <v>3429</v>
      </c>
      <c r="C331" s="55" t="s">
        <v>808</v>
      </c>
    </row>
    <row r="332" spans="1:3" x14ac:dyDescent="0.2">
      <c r="A332" s="53">
        <f t="shared" si="5"/>
        <v>274</v>
      </c>
      <c r="B332" s="54" t="s">
        <v>3430</v>
      </c>
      <c r="C332" s="55" t="s">
        <v>808</v>
      </c>
    </row>
    <row r="333" spans="1:3" x14ac:dyDescent="0.2">
      <c r="A333" s="53">
        <f t="shared" si="5"/>
        <v>275</v>
      </c>
      <c r="B333" s="54" t="s">
        <v>3431</v>
      </c>
      <c r="C333" s="55" t="s">
        <v>808</v>
      </c>
    </row>
    <row r="334" spans="1:3" x14ac:dyDescent="0.2">
      <c r="A334" s="53">
        <f t="shared" si="5"/>
        <v>276</v>
      </c>
      <c r="B334" s="54" t="s">
        <v>3432</v>
      </c>
      <c r="C334" s="55" t="s">
        <v>808</v>
      </c>
    </row>
    <row r="335" spans="1:3" x14ac:dyDescent="0.2">
      <c r="A335" s="53">
        <f t="shared" si="5"/>
        <v>277</v>
      </c>
      <c r="B335" s="54" t="s">
        <v>3433</v>
      </c>
      <c r="C335" s="55" t="s">
        <v>808</v>
      </c>
    </row>
    <row r="336" spans="1:3" x14ac:dyDescent="0.2">
      <c r="A336" s="53">
        <f t="shared" si="5"/>
        <v>278</v>
      </c>
      <c r="B336" s="54" t="s">
        <v>3434</v>
      </c>
      <c r="C336" s="55" t="s">
        <v>808</v>
      </c>
    </row>
    <row r="337" spans="1:3" x14ac:dyDescent="0.2">
      <c r="A337" s="53">
        <f t="shared" si="5"/>
        <v>279</v>
      </c>
      <c r="B337" s="54" t="s">
        <v>3435</v>
      </c>
      <c r="C337" s="55" t="s">
        <v>808</v>
      </c>
    </row>
    <row r="338" spans="1:3" x14ac:dyDescent="0.2">
      <c r="A338" s="53">
        <f t="shared" si="5"/>
        <v>280</v>
      </c>
      <c r="B338" s="56" t="s">
        <v>3436</v>
      </c>
      <c r="C338" s="57" t="s">
        <v>808</v>
      </c>
    </row>
    <row r="339" spans="1:3" x14ac:dyDescent="0.2">
      <c r="A339" s="53">
        <f t="shared" si="5"/>
        <v>281</v>
      </c>
      <c r="B339" s="54" t="s">
        <v>3437</v>
      </c>
      <c r="C339" s="55" t="s">
        <v>808</v>
      </c>
    </row>
    <row r="340" spans="1:3" x14ac:dyDescent="0.2">
      <c r="A340" s="53">
        <f t="shared" si="5"/>
        <v>282</v>
      </c>
      <c r="B340" s="54" t="s">
        <v>3438</v>
      </c>
      <c r="C340" s="55" t="s">
        <v>808</v>
      </c>
    </row>
    <row r="341" spans="1:3" x14ac:dyDescent="0.2">
      <c r="A341" s="53">
        <f t="shared" si="5"/>
        <v>283</v>
      </c>
      <c r="B341" s="54" t="s">
        <v>3439</v>
      </c>
      <c r="C341" s="55" t="s">
        <v>808</v>
      </c>
    </row>
    <row r="342" spans="1:3" x14ac:dyDescent="0.2">
      <c r="A342" s="53">
        <f t="shared" si="5"/>
        <v>284</v>
      </c>
      <c r="B342" s="54" t="s">
        <v>3440</v>
      </c>
      <c r="C342" s="55" t="s">
        <v>808</v>
      </c>
    </row>
    <row r="343" spans="1:3" x14ac:dyDescent="0.2">
      <c r="A343" s="53">
        <f t="shared" si="5"/>
        <v>285</v>
      </c>
      <c r="B343" s="54" t="s">
        <v>3441</v>
      </c>
      <c r="C343" s="55" t="s">
        <v>808</v>
      </c>
    </row>
    <row r="344" spans="1:3" x14ac:dyDescent="0.2">
      <c r="A344" s="53">
        <f t="shared" si="5"/>
        <v>286</v>
      </c>
      <c r="B344" s="54" t="s">
        <v>3442</v>
      </c>
      <c r="C344" s="55" t="s">
        <v>808</v>
      </c>
    </row>
    <row r="345" spans="1:3" x14ac:dyDescent="0.2">
      <c r="A345" s="53">
        <f t="shared" si="5"/>
        <v>287</v>
      </c>
      <c r="B345" s="54" t="s">
        <v>3443</v>
      </c>
      <c r="C345" s="55" t="s">
        <v>808</v>
      </c>
    </row>
    <row r="346" spans="1:3" x14ac:dyDescent="0.2">
      <c r="A346" s="53">
        <f t="shared" si="5"/>
        <v>288</v>
      </c>
      <c r="B346" s="56" t="s">
        <v>3444</v>
      </c>
      <c r="C346" s="57" t="s">
        <v>808</v>
      </c>
    </row>
    <row r="347" spans="1:3" x14ac:dyDescent="0.2">
      <c r="A347" s="53">
        <f t="shared" si="5"/>
        <v>289</v>
      </c>
      <c r="B347" s="54" t="s">
        <v>3445</v>
      </c>
      <c r="C347" s="55" t="s">
        <v>808</v>
      </c>
    </row>
    <row r="348" spans="1:3" x14ac:dyDescent="0.2">
      <c r="A348" s="53">
        <f t="shared" si="5"/>
        <v>290</v>
      </c>
      <c r="B348" s="54" t="s">
        <v>3446</v>
      </c>
      <c r="C348" s="55" t="s">
        <v>808</v>
      </c>
    </row>
    <row r="349" spans="1:3" x14ac:dyDescent="0.2">
      <c r="A349" s="53">
        <f t="shared" si="5"/>
        <v>291</v>
      </c>
      <c r="B349" s="54" t="s">
        <v>3447</v>
      </c>
      <c r="C349" s="55" t="s">
        <v>808</v>
      </c>
    </row>
    <row r="350" spans="1:3" x14ac:dyDescent="0.2">
      <c r="A350" s="53">
        <f t="shared" si="5"/>
        <v>292</v>
      </c>
      <c r="B350" s="54" t="s">
        <v>3448</v>
      </c>
      <c r="C350" s="55" t="s">
        <v>808</v>
      </c>
    </row>
    <row r="351" spans="1:3" x14ac:dyDescent="0.2">
      <c r="A351" s="53">
        <f t="shared" si="5"/>
        <v>293</v>
      </c>
      <c r="B351" s="54" t="s">
        <v>3449</v>
      </c>
      <c r="C351" s="55" t="s">
        <v>808</v>
      </c>
    </row>
    <row r="352" spans="1:3" x14ac:dyDescent="0.2">
      <c r="A352" s="53">
        <f t="shared" si="5"/>
        <v>294</v>
      </c>
      <c r="B352" s="54" t="s">
        <v>3450</v>
      </c>
      <c r="C352" s="55" t="s">
        <v>808</v>
      </c>
    </row>
    <row r="353" spans="1:3" x14ac:dyDescent="0.2">
      <c r="A353" s="53">
        <f t="shared" si="5"/>
        <v>295</v>
      </c>
      <c r="B353" s="54" t="s">
        <v>3451</v>
      </c>
      <c r="C353" s="55" t="s">
        <v>808</v>
      </c>
    </row>
    <row r="354" spans="1:3" x14ac:dyDescent="0.2">
      <c r="A354" s="53">
        <f t="shared" si="5"/>
        <v>296</v>
      </c>
      <c r="B354" s="54" t="s">
        <v>3452</v>
      </c>
      <c r="C354" s="55" t="s">
        <v>808</v>
      </c>
    </row>
    <row r="355" spans="1:3" x14ac:dyDescent="0.2">
      <c r="A355" s="53">
        <f t="shared" si="5"/>
        <v>297</v>
      </c>
      <c r="B355" s="54" t="s">
        <v>3453</v>
      </c>
      <c r="C355" s="55" t="s">
        <v>808</v>
      </c>
    </row>
    <row r="356" spans="1:3" x14ac:dyDescent="0.2">
      <c r="A356" s="53">
        <f t="shared" si="5"/>
        <v>298</v>
      </c>
      <c r="B356" s="54" t="s">
        <v>3454</v>
      </c>
      <c r="C356" s="55" t="s">
        <v>808</v>
      </c>
    </row>
    <row r="357" spans="1:3" x14ac:dyDescent="0.2">
      <c r="A357" s="53">
        <f t="shared" si="5"/>
        <v>299</v>
      </c>
      <c r="B357" s="54" t="s">
        <v>3455</v>
      </c>
      <c r="C357" s="55" t="s">
        <v>808</v>
      </c>
    </row>
    <row r="358" spans="1:3" x14ac:dyDescent="0.2">
      <c r="A358" s="53">
        <f t="shared" si="5"/>
        <v>300</v>
      </c>
      <c r="B358" s="54" t="s">
        <v>3456</v>
      </c>
      <c r="C358" s="55" t="s">
        <v>808</v>
      </c>
    </row>
    <row r="359" spans="1:3" x14ac:dyDescent="0.2">
      <c r="A359" s="53">
        <f t="shared" si="5"/>
        <v>301</v>
      </c>
      <c r="B359" s="54" t="s">
        <v>3457</v>
      </c>
      <c r="C359" s="55" t="s">
        <v>808</v>
      </c>
    </row>
    <row r="360" spans="1:3" x14ac:dyDescent="0.2">
      <c r="A360" s="53">
        <f t="shared" si="5"/>
        <v>302</v>
      </c>
      <c r="B360" s="54" t="s">
        <v>3458</v>
      </c>
      <c r="C360" s="55" t="s">
        <v>808</v>
      </c>
    </row>
    <row r="361" spans="1:3" x14ac:dyDescent="0.2">
      <c r="A361" s="53">
        <f t="shared" si="5"/>
        <v>303</v>
      </c>
      <c r="B361" s="54" t="s">
        <v>3459</v>
      </c>
      <c r="C361" s="55" t="s">
        <v>808</v>
      </c>
    </row>
    <row r="362" spans="1:3" x14ac:dyDescent="0.2">
      <c r="A362" s="53">
        <f t="shared" si="5"/>
        <v>304</v>
      </c>
      <c r="B362" s="54" t="s">
        <v>3460</v>
      </c>
      <c r="C362" s="55" t="s">
        <v>808</v>
      </c>
    </row>
    <row r="363" spans="1:3" x14ac:dyDescent="0.2">
      <c r="A363" s="53">
        <f t="shared" si="5"/>
        <v>305</v>
      </c>
      <c r="B363" s="54" t="s">
        <v>3461</v>
      </c>
      <c r="C363" s="55" t="s">
        <v>808</v>
      </c>
    </row>
    <row r="364" spans="1:3" x14ac:dyDescent="0.2">
      <c r="A364" s="53">
        <f t="shared" si="5"/>
        <v>306</v>
      </c>
      <c r="B364" s="54" t="s">
        <v>3462</v>
      </c>
      <c r="C364" s="55" t="s">
        <v>808</v>
      </c>
    </row>
    <row r="365" spans="1:3" x14ac:dyDescent="0.2">
      <c r="A365" s="53">
        <f t="shared" si="5"/>
        <v>307</v>
      </c>
      <c r="B365" s="54" t="s">
        <v>3463</v>
      </c>
      <c r="C365" s="55" t="s">
        <v>808</v>
      </c>
    </row>
    <row r="366" spans="1:3" x14ac:dyDescent="0.2">
      <c r="A366" s="53">
        <f t="shared" si="5"/>
        <v>308</v>
      </c>
      <c r="B366" s="54" t="s">
        <v>3464</v>
      </c>
      <c r="C366" s="55" t="s">
        <v>808</v>
      </c>
    </row>
    <row r="367" spans="1:3" x14ac:dyDescent="0.2">
      <c r="A367" s="53">
        <f t="shared" si="5"/>
        <v>309</v>
      </c>
      <c r="B367" s="54" t="s">
        <v>3465</v>
      </c>
      <c r="C367" s="55" t="s">
        <v>808</v>
      </c>
    </row>
    <row r="368" spans="1:3" x14ac:dyDescent="0.2">
      <c r="A368" s="53">
        <f t="shared" si="5"/>
        <v>310</v>
      </c>
      <c r="B368" s="54" t="s">
        <v>3466</v>
      </c>
      <c r="C368" s="55" t="s">
        <v>808</v>
      </c>
    </row>
    <row r="369" spans="1:3" x14ac:dyDescent="0.2">
      <c r="A369" s="53">
        <f t="shared" si="5"/>
        <v>311</v>
      </c>
      <c r="B369" s="54" t="s">
        <v>3467</v>
      </c>
      <c r="C369" s="55" t="s">
        <v>808</v>
      </c>
    </row>
    <row r="370" spans="1:3" x14ac:dyDescent="0.2">
      <c r="A370" s="53">
        <f t="shared" si="5"/>
        <v>312</v>
      </c>
      <c r="B370" s="54" t="s">
        <v>3468</v>
      </c>
      <c r="C370" s="55" t="s">
        <v>808</v>
      </c>
    </row>
    <row r="371" spans="1:3" x14ac:dyDescent="0.2">
      <c r="A371" s="53">
        <f t="shared" si="5"/>
        <v>313</v>
      </c>
      <c r="B371" s="54" t="s">
        <v>3469</v>
      </c>
      <c r="C371" s="55" t="s">
        <v>808</v>
      </c>
    </row>
    <row r="372" spans="1:3" x14ac:dyDescent="0.2">
      <c r="A372" s="53">
        <f t="shared" si="5"/>
        <v>314</v>
      </c>
      <c r="B372" s="54" t="s">
        <v>3470</v>
      </c>
      <c r="C372" s="55" t="s">
        <v>808</v>
      </c>
    </row>
    <row r="373" spans="1:3" x14ac:dyDescent="0.2">
      <c r="A373" s="53">
        <f t="shared" si="5"/>
        <v>315</v>
      </c>
      <c r="B373" s="54" t="s">
        <v>3471</v>
      </c>
      <c r="C373" s="55" t="s">
        <v>808</v>
      </c>
    </row>
    <row r="374" spans="1:3" x14ac:dyDescent="0.2">
      <c r="A374" s="53">
        <f t="shared" si="5"/>
        <v>316</v>
      </c>
      <c r="B374" s="54" t="s">
        <v>3472</v>
      </c>
      <c r="C374" s="55" t="s">
        <v>808</v>
      </c>
    </row>
    <row r="375" spans="1:3" x14ac:dyDescent="0.2">
      <c r="A375" s="53">
        <f t="shared" si="5"/>
        <v>317</v>
      </c>
      <c r="B375" s="54" t="s">
        <v>3473</v>
      </c>
      <c r="C375" s="55" t="s">
        <v>808</v>
      </c>
    </row>
    <row r="376" spans="1:3" x14ac:dyDescent="0.2">
      <c r="A376" s="53">
        <f t="shared" si="5"/>
        <v>318</v>
      </c>
      <c r="B376" s="54" t="s">
        <v>3474</v>
      </c>
      <c r="C376" s="55" t="s">
        <v>808</v>
      </c>
    </row>
    <row r="377" spans="1:3" x14ac:dyDescent="0.2">
      <c r="A377" s="53">
        <f t="shared" si="5"/>
        <v>319</v>
      </c>
      <c r="B377" s="54" t="s">
        <v>3475</v>
      </c>
      <c r="C377" s="55" t="s">
        <v>808</v>
      </c>
    </row>
    <row r="378" spans="1:3" x14ac:dyDescent="0.2">
      <c r="A378" s="53">
        <f t="shared" si="5"/>
        <v>320</v>
      </c>
      <c r="B378" s="54" t="s">
        <v>3476</v>
      </c>
      <c r="C378" s="55" t="s">
        <v>808</v>
      </c>
    </row>
    <row r="379" spans="1:3" x14ac:dyDescent="0.2">
      <c r="A379" s="53">
        <f t="shared" si="5"/>
        <v>321</v>
      </c>
      <c r="B379" s="54" t="s">
        <v>3477</v>
      </c>
      <c r="C379" s="55" t="s">
        <v>808</v>
      </c>
    </row>
    <row r="380" spans="1:3" x14ac:dyDescent="0.2">
      <c r="A380" s="53">
        <f t="shared" ref="A380:A425" si="6">1+A379</f>
        <v>322</v>
      </c>
      <c r="B380" s="54" t="s">
        <v>3478</v>
      </c>
      <c r="C380" s="55" t="s">
        <v>808</v>
      </c>
    </row>
    <row r="381" spans="1:3" x14ac:dyDescent="0.2">
      <c r="A381" s="53">
        <f t="shared" si="6"/>
        <v>323</v>
      </c>
      <c r="B381" s="54" t="s">
        <v>3479</v>
      </c>
      <c r="C381" s="55" t="s">
        <v>808</v>
      </c>
    </row>
    <row r="382" spans="1:3" x14ac:dyDescent="0.2">
      <c r="A382" s="53">
        <f t="shared" si="6"/>
        <v>324</v>
      </c>
      <c r="B382" s="54" t="s">
        <v>3480</v>
      </c>
      <c r="C382" s="55" t="s">
        <v>808</v>
      </c>
    </row>
    <row r="383" spans="1:3" x14ac:dyDescent="0.2">
      <c r="A383" s="53">
        <f t="shared" si="6"/>
        <v>325</v>
      </c>
      <c r="B383" s="54" t="s">
        <v>3481</v>
      </c>
      <c r="C383" s="55" t="s">
        <v>808</v>
      </c>
    </row>
    <row r="384" spans="1:3" x14ac:dyDescent="0.2">
      <c r="A384" s="53">
        <f t="shared" si="6"/>
        <v>326</v>
      </c>
      <c r="B384" s="54" t="s">
        <v>3482</v>
      </c>
      <c r="C384" s="55" t="s">
        <v>808</v>
      </c>
    </row>
    <row r="385" spans="1:3" x14ac:dyDescent="0.2">
      <c r="A385" s="53">
        <f t="shared" si="6"/>
        <v>327</v>
      </c>
      <c r="B385" s="54" t="s">
        <v>3483</v>
      </c>
      <c r="C385" s="55" t="s">
        <v>808</v>
      </c>
    </row>
    <row r="386" spans="1:3" x14ac:dyDescent="0.2">
      <c r="A386" s="53">
        <f t="shared" si="6"/>
        <v>328</v>
      </c>
      <c r="B386" s="54" t="s">
        <v>3484</v>
      </c>
      <c r="C386" s="55" t="s">
        <v>808</v>
      </c>
    </row>
    <row r="387" spans="1:3" x14ac:dyDescent="0.2">
      <c r="A387" s="53">
        <f t="shared" si="6"/>
        <v>329</v>
      </c>
      <c r="B387" s="54" t="s">
        <v>3485</v>
      </c>
      <c r="C387" s="55" t="s">
        <v>808</v>
      </c>
    </row>
    <row r="388" spans="1:3" x14ac:dyDescent="0.2">
      <c r="A388" s="53">
        <f t="shared" si="6"/>
        <v>330</v>
      </c>
      <c r="B388" s="54" t="s">
        <v>3486</v>
      </c>
      <c r="C388" s="55" t="s">
        <v>808</v>
      </c>
    </row>
    <row r="389" spans="1:3" x14ac:dyDescent="0.2">
      <c r="A389" s="53">
        <f t="shared" si="6"/>
        <v>331</v>
      </c>
      <c r="B389" s="54" t="s">
        <v>3487</v>
      </c>
      <c r="C389" s="55" t="s">
        <v>808</v>
      </c>
    </row>
    <row r="390" spans="1:3" x14ac:dyDescent="0.2">
      <c r="A390" s="53">
        <f t="shared" si="6"/>
        <v>332</v>
      </c>
      <c r="B390" s="54" t="s">
        <v>3488</v>
      </c>
      <c r="C390" s="55" t="s">
        <v>808</v>
      </c>
    </row>
    <row r="391" spans="1:3" x14ac:dyDescent="0.2">
      <c r="A391" s="53">
        <f t="shared" si="6"/>
        <v>333</v>
      </c>
      <c r="B391" s="54" t="s">
        <v>3489</v>
      </c>
      <c r="C391" s="55" t="s">
        <v>808</v>
      </c>
    </row>
    <row r="392" spans="1:3" x14ac:dyDescent="0.2">
      <c r="A392" s="53">
        <f t="shared" si="6"/>
        <v>334</v>
      </c>
      <c r="B392" s="54" t="s">
        <v>3490</v>
      </c>
      <c r="C392" s="55" t="s">
        <v>808</v>
      </c>
    </row>
    <row r="393" spans="1:3" x14ac:dyDescent="0.2">
      <c r="A393" s="53">
        <f t="shared" si="6"/>
        <v>335</v>
      </c>
      <c r="B393" s="54" t="s">
        <v>3491</v>
      </c>
      <c r="C393" s="55" t="s">
        <v>808</v>
      </c>
    </row>
    <row r="394" spans="1:3" x14ac:dyDescent="0.2">
      <c r="A394" s="53">
        <f t="shared" si="6"/>
        <v>336</v>
      </c>
      <c r="B394" s="54" t="s">
        <v>3492</v>
      </c>
      <c r="C394" s="55" t="s">
        <v>808</v>
      </c>
    </row>
    <row r="395" spans="1:3" x14ac:dyDescent="0.2">
      <c r="A395" s="53">
        <f t="shared" si="6"/>
        <v>337</v>
      </c>
      <c r="B395" s="54" t="s">
        <v>3493</v>
      </c>
      <c r="C395" s="55" t="s">
        <v>808</v>
      </c>
    </row>
    <row r="396" spans="1:3" x14ac:dyDescent="0.2">
      <c r="A396" s="53">
        <f t="shared" si="6"/>
        <v>338</v>
      </c>
      <c r="B396" s="54" t="s">
        <v>3494</v>
      </c>
      <c r="C396" s="55" t="s">
        <v>808</v>
      </c>
    </row>
    <row r="397" spans="1:3" x14ac:dyDescent="0.2">
      <c r="A397" s="53">
        <f t="shared" si="6"/>
        <v>339</v>
      </c>
      <c r="B397" s="54" t="s">
        <v>3495</v>
      </c>
      <c r="C397" s="55" t="s">
        <v>808</v>
      </c>
    </row>
    <row r="398" spans="1:3" x14ac:dyDescent="0.2">
      <c r="A398" s="53">
        <f t="shared" si="6"/>
        <v>340</v>
      </c>
      <c r="B398" s="54" t="s">
        <v>3496</v>
      </c>
      <c r="C398" s="55" t="s">
        <v>808</v>
      </c>
    </row>
    <row r="399" spans="1:3" x14ac:dyDescent="0.2">
      <c r="A399" s="53">
        <f t="shared" si="6"/>
        <v>341</v>
      </c>
      <c r="B399" s="54" t="s">
        <v>3497</v>
      </c>
      <c r="C399" s="55" t="s">
        <v>808</v>
      </c>
    </row>
    <row r="400" spans="1:3" x14ac:dyDescent="0.2">
      <c r="A400" s="53">
        <f t="shared" si="6"/>
        <v>342</v>
      </c>
      <c r="B400" s="54" t="s">
        <v>3498</v>
      </c>
      <c r="C400" s="55" t="s">
        <v>808</v>
      </c>
    </row>
    <row r="401" spans="1:3" x14ac:dyDescent="0.2">
      <c r="A401" s="53">
        <f t="shared" si="6"/>
        <v>343</v>
      </c>
      <c r="B401" s="54" t="s">
        <v>3499</v>
      </c>
      <c r="C401" s="55" t="s">
        <v>808</v>
      </c>
    </row>
    <row r="402" spans="1:3" x14ac:dyDescent="0.2">
      <c r="A402" s="53">
        <f t="shared" si="6"/>
        <v>344</v>
      </c>
      <c r="B402" s="54" t="s">
        <v>3500</v>
      </c>
      <c r="C402" s="55" t="s">
        <v>808</v>
      </c>
    </row>
    <row r="403" spans="1:3" x14ac:dyDescent="0.2">
      <c r="A403" s="53">
        <f t="shared" si="6"/>
        <v>345</v>
      </c>
      <c r="B403" s="54" t="s">
        <v>3501</v>
      </c>
      <c r="C403" s="55" t="s">
        <v>808</v>
      </c>
    </row>
    <row r="404" spans="1:3" x14ac:dyDescent="0.2">
      <c r="A404" s="53">
        <f t="shared" si="6"/>
        <v>346</v>
      </c>
      <c r="B404" s="54" t="s">
        <v>3502</v>
      </c>
      <c r="C404" s="55" t="s">
        <v>808</v>
      </c>
    </row>
    <row r="405" spans="1:3" x14ac:dyDescent="0.2">
      <c r="A405" s="53">
        <f t="shared" si="6"/>
        <v>347</v>
      </c>
      <c r="B405" s="54" t="s">
        <v>3503</v>
      </c>
      <c r="C405" s="55" t="s">
        <v>808</v>
      </c>
    </row>
    <row r="406" spans="1:3" x14ac:dyDescent="0.2">
      <c r="A406" s="53">
        <f t="shared" si="6"/>
        <v>348</v>
      </c>
      <c r="B406" s="54" t="s">
        <v>3504</v>
      </c>
      <c r="C406" s="55" t="s">
        <v>808</v>
      </c>
    </row>
    <row r="407" spans="1:3" x14ac:dyDescent="0.2">
      <c r="A407" s="53">
        <f t="shared" si="6"/>
        <v>349</v>
      </c>
      <c r="B407" s="54" t="s">
        <v>3505</v>
      </c>
      <c r="C407" s="55" t="s">
        <v>808</v>
      </c>
    </row>
    <row r="408" spans="1:3" x14ac:dyDescent="0.2">
      <c r="A408" s="53">
        <f t="shared" si="6"/>
        <v>350</v>
      </c>
      <c r="B408" s="54" t="s">
        <v>3506</v>
      </c>
      <c r="C408" s="55" t="s">
        <v>808</v>
      </c>
    </row>
    <row r="409" spans="1:3" x14ac:dyDescent="0.2">
      <c r="A409" s="53">
        <f t="shared" si="6"/>
        <v>351</v>
      </c>
      <c r="B409" s="54" t="s">
        <v>3507</v>
      </c>
      <c r="C409" s="55" t="s">
        <v>808</v>
      </c>
    </row>
    <row r="410" spans="1:3" x14ac:dyDescent="0.2">
      <c r="A410" s="53">
        <f t="shared" si="6"/>
        <v>352</v>
      </c>
      <c r="B410" s="54" t="s">
        <v>3508</v>
      </c>
      <c r="C410" s="55" t="s">
        <v>808</v>
      </c>
    </row>
    <row r="411" spans="1:3" x14ac:dyDescent="0.2">
      <c r="A411" s="53">
        <f t="shared" si="6"/>
        <v>353</v>
      </c>
      <c r="B411" s="54" t="s">
        <v>3509</v>
      </c>
      <c r="C411" s="55" t="s">
        <v>808</v>
      </c>
    </row>
    <row r="412" spans="1:3" x14ac:dyDescent="0.2">
      <c r="A412" s="53">
        <f t="shared" si="6"/>
        <v>354</v>
      </c>
      <c r="B412" s="54" t="s">
        <v>3510</v>
      </c>
      <c r="C412" s="55" t="s">
        <v>808</v>
      </c>
    </row>
    <row r="413" spans="1:3" x14ac:dyDescent="0.2">
      <c r="A413" s="53">
        <f t="shared" si="6"/>
        <v>355</v>
      </c>
      <c r="B413" s="54" t="s">
        <v>3511</v>
      </c>
      <c r="C413" s="55" t="s">
        <v>808</v>
      </c>
    </row>
    <row r="414" spans="1:3" x14ac:dyDescent="0.2">
      <c r="A414" s="53">
        <f t="shared" si="6"/>
        <v>356</v>
      </c>
      <c r="B414" s="54" t="s">
        <v>3512</v>
      </c>
      <c r="C414" s="55" t="s">
        <v>808</v>
      </c>
    </row>
    <row r="415" spans="1:3" x14ac:dyDescent="0.2">
      <c r="A415" s="53">
        <f t="shared" si="6"/>
        <v>357</v>
      </c>
      <c r="B415" s="54" t="s">
        <v>3513</v>
      </c>
      <c r="C415" s="55" t="s">
        <v>808</v>
      </c>
    </row>
    <row r="416" spans="1:3" x14ac:dyDescent="0.2">
      <c r="A416" s="53">
        <f t="shared" si="6"/>
        <v>358</v>
      </c>
      <c r="B416" s="54" t="s">
        <v>3514</v>
      </c>
      <c r="C416" s="55" t="s">
        <v>808</v>
      </c>
    </row>
    <row r="417" spans="1:3" x14ac:dyDescent="0.2">
      <c r="A417" s="53">
        <f t="shared" si="6"/>
        <v>359</v>
      </c>
      <c r="B417" s="54" t="s">
        <v>3515</v>
      </c>
      <c r="C417" s="55" t="s">
        <v>808</v>
      </c>
    </row>
    <row r="418" spans="1:3" x14ac:dyDescent="0.2">
      <c r="A418" s="53">
        <f t="shared" si="6"/>
        <v>360</v>
      </c>
      <c r="B418" s="54" t="s">
        <v>3516</v>
      </c>
      <c r="C418" s="55" t="s">
        <v>808</v>
      </c>
    </row>
    <row r="419" spans="1:3" x14ac:dyDescent="0.2">
      <c r="A419" s="53">
        <f t="shared" si="6"/>
        <v>361</v>
      </c>
      <c r="B419" s="54" t="s">
        <v>3517</v>
      </c>
      <c r="C419" s="55" t="s">
        <v>808</v>
      </c>
    </row>
    <row r="420" spans="1:3" x14ac:dyDescent="0.2">
      <c r="A420" s="53">
        <f t="shared" si="6"/>
        <v>362</v>
      </c>
      <c r="B420" s="54" t="s">
        <v>3518</v>
      </c>
      <c r="C420" s="55" t="s">
        <v>808</v>
      </c>
    </row>
    <row r="421" spans="1:3" x14ac:dyDescent="0.2">
      <c r="A421" s="53">
        <f t="shared" si="6"/>
        <v>363</v>
      </c>
      <c r="B421" s="54" t="s">
        <v>3519</v>
      </c>
      <c r="C421" s="55" t="s">
        <v>808</v>
      </c>
    </row>
    <row r="422" spans="1:3" x14ac:dyDescent="0.2">
      <c r="A422" s="53">
        <f t="shared" si="6"/>
        <v>364</v>
      </c>
      <c r="B422" s="54" t="s">
        <v>3520</v>
      </c>
      <c r="C422" s="55" t="s">
        <v>808</v>
      </c>
    </row>
    <row r="423" spans="1:3" x14ac:dyDescent="0.2">
      <c r="A423" s="53">
        <f t="shared" si="6"/>
        <v>365</v>
      </c>
      <c r="B423" s="54" t="s">
        <v>3521</v>
      </c>
      <c r="C423" s="55" t="s">
        <v>808</v>
      </c>
    </row>
    <row r="424" spans="1:3" x14ac:dyDescent="0.2">
      <c r="A424" s="53">
        <f t="shared" si="6"/>
        <v>366</v>
      </c>
      <c r="B424" s="54" t="s">
        <v>3522</v>
      </c>
      <c r="C424" s="55" t="s">
        <v>808</v>
      </c>
    </row>
    <row r="425" spans="1:3" x14ac:dyDescent="0.2">
      <c r="A425" s="53">
        <f t="shared" si="6"/>
        <v>367</v>
      </c>
      <c r="B425" s="52" t="s">
        <v>3550</v>
      </c>
    </row>
    <row r="426" spans="1:3" x14ac:dyDescent="0.2">
      <c r="B426" s="52" t="s">
        <v>3551</v>
      </c>
    </row>
    <row r="427" spans="1:3" x14ac:dyDescent="0.2">
      <c r="B427" s="52" t="s">
        <v>3552</v>
      </c>
    </row>
  </sheetData>
  <hyperlinks>
    <hyperlink ref="A1" location="Main!A1" display="Main" xr:uid="{09850D64-95EF-4F22-A00D-112C2828E9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72"/>
  <sheetViews>
    <sheetView zoomScale="200" zoomScaleNormal="200" workbookViewId="0">
      <selection activeCell="G44" sqref="G44"/>
    </sheetView>
  </sheetViews>
  <sheetFormatPr defaultRowHeight="13.5" x14ac:dyDescent="0.25"/>
  <cols>
    <col min="1" max="1" width="4" style="6" customWidth="1"/>
    <col min="2" max="2" width="24" style="6" customWidth="1"/>
    <col min="3" max="3" width="10.7109375" style="6" bestFit="1" customWidth="1"/>
    <col min="4" max="16384" width="9.140625" style="6"/>
  </cols>
  <sheetData>
    <row r="1" spans="1:18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  <c r="P3" s="4"/>
      <c r="Q3" s="4"/>
      <c r="R3" s="4"/>
    </row>
    <row r="4" spans="1:18" x14ac:dyDescent="0.25">
      <c r="A4" s="12">
        <v>1</v>
      </c>
      <c r="B4" s="13" t="s">
        <v>8</v>
      </c>
      <c r="C4" s="4" t="s">
        <v>428</v>
      </c>
      <c r="D4" s="47" t="s">
        <v>45</v>
      </c>
      <c r="E4" s="14"/>
      <c r="F4" s="14"/>
      <c r="G4" s="14"/>
      <c r="H4" s="14"/>
      <c r="I4" s="4"/>
      <c r="J4" s="4"/>
      <c r="K4" s="4"/>
      <c r="L4" s="4"/>
      <c r="M4" s="4"/>
      <c r="N4" s="4"/>
      <c r="O4" s="4"/>
      <c r="P4" s="4"/>
      <c r="Q4" s="4"/>
      <c r="R4" s="4"/>
    </row>
    <row r="5" spans="1:18" x14ac:dyDescent="0.25">
      <c r="A5" s="12">
        <f>+A4+1</f>
        <v>2</v>
      </c>
      <c r="B5" s="13" t="s">
        <v>10</v>
      </c>
      <c r="C5" s="4" t="s">
        <v>35</v>
      </c>
      <c r="D5" s="47" t="s">
        <v>45</v>
      </c>
      <c r="E5" s="1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12">
        <f t="shared" ref="A6:A41" si="0">+A5+1</f>
        <v>3</v>
      </c>
      <c r="B6" s="13" t="s">
        <v>13</v>
      </c>
      <c r="C6" s="4" t="s">
        <v>53</v>
      </c>
      <c r="D6" s="47" t="s">
        <v>1126</v>
      </c>
      <c r="E6" s="1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25">
      <c r="A7" s="12">
        <f t="shared" si="0"/>
        <v>4</v>
      </c>
      <c r="B7" s="13" t="s">
        <v>16</v>
      </c>
      <c r="C7" s="47" t="s">
        <v>60</v>
      </c>
      <c r="D7" s="47" t="s">
        <v>59</v>
      </c>
      <c r="E7" s="1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18" x14ac:dyDescent="0.25">
      <c r="A8" s="12">
        <f t="shared" si="0"/>
        <v>5</v>
      </c>
      <c r="B8" s="13" t="s">
        <v>58</v>
      </c>
      <c r="C8" s="4" t="s">
        <v>58</v>
      </c>
      <c r="D8" s="47" t="s">
        <v>46</v>
      </c>
      <c r="E8" s="1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12">
        <f t="shared" si="0"/>
        <v>6</v>
      </c>
      <c r="B9" s="13" t="s">
        <v>64</v>
      </c>
      <c r="C9" s="4" t="s">
        <v>64</v>
      </c>
      <c r="D9" s="47" t="s">
        <v>45</v>
      </c>
      <c r="E9" s="1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25">
      <c r="A10" s="12">
        <f t="shared" si="0"/>
        <v>7</v>
      </c>
      <c r="B10" s="13" t="s">
        <v>772</v>
      </c>
      <c r="C10" s="4" t="s">
        <v>69</v>
      </c>
      <c r="D10" s="47" t="s">
        <v>45</v>
      </c>
      <c r="E10" s="1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 x14ac:dyDescent="0.25">
      <c r="A11" s="12">
        <f t="shared" si="0"/>
        <v>8</v>
      </c>
      <c r="B11" s="13" t="s">
        <v>23</v>
      </c>
      <c r="C11" s="4" t="s">
        <v>166</v>
      </c>
      <c r="D11" s="47" t="s">
        <v>45</v>
      </c>
      <c r="E11" s="1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x14ac:dyDescent="0.25">
      <c r="A12" s="12">
        <f t="shared" si="0"/>
        <v>9</v>
      </c>
      <c r="B12" s="13" t="s">
        <v>27</v>
      </c>
      <c r="C12" s="4" t="s">
        <v>110</v>
      </c>
      <c r="D12" s="47" t="s">
        <v>45</v>
      </c>
      <c r="E12" s="1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25">
      <c r="A13" s="12">
        <f t="shared" si="0"/>
        <v>10</v>
      </c>
      <c r="B13" s="13" t="s">
        <v>72</v>
      </c>
      <c r="C13" s="4" t="s">
        <v>73</v>
      </c>
      <c r="D13" s="47" t="s">
        <v>45</v>
      </c>
      <c r="E13" s="1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 x14ac:dyDescent="0.25">
      <c r="A14" s="12">
        <f t="shared" si="0"/>
        <v>11</v>
      </c>
      <c r="B14" s="4" t="s">
        <v>773</v>
      </c>
      <c r="C14" s="4" t="s">
        <v>81</v>
      </c>
      <c r="D14" s="47" t="s">
        <v>45</v>
      </c>
      <c r="E14" s="1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12">
        <f t="shared" si="0"/>
        <v>12</v>
      </c>
      <c r="B15" s="4" t="s">
        <v>95</v>
      </c>
      <c r="C15" s="4" t="s">
        <v>96</v>
      </c>
      <c r="D15" s="47" t="s">
        <v>45</v>
      </c>
      <c r="E15" s="1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x14ac:dyDescent="0.25">
      <c r="A16" s="12">
        <f t="shared" si="0"/>
        <v>13</v>
      </c>
      <c r="B16" s="4" t="s">
        <v>774</v>
      </c>
      <c r="C16" s="4" t="s">
        <v>775</v>
      </c>
      <c r="D16" s="47" t="s">
        <v>768</v>
      </c>
      <c r="E16" s="1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1:18" x14ac:dyDescent="0.25">
      <c r="A17" s="12">
        <f t="shared" si="0"/>
        <v>14</v>
      </c>
      <c r="B17" s="4" t="s">
        <v>776</v>
      </c>
      <c r="C17" s="4" t="s">
        <v>94</v>
      </c>
      <c r="D17" s="47" t="s">
        <v>45</v>
      </c>
      <c r="E17" s="1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12">
        <f t="shared" si="0"/>
        <v>15</v>
      </c>
      <c r="B18" s="4" t="s">
        <v>777</v>
      </c>
      <c r="C18" s="4" t="s">
        <v>280</v>
      </c>
      <c r="D18" s="47" t="s">
        <v>45</v>
      </c>
      <c r="E18" s="1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x14ac:dyDescent="0.25">
      <c r="A19" s="12">
        <f t="shared" si="0"/>
        <v>16</v>
      </c>
      <c r="B19" s="4" t="s">
        <v>104</v>
      </c>
      <c r="C19" s="4" t="s">
        <v>105</v>
      </c>
      <c r="D19" s="47" t="s">
        <v>45</v>
      </c>
      <c r="E19" s="1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5">
      <c r="A20" s="12">
        <f t="shared" si="0"/>
        <v>17</v>
      </c>
      <c r="B20" s="4" t="s">
        <v>111</v>
      </c>
      <c r="C20" s="4" t="s">
        <v>778</v>
      </c>
      <c r="D20" s="47" t="s">
        <v>59</v>
      </c>
      <c r="E20" s="1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12">
        <f t="shared" si="0"/>
        <v>18</v>
      </c>
      <c r="B21" s="4" t="s">
        <v>117</v>
      </c>
      <c r="C21" s="4" t="s">
        <v>779</v>
      </c>
      <c r="D21" s="47" t="s">
        <v>87</v>
      </c>
      <c r="E21" s="1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5">
      <c r="A22" s="12">
        <f t="shared" si="0"/>
        <v>19</v>
      </c>
      <c r="B22" s="4" t="s">
        <v>780</v>
      </c>
      <c r="C22" s="4" t="s">
        <v>108</v>
      </c>
      <c r="D22" s="47" t="s">
        <v>45</v>
      </c>
      <c r="E22" s="1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5">
      <c r="A23" s="12">
        <f t="shared" si="0"/>
        <v>20</v>
      </c>
      <c r="B23" s="4" t="s">
        <v>781</v>
      </c>
      <c r="C23" s="4" t="s">
        <v>782</v>
      </c>
      <c r="D23" s="4"/>
      <c r="E23" s="1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12">
        <f t="shared" si="0"/>
        <v>21</v>
      </c>
      <c r="B24" s="4" t="s">
        <v>783</v>
      </c>
      <c r="C24" s="4" t="s">
        <v>150</v>
      </c>
      <c r="D24" s="4"/>
      <c r="E24" s="1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25">
      <c r="A25" s="12">
        <f t="shared" si="0"/>
        <v>22</v>
      </c>
      <c r="B25" s="4" t="s">
        <v>784</v>
      </c>
      <c r="C25" s="4" t="s">
        <v>785</v>
      </c>
      <c r="D25" s="4"/>
      <c r="E25" s="1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18" x14ac:dyDescent="0.25">
      <c r="A26" s="12">
        <f t="shared" si="0"/>
        <v>23</v>
      </c>
      <c r="B26" s="4" t="s">
        <v>212</v>
      </c>
      <c r="C26" s="4" t="s">
        <v>786</v>
      </c>
      <c r="D26" s="4"/>
      <c r="E26" s="1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12">
        <f t="shared" si="0"/>
        <v>24</v>
      </c>
      <c r="B27" s="4" t="s">
        <v>787</v>
      </c>
      <c r="C27" s="4" t="s">
        <v>788</v>
      </c>
      <c r="D27" s="4"/>
      <c r="E27" s="1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1:18" x14ac:dyDescent="0.25">
      <c r="A28" s="12">
        <f t="shared" si="0"/>
        <v>25</v>
      </c>
      <c r="B28" s="4" t="s">
        <v>789</v>
      </c>
      <c r="C28" s="4" t="s">
        <v>790</v>
      </c>
      <c r="D28" s="4"/>
      <c r="E28" s="1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spans="1:18" x14ac:dyDescent="0.25">
      <c r="A29" s="12">
        <f t="shared" si="0"/>
        <v>26</v>
      </c>
      <c r="B29" s="4" t="s">
        <v>791</v>
      </c>
      <c r="C29" s="4" t="s">
        <v>189</v>
      </c>
      <c r="D29" s="4"/>
      <c r="E29" s="1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12">
        <f t="shared" si="0"/>
        <v>27</v>
      </c>
      <c r="B30" s="4" t="s">
        <v>792</v>
      </c>
      <c r="C30" s="4" t="s">
        <v>793</v>
      </c>
      <c r="D30" s="4"/>
      <c r="E30" s="1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 x14ac:dyDescent="0.25">
      <c r="A31" s="12">
        <f t="shared" si="0"/>
        <v>28</v>
      </c>
      <c r="B31" s="4" t="s">
        <v>177</v>
      </c>
      <c r="C31" s="4" t="s">
        <v>794</v>
      </c>
      <c r="D31" s="4"/>
      <c r="E31" s="1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x14ac:dyDescent="0.25">
      <c r="A32" s="12">
        <f t="shared" si="0"/>
        <v>29</v>
      </c>
      <c r="B32" s="4" t="s">
        <v>795</v>
      </c>
      <c r="C32" s="4" t="s">
        <v>796</v>
      </c>
      <c r="D32" s="4"/>
      <c r="E32" s="1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12">
        <f t="shared" si="0"/>
        <v>30</v>
      </c>
      <c r="B33" s="4" t="s">
        <v>797</v>
      </c>
      <c r="C33" s="4" t="s">
        <v>253</v>
      </c>
      <c r="D33" s="4"/>
      <c r="E33" s="1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 x14ac:dyDescent="0.25">
      <c r="A34" s="12">
        <f t="shared" si="0"/>
        <v>31</v>
      </c>
      <c r="B34" s="4" t="s">
        <v>798</v>
      </c>
      <c r="C34" s="4" t="s">
        <v>799</v>
      </c>
      <c r="D34" s="4"/>
      <c r="E34" s="1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1:18" x14ac:dyDescent="0.25">
      <c r="A35" s="12">
        <f t="shared" si="0"/>
        <v>32</v>
      </c>
      <c r="B35" s="4" t="s">
        <v>800</v>
      </c>
      <c r="C35" s="4" t="s">
        <v>801</v>
      </c>
      <c r="D35" s="4"/>
      <c r="E35" s="1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12">
        <f t="shared" si="0"/>
        <v>33</v>
      </c>
      <c r="B36" s="4" t="s">
        <v>802</v>
      </c>
      <c r="C36" s="4" t="s">
        <v>291</v>
      </c>
      <c r="D36" s="4"/>
      <c r="E36" s="1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x14ac:dyDescent="0.25">
      <c r="A37" s="12">
        <f t="shared" si="0"/>
        <v>34</v>
      </c>
      <c r="B37" s="4" t="s">
        <v>803</v>
      </c>
      <c r="C37" s="4" t="s">
        <v>240</v>
      </c>
      <c r="D37" s="4"/>
      <c r="E37" s="1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spans="1:18" x14ac:dyDescent="0.25">
      <c r="A38" s="12">
        <f t="shared" si="0"/>
        <v>35</v>
      </c>
      <c r="B38" s="4" t="s">
        <v>210</v>
      </c>
      <c r="C38" s="4" t="s">
        <v>804</v>
      </c>
      <c r="D38" s="4"/>
      <c r="E38" s="1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12">
        <f t="shared" si="0"/>
        <v>36</v>
      </c>
      <c r="B39" s="4" t="s">
        <v>348</v>
      </c>
      <c r="C39" s="4" t="s">
        <v>805</v>
      </c>
      <c r="D39" s="4"/>
      <c r="E39" s="1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spans="1:18" x14ac:dyDescent="0.25">
      <c r="A40" s="12">
        <f t="shared" si="0"/>
        <v>37</v>
      </c>
      <c r="B40" s="4" t="s">
        <v>806</v>
      </c>
      <c r="C40" s="4" t="s">
        <v>807</v>
      </c>
      <c r="D40" s="4"/>
      <c r="E40" s="1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spans="1:18" x14ac:dyDescent="0.25">
      <c r="A41" s="12">
        <f t="shared" si="0"/>
        <v>38</v>
      </c>
      <c r="B41" s="13" t="s">
        <v>810</v>
      </c>
      <c r="C41" s="46" t="s">
        <v>3151</v>
      </c>
      <c r="D41" s="46" t="s">
        <v>45</v>
      </c>
      <c r="E41" s="14">
        <f>+[85]Main!$L$2</f>
        <v>204.45</v>
      </c>
      <c r="F41" s="14">
        <f>+[85]Main!$L$4</f>
        <v>46314.58332315</v>
      </c>
      <c r="G41" s="14">
        <f>+[85]Main!$L$6-[85]Main!$L$5</f>
        <v>-1716.0160000000001</v>
      </c>
      <c r="H41" s="14">
        <f>+F41+G41</f>
        <v>44598.567323149997</v>
      </c>
      <c r="I41" s="50" t="s">
        <v>3147</v>
      </c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12"/>
      <c r="B42" s="4"/>
      <c r="C42" s="4"/>
      <c r="D42" s="4"/>
      <c r="E42" s="1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spans="1:18" x14ac:dyDescent="0.25">
      <c r="A43" s="12"/>
      <c r="B43" s="4"/>
      <c r="C43" s="4"/>
      <c r="D43" s="4"/>
      <c r="E43" s="1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spans="1:18" x14ac:dyDescent="0.25">
      <c r="A44" s="4"/>
      <c r="B44" s="4"/>
      <c r="C44" s="4"/>
      <c r="D44" s="4"/>
      <c r="E44" s="1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4"/>
      <c r="B45" s="4"/>
      <c r="C45" s="4"/>
      <c r="D45" s="4"/>
      <c r="E45" s="1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spans="1:18" x14ac:dyDescent="0.25">
      <c r="A46" s="4"/>
      <c r="B46" s="4" t="s">
        <v>808</v>
      </c>
      <c r="C46" s="4"/>
      <c r="D46" s="4"/>
      <c r="E46" s="1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spans="1:18" x14ac:dyDescent="0.25">
      <c r="A47" s="4"/>
      <c r="B47" s="4" t="s">
        <v>809</v>
      </c>
      <c r="C47" s="4"/>
      <c r="D47" s="4"/>
      <c r="E47" s="1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4"/>
      <c r="B48" s="4"/>
      <c r="C48" s="4"/>
      <c r="D48" s="4"/>
      <c r="E48" s="1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spans="1:18" x14ac:dyDescent="0.25">
      <c r="A49" s="4"/>
      <c r="B49" s="4"/>
      <c r="C49" s="4"/>
      <c r="D49" s="4"/>
      <c r="E49" s="1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spans="1:18" x14ac:dyDescent="0.25">
      <c r="A50" s="4"/>
      <c r="B50" s="4"/>
      <c r="C50" s="4"/>
      <c r="D50" s="4"/>
      <c r="E50" s="1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x14ac:dyDescent="0.25">
      <c r="A51" s="4"/>
      <c r="B51" s="4"/>
      <c r="C51" s="4"/>
      <c r="D51" s="4"/>
      <c r="E51" s="1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spans="1:18" x14ac:dyDescent="0.25">
      <c r="A52" s="4"/>
      <c r="B52" s="4"/>
      <c r="C52" s="4"/>
      <c r="D52" s="4"/>
      <c r="E52" s="1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spans="1:18" x14ac:dyDescent="0.25">
      <c r="A53" s="4"/>
      <c r="B53" s="4"/>
      <c r="C53" s="4"/>
      <c r="D53" s="4"/>
      <c r="E53" s="1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4"/>
      <c r="B54" s="4"/>
      <c r="C54" s="4"/>
      <c r="D54" s="4"/>
      <c r="E54" s="1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spans="1:18" x14ac:dyDescent="0.25">
      <c r="A55" s="4"/>
      <c r="B55" s="4"/>
      <c r="C55" s="4"/>
      <c r="D55" s="4"/>
      <c r="E55" s="1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spans="1:18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1:18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spans="1:18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spans="1:18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spans="1:18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spans="1:18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spans="1:18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spans="1:18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spans="1:18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spans="1:18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  <hyperlink ref="B41" r:id="rId13" xr:uid="{4CC0C72F-8714-4B97-938F-1BF0786B2FC3}"/>
    <hyperlink ref="B7" r:id="rId14" xr:uid="{C537EA4E-0A4F-4FD5-8E0F-4457D0380932}"/>
    <hyperlink ref="B13" r:id="rId15" xr:uid="{3D351524-9746-4BBF-B6E6-F22EFC1312A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topLeftCell="A4" zoomScale="200" zoomScaleNormal="200" workbookViewId="0"/>
  </sheetViews>
  <sheetFormatPr defaultRowHeight="13.5" x14ac:dyDescent="0.25"/>
  <cols>
    <col min="1" max="1" width="5.42578125" style="6" bestFit="1" customWidth="1"/>
    <col min="2" max="2" width="29.42578125" style="6" customWidth="1"/>
    <col min="3" max="3" width="17.85546875" style="6" customWidth="1"/>
    <col min="4" max="4" width="19.7109375" style="6" bestFit="1" customWidth="1"/>
    <col min="5" max="16384" width="9.140625" style="6"/>
  </cols>
  <sheetData>
    <row r="1" spans="1:108" x14ac:dyDescent="0.25">
      <c r="A1" s="13" t="s">
        <v>958</v>
      </c>
      <c r="B1" s="4"/>
      <c r="C1" s="4" t="s">
        <v>3143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</row>
    <row r="2" spans="1:10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</row>
    <row r="3" spans="1:10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10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</row>
    <row r="4" spans="1:108" x14ac:dyDescent="0.25">
      <c r="A4" s="12">
        <v>1</v>
      </c>
      <c r="B4" s="13" t="s">
        <v>2711</v>
      </c>
      <c r="C4" s="4" t="s">
        <v>2712</v>
      </c>
      <c r="D4" s="4" t="s">
        <v>3094</v>
      </c>
      <c r="E4" s="4">
        <f>+[87]Main!$I$2</f>
        <v>251.74</v>
      </c>
      <c r="F4" s="14">
        <f>+[87]Main!$I$4</f>
        <v>283312.98862612003</v>
      </c>
      <c r="G4" s="14">
        <f>+[87]Main!$I$6-[87]Main!$I$5</f>
        <v>71167</v>
      </c>
      <c r="H4" s="14">
        <f>+F4+G4</f>
        <v>354479.98862612003</v>
      </c>
      <c r="I4" s="5" t="s">
        <v>2583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</row>
    <row r="5" spans="1:108" x14ac:dyDescent="0.25">
      <c r="A5" s="12">
        <f>+A4+1</f>
        <v>2</v>
      </c>
      <c r="B5" s="4" t="s">
        <v>2713</v>
      </c>
      <c r="C5" s="4" t="s">
        <v>2714</v>
      </c>
      <c r="D5" s="4" t="s">
        <v>3095</v>
      </c>
      <c r="E5" s="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</row>
    <row r="6" spans="1:108" x14ac:dyDescent="0.25">
      <c r="A6" s="12">
        <f t="shared" ref="A6:A69" si="0">+A5+1</f>
        <v>3</v>
      </c>
      <c r="B6" s="4" t="s">
        <v>2715</v>
      </c>
      <c r="C6" s="4" t="s">
        <v>2716</v>
      </c>
      <c r="D6" s="4" t="s">
        <v>3094</v>
      </c>
      <c r="E6" s="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</row>
    <row r="7" spans="1:108" x14ac:dyDescent="0.25">
      <c r="A7" s="12">
        <f t="shared" si="0"/>
        <v>4</v>
      </c>
      <c r="B7" s="4" t="s">
        <v>2717</v>
      </c>
      <c r="C7" s="4" t="s">
        <v>2718</v>
      </c>
      <c r="D7" s="4" t="s">
        <v>3094</v>
      </c>
      <c r="E7" s="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</row>
    <row r="8" spans="1:108" x14ac:dyDescent="0.25">
      <c r="A8" s="12">
        <f t="shared" si="0"/>
        <v>5</v>
      </c>
      <c r="B8" s="4" t="s">
        <v>2719</v>
      </c>
      <c r="C8" s="4" t="s">
        <v>2720</v>
      </c>
      <c r="D8" s="4" t="s">
        <v>3096</v>
      </c>
      <c r="E8" s="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</row>
    <row r="9" spans="1:108" x14ac:dyDescent="0.25">
      <c r="A9" s="12">
        <f t="shared" si="0"/>
        <v>6</v>
      </c>
      <c r="B9" s="4" t="s">
        <v>2721</v>
      </c>
      <c r="C9" s="4" t="s">
        <v>2722</v>
      </c>
      <c r="D9" s="4" t="s">
        <v>3097</v>
      </c>
      <c r="E9" s="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</row>
    <row r="10" spans="1:108" x14ac:dyDescent="0.25">
      <c r="A10" s="12">
        <f t="shared" si="0"/>
        <v>7</v>
      </c>
      <c r="B10" s="4" t="s">
        <v>2723</v>
      </c>
      <c r="C10" s="4" t="s">
        <v>2724</v>
      </c>
      <c r="D10" s="4" t="s">
        <v>3098</v>
      </c>
      <c r="E10" s="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</row>
    <row r="11" spans="1:108" x14ac:dyDescent="0.25">
      <c r="A11" s="12">
        <f t="shared" si="0"/>
        <v>8</v>
      </c>
      <c r="B11" s="4" t="s">
        <v>2725</v>
      </c>
      <c r="C11" s="4" t="s">
        <v>2726</v>
      </c>
      <c r="D11" s="4" t="s">
        <v>3094</v>
      </c>
      <c r="E11" s="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</row>
    <row r="12" spans="1:108" x14ac:dyDescent="0.25">
      <c r="A12" s="12">
        <f t="shared" si="0"/>
        <v>9</v>
      </c>
      <c r="B12" s="4" t="s">
        <v>2727</v>
      </c>
      <c r="C12" s="4" t="s">
        <v>2728</v>
      </c>
      <c r="D12" s="4" t="s">
        <v>3094</v>
      </c>
      <c r="E12" s="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</row>
    <row r="13" spans="1:108" x14ac:dyDescent="0.25">
      <c r="A13" s="12">
        <f t="shared" si="0"/>
        <v>10</v>
      </c>
      <c r="B13" s="4" t="s">
        <v>2729</v>
      </c>
      <c r="C13" s="4" t="s">
        <v>2730</v>
      </c>
      <c r="D13" s="4" t="s">
        <v>3095</v>
      </c>
      <c r="E13" s="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</row>
    <row r="14" spans="1:108" x14ac:dyDescent="0.25">
      <c r="A14" s="12">
        <f t="shared" si="0"/>
        <v>11</v>
      </c>
      <c r="B14" s="4" t="s">
        <v>3141</v>
      </c>
      <c r="C14" s="4" t="s">
        <v>3142</v>
      </c>
      <c r="D14" s="4" t="s">
        <v>3097</v>
      </c>
      <c r="E14" s="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</row>
    <row r="15" spans="1:108" x14ac:dyDescent="0.25">
      <c r="A15" s="12">
        <f t="shared" si="0"/>
        <v>12</v>
      </c>
      <c r="B15" s="4" t="s">
        <v>2731</v>
      </c>
      <c r="C15" s="4" t="s">
        <v>2732</v>
      </c>
      <c r="D15" s="4" t="s">
        <v>3097</v>
      </c>
      <c r="E15" s="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</row>
    <row r="16" spans="1:108" x14ac:dyDescent="0.25">
      <c r="A16" s="12">
        <f t="shared" si="0"/>
        <v>13</v>
      </c>
      <c r="B16" s="4" t="s">
        <v>2733</v>
      </c>
      <c r="C16" s="4" t="s">
        <v>2734</v>
      </c>
      <c r="D16" s="4" t="s">
        <v>3099</v>
      </c>
      <c r="E16" s="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</row>
    <row r="17" spans="1:108" x14ac:dyDescent="0.25">
      <c r="A17" s="12">
        <f t="shared" si="0"/>
        <v>14</v>
      </c>
      <c r="B17" s="4" t="s">
        <v>2735</v>
      </c>
      <c r="C17" s="4" t="s">
        <v>2736</v>
      </c>
      <c r="D17" s="4" t="s">
        <v>3100</v>
      </c>
      <c r="E17" s="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</row>
    <row r="18" spans="1:108" x14ac:dyDescent="0.25">
      <c r="A18" s="12">
        <f t="shared" si="0"/>
        <v>15</v>
      </c>
      <c r="B18" s="4" t="s">
        <v>2737</v>
      </c>
      <c r="C18" s="4" t="s">
        <v>2738</v>
      </c>
      <c r="D18" s="4" t="s">
        <v>3101</v>
      </c>
      <c r="E18" s="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</row>
    <row r="19" spans="1:108" x14ac:dyDescent="0.25">
      <c r="A19" s="12">
        <f t="shared" si="0"/>
        <v>16</v>
      </c>
      <c r="B19" s="4" t="s">
        <v>2739</v>
      </c>
      <c r="C19" s="4" t="s">
        <v>2740</v>
      </c>
      <c r="D19" s="4" t="s">
        <v>3094</v>
      </c>
      <c r="E19" s="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</row>
    <row r="20" spans="1:108" x14ac:dyDescent="0.25">
      <c r="A20" s="12">
        <f t="shared" si="0"/>
        <v>17</v>
      </c>
      <c r="B20" s="4" t="s">
        <v>2741</v>
      </c>
      <c r="C20" s="4" t="s">
        <v>2742</v>
      </c>
      <c r="D20" s="4" t="s">
        <v>3102</v>
      </c>
      <c r="E20" s="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</row>
    <row r="21" spans="1:108" x14ac:dyDescent="0.25">
      <c r="A21" s="12">
        <f t="shared" si="0"/>
        <v>18</v>
      </c>
      <c r="B21" s="4" t="s">
        <v>2743</v>
      </c>
      <c r="C21" s="4" t="s">
        <v>2744</v>
      </c>
      <c r="D21" s="4" t="s">
        <v>3103</v>
      </c>
      <c r="E21" s="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</row>
    <row r="22" spans="1:108" x14ac:dyDescent="0.25">
      <c r="A22" s="12">
        <f t="shared" si="0"/>
        <v>19</v>
      </c>
      <c r="B22" s="4" t="s">
        <v>2745</v>
      </c>
      <c r="C22" s="4" t="s">
        <v>2746</v>
      </c>
      <c r="D22" s="4" t="s">
        <v>3104</v>
      </c>
      <c r="E22" s="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</row>
    <row r="23" spans="1:108" x14ac:dyDescent="0.25">
      <c r="A23" s="12">
        <f t="shared" si="0"/>
        <v>20</v>
      </c>
      <c r="B23" s="4" t="s">
        <v>2747</v>
      </c>
      <c r="C23" s="4" t="s">
        <v>2748</v>
      </c>
      <c r="D23" s="4" t="s">
        <v>3094</v>
      </c>
      <c r="E23" s="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</row>
    <row r="24" spans="1:108" x14ac:dyDescent="0.25">
      <c r="A24" s="12">
        <f t="shared" si="0"/>
        <v>21</v>
      </c>
      <c r="B24" s="4" t="s">
        <v>2749</v>
      </c>
      <c r="C24" s="4" t="s">
        <v>2750</v>
      </c>
      <c r="D24" s="4" t="s">
        <v>3105</v>
      </c>
      <c r="E24" s="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</row>
    <row r="25" spans="1:108" x14ac:dyDescent="0.25">
      <c r="A25" s="12">
        <f t="shared" si="0"/>
        <v>22</v>
      </c>
      <c r="B25" s="4" t="s">
        <v>2751</v>
      </c>
      <c r="C25" s="4" t="s">
        <v>2752</v>
      </c>
      <c r="D25" s="4" t="s">
        <v>3106</v>
      </c>
      <c r="E25" s="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</row>
    <row r="26" spans="1:108" x14ac:dyDescent="0.25">
      <c r="A26" s="12">
        <f t="shared" si="0"/>
        <v>23</v>
      </c>
      <c r="B26" s="4" t="s">
        <v>2753</v>
      </c>
      <c r="C26" s="4" t="s">
        <v>2754</v>
      </c>
      <c r="D26" s="4" t="s">
        <v>3107</v>
      </c>
      <c r="E26" s="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</row>
    <row r="27" spans="1:108" x14ac:dyDescent="0.25">
      <c r="A27" s="12">
        <f t="shared" si="0"/>
        <v>24</v>
      </c>
      <c r="B27" s="4" t="s">
        <v>2755</v>
      </c>
      <c r="C27" s="4" t="s">
        <v>2756</v>
      </c>
      <c r="D27" s="4" t="s">
        <v>3108</v>
      </c>
      <c r="E27" s="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</row>
    <row r="28" spans="1:108" x14ac:dyDescent="0.25">
      <c r="A28" s="12">
        <f t="shared" si="0"/>
        <v>25</v>
      </c>
      <c r="B28" s="4" t="s">
        <v>2757</v>
      </c>
      <c r="C28" s="4" t="s">
        <v>2758</v>
      </c>
      <c r="D28" s="4" t="s">
        <v>3095</v>
      </c>
      <c r="E28" s="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</row>
    <row r="29" spans="1:108" x14ac:dyDescent="0.25">
      <c r="A29" s="12">
        <f t="shared" si="0"/>
        <v>26</v>
      </c>
      <c r="B29" s="4" t="s">
        <v>2759</v>
      </c>
      <c r="C29" s="4" t="s">
        <v>2760</v>
      </c>
      <c r="D29" s="4" t="s">
        <v>3109</v>
      </c>
      <c r="E29" s="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</row>
    <row r="30" spans="1:108" x14ac:dyDescent="0.25">
      <c r="A30" s="12">
        <f t="shared" si="0"/>
        <v>27</v>
      </c>
      <c r="B30" s="4" t="s">
        <v>2761</v>
      </c>
      <c r="C30" s="4" t="s">
        <v>2762</v>
      </c>
      <c r="D30" s="4" t="s">
        <v>3109</v>
      </c>
      <c r="E30" s="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</row>
    <row r="31" spans="1:108" x14ac:dyDescent="0.25">
      <c r="A31" s="12">
        <f t="shared" si="0"/>
        <v>28</v>
      </c>
      <c r="B31" s="4" t="s">
        <v>2763</v>
      </c>
      <c r="C31" s="4" t="s">
        <v>2764</v>
      </c>
      <c r="D31" s="4" t="s">
        <v>3110</v>
      </c>
      <c r="E31" s="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</row>
    <row r="32" spans="1:108" x14ac:dyDescent="0.25">
      <c r="A32" s="12">
        <f t="shared" si="0"/>
        <v>29</v>
      </c>
      <c r="B32" s="4" t="s">
        <v>2765</v>
      </c>
      <c r="C32" s="4" t="s">
        <v>2766</v>
      </c>
      <c r="D32" s="4" t="s">
        <v>3095</v>
      </c>
      <c r="E32" s="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</row>
    <row r="33" spans="1:108" x14ac:dyDescent="0.25">
      <c r="A33" s="12">
        <f t="shared" si="0"/>
        <v>30</v>
      </c>
      <c r="B33" s="4" t="s">
        <v>2767</v>
      </c>
      <c r="C33" s="4" t="s">
        <v>2768</v>
      </c>
      <c r="D33" s="4" t="s">
        <v>3104</v>
      </c>
      <c r="E33" s="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</row>
    <row r="34" spans="1:108" x14ac:dyDescent="0.25">
      <c r="A34" s="12">
        <f t="shared" si="0"/>
        <v>31</v>
      </c>
      <c r="B34" s="4" t="s">
        <v>2769</v>
      </c>
      <c r="C34" s="4" t="s">
        <v>2770</v>
      </c>
      <c r="D34" s="4" t="s">
        <v>3111</v>
      </c>
      <c r="E34" s="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</row>
    <row r="35" spans="1:108" x14ac:dyDescent="0.25">
      <c r="A35" s="12">
        <f t="shared" si="0"/>
        <v>32</v>
      </c>
      <c r="B35" s="4" t="s">
        <v>2771</v>
      </c>
      <c r="C35" s="4" t="s">
        <v>2772</v>
      </c>
      <c r="D35" s="4" t="s">
        <v>3108</v>
      </c>
      <c r="E35" s="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</row>
    <row r="36" spans="1:108" x14ac:dyDescent="0.25">
      <c r="A36" s="12">
        <f t="shared" si="0"/>
        <v>33</v>
      </c>
      <c r="B36" s="4" t="s">
        <v>2773</v>
      </c>
      <c r="C36" s="4" t="s">
        <v>2774</v>
      </c>
      <c r="D36" s="4" t="s">
        <v>3094</v>
      </c>
      <c r="E36" s="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</row>
    <row r="37" spans="1:108" x14ac:dyDescent="0.25">
      <c r="A37" s="12">
        <f t="shared" si="0"/>
        <v>34</v>
      </c>
      <c r="B37" s="4" t="s">
        <v>2775</v>
      </c>
      <c r="C37" s="4" t="s">
        <v>2775</v>
      </c>
      <c r="D37" s="4" t="s">
        <v>3111</v>
      </c>
      <c r="E37" s="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</row>
    <row r="38" spans="1:108" x14ac:dyDescent="0.25">
      <c r="A38" s="12">
        <f t="shared" si="0"/>
        <v>35</v>
      </c>
      <c r="B38" s="4" t="s">
        <v>2776</v>
      </c>
      <c r="C38" s="4" t="s">
        <v>2777</v>
      </c>
      <c r="D38" s="4" t="s">
        <v>3112</v>
      </c>
      <c r="E38" s="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</row>
    <row r="39" spans="1:108" x14ac:dyDescent="0.25">
      <c r="A39" s="12">
        <f t="shared" si="0"/>
        <v>36</v>
      </c>
      <c r="B39" s="4" t="s">
        <v>2778</v>
      </c>
      <c r="C39" s="4" t="s">
        <v>2779</v>
      </c>
      <c r="D39" s="4" t="s">
        <v>3113</v>
      </c>
      <c r="E39" s="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</row>
    <row r="40" spans="1:108" x14ac:dyDescent="0.25">
      <c r="A40" s="12">
        <f t="shared" si="0"/>
        <v>37</v>
      </c>
      <c r="B40" s="4" t="s">
        <v>2780</v>
      </c>
      <c r="C40" s="4" t="s">
        <v>2781</v>
      </c>
      <c r="D40" s="4" t="s">
        <v>3114</v>
      </c>
      <c r="E40" s="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</row>
    <row r="41" spans="1:108" x14ac:dyDescent="0.25">
      <c r="A41" s="12">
        <f t="shared" si="0"/>
        <v>38</v>
      </c>
      <c r="B41" s="4" t="s">
        <v>2782</v>
      </c>
      <c r="C41" s="4" t="s">
        <v>2783</v>
      </c>
      <c r="D41" s="4" t="s">
        <v>3111</v>
      </c>
      <c r="E41" s="4"/>
      <c r="F41" s="14"/>
      <c r="G41" s="14"/>
      <c r="H41" s="1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</row>
    <row r="42" spans="1:108" x14ac:dyDescent="0.25">
      <c r="A42" s="12">
        <f t="shared" si="0"/>
        <v>39</v>
      </c>
      <c r="B42" s="4" t="s">
        <v>2784</v>
      </c>
      <c r="C42" s="4" t="s">
        <v>2785</v>
      </c>
      <c r="D42" s="4" t="s">
        <v>3115</v>
      </c>
      <c r="E42" s="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</row>
    <row r="43" spans="1:108" x14ac:dyDescent="0.25">
      <c r="A43" s="12">
        <f t="shared" si="0"/>
        <v>40</v>
      </c>
      <c r="B43" s="4" t="s">
        <v>2786</v>
      </c>
      <c r="C43" s="4" t="s">
        <v>496</v>
      </c>
      <c r="D43" s="4" t="s">
        <v>3094</v>
      </c>
      <c r="E43" s="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</row>
    <row r="44" spans="1:108" x14ac:dyDescent="0.25">
      <c r="A44" s="12">
        <f t="shared" si="0"/>
        <v>41</v>
      </c>
      <c r="B44" s="4" t="s">
        <v>2787</v>
      </c>
      <c r="C44" s="4" t="s">
        <v>2788</v>
      </c>
      <c r="D44" s="4" t="s">
        <v>3116</v>
      </c>
      <c r="E44" s="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</row>
    <row r="45" spans="1:108" x14ac:dyDescent="0.25">
      <c r="A45" s="12">
        <f t="shared" si="0"/>
        <v>42</v>
      </c>
      <c r="B45" s="4" t="s">
        <v>2789</v>
      </c>
      <c r="C45" s="4" t="s">
        <v>2790</v>
      </c>
      <c r="D45" s="4" t="s">
        <v>3116</v>
      </c>
      <c r="E45" s="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</row>
    <row r="46" spans="1:108" x14ac:dyDescent="0.25">
      <c r="A46" s="12">
        <f t="shared" si="0"/>
        <v>43</v>
      </c>
      <c r="B46" s="4" t="s">
        <v>2791</v>
      </c>
      <c r="C46" s="4" t="s">
        <v>2792</v>
      </c>
      <c r="D46" s="4" t="s">
        <v>3117</v>
      </c>
      <c r="E46" s="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</row>
    <row r="47" spans="1:108" x14ac:dyDescent="0.25">
      <c r="A47" s="12">
        <f t="shared" si="0"/>
        <v>44</v>
      </c>
      <c r="B47" s="4" t="s">
        <v>2793</v>
      </c>
      <c r="C47" s="4" t="s">
        <v>2794</v>
      </c>
      <c r="D47" s="4" t="s">
        <v>3095</v>
      </c>
      <c r="E47" s="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</row>
    <row r="48" spans="1:108" x14ac:dyDescent="0.25">
      <c r="A48" s="12">
        <f t="shared" si="0"/>
        <v>45</v>
      </c>
      <c r="B48" s="4" t="s">
        <v>2795</v>
      </c>
      <c r="C48" s="4" t="s">
        <v>2796</v>
      </c>
      <c r="D48" s="4" t="s">
        <v>3100</v>
      </c>
      <c r="E48" s="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</row>
    <row r="49" spans="1:108" x14ac:dyDescent="0.25">
      <c r="A49" s="12">
        <f t="shared" si="0"/>
        <v>46</v>
      </c>
      <c r="B49" s="4" t="s">
        <v>2797</v>
      </c>
      <c r="C49" s="4" t="s">
        <v>2798</v>
      </c>
      <c r="D49" s="4" t="s">
        <v>3103</v>
      </c>
      <c r="E49" s="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</row>
    <row r="50" spans="1:108" x14ac:dyDescent="0.25">
      <c r="A50" s="12">
        <f t="shared" si="0"/>
        <v>47</v>
      </c>
      <c r="B50" s="4" t="s">
        <v>2799</v>
      </c>
      <c r="C50" s="4" t="s">
        <v>2800</v>
      </c>
      <c r="D50" s="4" t="s">
        <v>3094</v>
      </c>
      <c r="E50" s="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</row>
    <row r="51" spans="1:108" x14ac:dyDescent="0.25">
      <c r="A51" s="12">
        <f t="shared" si="0"/>
        <v>48</v>
      </c>
      <c r="B51" s="4" t="s">
        <v>2801</v>
      </c>
      <c r="C51" s="4" t="s">
        <v>2802</v>
      </c>
      <c r="D51" s="4" t="s">
        <v>3110</v>
      </c>
      <c r="E51" s="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</row>
    <row r="52" spans="1:108" x14ac:dyDescent="0.25">
      <c r="A52" s="12">
        <f t="shared" si="0"/>
        <v>49</v>
      </c>
      <c r="B52" s="4" t="s">
        <v>2803</v>
      </c>
      <c r="C52" s="4" t="s">
        <v>2804</v>
      </c>
      <c r="D52" s="4" t="s">
        <v>3117</v>
      </c>
      <c r="E52" s="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</row>
    <row r="53" spans="1:108" x14ac:dyDescent="0.25">
      <c r="A53" s="12">
        <f t="shared" si="0"/>
        <v>50</v>
      </c>
      <c r="B53" s="4" t="s">
        <v>2805</v>
      </c>
      <c r="C53" s="4" t="s">
        <v>2806</v>
      </c>
      <c r="D53" s="4" t="s">
        <v>3109</v>
      </c>
      <c r="E53" s="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</row>
    <row r="54" spans="1:108" x14ac:dyDescent="0.25">
      <c r="A54" s="12">
        <f t="shared" si="0"/>
        <v>51</v>
      </c>
      <c r="B54" s="4" t="s">
        <v>2807</v>
      </c>
      <c r="C54" s="4" t="s">
        <v>2808</v>
      </c>
      <c r="D54" s="4" t="s">
        <v>3118</v>
      </c>
      <c r="E54" s="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</row>
    <row r="55" spans="1:108" x14ac:dyDescent="0.25">
      <c r="A55" s="12">
        <f t="shared" si="0"/>
        <v>52</v>
      </c>
      <c r="B55" s="4" t="s">
        <v>2809</v>
      </c>
      <c r="C55" s="4" t="s">
        <v>2810</v>
      </c>
      <c r="D55" s="4" t="s">
        <v>3119</v>
      </c>
      <c r="E55" s="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</row>
    <row r="56" spans="1:108" x14ac:dyDescent="0.25">
      <c r="A56" s="12">
        <f t="shared" si="0"/>
        <v>53</v>
      </c>
      <c r="B56" s="4" t="s">
        <v>2811</v>
      </c>
      <c r="C56" s="4" t="s">
        <v>2812</v>
      </c>
      <c r="D56" s="4" t="s">
        <v>3104</v>
      </c>
      <c r="E56" s="4"/>
      <c r="F56" s="14"/>
      <c r="G56" s="14"/>
      <c r="H56" s="1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</row>
    <row r="57" spans="1:108" x14ac:dyDescent="0.25">
      <c r="A57" s="12">
        <f t="shared" si="0"/>
        <v>54</v>
      </c>
      <c r="B57" s="4" t="s">
        <v>2813</v>
      </c>
      <c r="C57" s="4" t="s">
        <v>2814</v>
      </c>
      <c r="D57" s="4" t="s">
        <v>3118</v>
      </c>
      <c r="E57" s="4"/>
      <c r="F57" s="14"/>
      <c r="G57" s="14"/>
      <c r="H57" s="1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</row>
    <row r="58" spans="1:108" x14ac:dyDescent="0.25">
      <c r="A58" s="12">
        <f t="shared" si="0"/>
        <v>55</v>
      </c>
      <c r="B58" s="4" t="s">
        <v>2815</v>
      </c>
      <c r="C58" s="4" t="s">
        <v>2816</v>
      </c>
      <c r="D58" s="4" t="s">
        <v>3109</v>
      </c>
      <c r="E58" s="4"/>
      <c r="F58" s="14"/>
      <c r="G58" s="14"/>
      <c r="H58" s="1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</row>
    <row r="59" spans="1:108" x14ac:dyDescent="0.25">
      <c r="A59" s="12">
        <f t="shared" si="0"/>
        <v>56</v>
      </c>
      <c r="B59" s="4" t="s">
        <v>2817</v>
      </c>
      <c r="C59" s="4" t="s">
        <v>2818</v>
      </c>
      <c r="D59" s="4" t="s">
        <v>3098</v>
      </c>
      <c r="E59" s="4"/>
      <c r="F59" s="14"/>
      <c r="G59" s="14"/>
      <c r="H59" s="1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</row>
    <row r="60" spans="1:108" x14ac:dyDescent="0.25">
      <c r="A60" s="12">
        <f t="shared" si="0"/>
        <v>57</v>
      </c>
      <c r="B60" s="4" t="s">
        <v>2819</v>
      </c>
      <c r="C60" s="4" t="s">
        <v>2820</v>
      </c>
      <c r="D60" s="4" t="s">
        <v>3098</v>
      </c>
      <c r="E60" s="4"/>
      <c r="F60" s="14"/>
      <c r="G60" s="14"/>
      <c r="H60" s="1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</row>
    <row r="61" spans="1:108" x14ac:dyDescent="0.25">
      <c r="A61" s="12">
        <f t="shared" si="0"/>
        <v>58</v>
      </c>
      <c r="B61" s="4" t="s">
        <v>2821</v>
      </c>
      <c r="C61" s="4" t="s">
        <v>2822</v>
      </c>
      <c r="D61" s="4" t="s">
        <v>3107</v>
      </c>
      <c r="E61" s="4"/>
      <c r="F61" s="14"/>
      <c r="G61" s="14"/>
      <c r="H61" s="1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</row>
    <row r="62" spans="1:108" x14ac:dyDescent="0.25">
      <c r="A62" s="12">
        <f t="shared" si="0"/>
        <v>59</v>
      </c>
      <c r="B62" s="4" t="s">
        <v>2823</v>
      </c>
      <c r="C62" s="4" t="s">
        <v>2824</v>
      </c>
      <c r="D62" s="4" t="s">
        <v>3120</v>
      </c>
      <c r="E62" s="4"/>
      <c r="F62" s="14"/>
      <c r="G62" s="14"/>
      <c r="H62" s="1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</row>
    <row r="63" spans="1:108" x14ac:dyDescent="0.25">
      <c r="A63" s="12">
        <f t="shared" si="0"/>
        <v>60</v>
      </c>
      <c r="B63" s="4" t="s">
        <v>2825</v>
      </c>
      <c r="C63" s="4" t="s">
        <v>2826</v>
      </c>
      <c r="D63" s="4" t="s">
        <v>3103</v>
      </c>
      <c r="E63" s="4"/>
      <c r="F63" s="14"/>
      <c r="G63" s="14"/>
      <c r="H63" s="1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</row>
    <row r="64" spans="1:108" x14ac:dyDescent="0.25">
      <c r="A64" s="12">
        <f t="shared" si="0"/>
        <v>61</v>
      </c>
      <c r="B64" s="4" t="s">
        <v>2827</v>
      </c>
      <c r="C64" s="4" t="s">
        <v>2828</v>
      </c>
      <c r="D64" s="4" t="s">
        <v>3113</v>
      </c>
      <c r="E64" s="4"/>
      <c r="F64" s="14"/>
      <c r="G64" s="14"/>
      <c r="H64" s="1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</row>
    <row r="65" spans="1:108" x14ac:dyDescent="0.25">
      <c r="A65" s="12">
        <f t="shared" si="0"/>
        <v>62</v>
      </c>
      <c r="B65" s="4" t="s">
        <v>2829</v>
      </c>
      <c r="C65" s="4" t="s">
        <v>2830</v>
      </c>
      <c r="D65" s="4" t="s">
        <v>3121</v>
      </c>
      <c r="E65" s="4"/>
      <c r="F65" s="14"/>
      <c r="G65" s="14"/>
      <c r="H65" s="1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</row>
    <row r="66" spans="1:108" x14ac:dyDescent="0.25">
      <c r="A66" s="12">
        <f t="shared" si="0"/>
        <v>63</v>
      </c>
      <c r="B66" s="4" t="s">
        <v>2831</v>
      </c>
      <c r="C66" s="4" t="s">
        <v>2832</v>
      </c>
      <c r="D66" s="4" t="s">
        <v>3107</v>
      </c>
      <c r="E66" s="4"/>
      <c r="F66" s="14"/>
      <c r="G66" s="14"/>
      <c r="H66" s="1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</row>
    <row r="67" spans="1:108" x14ac:dyDescent="0.25">
      <c r="A67" s="12">
        <f t="shared" si="0"/>
        <v>64</v>
      </c>
      <c r="B67" s="4" t="s">
        <v>2833</v>
      </c>
      <c r="C67" s="4" t="s">
        <v>2834</v>
      </c>
      <c r="D67" s="4" t="s">
        <v>3094</v>
      </c>
      <c r="E67" s="4"/>
      <c r="F67" s="14"/>
      <c r="G67" s="14"/>
      <c r="H67" s="1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</row>
    <row r="68" spans="1:108" x14ac:dyDescent="0.25">
      <c r="A68" s="12">
        <f t="shared" si="0"/>
        <v>65</v>
      </c>
      <c r="B68" s="4" t="s">
        <v>2835</v>
      </c>
      <c r="C68" s="4" t="s">
        <v>2836</v>
      </c>
      <c r="D68" s="4" t="s">
        <v>3098</v>
      </c>
      <c r="E68" s="4"/>
      <c r="F68" s="14"/>
      <c r="G68" s="14"/>
      <c r="H68" s="1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</row>
    <row r="69" spans="1:108" x14ac:dyDescent="0.25">
      <c r="A69" s="12">
        <f t="shared" si="0"/>
        <v>66</v>
      </c>
      <c r="B69" s="4" t="s">
        <v>2837</v>
      </c>
      <c r="C69" s="4" t="s">
        <v>2838</v>
      </c>
      <c r="D69" s="4" t="s">
        <v>3122</v>
      </c>
      <c r="E69" s="4"/>
      <c r="F69" s="14"/>
      <c r="G69" s="14"/>
      <c r="H69" s="1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</row>
    <row r="70" spans="1:108" x14ac:dyDescent="0.25">
      <c r="A70" s="12">
        <f t="shared" ref="A70:A133" si="1">+A69+1</f>
        <v>67</v>
      </c>
      <c r="B70" s="4" t="s">
        <v>2839</v>
      </c>
      <c r="C70" s="4" t="s">
        <v>2840</v>
      </c>
      <c r="D70" s="4" t="s">
        <v>3121</v>
      </c>
      <c r="E70" s="4"/>
      <c r="F70" s="14"/>
      <c r="G70" s="14"/>
      <c r="H70" s="1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</row>
    <row r="71" spans="1:108" x14ac:dyDescent="0.25">
      <c r="A71" s="12">
        <f t="shared" si="1"/>
        <v>68</v>
      </c>
      <c r="B71" s="4" t="s">
        <v>2841</v>
      </c>
      <c r="C71" s="4" t="s">
        <v>2842</v>
      </c>
      <c r="D71" s="4" t="s">
        <v>3114</v>
      </c>
      <c r="E71" s="4"/>
      <c r="F71" s="14"/>
      <c r="G71" s="14"/>
      <c r="H71" s="1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</row>
    <row r="72" spans="1:108" x14ac:dyDescent="0.25">
      <c r="A72" s="12">
        <f t="shared" si="1"/>
        <v>69</v>
      </c>
      <c r="B72" s="4" t="s">
        <v>2843</v>
      </c>
      <c r="C72" s="4" t="s">
        <v>2844</v>
      </c>
      <c r="D72" s="4" t="s">
        <v>3094</v>
      </c>
      <c r="E72" s="4"/>
      <c r="F72" s="14"/>
      <c r="G72" s="14"/>
      <c r="H72" s="1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</row>
    <row r="73" spans="1:108" x14ac:dyDescent="0.25">
      <c r="A73" s="12">
        <f t="shared" si="1"/>
        <v>70</v>
      </c>
      <c r="B73" s="4" t="s">
        <v>2845</v>
      </c>
      <c r="C73" s="4" t="s">
        <v>2846</v>
      </c>
      <c r="D73" s="4" t="s">
        <v>3094</v>
      </c>
      <c r="E73" s="4"/>
      <c r="F73" s="14"/>
      <c r="G73" s="14"/>
      <c r="H73" s="1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</row>
    <row r="74" spans="1:108" x14ac:dyDescent="0.25">
      <c r="A74" s="12">
        <f t="shared" si="1"/>
        <v>71</v>
      </c>
      <c r="B74" s="4" t="s">
        <v>2847</v>
      </c>
      <c r="C74" s="4" t="s">
        <v>2848</v>
      </c>
      <c r="D74" s="4" t="s">
        <v>3123</v>
      </c>
      <c r="E74" s="4"/>
      <c r="F74" s="14"/>
      <c r="G74" s="14"/>
      <c r="H74" s="1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</row>
    <row r="75" spans="1:108" x14ac:dyDescent="0.25">
      <c r="A75" s="12">
        <f t="shared" si="1"/>
        <v>72</v>
      </c>
      <c r="B75" s="4" t="s">
        <v>2849</v>
      </c>
      <c r="C75" s="4" t="s">
        <v>2850</v>
      </c>
      <c r="D75" s="4" t="s">
        <v>1638</v>
      </c>
      <c r="E75" s="4"/>
      <c r="F75" s="14"/>
      <c r="G75" s="14"/>
      <c r="H75" s="1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</row>
    <row r="76" spans="1:108" x14ac:dyDescent="0.25">
      <c r="A76" s="12">
        <f t="shared" si="1"/>
        <v>73</v>
      </c>
      <c r="B76" s="4" t="s">
        <v>2851</v>
      </c>
      <c r="C76" s="4" t="s">
        <v>2852</v>
      </c>
      <c r="D76" s="4" t="s">
        <v>3124</v>
      </c>
      <c r="E76" s="4"/>
      <c r="F76" s="14"/>
      <c r="G76" s="14"/>
      <c r="H76" s="1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</row>
    <row r="77" spans="1:108" x14ac:dyDescent="0.25">
      <c r="A77" s="12">
        <f t="shared" si="1"/>
        <v>74</v>
      </c>
      <c r="B77" s="4" t="s">
        <v>2853</v>
      </c>
      <c r="C77" s="4" t="s">
        <v>2854</v>
      </c>
      <c r="D77" s="4" t="s">
        <v>3125</v>
      </c>
      <c r="E77" s="4"/>
      <c r="F77" s="14"/>
      <c r="G77" s="14"/>
      <c r="H77" s="1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</row>
    <row r="78" spans="1:108" x14ac:dyDescent="0.25">
      <c r="A78" s="12">
        <f t="shared" si="1"/>
        <v>75</v>
      </c>
      <c r="B78" s="4" t="s">
        <v>2855</v>
      </c>
      <c r="C78" s="4" t="s">
        <v>2856</v>
      </c>
      <c r="D78" s="4" t="s">
        <v>3121</v>
      </c>
      <c r="E78" s="4"/>
      <c r="F78" s="14"/>
      <c r="G78" s="14"/>
      <c r="H78" s="1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</row>
    <row r="79" spans="1:108" x14ac:dyDescent="0.25">
      <c r="A79" s="12">
        <f t="shared" si="1"/>
        <v>76</v>
      </c>
      <c r="B79" s="4" t="s">
        <v>2857</v>
      </c>
      <c r="C79" s="4" t="s">
        <v>618</v>
      </c>
      <c r="D79" s="4" t="s">
        <v>3094</v>
      </c>
      <c r="E79" s="4"/>
      <c r="F79" s="14"/>
      <c r="G79" s="14"/>
      <c r="H79" s="1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</row>
    <row r="80" spans="1:108" x14ac:dyDescent="0.25">
      <c r="A80" s="12">
        <f t="shared" si="1"/>
        <v>77</v>
      </c>
      <c r="B80" s="4" t="s">
        <v>2858</v>
      </c>
      <c r="C80" s="4" t="s">
        <v>2859</v>
      </c>
      <c r="D80" s="4" t="s">
        <v>3120</v>
      </c>
      <c r="E80" s="4"/>
      <c r="F80" s="14"/>
      <c r="G80" s="14"/>
      <c r="H80" s="1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</row>
    <row r="81" spans="1:108" x14ac:dyDescent="0.25">
      <c r="A81" s="12">
        <f t="shared" si="1"/>
        <v>78</v>
      </c>
      <c r="B81" s="4" t="s">
        <v>2860</v>
      </c>
      <c r="C81" s="4" t="s">
        <v>2861</v>
      </c>
      <c r="D81" s="4" t="s">
        <v>3111</v>
      </c>
      <c r="E81" s="4"/>
      <c r="F81" s="14"/>
      <c r="G81" s="14"/>
      <c r="H81" s="1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</row>
    <row r="82" spans="1:108" x14ac:dyDescent="0.25">
      <c r="A82" s="12">
        <f t="shared" si="1"/>
        <v>79</v>
      </c>
      <c r="B82" s="4" t="s">
        <v>2862</v>
      </c>
      <c r="C82" s="4" t="s">
        <v>2863</v>
      </c>
      <c r="D82" s="4" t="s">
        <v>3094</v>
      </c>
      <c r="E82" s="4"/>
      <c r="F82" s="14"/>
      <c r="G82" s="14"/>
      <c r="H82" s="1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</row>
    <row r="83" spans="1:108" x14ac:dyDescent="0.25">
      <c r="A83" s="12">
        <f t="shared" si="1"/>
        <v>80</v>
      </c>
      <c r="B83" s="4" t="s">
        <v>2864</v>
      </c>
      <c r="C83" s="4" t="s">
        <v>2865</v>
      </c>
      <c r="D83" s="4" t="s">
        <v>3120</v>
      </c>
      <c r="E83" s="4"/>
      <c r="F83" s="14"/>
      <c r="G83" s="14"/>
      <c r="H83" s="1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</row>
    <row r="84" spans="1:108" x14ac:dyDescent="0.25">
      <c r="A84" s="12">
        <f t="shared" si="1"/>
        <v>81</v>
      </c>
      <c r="B84" s="4" t="s">
        <v>2866</v>
      </c>
      <c r="C84" s="4" t="s">
        <v>2867</v>
      </c>
      <c r="D84" s="4" t="s">
        <v>3106</v>
      </c>
      <c r="E84" s="4"/>
      <c r="F84" s="14"/>
      <c r="G84" s="14"/>
      <c r="H84" s="1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</row>
    <row r="85" spans="1:108" x14ac:dyDescent="0.25">
      <c r="A85" s="12">
        <f t="shared" si="1"/>
        <v>82</v>
      </c>
      <c r="B85" s="4" t="s">
        <v>2868</v>
      </c>
      <c r="C85" s="4" t="s">
        <v>2869</v>
      </c>
      <c r="D85" s="4" t="s">
        <v>3126</v>
      </c>
      <c r="E85" s="4"/>
      <c r="F85" s="14"/>
      <c r="G85" s="14"/>
      <c r="H85" s="1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</row>
    <row r="86" spans="1:108" x14ac:dyDescent="0.25">
      <c r="A86" s="12">
        <f t="shared" si="1"/>
        <v>83</v>
      </c>
      <c r="B86" s="4" t="s">
        <v>2870</v>
      </c>
      <c r="C86" s="4" t="s">
        <v>2871</v>
      </c>
      <c r="D86" s="4" t="s">
        <v>3120</v>
      </c>
      <c r="E86" s="4"/>
      <c r="F86" s="14"/>
      <c r="G86" s="14"/>
      <c r="H86" s="1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</row>
    <row r="87" spans="1:108" x14ac:dyDescent="0.25">
      <c r="A87" s="12">
        <f t="shared" si="1"/>
        <v>84</v>
      </c>
      <c r="B87" s="4" t="s">
        <v>2872</v>
      </c>
      <c r="C87" s="4" t="s">
        <v>2873</v>
      </c>
      <c r="D87" s="4" t="s">
        <v>3127</v>
      </c>
      <c r="E87" s="4"/>
      <c r="F87" s="14"/>
      <c r="G87" s="14"/>
      <c r="H87" s="1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</row>
    <row r="88" spans="1:108" x14ac:dyDescent="0.25">
      <c r="A88" s="12">
        <f t="shared" si="1"/>
        <v>85</v>
      </c>
      <c r="B88" s="4" t="s">
        <v>693</v>
      </c>
      <c r="C88" s="4" t="s">
        <v>694</v>
      </c>
      <c r="D88" s="4" t="s">
        <v>3096</v>
      </c>
      <c r="E88" s="4"/>
      <c r="F88" s="14"/>
      <c r="G88" s="14"/>
      <c r="H88" s="1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</row>
    <row r="89" spans="1:108" x14ac:dyDescent="0.25">
      <c r="A89" s="12">
        <f t="shared" si="1"/>
        <v>86</v>
      </c>
      <c r="B89" s="4" t="s">
        <v>2874</v>
      </c>
      <c r="C89" s="4" t="s">
        <v>2875</v>
      </c>
      <c r="D89" s="4" t="s">
        <v>3104</v>
      </c>
      <c r="E89" s="4"/>
      <c r="F89" s="14"/>
      <c r="G89" s="14"/>
      <c r="H89" s="1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</row>
    <row r="90" spans="1:108" x14ac:dyDescent="0.25">
      <c r="A90" s="12">
        <f t="shared" si="1"/>
        <v>87</v>
      </c>
      <c r="B90" s="4" t="s">
        <v>2876</v>
      </c>
      <c r="C90" s="4" t="s">
        <v>2877</v>
      </c>
      <c r="D90" s="4" t="s">
        <v>3128</v>
      </c>
      <c r="E90" s="4"/>
      <c r="F90" s="14"/>
      <c r="G90" s="14"/>
      <c r="H90" s="1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</row>
    <row r="91" spans="1:108" x14ac:dyDescent="0.25">
      <c r="A91" s="12">
        <f t="shared" si="1"/>
        <v>88</v>
      </c>
      <c r="B91" s="4" t="s">
        <v>2878</v>
      </c>
      <c r="C91" s="4" t="s">
        <v>2879</v>
      </c>
      <c r="D91" s="4" t="s">
        <v>3098</v>
      </c>
      <c r="E91" s="4"/>
      <c r="F91" s="14"/>
      <c r="G91" s="14"/>
      <c r="H91" s="1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</row>
    <row r="92" spans="1:108" x14ac:dyDescent="0.25">
      <c r="A92" s="12">
        <f t="shared" si="1"/>
        <v>89</v>
      </c>
      <c r="B92" s="4" t="s">
        <v>2880</v>
      </c>
      <c r="C92" s="4" t="s">
        <v>2881</v>
      </c>
      <c r="D92" s="4" t="s">
        <v>3098</v>
      </c>
      <c r="E92" s="4"/>
      <c r="F92" s="14"/>
      <c r="G92" s="14"/>
      <c r="H92" s="1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</row>
    <row r="93" spans="1:108" x14ac:dyDescent="0.25">
      <c r="A93" s="12">
        <f t="shared" si="1"/>
        <v>90</v>
      </c>
      <c r="B93" s="4" t="s">
        <v>2882</v>
      </c>
      <c r="C93" s="4" t="s">
        <v>2883</v>
      </c>
      <c r="D93" s="4" t="s">
        <v>3114</v>
      </c>
      <c r="E93" s="4"/>
      <c r="F93" s="14"/>
      <c r="G93" s="14"/>
      <c r="H93" s="1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</row>
    <row r="94" spans="1:108" x14ac:dyDescent="0.25">
      <c r="A94" s="12">
        <f t="shared" si="1"/>
        <v>91</v>
      </c>
      <c r="B94" s="4" t="s">
        <v>2884</v>
      </c>
      <c r="C94" s="4" t="s">
        <v>2885</v>
      </c>
      <c r="D94" s="4" t="s">
        <v>3128</v>
      </c>
      <c r="E94" s="4"/>
      <c r="F94" s="14"/>
      <c r="G94" s="14"/>
      <c r="H94" s="1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</row>
    <row r="95" spans="1:108" x14ac:dyDescent="0.25">
      <c r="A95" s="12">
        <f t="shared" si="1"/>
        <v>92</v>
      </c>
      <c r="B95" s="4" t="s">
        <v>2886</v>
      </c>
      <c r="C95" s="4" t="s">
        <v>2887</v>
      </c>
      <c r="D95" s="4" t="s">
        <v>3129</v>
      </c>
      <c r="E95" s="4"/>
      <c r="F95" s="14"/>
      <c r="G95" s="14"/>
      <c r="H95" s="1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</row>
    <row r="96" spans="1:108" x14ac:dyDescent="0.25">
      <c r="A96" s="12">
        <f t="shared" si="1"/>
        <v>93</v>
      </c>
      <c r="B96" s="4" t="s">
        <v>2888</v>
      </c>
      <c r="C96" s="4" t="s">
        <v>2889</v>
      </c>
      <c r="D96" s="4" t="s">
        <v>3126</v>
      </c>
      <c r="E96" s="4"/>
      <c r="F96" s="14"/>
      <c r="G96" s="14"/>
      <c r="H96" s="1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</row>
    <row r="97" spans="1:108" x14ac:dyDescent="0.25">
      <c r="A97" s="12">
        <f t="shared" si="1"/>
        <v>94</v>
      </c>
      <c r="B97" s="4" t="s">
        <v>642</v>
      </c>
      <c r="C97" s="4" t="s">
        <v>643</v>
      </c>
      <c r="D97" s="4" t="s">
        <v>3094</v>
      </c>
      <c r="E97" s="4"/>
      <c r="F97" s="14"/>
      <c r="G97" s="14"/>
      <c r="H97" s="1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</row>
    <row r="98" spans="1:108" x14ac:dyDescent="0.25">
      <c r="A98" s="12">
        <f t="shared" si="1"/>
        <v>95</v>
      </c>
      <c r="B98" s="4" t="s">
        <v>2890</v>
      </c>
      <c r="C98" s="4" t="s">
        <v>2891</v>
      </c>
      <c r="D98" s="4" t="s">
        <v>3094</v>
      </c>
      <c r="E98" s="4"/>
      <c r="F98" s="14"/>
      <c r="G98" s="14"/>
      <c r="H98" s="1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</row>
    <row r="99" spans="1:108" x14ac:dyDescent="0.25">
      <c r="A99" s="12">
        <f t="shared" si="1"/>
        <v>96</v>
      </c>
      <c r="B99" s="4" t="s">
        <v>2892</v>
      </c>
      <c r="C99" s="4" t="s">
        <v>2892</v>
      </c>
      <c r="D99" s="4" t="s">
        <v>3115</v>
      </c>
      <c r="E99" s="4"/>
      <c r="F99" s="14"/>
      <c r="G99" s="14"/>
      <c r="H99" s="1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</row>
    <row r="100" spans="1:108" x14ac:dyDescent="0.25">
      <c r="A100" s="12">
        <f t="shared" si="1"/>
        <v>97</v>
      </c>
      <c r="B100" s="4" t="s">
        <v>2893</v>
      </c>
      <c r="C100" s="4" t="s">
        <v>2894</v>
      </c>
      <c r="D100" s="4" t="s">
        <v>3130</v>
      </c>
      <c r="E100" s="4"/>
      <c r="F100" s="14"/>
      <c r="G100" s="14"/>
      <c r="H100" s="1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</row>
    <row r="101" spans="1:108" x14ac:dyDescent="0.25">
      <c r="A101" s="12">
        <f t="shared" si="1"/>
        <v>98</v>
      </c>
      <c r="B101" s="4" t="s">
        <v>2895</v>
      </c>
      <c r="C101" s="4" t="s">
        <v>2896</v>
      </c>
      <c r="D101" s="4" t="s">
        <v>3114</v>
      </c>
      <c r="E101" s="4"/>
      <c r="F101" s="14"/>
      <c r="G101" s="14"/>
      <c r="H101" s="1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</row>
    <row r="102" spans="1:108" x14ac:dyDescent="0.25">
      <c r="A102" s="12">
        <f t="shared" si="1"/>
        <v>99</v>
      </c>
      <c r="B102" s="4" t="s">
        <v>2897</v>
      </c>
      <c r="C102" s="4" t="s">
        <v>2898</v>
      </c>
      <c r="D102" s="4" t="s">
        <v>3105</v>
      </c>
      <c r="E102" s="4"/>
      <c r="F102" s="14"/>
      <c r="G102" s="14"/>
      <c r="H102" s="1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</row>
    <row r="103" spans="1:108" x14ac:dyDescent="0.25">
      <c r="A103" s="12">
        <f t="shared" si="1"/>
        <v>100</v>
      </c>
      <c r="B103" s="4" t="s">
        <v>2899</v>
      </c>
      <c r="C103" s="4" t="s">
        <v>2900</v>
      </c>
      <c r="D103" s="4" t="s">
        <v>3096</v>
      </c>
      <c r="E103" s="4"/>
      <c r="F103" s="14"/>
      <c r="G103" s="14"/>
      <c r="H103" s="1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</row>
    <row r="104" spans="1:108" x14ac:dyDescent="0.25">
      <c r="A104" s="12">
        <f t="shared" si="1"/>
        <v>101</v>
      </c>
      <c r="B104" s="4" t="s">
        <v>2901</v>
      </c>
      <c r="C104" s="4" t="s">
        <v>2902</v>
      </c>
      <c r="D104" s="4" t="s">
        <v>3109</v>
      </c>
      <c r="E104" s="4"/>
      <c r="F104" s="14"/>
      <c r="G104" s="14"/>
      <c r="H104" s="1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</row>
    <row r="105" spans="1:108" x14ac:dyDescent="0.25">
      <c r="A105" s="12">
        <f t="shared" si="1"/>
        <v>102</v>
      </c>
      <c r="B105" s="4" t="s">
        <v>2903</v>
      </c>
      <c r="C105" s="4" t="s">
        <v>2904</v>
      </c>
      <c r="D105" s="4" t="s">
        <v>3096</v>
      </c>
      <c r="E105" s="4"/>
      <c r="F105" s="14"/>
      <c r="G105" s="14"/>
      <c r="H105" s="1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</row>
    <row r="106" spans="1:108" x14ac:dyDescent="0.25">
      <c r="A106" s="12">
        <f t="shared" si="1"/>
        <v>103</v>
      </c>
      <c r="B106" s="4" t="s">
        <v>1249</v>
      </c>
      <c r="C106" s="4" t="s">
        <v>1250</v>
      </c>
      <c r="D106" s="4" t="s">
        <v>3094</v>
      </c>
      <c r="E106" s="4"/>
      <c r="F106" s="14"/>
      <c r="G106" s="14"/>
      <c r="H106" s="1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</row>
    <row r="107" spans="1:108" x14ac:dyDescent="0.25">
      <c r="A107" s="12">
        <f t="shared" si="1"/>
        <v>104</v>
      </c>
      <c r="B107" s="4" t="s">
        <v>2905</v>
      </c>
      <c r="C107" s="4" t="s">
        <v>2906</v>
      </c>
      <c r="D107" s="4" t="s">
        <v>3094</v>
      </c>
      <c r="E107" s="4"/>
      <c r="F107" s="14"/>
      <c r="G107" s="14"/>
      <c r="H107" s="1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</row>
    <row r="108" spans="1:108" x14ac:dyDescent="0.25">
      <c r="A108" s="12">
        <f t="shared" si="1"/>
        <v>105</v>
      </c>
      <c r="B108" s="4" t="s">
        <v>2907</v>
      </c>
      <c r="C108" s="4" t="s">
        <v>2908</v>
      </c>
      <c r="D108" s="4" t="s">
        <v>3094</v>
      </c>
      <c r="E108" s="4"/>
      <c r="F108" s="14"/>
      <c r="G108" s="14"/>
      <c r="H108" s="1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</row>
    <row r="109" spans="1:108" x14ac:dyDescent="0.25">
      <c r="A109" s="12">
        <f t="shared" si="1"/>
        <v>106</v>
      </c>
      <c r="B109" s="4" t="s">
        <v>2909</v>
      </c>
      <c r="C109" s="4" t="s">
        <v>2910</v>
      </c>
      <c r="D109" s="4" t="s">
        <v>3094</v>
      </c>
      <c r="E109" s="4"/>
      <c r="F109" s="14"/>
      <c r="G109" s="14"/>
      <c r="H109" s="1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</row>
    <row r="110" spans="1:108" x14ac:dyDescent="0.25">
      <c r="A110" s="12">
        <f t="shared" si="1"/>
        <v>107</v>
      </c>
      <c r="B110" s="4" t="s">
        <v>2911</v>
      </c>
      <c r="C110" s="4" t="s">
        <v>2912</v>
      </c>
      <c r="D110" s="4" t="s">
        <v>3131</v>
      </c>
      <c r="E110" s="4"/>
      <c r="F110" s="14"/>
      <c r="G110" s="14"/>
      <c r="H110" s="1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</row>
    <row r="111" spans="1:108" x14ac:dyDescent="0.25">
      <c r="A111" s="12">
        <f t="shared" si="1"/>
        <v>108</v>
      </c>
      <c r="B111" s="4" t="s">
        <v>2913</v>
      </c>
      <c r="C111" s="4" t="s">
        <v>2914</v>
      </c>
      <c r="D111" s="4" t="s">
        <v>3114</v>
      </c>
      <c r="E111" s="4"/>
      <c r="F111" s="14"/>
      <c r="G111" s="14"/>
      <c r="H111" s="1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</row>
    <row r="112" spans="1:108" x14ac:dyDescent="0.25">
      <c r="A112" s="12">
        <f t="shared" si="1"/>
        <v>109</v>
      </c>
      <c r="B112" s="4" t="s">
        <v>2915</v>
      </c>
      <c r="C112" s="4" t="s">
        <v>2916</v>
      </c>
      <c r="D112" s="4" t="s">
        <v>3119</v>
      </c>
      <c r="E112" s="4"/>
      <c r="F112" s="14"/>
      <c r="G112" s="14"/>
      <c r="H112" s="1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</row>
    <row r="113" spans="1:108" x14ac:dyDescent="0.25">
      <c r="A113" s="12">
        <f t="shared" si="1"/>
        <v>110</v>
      </c>
      <c r="B113" s="4" t="s">
        <v>2917</v>
      </c>
      <c r="C113" s="4" t="s">
        <v>2918</v>
      </c>
      <c r="D113" s="4" t="s">
        <v>3123</v>
      </c>
      <c r="E113" s="4"/>
      <c r="F113" s="14"/>
      <c r="G113" s="14"/>
      <c r="H113" s="1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</row>
    <row r="114" spans="1:108" x14ac:dyDescent="0.25">
      <c r="A114" s="12">
        <f t="shared" si="1"/>
        <v>111</v>
      </c>
      <c r="B114" s="4" t="s">
        <v>2919</v>
      </c>
      <c r="C114" s="4" t="s">
        <v>2920</v>
      </c>
      <c r="D114" s="4" t="s">
        <v>3132</v>
      </c>
      <c r="E114" s="4"/>
      <c r="F114" s="14"/>
      <c r="G114" s="14"/>
      <c r="H114" s="1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</row>
    <row r="115" spans="1:108" x14ac:dyDescent="0.25">
      <c r="A115" s="12">
        <f t="shared" si="1"/>
        <v>112</v>
      </c>
      <c r="B115" s="4" t="s">
        <v>2921</v>
      </c>
      <c r="C115" s="4" t="s">
        <v>2922</v>
      </c>
      <c r="D115" s="4" t="s">
        <v>3101</v>
      </c>
      <c r="E115" s="4"/>
      <c r="F115" s="14"/>
      <c r="G115" s="14"/>
      <c r="H115" s="1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</row>
    <row r="116" spans="1:108" x14ac:dyDescent="0.25">
      <c r="A116" s="12">
        <f t="shared" si="1"/>
        <v>113</v>
      </c>
      <c r="B116" s="4" t="s">
        <v>2923</v>
      </c>
      <c r="C116" s="4" t="s">
        <v>2924</v>
      </c>
      <c r="D116" s="4" t="s">
        <v>3133</v>
      </c>
      <c r="E116" s="4"/>
      <c r="F116" s="14"/>
      <c r="G116" s="14"/>
      <c r="H116" s="1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</row>
    <row r="117" spans="1:108" x14ac:dyDescent="0.25">
      <c r="A117" s="12">
        <f t="shared" si="1"/>
        <v>114</v>
      </c>
      <c r="B117" s="4" t="s">
        <v>2925</v>
      </c>
      <c r="C117" s="4" t="s">
        <v>2926</v>
      </c>
      <c r="D117" s="4" t="s">
        <v>3106</v>
      </c>
      <c r="E117" s="4"/>
      <c r="F117" s="14"/>
      <c r="G117" s="14"/>
      <c r="H117" s="1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</row>
    <row r="118" spans="1:108" x14ac:dyDescent="0.25">
      <c r="A118" s="12">
        <f t="shared" si="1"/>
        <v>115</v>
      </c>
      <c r="B118" s="4" t="s">
        <v>2927</v>
      </c>
      <c r="C118" s="4" t="s">
        <v>2928</v>
      </c>
      <c r="D118" s="4" t="s">
        <v>3117</v>
      </c>
      <c r="E118" s="4"/>
      <c r="F118" s="14"/>
      <c r="G118" s="14"/>
      <c r="H118" s="1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</row>
    <row r="119" spans="1:108" x14ac:dyDescent="0.25">
      <c r="A119" s="12">
        <f t="shared" si="1"/>
        <v>116</v>
      </c>
      <c r="B119" s="4" t="s">
        <v>2929</v>
      </c>
      <c r="C119" s="4" t="s">
        <v>2930</v>
      </c>
      <c r="D119" s="4" t="s">
        <v>3114</v>
      </c>
      <c r="E119" s="4"/>
      <c r="F119" s="14"/>
      <c r="G119" s="14"/>
      <c r="H119" s="1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</row>
    <row r="120" spans="1:108" x14ac:dyDescent="0.25">
      <c r="A120" s="12">
        <f t="shared" si="1"/>
        <v>117</v>
      </c>
      <c r="B120" s="4" t="s">
        <v>2931</v>
      </c>
      <c r="C120" s="4" t="s">
        <v>2932</v>
      </c>
      <c r="D120" s="4" t="s">
        <v>3094</v>
      </c>
      <c r="E120" s="4"/>
      <c r="F120" s="14"/>
      <c r="G120" s="14"/>
      <c r="H120" s="1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</row>
    <row r="121" spans="1:108" x14ac:dyDescent="0.25">
      <c r="A121" s="12">
        <f t="shared" si="1"/>
        <v>118</v>
      </c>
      <c r="B121" s="4" t="s">
        <v>2933</v>
      </c>
      <c r="C121" s="4" t="s">
        <v>2934</v>
      </c>
      <c r="D121" s="4" t="s">
        <v>3100</v>
      </c>
      <c r="E121" s="4"/>
      <c r="F121" s="14"/>
      <c r="G121" s="14"/>
      <c r="H121" s="1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</row>
    <row r="122" spans="1:108" x14ac:dyDescent="0.25">
      <c r="A122" s="12">
        <f t="shared" si="1"/>
        <v>119</v>
      </c>
      <c r="B122" s="4" t="s">
        <v>2935</v>
      </c>
      <c r="C122" s="4" t="s">
        <v>2936</v>
      </c>
      <c r="D122" s="4" t="s">
        <v>3114</v>
      </c>
      <c r="E122" s="4"/>
      <c r="F122" s="14"/>
      <c r="G122" s="14"/>
      <c r="H122" s="1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</row>
    <row r="123" spans="1:108" x14ac:dyDescent="0.25">
      <c r="A123" s="12">
        <f t="shared" si="1"/>
        <v>120</v>
      </c>
      <c r="B123" s="4" t="s">
        <v>2937</v>
      </c>
      <c r="C123" s="4" t="s">
        <v>2938</v>
      </c>
      <c r="D123" s="4" t="s">
        <v>3133</v>
      </c>
      <c r="E123" s="4"/>
      <c r="F123" s="14"/>
      <c r="G123" s="14"/>
      <c r="H123" s="1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</row>
    <row r="124" spans="1:108" x14ac:dyDescent="0.25">
      <c r="A124" s="12">
        <f t="shared" si="1"/>
        <v>121</v>
      </c>
      <c r="B124" s="4" t="s">
        <v>2939</v>
      </c>
      <c r="C124" s="4" t="s">
        <v>2940</v>
      </c>
      <c r="D124" s="4" t="s">
        <v>3099</v>
      </c>
      <c r="E124" s="4"/>
      <c r="F124" s="14"/>
      <c r="G124" s="14"/>
      <c r="H124" s="1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</row>
    <row r="125" spans="1:108" x14ac:dyDescent="0.25">
      <c r="A125" s="12">
        <f t="shared" si="1"/>
        <v>122</v>
      </c>
      <c r="B125" s="4" t="s">
        <v>2941</v>
      </c>
      <c r="C125" s="4" t="s">
        <v>2942</v>
      </c>
      <c r="D125" s="4" t="s">
        <v>3134</v>
      </c>
      <c r="E125" s="4"/>
      <c r="F125" s="14"/>
      <c r="G125" s="14"/>
      <c r="H125" s="1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</row>
    <row r="126" spans="1:108" x14ac:dyDescent="0.25">
      <c r="A126" s="12">
        <f t="shared" si="1"/>
        <v>123</v>
      </c>
      <c r="B126" s="4" t="s">
        <v>2943</v>
      </c>
      <c r="C126" s="4" t="s">
        <v>2944</v>
      </c>
      <c r="D126" s="4" t="s">
        <v>3109</v>
      </c>
      <c r="E126" s="4"/>
      <c r="F126" s="14"/>
      <c r="G126" s="14"/>
      <c r="H126" s="1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</row>
    <row r="127" spans="1:108" x14ac:dyDescent="0.25">
      <c r="A127" s="12">
        <f t="shared" si="1"/>
        <v>124</v>
      </c>
      <c r="B127" s="4" t="s">
        <v>2945</v>
      </c>
      <c r="C127" s="4" t="s">
        <v>2946</v>
      </c>
      <c r="D127" s="4" t="s">
        <v>3131</v>
      </c>
      <c r="E127" s="4"/>
      <c r="F127" s="14"/>
      <c r="G127" s="14"/>
      <c r="H127" s="1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</row>
    <row r="128" spans="1:108" x14ac:dyDescent="0.25">
      <c r="A128" s="12">
        <f t="shared" si="1"/>
        <v>125</v>
      </c>
      <c r="B128" s="4" t="s">
        <v>2947</v>
      </c>
      <c r="C128" s="4" t="s">
        <v>2948</v>
      </c>
      <c r="D128" s="4" t="s">
        <v>3135</v>
      </c>
      <c r="E128" s="4"/>
      <c r="F128" s="14"/>
      <c r="G128" s="14"/>
      <c r="H128" s="1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</row>
    <row r="129" spans="1:108" x14ac:dyDescent="0.25">
      <c r="A129" s="12">
        <f t="shared" si="1"/>
        <v>126</v>
      </c>
      <c r="B129" s="4" t="s">
        <v>2949</v>
      </c>
      <c r="C129" s="4" t="s">
        <v>2950</v>
      </c>
      <c r="D129" s="4" t="s">
        <v>3109</v>
      </c>
      <c r="E129" s="4"/>
      <c r="F129" s="14"/>
      <c r="G129" s="14"/>
      <c r="H129" s="1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</row>
    <row r="130" spans="1:108" x14ac:dyDescent="0.25">
      <c r="A130" s="12">
        <f t="shared" si="1"/>
        <v>127</v>
      </c>
      <c r="B130" s="4" t="s">
        <v>2951</v>
      </c>
      <c r="C130" s="4" t="s">
        <v>2952</v>
      </c>
      <c r="D130" s="4" t="s">
        <v>3124</v>
      </c>
      <c r="E130" s="4"/>
      <c r="F130" s="14"/>
      <c r="G130" s="14"/>
      <c r="H130" s="1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</row>
    <row r="131" spans="1:108" x14ac:dyDescent="0.25">
      <c r="A131" s="12">
        <f t="shared" si="1"/>
        <v>128</v>
      </c>
      <c r="B131" s="4" t="s">
        <v>2953</v>
      </c>
      <c r="C131" s="4" t="s">
        <v>2954</v>
      </c>
      <c r="D131" s="4" t="s">
        <v>3136</v>
      </c>
      <c r="E131" s="4"/>
      <c r="F131" s="14"/>
      <c r="G131" s="14"/>
      <c r="H131" s="1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</row>
    <row r="132" spans="1:108" x14ac:dyDescent="0.25">
      <c r="A132" s="12">
        <f t="shared" si="1"/>
        <v>129</v>
      </c>
      <c r="B132" s="4" t="s">
        <v>2955</v>
      </c>
      <c r="C132" s="4" t="s">
        <v>2956</v>
      </c>
      <c r="D132" s="4" t="s">
        <v>3111</v>
      </c>
      <c r="E132" s="4"/>
      <c r="F132" s="14"/>
      <c r="G132" s="14"/>
      <c r="H132" s="1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</row>
    <row r="133" spans="1:108" x14ac:dyDescent="0.25">
      <c r="A133" s="12">
        <f t="shared" si="1"/>
        <v>130</v>
      </c>
      <c r="B133" s="4" t="s">
        <v>2957</v>
      </c>
      <c r="C133" s="4" t="s">
        <v>2958</v>
      </c>
      <c r="D133" s="4" t="s">
        <v>3124</v>
      </c>
      <c r="E133" s="4"/>
      <c r="F133" s="14"/>
      <c r="G133" s="14"/>
      <c r="H133" s="1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</row>
    <row r="134" spans="1:108" x14ac:dyDescent="0.25">
      <c r="A134" s="12">
        <f t="shared" ref="A134:A197" si="2">+A133+1</f>
        <v>131</v>
      </c>
      <c r="B134" s="4" t="s">
        <v>2959</v>
      </c>
      <c r="C134" s="4" t="s">
        <v>2960</v>
      </c>
      <c r="D134" s="4" t="s">
        <v>3094</v>
      </c>
      <c r="E134" s="4"/>
      <c r="F134" s="14"/>
      <c r="G134" s="14"/>
      <c r="H134" s="1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</row>
    <row r="135" spans="1:108" x14ac:dyDescent="0.25">
      <c r="A135" s="12">
        <f t="shared" si="2"/>
        <v>132</v>
      </c>
      <c r="B135" s="4" t="s">
        <v>1302</v>
      </c>
      <c r="C135" s="4" t="s">
        <v>1303</v>
      </c>
      <c r="D135" s="4" t="s">
        <v>3102</v>
      </c>
      <c r="E135" s="4"/>
      <c r="F135" s="14"/>
      <c r="G135" s="14"/>
      <c r="H135" s="1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</row>
    <row r="136" spans="1:108" x14ac:dyDescent="0.25">
      <c r="A136" s="12">
        <f t="shared" si="2"/>
        <v>133</v>
      </c>
      <c r="B136" s="4" t="s">
        <v>2961</v>
      </c>
      <c r="C136" s="4" t="s">
        <v>2962</v>
      </c>
      <c r="D136" s="4" t="s">
        <v>3129</v>
      </c>
      <c r="E136" s="4"/>
      <c r="F136" s="14"/>
      <c r="G136" s="14"/>
      <c r="H136" s="1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</row>
    <row r="137" spans="1:108" x14ac:dyDescent="0.25">
      <c r="A137" s="12">
        <f t="shared" si="2"/>
        <v>134</v>
      </c>
      <c r="B137" s="4" t="s">
        <v>2963</v>
      </c>
      <c r="C137" s="4" t="s">
        <v>2964</v>
      </c>
      <c r="D137" s="4" t="s">
        <v>3102</v>
      </c>
      <c r="E137" s="4"/>
      <c r="F137" s="14"/>
      <c r="G137" s="14"/>
      <c r="H137" s="1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</row>
    <row r="138" spans="1:108" x14ac:dyDescent="0.25">
      <c r="A138" s="12">
        <f t="shared" si="2"/>
        <v>135</v>
      </c>
      <c r="B138" s="4" t="s">
        <v>2965</v>
      </c>
      <c r="C138" s="4" t="s">
        <v>2966</v>
      </c>
      <c r="D138" s="4" t="s">
        <v>3094</v>
      </c>
      <c r="E138" s="4"/>
      <c r="F138" s="14"/>
      <c r="G138" s="14"/>
      <c r="H138" s="1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</row>
    <row r="139" spans="1:108" x14ac:dyDescent="0.25">
      <c r="A139" s="12">
        <f t="shared" si="2"/>
        <v>136</v>
      </c>
      <c r="B139" s="4" t="s">
        <v>2967</v>
      </c>
      <c r="C139" s="4" t="s">
        <v>2968</v>
      </c>
      <c r="D139" s="4" t="s">
        <v>3094</v>
      </c>
      <c r="E139" s="4"/>
      <c r="F139" s="14"/>
      <c r="G139" s="14"/>
      <c r="H139" s="1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</row>
    <row r="140" spans="1:108" x14ac:dyDescent="0.25">
      <c r="A140" s="12">
        <f t="shared" si="2"/>
        <v>137</v>
      </c>
      <c r="B140" s="4" t="s">
        <v>2969</v>
      </c>
      <c r="C140" s="4" t="s">
        <v>2970</v>
      </c>
      <c r="D140" s="4" t="s">
        <v>3094</v>
      </c>
      <c r="E140" s="4"/>
      <c r="F140" s="14"/>
      <c r="G140" s="14"/>
      <c r="H140" s="1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</row>
    <row r="141" spans="1:108" x14ac:dyDescent="0.25">
      <c r="A141" s="12">
        <f t="shared" si="2"/>
        <v>138</v>
      </c>
      <c r="B141" s="4" t="s">
        <v>2971</v>
      </c>
      <c r="C141" s="4" t="s">
        <v>2972</v>
      </c>
      <c r="D141" s="4" t="s">
        <v>3129</v>
      </c>
      <c r="E141" s="4"/>
      <c r="F141" s="14"/>
      <c r="G141" s="14"/>
      <c r="H141" s="1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</row>
    <row r="142" spans="1:108" x14ac:dyDescent="0.25">
      <c r="A142" s="12">
        <f t="shared" si="2"/>
        <v>139</v>
      </c>
      <c r="B142" s="4" t="s">
        <v>2973</v>
      </c>
      <c r="C142" s="4" t="s">
        <v>2974</v>
      </c>
      <c r="D142" s="4" t="s">
        <v>3094</v>
      </c>
      <c r="E142" s="4"/>
      <c r="F142" s="14"/>
      <c r="G142" s="14"/>
      <c r="H142" s="1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</row>
    <row r="143" spans="1:108" x14ac:dyDescent="0.25">
      <c r="A143" s="12">
        <f t="shared" si="2"/>
        <v>140</v>
      </c>
      <c r="B143" s="4" t="s">
        <v>2975</v>
      </c>
      <c r="C143" s="4" t="s">
        <v>2976</v>
      </c>
      <c r="D143" s="4" t="s">
        <v>3116</v>
      </c>
      <c r="E143" s="4"/>
      <c r="F143" s="14"/>
      <c r="G143" s="14"/>
      <c r="H143" s="1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</row>
    <row r="144" spans="1:108" x14ac:dyDescent="0.25">
      <c r="A144" s="12">
        <f t="shared" si="2"/>
        <v>141</v>
      </c>
      <c r="B144" s="4" t="s">
        <v>2977</v>
      </c>
      <c r="C144" s="4" t="s">
        <v>2978</v>
      </c>
      <c r="D144" s="4" t="s">
        <v>3103</v>
      </c>
      <c r="E144" s="4"/>
      <c r="F144" s="14"/>
      <c r="G144" s="14"/>
      <c r="H144" s="1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</row>
    <row r="145" spans="1:108" x14ac:dyDescent="0.25">
      <c r="A145" s="12">
        <f t="shared" si="2"/>
        <v>142</v>
      </c>
      <c r="B145" s="4" t="s">
        <v>2979</v>
      </c>
      <c r="C145" s="4" t="s">
        <v>2980</v>
      </c>
      <c r="D145" s="4" t="s">
        <v>3109</v>
      </c>
      <c r="E145" s="4"/>
      <c r="F145" s="14"/>
      <c r="G145" s="14"/>
      <c r="H145" s="1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</row>
    <row r="146" spans="1:108" x14ac:dyDescent="0.25">
      <c r="A146" s="12">
        <f t="shared" si="2"/>
        <v>143</v>
      </c>
      <c r="B146" s="4" t="s">
        <v>2981</v>
      </c>
      <c r="C146" s="4" t="s">
        <v>2982</v>
      </c>
      <c r="D146" s="4" t="s">
        <v>3098</v>
      </c>
      <c r="E146" s="4"/>
      <c r="F146" s="14"/>
      <c r="G146" s="14"/>
      <c r="H146" s="1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</row>
    <row r="147" spans="1:108" x14ac:dyDescent="0.25">
      <c r="A147" s="12">
        <f t="shared" si="2"/>
        <v>144</v>
      </c>
      <c r="B147" s="4" t="s">
        <v>2983</v>
      </c>
      <c r="C147" s="4" t="s">
        <v>2984</v>
      </c>
      <c r="D147" s="4" t="s">
        <v>3096</v>
      </c>
      <c r="E147" s="4"/>
      <c r="F147" s="14"/>
      <c r="G147" s="14"/>
      <c r="H147" s="1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</row>
    <row r="148" spans="1:108" x14ac:dyDescent="0.25">
      <c r="A148" s="12">
        <f t="shared" si="2"/>
        <v>145</v>
      </c>
      <c r="B148" s="4" t="s">
        <v>1362</v>
      </c>
      <c r="C148" s="4" t="s">
        <v>1363</v>
      </c>
      <c r="D148" s="4" t="s">
        <v>3102</v>
      </c>
      <c r="E148" s="4"/>
      <c r="F148" s="14"/>
      <c r="G148" s="14"/>
      <c r="H148" s="1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</row>
    <row r="149" spans="1:108" x14ac:dyDescent="0.25">
      <c r="A149" s="12">
        <f t="shared" si="2"/>
        <v>146</v>
      </c>
      <c r="B149" s="4" t="s">
        <v>2985</v>
      </c>
      <c r="C149" s="4" t="s">
        <v>2986</v>
      </c>
      <c r="D149" s="4" t="s">
        <v>3137</v>
      </c>
      <c r="E149" s="4"/>
      <c r="F149" s="14"/>
      <c r="G149" s="14"/>
      <c r="H149" s="1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</row>
    <row r="150" spans="1:108" x14ac:dyDescent="0.25">
      <c r="A150" s="12">
        <f t="shared" si="2"/>
        <v>147</v>
      </c>
      <c r="B150" s="4" t="s">
        <v>2987</v>
      </c>
      <c r="C150" s="4" t="s">
        <v>2988</v>
      </c>
      <c r="D150" s="4" t="s">
        <v>3138</v>
      </c>
      <c r="E150" s="4"/>
      <c r="F150" s="14"/>
      <c r="G150" s="14"/>
      <c r="H150" s="1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</row>
    <row r="151" spans="1:108" x14ac:dyDescent="0.25">
      <c r="A151" s="12">
        <f t="shared" si="2"/>
        <v>148</v>
      </c>
      <c r="B151" s="4" t="s">
        <v>2989</v>
      </c>
      <c r="C151" s="4" t="s">
        <v>2990</v>
      </c>
      <c r="D151" s="4" t="s">
        <v>3094</v>
      </c>
      <c r="E151" s="4"/>
      <c r="F151" s="14"/>
      <c r="G151" s="14"/>
      <c r="H151" s="1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</row>
    <row r="152" spans="1:108" x14ac:dyDescent="0.25">
      <c r="A152" s="12">
        <f t="shared" si="2"/>
        <v>149</v>
      </c>
      <c r="B152" s="4" t="s">
        <v>2991</v>
      </c>
      <c r="C152" s="4" t="s">
        <v>2992</v>
      </c>
      <c r="D152" s="4" t="s">
        <v>3094</v>
      </c>
      <c r="E152" s="4"/>
      <c r="F152" s="14"/>
      <c r="G152" s="14"/>
      <c r="H152" s="1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</row>
    <row r="153" spans="1:108" x14ac:dyDescent="0.25">
      <c r="A153" s="12">
        <f t="shared" si="2"/>
        <v>150</v>
      </c>
      <c r="B153" s="4" t="s">
        <v>2993</v>
      </c>
      <c r="C153" s="4" t="s">
        <v>2994</v>
      </c>
      <c r="D153" s="4" t="s">
        <v>3106</v>
      </c>
      <c r="E153" s="4"/>
      <c r="F153" s="14"/>
      <c r="G153" s="14"/>
      <c r="H153" s="1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</row>
    <row r="154" spans="1:108" x14ac:dyDescent="0.25">
      <c r="A154" s="12">
        <f t="shared" si="2"/>
        <v>151</v>
      </c>
      <c r="B154" s="4" t="s">
        <v>2995</v>
      </c>
      <c r="C154" s="4" t="s">
        <v>2996</v>
      </c>
      <c r="D154" s="4" t="s">
        <v>3106</v>
      </c>
      <c r="E154" s="4"/>
      <c r="F154" s="14"/>
      <c r="G154" s="14"/>
      <c r="H154" s="1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</row>
    <row r="155" spans="1:108" x14ac:dyDescent="0.25">
      <c r="A155" s="12">
        <f t="shared" si="2"/>
        <v>152</v>
      </c>
      <c r="B155" s="4" t="s">
        <v>2997</v>
      </c>
      <c r="C155" s="4" t="s">
        <v>2998</v>
      </c>
      <c r="D155" s="4" t="s">
        <v>3125</v>
      </c>
      <c r="E155" s="4"/>
      <c r="F155" s="14"/>
      <c r="G155" s="14"/>
      <c r="H155" s="1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</row>
    <row r="156" spans="1:108" x14ac:dyDescent="0.25">
      <c r="A156" s="12">
        <f t="shared" si="2"/>
        <v>153</v>
      </c>
      <c r="B156" s="4" t="s">
        <v>1612</v>
      </c>
      <c r="C156" s="4" t="s">
        <v>1613</v>
      </c>
      <c r="D156" s="4" t="s">
        <v>3098</v>
      </c>
      <c r="E156" s="4"/>
      <c r="F156" s="14"/>
      <c r="G156" s="14"/>
      <c r="H156" s="1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</row>
    <row r="157" spans="1:108" x14ac:dyDescent="0.25">
      <c r="A157" s="12">
        <f t="shared" si="2"/>
        <v>154</v>
      </c>
      <c r="B157" s="4" t="s">
        <v>2999</v>
      </c>
      <c r="C157" s="4" t="s">
        <v>3000</v>
      </c>
      <c r="D157" s="4" t="s">
        <v>3100</v>
      </c>
      <c r="E157" s="4"/>
      <c r="F157" s="14"/>
      <c r="G157" s="14"/>
      <c r="H157" s="1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</row>
    <row r="158" spans="1:108" x14ac:dyDescent="0.25">
      <c r="A158" s="12">
        <f t="shared" si="2"/>
        <v>155</v>
      </c>
      <c r="B158" s="4" t="s">
        <v>3001</v>
      </c>
      <c r="C158" s="4" t="s">
        <v>3002</v>
      </c>
      <c r="D158" s="4" t="s">
        <v>3094</v>
      </c>
      <c r="E158" s="4"/>
      <c r="F158" s="14"/>
      <c r="G158" s="14"/>
      <c r="H158" s="1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</row>
    <row r="159" spans="1:108" x14ac:dyDescent="0.25">
      <c r="A159" s="12">
        <f t="shared" si="2"/>
        <v>156</v>
      </c>
      <c r="B159" s="4" t="s">
        <v>3003</v>
      </c>
      <c r="C159" s="4" t="s">
        <v>3004</v>
      </c>
      <c r="D159" s="4" t="s">
        <v>3112</v>
      </c>
      <c r="E159" s="4"/>
      <c r="F159" s="14"/>
      <c r="G159" s="14"/>
      <c r="H159" s="1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</row>
    <row r="160" spans="1:108" x14ac:dyDescent="0.25">
      <c r="A160" s="12">
        <f t="shared" si="2"/>
        <v>157</v>
      </c>
      <c r="B160" s="4" t="s">
        <v>3005</v>
      </c>
      <c r="C160" s="4" t="s">
        <v>3006</v>
      </c>
      <c r="D160" s="4" t="s">
        <v>3117</v>
      </c>
      <c r="E160" s="4"/>
      <c r="F160" s="14"/>
      <c r="G160" s="14"/>
      <c r="H160" s="1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</row>
    <row r="161" spans="1:108" x14ac:dyDescent="0.25">
      <c r="A161" s="12">
        <f t="shared" si="2"/>
        <v>158</v>
      </c>
      <c r="B161" s="4" t="s">
        <v>3007</v>
      </c>
      <c r="C161" s="4" t="s">
        <v>3008</v>
      </c>
      <c r="D161" s="4" t="s">
        <v>3094</v>
      </c>
      <c r="E161" s="4"/>
      <c r="F161" s="14"/>
      <c r="G161" s="14"/>
      <c r="H161" s="1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</row>
    <row r="162" spans="1:108" x14ac:dyDescent="0.25">
      <c r="A162" s="12">
        <f t="shared" si="2"/>
        <v>159</v>
      </c>
      <c r="B162" s="4" t="s">
        <v>3009</v>
      </c>
      <c r="C162" s="4" t="s">
        <v>3010</v>
      </c>
      <c r="D162" s="4" t="s">
        <v>3094</v>
      </c>
      <c r="E162" s="4"/>
      <c r="F162" s="14"/>
      <c r="G162" s="14"/>
      <c r="H162" s="1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</row>
    <row r="163" spans="1:108" x14ac:dyDescent="0.25">
      <c r="A163" s="12">
        <f t="shared" si="2"/>
        <v>160</v>
      </c>
      <c r="B163" s="4" t="s">
        <v>3011</v>
      </c>
      <c r="C163" s="4" t="s">
        <v>3012</v>
      </c>
      <c r="D163" s="4" t="s">
        <v>3104</v>
      </c>
      <c r="E163" s="4"/>
      <c r="F163" s="14"/>
      <c r="G163" s="14"/>
      <c r="H163" s="1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</row>
    <row r="164" spans="1:108" x14ac:dyDescent="0.25">
      <c r="A164" s="12">
        <f t="shared" si="2"/>
        <v>161</v>
      </c>
      <c r="B164" s="4" t="s">
        <v>3013</v>
      </c>
      <c r="C164" s="4" t="s">
        <v>3014</v>
      </c>
      <c r="D164" s="4" t="s">
        <v>3129</v>
      </c>
      <c r="E164" s="4"/>
      <c r="F164" s="14"/>
      <c r="G164" s="14"/>
      <c r="H164" s="1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</row>
    <row r="165" spans="1:108" x14ac:dyDescent="0.25">
      <c r="A165" s="12">
        <f t="shared" si="2"/>
        <v>162</v>
      </c>
      <c r="B165" s="4" t="s">
        <v>3015</v>
      </c>
      <c r="C165" s="4" t="s">
        <v>3016</v>
      </c>
      <c r="D165" s="4" t="s">
        <v>3104</v>
      </c>
      <c r="E165" s="4"/>
      <c r="F165" s="14"/>
      <c r="G165" s="14"/>
      <c r="H165" s="1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</row>
    <row r="166" spans="1:108" x14ac:dyDescent="0.25">
      <c r="A166" s="12">
        <f t="shared" si="2"/>
        <v>163</v>
      </c>
      <c r="B166" s="4" t="s">
        <v>3017</v>
      </c>
      <c r="C166" s="4" t="s">
        <v>3018</v>
      </c>
      <c r="D166" s="4" t="s">
        <v>3097</v>
      </c>
      <c r="E166" s="4"/>
      <c r="F166" s="14"/>
      <c r="G166" s="14"/>
      <c r="H166" s="1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</row>
    <row r="167" spans="1:108" x14ac:dyDescent="0.25">
      <c r="A167" s="12">
        <f t="shared" si="2"/>
        <v>164</v>
      </c>
      <c r="B167" s="4" t="s">
        <v>3019</v>
      </c>
      <c r="C167" s="4" t="s">
        <v>3020</v>
      </c>
      <c r="D167" s="4" t="s">
        <v>3098</v>
      </c>
      <c r="E167" s="4"/>
      <c r="F167" s="14"/>
      <c r="G167" s="14"/>
      <c r="H167" s="1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</row>
    <row r="168" spans="1:108" x14ac:dyDescent="0.25">
      <c r="A168" s="12">
        <f t="shared" si="2"/>
        <v>165</v>
      </c>
      <c r="B168" s="4" t="s">
        <v>3021</v>
      </c>
      <c r="C168" s="4" t="s">
        <v>3022</v>
      </c>
      <c r="D168" s="4" t="s">
        <v>3105</v>
      </c>
      <c r="E168" s="4"/>
      <c r="F168" s="14"/>
      <c r="G168" s="14"/>
      <c r="H168" s="1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</row>
    <row r="169" spans="1:108" x14ac:dyDescent="0.25">
      <c r="A169" s="12">
        <f t="shared" si="2"/>
        <v>166</v>
      </c>
      <c r="B169" s="4" t="s">
        <v>3023</v>
      </c>
      <c r="C169" s="4" t="s">
        <v>3024</v>
      </c>
      <c r="D169" s="4" t="s">
        <v>3129</v>
      </c>
      <c r="E169" s="4"/>
      <c r="F169" s="14"/>
      <c r="G169" s="14"/>
      <c r="H169" s="1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</row>
    <row r="170" spans="1:108" x14ac:dyDescent="0.25">
      <c r="A170" s="12">
        <f t="shared" si="2"/>
        <v>167</v>
      </c>
      <c r="B170" s="4" t="s">
        <v>3025</v>
      </c>
      <c r="C170" s="4" t="s">
        <v>3026</v>
      </c>
      <c r="D170" s="4" t="s">
        <v>3094</v>
      </c>
      <c r="E170" s="4"/>
      <c r="F170" s="14"/>
      <c r="G170" s="14"/>
      <c r="H170" s="1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</row>
    <row r="171" spans="1:108" x14ac:dyDescent="0.25">
      <c r="A171" s="12">
        <f t="shared" si="2"/>
        <v>168</v>
      </c>
      <c r="B171" s="4" t="s">
        <v>3027</v>
      </c>
      <c r="C171" s="4" t="s">
        <v>3028</v>
      </c>
      <c r="D171" s="4" t="s">
        <v>3094</v>
      </c>
      <c r="E171" s="4"/>
      <c r="F171" s="14"/>
      <c r="G171" s="14"/>
      <c r="H171" s="1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</row>
    <row r="172" spans="1:108" x14ac:dyDescent="0.25">
      <c r="A172" s="12">
        <f t="shared" si="2"/>
        <v>169</v>
      </c>
      <c r="B172" s="4" t="s">
        <v>3029</v>
      </c>
      <c r="C172" s="4" t="s">
        <v>3030</v>
      </c>
      <c r="D172" s="4" t="s">
        <v>3136</v>
      </c>
      <c r="E172" s="4"/>
      <c r="F172" s="14"/>
      <c r="G172" s="14"/>
      <c r="H172" s="1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</row>
    <row r="173" spans="1:108" x14ac:dyDescent="0.25">
      <c r="A173" s="12">
        <f t="shared" si="2"/>
        <v>170</v>
      </c>
      <c r="B173" s="4" t="s">
        <v>3031</v>
      </c>
      <c r="C173" s="4" t="s">
        <v>3032</v>
      </c>
      <c r="D173" s="4" t="s">
        <v>3094</v>
      </c>
      <c r="E173" s="4"/>
      <c r="F173" s="14"/>
      <c r="G173" s="14"/>
      <c r="H173" s="1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</row>
    <row r="174" spans="1:108" x14ac:dyDescent="0.25">
      <c r="A174" s="12">
        <f t="shared" si="2"/>
        <v>171</v>
      </c>
      <c r="B174" s="4" t="s">
        <v>1879</v>
      </c>
      <c r="C174" s="4" t="s">
        <v>1880</v>
      </c>
      <c r="D174" s="4" t="s">
        <v>3094</v>
      </c>
      <c r="E174" s="4"/>
      <c r="F174" s="14"/>
      <c r="G174" s="14"/>
      <c r="H174" s="1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</row>
    <row r="175" spans="1:108" x14ac:dyDescent="0.25">
      <c r="A175" s="12">
        <f t="shared" si="2"/>
        <v>172</v>
      </c>
      <c r="B175" s="4" t="s">
        <v>3033</v>
      </c>
      <c r="C175" s="4" t="s">
        <v>3034</v>
      </c>
      <c r="D175" s="4" t="s">
        <v>1638</v>
      </c>
      <c r="E175" s="4"/>
      <c r="F175" s="14"/>
      <c r="G175" s="14"/>
      <c r="H175" s="1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</row>
    <row r="176" spans="1:108" x14ac:dyDescent="0.25">
      <c r="A176" s="12">
        <f t="shared" si="2"/>
        <v>173</v>
      </c>
      <c r="B176" s="4" t="s">
        <v>3035</v>
      </c>
      <c r="C176" s="4" t="s">
        <v>3036</v>
      </c>
      <c r="D176" s="4" t="s">
        <v>3094</v>
      </c>
      <c r="E176" s="4"/>
      <c r="F176" s="14"/>
      <c r="G176" s="14"/>
      <c r="H176" s="1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</row>
    <row r="177" spans="1:108" x14ac:dyDescent="0.25">
      <c r="A177" s="12">
        <f t="shared" si="2"/>
        <v>174</v>
      </c>
      <c r="B177" s="4" t="s">
        <v>3037</v>
      </c>
      <c r="C177" s="4" t="s">
        <v>3038</v>
      </c>
      <c r="D177" s="4" t="s">
        <v>3098</v>
      </c>
      <c r="E177" s="4"/>
      <c r="F177" s="14"/>
      <c r="G177" s="14"/>
      <c r="H177" s="1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</row>
    <row r="178" spans="1:108" x14ac:dyDescent="0.25">
      <c r="A178" s="12">
        <f t="shared" si="2"/>
        <v>175</v>
      </c>
      <c r="B178" s="4" t="s">
        <v>3039</v>
      </c>
      <c r="C178" s="4" t="s">
        <v>3040</v>
      </c>
      <c r="D178" s="4" t="s">
        <v>3117</v>
      </c>
      <c r="E178" s="4"/>
      <c r="F178" s="14"/>
      <c r="G178" s="14"/>
      <c r="H178" s="1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</row>
    <row r="179" spans="1:108" x14ac:dyDescent="0.25">
      <c r="A179" s="12">
        <f t="shared" si="2"/>
        <v>176</v>
      </c>
      <c r="B179" s="4" t="s">
        <v>3041</v>
      </c>
      <c r="C179" s="4" t="s">
        <v>3042</v>
      </c>
      <c r="D179" s="4" t="s">
        <v>3129</v>
      </c>
      <c r="E179" s="4"/>
      <c r="F179" s="14"/>
      <c r="G179" s="14"/>
      <c r="H179" s="1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</row>
    <row r="180" spans="1:108" x14ac:dyDescent="0.25">
      <c r="A180" s="12">
        <f t="shared" si="2"/>
        <v>177</v>
      </c>
      <c r="B180" s="4" t="s">
        <v>3043</v>
      </c>
      <c r="C180" s="4" t="s">
        <v>3044</v>
      </c>
      <c r="D180" s="4" t="s">
        <v>3098</v>
      </c>
      <c r="E180" s="4"/>
      <c r="F180" s="14"/>
      <c r="G180" s="14"/>
      <c r="H180" s="1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</row>
    <row r="181" spans="1:108" x14ac:dyDescent="0.25">
      <c r="A181" s="12">
        <f t="shared" si="2"/>
        <v>178</v>
      </c>
      <c r="B181" s="4" t="s">
        <v>3045</v>
      </c>
      <c r="C181" s="4" t="s">
        <v>3046</v>
      </c>
      <c r="D181" s="4" t="s">
        <v>3106</v>
      </c>
      <c r="E181" s="4"/>
      <c r="F181" s="14"/>
      <c r="G181" s="14"/>
      <c r="H181" s="1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</row>
    <row r="182" spans="1:108" x14ac:dyDescent="0.25">
      <c r="A182" s="12">
        <f t="shared" si="2"/>
        <v>179</v>
      </c>
      <c r="B182" s="4" t="s">
        <v>3047</v>
      </c>
      <c r="C182" s="4" t="s">
        <v>3048</v>
      </c>
      <c r="D182" s="4" t="s">
        <v>3094</v>
      </c>
      <c r="E182" s="4"/>
      <c r="F182" s="14"/>
      <c r="G182" s="14"/>
      <c r="H182" s="1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</row>
    <row r="183" spans="1:108" x14ac:dyDescent="0.25">
      <c r="A183" s="12">
        <f t="shared" si="2"/>
        <v>180</v>
      </c>
      <c r="B183" s="4" t="s">
        <v>3049</v>
      </c>
      <c r="C183" s="4" t="s">
        <v>3050</v>
      </c>
      <c r="D183" s="4" t="s">
        <v>3139</v>
      </c>
      <c r="E183" s="4"/>
      <c r="F183" s="14"/>
      <c r="G183" s="14"/>
      <c r="H183" s="1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</row>
    <row r="184" spans="1:108" x14ac:dyDescent="0.25">
      <c r="A184" s="12">
        <f t="shared" si="2"/>
        <v>181</v>
      </c>
      <c r="B184" s="4" t="s">
        <v>3051</v>
      </c>
      <c r="C184" s="4" t="s">
        <v>3052</v>
      </c>
      <c r="D184" s="4" t="s">
        <v>3098</v>
      </c>
      <c r="E184" s="4"/>
      <c r="F184" s="14"/>
      <c r="G184" s="14"/>
      <c r="H184" s="1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</row>
    <row r="185" spans="1:108" x14ac:dyDescent="0.25">
      <c r="A185" s="12">
        <f t="shared" si="2"/>
        <v>182</v>
      </c>
      <c r="B185" s="4" t="s">
        <v>3053</v>
      </c>
      <c r="C185" s="4" t="s">
        <v>3054</v>
      </c>
      <c r="D185" s="4" t="s">
        <v>3094</v>
      </c>
      <c r="E185" s="4"/>
      <c r="F185" s="14"/>
      <c r="G185" s="14"/>
      <c r="H185" s="1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</row>
    <row r="186" spans="1:108" x14ac:dyDescent="0.25">
      <c r="A186" s="12">
        <f t="shared" si="2"/>
        <v>183</v>
      </c>
      <c r="B186" s="4" t="s">
        <v>3055</v>
      </c>
      <c r="C186" s="4" t="s">
        <v>3056</v>
      </c>
      <c r="D186" s="4" t="s">
        <v>3098</v>
      </c>
      <c r="E186" s="4"/>
      <c r="F186" s="14"/>
      <c r="G186" s="14"/>
      <c r="H186" s="1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</row>
    <row r="187" spans="1:108" x14ac:dyDescent="0.25">
      <c r="A187" s="12">
        <f t="shared" si="2"/>
        <v>184</v>
      </c>
      <c r="B187" s="4" t="s">
        <v>3057</v>
      </c>
      <c r="C187" s="4" t="s">
        <v>3058</v>
      </c>
      <c r="D187" s="4" t="s">
        <v>3129</v>
      </c>
      <c r="E187" s="4"/>
      <c r="F187" s="14"/>
      <c r="G187" s="14"/>
      <c r="H187" s="1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</row>
    <row r="188" spans="1:108" x14ac:dyDescent="0.25">
      <c r="A188" s="12">
        <f t="shared" si="2"/>
        <v>185</v>
      </c>
      <c r="B188" s="4" t="s">
        <v>3059</v>
      </c>
      <c r="C188" s="4" t="s">
        <v>3060</v>
      </c>
      <c r="D188" s="4" t="s">
        <v>3098</v>
      </c>
      <c r="E188" s="4"/>
      <c r="F188" s="14"/>
      <c r="G188" s="14"/>
      <c r="H188" s="1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</row>
    <row r="189" spans="1:108" x14ac:dyDescent="0.25">
      <c r="A189" s="12">
        <f t="shared" si="2"/>
        <v>186</v>
      </c>
      <c r="B189" s="4" t="s">
        <v>3061</v>
      </c>
      <c r="C189" s="4" t="s">
        <v>3062</v>
      </c>
      <c r="D189" s="4" t="s">
        <v>3105</v>
      </c>
      <c r="E189" s="4"/>
      <c r="F189" s="14"/>
      <c r="G189" s="14"/>
      <c r="H189" s="1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</row>
    <row r="190" spans="1:108" x14ac:dyDescent="0.25">
      <c r="A190" s="12">
        <f t="shared" si="2"/>
        <v>187</v>
      </c>
      <c r="B190" s="4" t="s">
        <v>3063</v>
      </c>
      <c r="C190" s="4" t="s">
        <v>3064</v>
      </c>
      <c r="D190" s="4" t="s">
        <v>3111</v>
      </c>
      <c r="E190" s="4"/>
      <c r="F190" s="14"/>
      <c r="G190" s="14"/>
      <c r="H190" s="1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</row>
    <row r="191" spans="1:108" x14ac:dyDescent="0.25">
      <c r="A191" s="12">
        <f t="shared" si="2"/>
        <v>188</v>
      </c>
      <c r="B191" s="4" t="s">
        <v>2056</v>
      </c>
      <c r="C191" s="4" t="s">
        <v>2057</v>
      </c>
      <c r="D191" s="4" t="s">
        <v>3111</v>
      </c>
      <c r="E191" s="4"/>
      <c r="F191" s="14"/>
      <c r="G191" s="14"/>
      <c r="H191" s="1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</row>
    <row r="192" spans="1:108" x14ac:dyDescent="0.25">
      <c r="A192" s="12">
        <f t="shared" si="2"/>
        <v>189</v>
      </c>
      <c r="B192" s="4" t="s">
        <v>3065</v>
      </c>
      <c r="C192" s="4" t="s">
        <v>3066</v>
      </c>
      <c r="D192" s="4" t="s">
        <v>3115</v>
      </c>
      <c r="E192" s="4"/>
      <c r="F192" s="14"/>
      <c r="G192" s="14"/>
      <c r="H192" s="1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</row>
    <row r="193" spans="1:108" x14ac:dyDescent="0.25">
      <c r="A193" s="12">
        <f t="shared" si="2"/>
        <v>190</v>
      </c>
      <c r="B193" s="4" t="s">
        <v>3067</v>
      </c>
      <c r="C193" s="4" t="s">
        <v>3068</v>
      </c>
      <c r="D193" s="4" t="s">
        <v>3118</v>
      </c>
      <c r="E193" s="4"/>
      <c r="F193" s="14"/>
      <c r="G193" s="14"/>
      <c r="H193" s="1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</row>
    <row r="194" spans="1:108" x14ac:dyDescent="0.25">
      <c r="A194" s="12">
        <f t="shared" si="2"/>
        <v>191</v>
      </c>
      <c r="B194" s="4" t="s">
        <v>3069</v>
      </c>
      <c r="C194" s="4" t="s">
        <v>3070</v>
      </c>
      <c r="D194" s="4" t="s">
        <v>3140</v>
      </c>
      <c r="E194" s="4"/>
      <c r="F194" s="14"/>
      <c r="G194" s="14"/>
      <c r="H194" s="1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</row>
    <row r="195" spans="1:108" x14ac:dyDescent="0.25">
      <c r="A195" s="12">
        <f t="shared" si="2"/>
        <v>192</v>
      </c>
      <c r="B195" s="4" t="s">
        <v>3071</v>
      </c>
      <c r="C195" s="4" t="s">
        <v>3072</v>
      </c>
      <c r="D195" s="4" t="s">
        <v>3112</v>
      </c>
      <c r="E195" s="4"/>
      <c r="F195" s="14"/>
      <c r="G195" s="14"/>
      <c r="H195" s="1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</row>
    <row r="196" spans="1:108" x14ac:dyDescent="0.25">
      <c r="A196" s="12">
        <f t="shared" si="2"/>
        <v>193</v>
      </c>
      <c r="B196" s="4" t="s">
        <v>3073</v>
      </c>
      <c r="C196" s="4" t="s">
        <v>3074</v>
      </c>
      <c r="D196" s="4" t="s">
        <v>3098</v>
      </c>
      <c r="E196" s="4"/>
      <c r="F196" s="14"/>
      <c r="G196" s="14"/>
      <c r="H196" s="1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</row>
    <row r="197" spans="1:108" x14ac:dyDescent="0.25">
      <c r="A197" s="12">
        <f t="shared" si="2"/>
        <v>194</v>
      </c>
      <c r="B197" s="4" t="s">
        <v>3075</v>
      </c>
      <c r="C197" s="4" t="s">
        <v>3076</v>
      </c>
      <c r="D197" s="4" t="s">
        <v>3139</v>
      </c>
      <c r="E197" s="4"/>
      <c r="F197" s="14"/>
      <c r="G197" s="14"/>
      <c r="H197" s="1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</row>
    <row r="198" spans="1:108" x14ac:dyDescent="0.25">
      <c r="A198" s="12">
        <f t="shared" ref="A198:A223" si="3">+A197+1</f>
        <v>195</v>
      </c>
      <c r="B198" s="4" t="s">
        <v>3077</v>
      </c>
      <c r="C198" s="4" t="s">
        <v>3078</v>
      </c>
      <c r="D198" s="4" t="s">
        <v>3096</v>
      </c>
      <c r="E198" s="4"/>
      <c r="F198" s="14"/>
      <c r="G198" s="14"/>
      <c r="H198" s="1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</row>
    <row r="199" spans="1:108" x14ac:dyDescent="0.25">
      <c r="A199" s="12">
        <f t="shared" si="3"/>
        <v>196</v>
      </c>
      <c r="B199" s="4" t="s">
        <v>3079</v>
      </c>
      <c r="C199" s="4" t="s">
        <v>3080</v>
      </c>
      <c r="D199" s="4" t="s">
        <v>3104</v>
      </c>
      <c r="E199" s="4"/>
      <c r="F199" s="14"/>
      <c r="G199" s="14"/>
      <c r="H199" s="1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</row>
    <row r="200" spans="1:108" x14ac:dyDescent="0.25">
      <c r="A200" s="12">
        <f t="shared" si="3"/>
        <v>197</v>
      </c>
      <c r="B200" s="4" t="s">
        <v>2104</v>
      </c>
      <c r="C200" s="4" t="s">
        <v>2105</v>
      </c>
      <c r="D200" s="4" t="s">
        <v>3096</v>
      </c>
      <c r="E200" s="4"/>
      <c r="F200" s="14"/>
      <c r="G200" s="14"/>
      <c r="H200" s="1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</row>
    <row r="201" spans="1:108" x14ac:dyDescent="0.25">
      <c r="A201" s="12">
        <f t="shared" si="3"/>
        <v>198</v>
      </c>
      <c r="B201" s="4" t="s">
        <v>2153</v>
      </c>
      <c r="C201" s="4" t="s">
        <v>2154</v>
      </c>
      <c r="D201" s="4" t="s">
        <v>3118</v>
      </c>
      <c r="E201" s="4"/>
      <c r="F201" s="14"/>
      <c r="G201" s="14"/>
      <c r="H201" s="1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</row>
    <row r="202" spans="1:108" x14ac:dyDescent="0.25">
      <c r="A202" s="12">
        <f t="shared" si="3"/>
        <v>199</v>
      </c>
      <c r="B202" s="4" t="s">
        <v>3081</v>
      </c>
      <c r="C202" s="4" t="s">
        <v>3082</v>
      </c>
      <c r="D202" s="4" t="s">
        <v>3135</v>
      </c>
      <c r="E202" s="4"/>
      <c r="F202" s="14"/>
      <c r="G202" s="14"/>
      <c r="H202" s="1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</row>
    <row r="203" spans="1:108" x14ac:dyDescent="0.25">
      <c r="A203" s="12">
        <f t="shared" si="3"/>
        <v>200</v>
      </c>
      <c r="B203" s="4" t="s">
        <v>2235</v>
      </c>
      <c r="C203" s="4" t="s">
        <v>2236</v>
      </c>
      <c r="D203" s="4" t="s">
        <v>3108</v>
      </c>
      <c r="E203" s="4"/>
      <c r="F203" s="14"/>
      <c r="G203" s="14"/>
      <c r="H203" s="1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</row>
    <row r="204" spans="1:108" x14ac:dyDescent="0.25">
      <c r="A204" s="12">
        <f t="shared" si="3"/>
        <v>201</v>
      </c>
      <c r="B204" s="4" t="s">
        <v>3083</v>
      </c>
      <c r="C204" s="4" t="s">
        <v>3084</v>
      </c>
      <c r="D204" s="4" t="s">
        <v>3118</v>
      </c>
      <c r="E204" s="4"/>
      <c r="F204" s="14"/>
      <c r="G204" s="14"/>
      <c r="H204" s="1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</row>
    <row r="205" spans="1:108" x14ac:dyDescent="0.25">
      <c r="A205" s="12">
        <f t="shared" si="3"/>
        <v>202</v>
      </c>
      <c r="B205" s="4" t="s">
        <v>3085</v>
      </c>
      <c r="C205" s="4" t="s">
        <v>3086</v>
      </c>
      <c r="D205" s="4" t="s">
        <v>3096</v>
      </c>
      <c r="E205" s="4"/>
      <c r="F205" s="14"/>
      <c r="G205" s="14"/>
      <c r="H205" s="1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</row>
    <row r="206" spans="1:108" x14ac:dyDescent="0.25">
      <c r="A206" s="12">
        <f t="shared" si="3"/>
        <v>203</v>
      </c>
      <c r="B206" s="4" t="s">
        <v>3087</v>
      </c>
      <c r="C206" s="4" t="s">
        <v>3088</v>
      </c>
      <c r="D206" s="4" t="s">
        <v>3139</v>
      </c>
      <c r="E206" s="4"/>
      <c r="F206" s="14"/>
      <c r="G206" s="14"/>
      <c r="H206" s="1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</row>
    <row r="207" spans="1:108" x14ac:dyDescent="0.25">
      <c r="A207" s="12">
        <f t="shared" si="3"/>
        <v>204</v>
      </c>
      <c r="B207" s="4" t="s">
        <v>3089</v>
      </c>
      <c r="C207" s="4" t="s">
        <v>3090</v>
      </c>
      <c r="D207" s="4" t="s">
        <v>3098</v>
      </c>
      <c r="E207" s="4"/>
      <c r="F207" s="14"/>
      <c r="G207" s="14"/>
      <c r="H207" s="1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</row>
    <row r="208" spans="1:108" x14ac:dyDescent="0.25">
      <c r="A208" s="12">
        <f t="shared" si="3"/>
        <v>205</v>
      </c>
      <c r="B208" s="4" t="s">
        <v>2352</v>
      </c>
      <c r="C208" s="4" t="s">
        <v>2353</v>
      </c>
      <c r="D208" s="4" t="s">
        <v>3129</v>
      </c>
      <c r="E208" s="4"/>
      <c r="F208" s="14"/>
      <c r="G208" s="14"/>
      <c r="H208" s="1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</row>
    <row r="209" spans="1:108" x14ac:dyDescent="0.25">
      <c r="A209" s="12">
        <f t="shared" si="3"/>
        <v>206</v>
      </c>
      <c r="B209" s="4" t="s">
        <v>2452</v>
      </c>
      <c r="C209" s="4" t="s">
        <v>2453</v>
      </c>
      <c r="D209" s="4" t="s">
        <v>3098</v>
      </c>
      <c r="E209" s="4"/>
      <c r="F209" s="14"/>
      <c r="G209" s="14"/>
      <c r="H209" s="1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</row>
    <row r="210" spans="1:108" x14ac:dyDescent="0.25">
      <c r="A210" s="12">
        <f t="shared" si="3"/>
        <v>207</v>
      </c>
      <c r="B210" s="4" t="s">
        <v>3091</v>
      </c>
      <c r="C210" s="4" t="s">
        <v>3092</v>
      </c>
      <c r="D210" s="4" t="s">
        <v>3094</v>
      </c>
      <c r="E210" s="4"/>
      <c r="F210" s="14"/>
      <c r="G210" s="14"/>
      <c r="H210" s="1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</row>
    <row r="211" spans="1:108" x14ac:dyDescent="0.25">
      <c r="A211" s="12">
        <f t="shared" si="3"/>
        <v>208</v>
      </c>
      <c r="B211" s="4" t="s">
        <v>2482</v>
      </c>
      <c r="C211" s="4" t="s">
        <v>3093</v>
      </c>
      <c r="D211" s="4" t="s">
        <v>3096</v>
      </c>
      <c r="E211" s="4"/>
      <c r="F211" s="14"/>
      <c r="G211" s="14"/>
      <c r="H211" s="1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</row>
    <row r="212" spans="1:108" x14ac:dyDescent="0.25">
      <c r="A212" s="12">
        <f t="shared" si="3"/>
        <v>209</v>
      </c>
      <c r="B212" s="4"/>
      <c r="C212" s="4"/>
      <c r="D212" s="4"/>
      <c r="E212" s="4"/>
      <c r="F212" s="14"/>
      <c r="G212" s="14"/>
      <c r="H212" s="1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</row>
    <row r="213" spans="1:108" x14ac:dyDescent="0.25">
      <c r="A213" s="12">
        <f t="shared" si="3"/>
        <v>210</v>
      </c>
      <c r="B213" s="4"/>
      <c r="C213" s="4"/>
      <c r="D213" s="4"/>
      <c r="E213" s="4"/>
      <c r="F213" s="14"/>
      <c r="G213" s="14"/>
      <c r="H213" s="1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</row>
    <row r="214" spans="1:108" x14ac:dyDescent="0.25">
      <c r="A214" s="12">
        <f t="shared" si="3"/>
        <v>211</v>
      </c>
      <c r="B214" s="4"/>
      <c r="C214" s="4"/>
      <c r="D214" s="4"/>
      <c r="E214" s="4"/>
      <c r="F214" s="14"/>
      <c r="G214" s="14"/>
      <c r="H214" s="1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</row>
    <row r="215" spans="1:108" x14ac:dyDescent="0.25">
      <c r="A215" s="12">
        <f t="shared" si="3"/>
        <v>212</v>
      </c>
      <c r="B215" s="4"/>
      <c r="C215" s="4"/>
      <c r="D215" s="4"/>
      <c r="E215" s="4"/>
      <c r="F215" s="14"/>
      <c r="G215" s="14"/>
      <c r="H215" s="1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</row>
    <row r="216" spans="1:108" x14ac:dyDescent="0.25">
      <c r="A216" s="12">
        <f t="shared" si="3"/>
        <v>213</v>
      </c>
      <c r="B216" s="4"/>
      <c r="C216" s="4"/>
      <c r="D216" s="4"/>
      <c r="E216" s="4"/>
      <c r="F216" s="14"/>
      <c r="G216" s="14"/>
      <c r="H216" s="1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</row>
    <row r="217" spans="1:108" x14ac:dyDescent="0.25">
      <c r="A217" s="12">
        <f t="shared" si="3"/>
        <v>214</v>
      </c>
      <c r="B217" s="4"/>
      <c r="C217" s="4"/>
      <c r="D217" s="4"/>
      <c r="E217" s="4"/>
      <c r="F217" s="14"/>
      <c r="G217" s="14"/>
      <c r="H217" s="1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</row>
    <row r="218" spans="1:108" x14ac:dyDescent="0.25">
      <c r="A218" s="12">
        <f t="shared" si="3"/>
        <v>215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</row>
    <row r="219" spans="1:108" x14ac:dyDescent="0.25">
      <c r="A219" s="12">
        <f t="shared" si="3"/>
        <v>216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</row>
    <row r="220" spans="1:108" x14ac:dyDescent="0.25">
      <c r="A220" s="12">
        <f t="shared" si="3"/>
        <v>217</v>
      </c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</row>
    <row r="221" spans="1:108" x14ac:dyDescent="0.25">
      <c r="A221" s="12">
        <f t="shared" si="3"/>
        <v>218</v>
      </c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</row>
    <row r="222" spans="1:108" x14ac:dyDescent="0.25">
      <c r="A222" s="12">
        <f t="shared" si="3"/>
        <v>219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</row>
    <row r="223" spans="1:108" x14ac:dyDescent="0.25">
      <c r="A223" s="12">
        <f t="shared" si="3"/>
        <v>220</v>
      </c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</row>
    <row r="224" spans="1:108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</row>
    <row r="225" spans="1:108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</row>
    <row r="226" spans="1:108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</row>
    <row r="227" spans="1:108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</row>
    <row r="228" spans="1:108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</row>
    <row r="229" spans="1:108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</row>
    <row r="230" spans="1:108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</row>
    <row r="231" spans="1:108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</row>
    <row r="232" spans="1:108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</row>
    <row r="233" spans="1:108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</row>
    <row r="234" spans="1:108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</row>
    <row r="235" spans="1:108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</row>
    <row r="236" spans="1:108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</row>
    <row r="237" spans="1:108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</row>
    <row r="238" spans="1:108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</row>
    <row r="239" spans="1:108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</row>
    <row r="240" spans="1:108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</row>
    <row r="241" spans="1:108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</row>
    <row r="242" spans="1:108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</row>
    <row r="243" spans="1:108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</row>
    <row r="244" spans="1:108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</row>
    <row r="245" spans="1:108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</row>
    <row r="246" spans="1:108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</row>
    <row r="247" spans="1:108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</row>
    <row r="248" spans="1:108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</row>
    <row r="249" spans="1:108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</row>
    <row r="250" spans="1:108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</row>
    <row r="251" spans="1:108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</row>
    <row r="252" spans="1:108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</row>
    <row r="253" spans="1:108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</row>
    <row r="254" spans="1:108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</row>
    <row r="255" spans="1:108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</row>
    <row r="256" spans="1:108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</row>
    <row r="257" spans="1:108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</row>
    <row r="258" spans="1:108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</row>
    <row r="259" spans="1:108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</row>
    <row r="260" spans="1:108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</row>
    <row r="261" spans="1:108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</row>
    <row r="262" spans="1:108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</row>
    <row r="263" spans="1:108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</row>
    <row r="264" spans="1:108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</row>
    <row r="265" spans="1:108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</row>
    <row r="266" spans="1:108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</row>
    <row r="267" spans="1:108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</row>
    <row r="268" spans="1:108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</row>
    <row r="269" spans="1:108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</row>
    <row r="270" spans="1:108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</row>
    <row r="271" spans="1:108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</row>
    <row r="272" spans="1:108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</row>
    <row r="273" spans="1:108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</row>
    <row r="274" spans="1:108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</row>
    <row r="275" spans="1:108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</row>
    <row r="276" spans="1:108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</row>
    <row r="277" spans="1:108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</row>
    <row r="278" spans="1:108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</row>
    <row r="279" spans="1:108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</row>
    <row r="280" spans="1:108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</row>
    <row r="281" spans="1:108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</row>
    <row r="282" spans="1:108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</row>
    <row r="283" spans="1:108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</row>
    <row r="284" spans="1:108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</row>
    <row r="285" spans="1:108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</row>
    <row r="286" spans="1:108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</row>
    <row r="287" spans="1:108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</row>
    <row r="288" spans="1:108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</row>
    <row r="289" spans="1:108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</row>
    <row r="290" spans="1:108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</row>
    <row r="291" spans="1:108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</row>
    <row r="292" spans="1:108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</row>
    <row r="293" spans="1:108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</row>
    <row r="294" spans="1:108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</row>
    <row r="295" spans="1:108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6" customWidth="1"/>
    <col min="2" max="2" width="27" style="6" bestFit="1" customWidth="1"/>
    <col min="3" max="3" width="11.7109375" style="6" bestFit="1" customWidth="1"/>
    <col min="4" max="8" width="9.140625" style="6"/>
    <col min="9" max="9" width="9.140625" style="18"/>
    <col min="10" max="16384" width="9.140625" style="6"/>
  </cols>
  <sheetData>
    <row r="1" spans="1:43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spans="1:43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spans="1:43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8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 spans="1:43" x14ac:dyDescent="0.25">
      <c r="A4" s="12">
        <v>1</v>
      </c>
      <c r="B4" s="13" t="s">
        <v>709</v>
      </c>
      <c r="C4" s="4" t="s">
        <v>710</v>
      </c>
      <c r="D4" s="4" t="s">
        <v>45</v>
      </c>
      <c r="E4" s="4">
        <f>+[88]Main!$J$2</f>
        <v>334.9</v>
      </c>
      <c r="F4" s="14">
        <f>+[88]Main!$J$4</f>
        <v>622169.62413309992</v>
      </c>
      <c r="G4" s="14">
        <f>+[88]Main!$J$6-[88]Main!$J$5</f>
        <v>3163</v>
      </c>
      <c r="H4" s="14">
        <f t="shared" ref="H4:H17" si="0">+F4+G4</f>
        <v>625332.62413309992</v>
      </c>
      <c r="I4" s="5" t="s">
        <v>708</v>
      </c>
      <c r="J4" s="4"/>
      <c r="K4" s="4"/>
      <c r="L4" s="4"/>
      <c r="M4" s="4"/>
      <c r="N4" s="4"/>
      <c r="O4" s="4"/>
      <c r="P4" s="4">
        <v>1958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 spans="1:43" x14ac:dyDescent="0.25">
      <c r="A5" s="12">
        <f>+A4+1</f>
        <v>2</v>
      </c>
      <c r="B5" s="13" t="s">
        <v>711</v>
      </c>
      <c r="C5" s="4" t="s">
        <v>712</v>
      </c>
      <c r="D5" s="4" t="s">
        <v>45</v>
      </c>
      <c r="E5" s="4">
        <f>+[89]Main!$I$2</f>
        <v>519.49</v>
      </c>
      <c r="F5" s="14">
        <f>+[89]Main!$I$4</f>
        <v>473623.45178194001</v>
      </c>
      <c r="G5" s="14">
        <f>+[89]Main!$I$6-[89]Main!$I$5</f>
        <v>8962</v>
      </c>
      <c r="H5" s="14">
        <f t="shared" si="0"/>
        <v>482585.45178194001</v>
      </c>
      <c r="I5" s="5" t="s">
        <v>430</v>
      </c>
      <c r="J5" s="4"/>
      <c r="K5" s="4"/>
      <c r="L5" s="4"/>
      <c r="M5" s="4"/>
      <c r="N5" s="4"/>
      <c r="O5" s="4"/>
      <c r="P5" s="4">
        <v>1966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 spans="1:43" x14ac:dyDescent="0.25">
      <c r="A6" s="12">
        <f t="shared" ref="A6:A55" si="1">+A5+1</f>
        <v>3</v>
      </c>
      <c r="B6" s="13" t="s">
        <v>24</v>
      </c>
      <c r="C6" s="4" t="s">
        <v>71</v>
      </c>
      <c r="D6" s="4" t="s">
        <v>45</v>
      </c>
      <c r="E6" s="4">
        <f>+[30]Main!$I$2</f>
        <v>670.1</v>
      </c>
      <c r="F6" s="14">
        <f>+[30]Main!$I$4</f>
        <v>186827.23050000001</v>
      </c>
      <c r="G6" s="14">
        <f>+[30]Main!$I$6-[30]Main!$I$5</f>
        <v>6178</v>
      </c>
      <c r="H6" s="14">
        <f t="shared" si="0"/>
        <v>193005.23050000001</v>
      </c>
      <c r="I6" s="5" t="s">
        <v>49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 spans="1:43" x14ac:dyDescent="0.25">
      <c r="A7" s="12">
        <f t="shared" si="1"/>
        <v>4</v>
      </c>
      <c r="B7" s="13" t="s">
        <v>713</v>
      </c>
      <c r="C7" s="4" t="s">
        <v>714</v>
      </c>
      <c r="D7" s="4" t="s">
        <v>45</v>
      </c>
      <c r="E7" s="4">
        <f>+[90]Main!$J$2</f>
        <v>494.32</v>
      </c>
      <c r="F7" s="14">
        <f>+[90]Main!$J$4</f>
        <v>151607.94399999999</v>
      </c>
      <c r="G7" s="14">
        <f>+[90]Main!$J$6-[90]Main!$J$5</f>
        <v>9922</v>
      </c>
      <c r="H7" s="14">
        <f t="shared" si="0"/>
        <v>161529.94399999999</v>
      </c>
      <c r="I7" s="5" t="s">
        <v>708</v>
      </c>
      <c r="J7" s="4"/>
      <c r="K7" s="4"/>
      <c r="L7" s="4"/>
      <c r="M7" s="4"/>
      <c r="N7" s="4"/>
      <c r="O7" s="4"/>
      <c r="P7" s="4">
        <v>1860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 spans="1:43" x14ac:dyDescent="0.25">
      <c r="A8" s="12">
        <f t="shared" si="1"/>
        <v>5</v>
      </c>
      <c r="B8" s="13" t="s">
        <v>102</v>
      </c>
      <c r="C8" s="4" t="s">
        <v>103</v>
      </c>
      <c r="D8" s="4" t="s">
        <v>45</v>
      </c>
      <c r="E8" s="4">
        <f>+[43]Main!$I$2</f>
        <v>50.7</v>
      </c>
      <c r="F8" s="14">
        <f>+[43]Main!$I$4</f>
        <v>27269.090670900005</v>
      </c>
      <c r="G8" s="14">
        <f>+[43]Main!$I$6-[43]Main!$I$5</f>
        <v>29131</v>
      </c>
      <c r="H8" s="14">
        <f t="shared" si="0"/>
        <v>56400.090670900005</v>
      </c>
      <c r="I8" s="5" t="s">
        <v>430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 spans="1:43" x14ac:dyDescent="0.25">
      <c r="A9" s="12">
        <f t="shared" si="1"/>
        <v>6</v>
      </c>
      <c r="B9" s="13" t="s">
        <v>91</v>
      </c>
      <c r="C9" s="4" t="s">
        <v>92</v>
      </c>
      <c r="D9" s="4" t="s">
        <v>45</v>
      </c>
      <c r="E9" s="4">
        <f>+[39]Main!$I$2</f>
        <v>284.85000000000002</v>
      </c>
      <c r="F9" s="14">
        <f>+[39]Main!$I$4</f>
        <v>115897.17387105002</v>
      </c>
      <c r="G9" s="14">
        <f>+[39]Main!$I$6-[39]Main!$I$5</f>
        <v>1766.1</v>
      </c>
      <c r="H9" s="14">
        <f t="shared" si="0"/>
        <v>117663.27387105003</v>
      </c>
      <c r="I9" s="5" t="s">
        <v>431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 spans="1:43" x14ac:dyDescent="0.25">
      <c r="A10" s="12">
        <f t="shared" si="1"/>
        <v>7</v>
      </c>
      <c r="B10" s="13" t="s">
        <v>715</v>
      </c>
      <c r="C10" s="4" t="s">
        <v>716</v>
      </c>
      <c r="D10" s="4" t="s">
        <v>45</v>
      </c>
      <c r="E10" s="4">
        <f>+[91]Main!$I$2</f>
        <v>185.7</v>
      </c>
      <c r="F10" s="14">
        <f>+[91]Main!$I$4</f>
        <v>106522.39852469999</v>
      </c>
      <c r="G10" s="14">
        <f>+[91]Main!$I$6-[91]Main!$I$5</f>
        <v>18881</v>
      </c>
      <c r="H10" s="14">
        <f t="shared" si="0"/>
        <v>125403.39852469999</v>
      </c>
      <c r="I10" s="5" t="s">
        <v>708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 spans="1:43" x14ac:dyDescent="0.25">
      <c r="A11" s="12">
        <f t="shared" si="1"/>
        <v>8</v>
      </c>
      <c r="B11" s="13" t="s">
        <v>192</v>
      </c>
      <c r="C11" s="4" t="s">
        <v>193</v>
      </c>
      <c r="D11" s="4" t="s">
        <v>45</v>
      </c>
      <c r="E11" s="4">
        <f>+[64]Main!$H$2</f>
        <v>276.01</v>
      </c>
      <c r="F11" s="14">
        <f>+[64]Main!$H$4</f>
        <v>69099.22577243</v>
      </c>
      <c r="G11" s="14">
        <f>+[64]Main!$H$6-[64]Main!$H$5</f>
        <v>-3259.3870999999999</v>
      </c>
      <c r="H11" s="14">
        <f t="shared" si="0"/>
        <v>65839.838672429993</v>
      </c>
      <c r="I11" s="5" t="s">
        <v>49</v>
      </c>
      <c r="J11" s="4"/>
      <c r="K11" s="4"/>
      <c r="L11" s="4"/>
      <c r="M11" s="4"/>
      <c r="N11" s="4"/>
      <c r="O11" s="4"/>
      <c r="P11" s="4">
        <v>2012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 spans="1:43" x14ac:dyDescent="0.25">
      <c r="A12" s="12">
        <f t="shared" si="1"/>
        <v>9</v>
      </c>
      <c r="B12" s="13" t="s">
        <v>307</v>
      </c>
      <c r="C12" s="4" t="s">
        <v>308</v>
      </c>
      <c r="D12" s="4" t="s">
        <v>45</v>
      </c>
      <c r="E12" s="4">
        <f>+[62]Main!$J$2</f>
        <v>117.07</v>
      </c>
      <c r="F12" s="14">
        <f>+[62]Main!$J$4</f>
        <v>104037.19313750998</v>
      </c>
      <c r="G12" s="14">
        <f>+[62]Main!$J$6-[62]Main!$J$5</f>
        <v>-4332</v>
      </c>
      <c r="H12" s="14">
        <f t="shared" si="0"/>
        <v>99705.193137509981</v>
      </c>
      <c r="I12" s="5" t="s">
        <v>708</v>
      </c>
      <c r="J12" s="4"/>
      <c r="K12" s="4"/>
      <c r="L12" s="4"/>
      <c r="M12" s="4"/>
      <c r="N12" s="4"/>
      <c r="O12" s="4"/>
      <c r="P12" s="4">
        <v>2013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 spans="1:43" x14ac:dyDescent="0.25">
      <c r="A13" s="12">
        <f t="shared" si="1"/>
        <v>10</v>
      </c>
      <c r="B13" s="13" t="s">
        <v>123</v>
      </c>
      <c r="C13" s="4" t="s">
        <v>124</v>
      </c>
      <c r="D13" s="4" t="s">
        <v>45</v>
      </c>
      <c r="E13" s="4">
        <f>+[50]Main!$I$2</f>
        <v>58.7</v>
      </c>
      <c r="F13" s="14">
        <f>+[50]Main!$I$4</f>
        <v>52066.9</v>
      </c>
      <c r="G13" s="14">
        <f>+[50]Main!$I$6-[50]Main!$I$5</f>
        <v>2144</v>
      </c>
      <c r="H13" s="14">
        <f t="shared" si="0"/>
        <v>54210.9</v>
      </c>
      <c r="I13" s="41" t="s">
        <v>3147</v>
      </c>
      <c r="J13" s="15">
        <v>46140</v>
      </c>
      <c r="K13" s="4"/>
      <c r="L13" s="4"/>
      <c r="M13" s="4"/>
      <c r="N13" s="4"/>
      <c r="O13" s="4"/>
      <c r="P13" s="4">
        <v>1998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 spans="1:43" x14ac:dyDescent="0.25">
      <c r="A14" s="12">
        <f t="shared" si="1"/>
        <v>11</v>
      </c>
      <c r="B14" s="13" t="s">
        <v>733</v>
      </c>
      <c r="C14" s="4" t="s">
        <v>734</v>
      </c>
      <c r="D14" s="4" t="s">
        <v>45</v>
      </c>
      <c r="E14" s="4">
        <f>+[92]Main!$I$2</f>
        <v>86.25</v>
      </c>
      <c r="F14" s="14">
        <f>+[92]Main!$I$4</f>
        <v>49517.989724999999</v>
      </c>
      <c r="G14" s="14">
        <f>+[92]Main!$I$6-[92]Main!$I$5</f>
        <v>8435</v>
      </c>
      <c r="H14" s="14">
        <f t="shared" si="0"/>
        <v>57952.989724999999</v>
      </c>
      <c r="I14" s="5" t="s">
        <v>708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 spans="1:43" x14ac:dyDescent="0.25">
      <c r="A15" s="12">
        <f t="shared" si="1"/>
        <v>12</v>
      </c>
      <c r="B15" s="13" t="s">
        <v>2586</v>
      </c>
      <c r="C15" s="4" t="s">
        <v>2587</v>
      </c>
      <c r="D15" s="4" t="s">
        <v>45</v>
      </c>
      <c r="E15" s="4">
        <f>+[93]Main!$I$2</f>
        <v>220.4</v>
      </c>
      <c r="F15" s="14">
        <f>+[93]Main!$I$4</f>
        <v>45785.921346000003</v>
      </c>
      <c r="G15" s="14">
        <f>+[93]Main!$I$6-[93]Main!$I$5</f>
        <v>-1083.731</v>
      </c>
      <c r="H15" s="14">
        <f t="shared" si="0"/>
        <v>44702.190346000003</v>
      </c>
      <c r="I15" s="5" t="s">
        <v>708</v>
      </c>
      <c r="J15" s="4"/>
      <c r="K15" s="4"/>
      <c r="L15" s="4"/>
      <c r="M15" s="4"/>
      <c r="N15" s="4"/>
      <c r="O15" s="4"/>
      <c r="P15" s="4">
        <v>2013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 spans="1:43" x14ac:dyDescent="0.25">
      <c r="A16" s="12">
        <f t="shared" si="1"/>
        <v>13</v>
      </c>
      <c r="B16" s="13" t="s">
        <v>720</v>
      </c>
      <c r="C16" s="4" t="s">
        <v>720</v>
      </c>
      <c r="D16" s="4" t="s">
        <v>45</v>
      </c>
      <c r="E16" s="4">
        <f>+[94]Main!$J$2</f>
        <v>544.77</v>
      </c>
      <c r="F16" s="14">
        <f>+[94]Main!$J$4</f>
        <v>42149.669331149998</v>
      </c>
      <c r="G16" s="14">
        <f>+[94]Main!$J$6-[94]Main!$J$5</f>
        <v>4186.1880000000001</v>
      </c>
      <c r="H16" s="14">
        <f t="shared" si="0"/>
        <v>46335.85733115</v>
      </c>
      <c r="I16" s="5" t="s">
        <v>708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 spans="1:43" x14ac:dyDescent="0.25">
      <c r="A17" s="12">
        <f t="shared" si="1"/>
        <v>14</v>
      </c>
      <c r="B17" s="13" t="s">
        <v>194</v>
      </c>
      <c r="C17" s="4" t="s">
        <v>707</v>
      </c>
      <c r="D17" s="4" t="s">
        <v>45</v>
      </c>
      <c r="E17" s="4">
        <f>+[65]Main!$J$2</f>
        <v>53.86</v>
      </c>
      <c r="F17" s="14">
        <f>+[65]Main!$J$4</f>
        <v>33365.192799999997</v>
      </c>
      <c r="G17" s="14">
        <f>+[65]Main!$J$6-[65]Main!$J$5</f>
        <v>-2373.2370000000001</v>
      </c>
      <c r="H17" s="14">
        <f t="shared" si="0"/>
        <v>30991.955799999996</v>
      </c>
      <c r="I17" s="5" t="s">
        <v>430</v>
      </c>
      <c r="J17" s="4"/>
      <c r="K17" s="4"/>
      <c r="L17" s="4"/>
      <c r="M17" s="4"/>
      <c r="N17" s="4"/>
      <c r="O17" s="4"/>
      <c r="P17" s="4">
        <v>2009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 spans="1:43" x14ac:dyDescent="0.25">
      <c r="A18" s="12">
        <f t="shared" si="1"/>
        <v>15</v>
      </c>
      <c r="B18" s="4" t="s">
        <v>717</v>
      </c>
      <c r="C18" s="4" t="s">
        <v>718</v>
      </c>
      <c r="D18" s="4" t="s">
        <v>45</v>
      </c>
      <c r="E18" s="4"/>
      <c r="F18" s="14"/>
      <c r="G18" s="14"/>
      <c r="H18" s="14"/>
      <c r="I18" s="5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 spans="1:43" x14ac:dyDescent="0.25">
      <c r="A19" s="12">
        <f t="shared" si="1"/>
        <v>16</v>
      </c>
      <c r="B19" s="4" t="s">
        <v>168</v>
      </c>
      <c r="C19" s="4" t="s">
        <v>719</v>
      </c>
      <c r="D19" s="4" t="s">
        <v>45</v>
      </c>
      <c r="E19" s="4"/>
      <c r="F19" s="14"/>
      <c r="G19" s="14"/>
      <c r="H19" s="14"/>
      <c r="I19" s="5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 spans="1:43" x14ac:dyDescent="0.25">
      <c r="A20" s="12">
        <f t="shared" si="1"/>
        <v>17</v>
      </c>
      <c r="B20" s="13" t="s">
        <v>2602</v>
      </c>
      <c r="C20" s="4" t="s">
        <v>2603</v>
      </c>
      <c r="D20" s="4" t="s">
        <v>45</v>
      </c>
      <c r="E20" s="4">
        <f>+[95]Main!$J$2</f>
        <v>208.42</v>
      </c>
      <c r="F20" s="14">
        <f>+[95]Main!$J$4</f>
        <v>22709.220190600001</v>
      </c>
      <c r="G20" s="14">
        <f>+[95]Main!$J$6-[95]Main!$J$5</f>
        <v>-3488</v>
      </c>
      <c r="H20" s="14">
        <f>+F20+G20</f>
        <v>19221.220190600001</v>
      </c>
      <c r="I20" s="5" t="s">
        <v>708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spans="1:43" x14ac:dyDescent="0.25">
      <c r="A21" s="12">
        <f t="shared" si="1"/>
        <v>18</v>
      </c>
      <c r="B21" s="4" t="s">
        <v>721</v>
      </c>
      <c r="C21" s="4" t="s">
        <v>722</v>
      </c>
      <c r="D21" s="4" t="s">
        <v>768</v>
      </c>
      <c r="E21" s="4"/>
      <c r="F21" s="14"/>
      <c r="G21" s="14"/>
      <c r="H21" s="14"/>
      <c r="I21" s="5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spans="1:43" x14ac:dyDescent="0.25">
      <c r="A22" s="12">
        <f t="shared" si="1"/>
        <v>19</v>
      </c>
      <c r="B22" s="4" t="s">
        <v>723</v>
      </c>
      <c r="C22" s="4" t="s">
        <v>724</v>
      </c>
      <c r="D22" s="4" t="s">
        <v>768</v>
      </c>
      <c r="E22" s="4"/>
      <c r="F22" s="14"/>
      <c r="G22" s="14"/>
      <c r="H22" s="14"/>
      <c r="I22" s="5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spans="1:43" x14ac:dyDescent="0.25">
      <c r="A23" s="12">
        <f t="shared" si="1"/>
        <v>20</v>
      </c>
      <c r="B23" s="13" t="s">
        <v>725</v>
      </c>
      <c r="C23" s="4" t="s">
        <v>167</v>
      </c>
      <c r="D23" s="4" t="s">
        <v>45</v>
      </c>
      <c r="E23" s="4">
        <f>+[59]Main!$I$2</f>
        <v>1790.2</v>
      </c>
      <c r="F23" s="14">
        <f>+[59]Main!$I$4</f>
        <v>43576.493437999998</v>
      </c>
      <c r="G23" s="14">
        <f>+[59]Main!$I$6-[59]Main!$I$5</f>
        <v>2381.538</v>
      </c>
      <c r="H23" s="14">
        <f>+F23+G23</f>
        <v>45958.031437999998</v>
      </c>
      <c r="I23" s="5" t="s">
        <v>431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spans="1:43" x14ac:dyDescent="0.25">
      <c r="A24" s="12">
        <f t="shared" si="1"/>
        <v>21</v>
      </c>
      <c r="B24" s="4" t="s">
        <v>266</v>
      </c>
      <c r="C24" s="4" t="s">
        <v>267</v>
      </c>
      <c r="D24" s="4" t="s">
        <v>45</v>
      </c>
      <c r="E24" s="4"/>
      <c r="F24" s="14"/>
      <c r="G24" s="14"/>
      <c r="H24" s="14"/>
      <c r="I24" s="5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spans="1:43" x14ac:dyDescent="0.25">
      <c r="A25" s="12">
        <f t="shared" si="1"/>
        <v>22</v>
      </c>
      <c r="B25" s="4" t="s">
        <v>726</v>
      </c>
      <c r="C25" s="4" t="s">
        <v>727</v>
      </c>
      <c r="D25" s="4" t="s">
        <v>84</v>
      </c>
      <c r="E25" s="4"/>
      <c r="F25" s="14"/>
      <c r="G25" s="14"/>
      <c r="H25" s="14"/>
      <c r="I25" s="5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spans="1:43" x14ac:dyDescent="0.25">
      <c r="A26" s="12">
        <f t="shared" si="1"/>
        <v>23</v>
      </c>
      <c r="B26" s="4" t="s">
        <v>728</v>
      </c>
      <c r="C26" s="4" t="s">
        <v>729</v>
      </c>
      <c r="D26" s="4" t="s">
        <v>84</v>
      </c>
      <c r="E26" s="4"/>
      <c r="F26" s="14"/>
      <c r="G26" s="14"/>
      <c r="H26" s="14"/>
      <c r="I26" s="5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spans="1:43" x14ac:dyDescent="0.25">
      <c r="A27" s="12">
        <f t="shared" si="1"/>
        <v>24</v>
      </c>
      <c r="B27" s="4" t="s">
        <v>336</v>
      </c>
      <c r="C27" s="4" t="s">
        <v>730</v>
      </c>
      <c r="D27" s="4" t="s">
        <v>45</v>
      </c>
      <c r="E27" s="4"/>
      <c r="F27" s="14"/>
      <c r="G27" s="14"/>
      <c r="H27" s="14"/>
      <c r="I27" s="5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spans="1:43" x14ac:dyDescent="0.25">
      <c r="A28" s="12">
        <f t="shared" si="1"/>
        <v>25</v>
      </c>
      <c r="B28" s="4" t="s">
        <v>731</v>
      </c>
      <c r="C28" s="4" t="s">
        <v>732</v>
      </c>
      <c r="D28" s="4" t="s">
        <v>45</v>
      </c>
      <c r="E28" s="4"/>
      <c r="F28" s="14"/>
      <c r="G28" s="14"/>
      <c r="H28" s="14"/>
      <c r="I28" s="5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spans="1:43" x14ac:dyDescent="0.25">
      <c r="A29" s="12">
        <f t="shared" si="1"/>
        <v>26</v>
      </c>
      <c r="B29" s="4" t="s">
        <v>735</v>
      </c>
      <c r="C29" s="4" t="s">
        <v>171</v>
      </c>
      <c r="D29" s="4" t="s">
        <v>45</v>
      </c>
      <c r="E29" s="4"/>
      <c r="F29" s="14"/>
      <c r="G29" s="14"/>
      <c r="H29" s="14"/>
      <c r="I29" s="5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spans="1:43" x14ac:dyDescent="0.25">
      <c r="A30" s="12">
        <f t="shared" si="1"/>
        <v>27</v>
      </c>
      <c r="B30" s="4" t="s">
        <v>736</v>
      </c>
      <c r="C30" s="4" t="s">
        <v>319</v>
      </c>
      <c r="D30" s="4" t="s">
        <v>45</v>
      </c>
      <c r="E30" s="4"/>
      <c r="F30" s="14"/>
      <c r="G30" s="14"/>
      <c r="H30" s="14"/>
      <c r="I30" s="5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spans="1:43" x14ac:dyDescent="0.25">
      <c r="A31" s="12">
        <f t="shared" si="1"/>
        <v>28</v>
      </c>
      <c r="B31" s="4" t="s">
        <v>467</v>
      </c>
      <c r="C31" s="4" t="s">
        <v>468</v>
      </c>
      <c r="D31" s="4" t="s">
        <v>45</v>
      </c>
      <c r="E31" s="4"/>
      <c r="F31" s="14"/>
      <c r="G31" s="14"/>
      <c r="H31" s="14"/>
      <c r="I31" s="5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spans="1:43" x14ac:dyDescent="0.25">
      <c r="A32" s="12">
        <f t="shared" si="1"/>
        <v>29</v>
      </c>
      <c r="B32" s="4" t="s">
        <v>737</v>
      </c>
      <c r="C32" s="4" t="s">
        <v>738</v>
      </c>
      <c r="D32" s="4" t="s">
        <v>45</v>
      </c>
      <c r="E32" s="4"/>
      <c r="F32" s="14"/>
      <c r="G32" s="14"/>
      <c r="H32" s="14"/>
      <c r="I32" s="5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spans="1:43" x14ac:dyDescent="0.25">
      <c r="A33" s="12">
        <f t="shared" si="1"/>
        <v>30</v>
      </c>
      <c r="B33" s="4" t="s">
        <v>739</v>
      </c>
      <c r="C33" s="4" t="s">
        <v>740</v>
      </c>
      <c r="D33" s="4" t="s">
        <v>45</v>
      </c>
      <c r="E33" s="4"/>
      <c r="F33" s="14"/>
      <c r="G33" s="14"/>
      <c r="H33" s="14"/>
      <c r="I33" s="5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spans="1:43" x14ac:dyDescent="0.25">
      <c r="A34" s="12">
        <f t="shared" si="1"/>
        <v>31</v>
      </c>
      <c r="B34" s="4" t="s">
        <v>741</v>
      </c>
      <c r="C34" s="4" t="s">
        <v>742</v>
      </c>
      <c r="D34" s="4" t="s">
        <v>45</v>
      </c>
      <c r="E34" s="4"/>
      <c r="F34" s="14"/>
      <c r="G34" s="14"/>
      <c r="H34" s="14"/>
      <c r="I34" s="5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spans="1:43" x14ac:dyDescent="0.25">
      <c r="A35" s="12">
        <f t="shared" si="1"/>
        <v>32</v>
      </c>
      <c r="B35" s="4" t="s">
        <v>743</v>
      </c>
      <c r="C35" s="4" t="s">
        <v>744</v>
      </c>
      <c r="D35" s="4" t="s">
        <v>769</v>
      </c>
      <c r="E35" s="4"/>
      <c r="F35" s="14"/>
      <c r="G35" s="14"/>
      <c r="H35" s="14"/>
      <c r="I35" s="5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spans="1:43" x14ac:dyDescent="0.25">
      <c r="A36" s="12">
        <f t="shared" si="1"/>
        <v>33</v>
      </c>
      <c r="B36" s="4" t="s">
        <v>745</v>
      </c>
      <c r="C36" s="4" t="s">
        <v>746</v>
      </c>
      <c r="D36" s="4" t="s">
        <v>768</v>
      </c>
      <c r="E36" s="4"/>
      <c r="F36" s="14"/>
      <c r="G36" s="14"/>
      <c r="H36" s="1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spans="1:43" x14ac:dyDescent="0.25">
      <c r="A37" s="12">
        <f t="shared" si="1"/>
        <v>34</v>
      </c>
      <c r="B37" s="4" t="s">
        <v>747</v>
      </c>
      <c r="C37" s="4" t="s">
        <v>222</v>
      </c>
      <c r="D37" s="4" t="s">
        <v>45</v>
      </c>
      <c r="E37" s="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spans="1:43" x14ac:dyDescent="0.25">
      <c r="A38" s="12">
        <f t="shared" si="1"/>
        <v>35</v>
      </c>
      <c r="B38" s="4" t="s">
        <v>748</v>
      </c>
      <c r="C38" s="4" t="s">
        <v>749</v>
      </c>
      <c r="D38" s="4" t="s">
        <v>45</v>
      </c>
      <c r="E38" s="4"/>
      <c r="F38" s="14"/>
      <c r="G38" s="14"/>
      <c r="H38" s="1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spans="1:43" x14ac:dyDescent="0.25">
      <c r="A39" s="12">
        <f t="shared" si="1"/>
        <v>36</v>
      </c>
      <c r="B39" s="4" t="s">
        <v>555</v>
      </c>
      <c r="C39" s="4" t="s">
        <v>750</v>
      </c>
      <c r="D39" s="4" t="s">
        <v>770</v>
      </c>
      <c r="E39" s="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spans="1:43" x14ac:dyDescent="0.25">
      <c r="A40" s="12">
        <f t="shared" si="1"/>
        <v>37</v>
      </c>
      <c r="B40" s="4" t="s">
        <v>636</v>
      </c>
      <c r="C40" s="4" t="s">
        <v>637</v>
      </c>
      <c r="D40" s="4" t="s">
        <v>45</v>
      </c>
      <c r="E40" s="4"/>
      <c r="F40" s="14"/>
      <c r="G40" s="14"/>
      <c r="H40" s="14"/>
      <c r="I40" s="5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spans="1:43" x14ac:dyDescent="0.25">
      <c r="A41" s="12">
        <f t="shared" si="1"/>
        <v>38</v>
      </c>
      <c r="B41" s="4" t="s">
        <v>751</v>
      </c>
      <c r="C41" s="4" t="s">
        <v>752</v>
      </c>
      <c r="D41" s="4" t="s">
        <v>45</v>
      </c>
      <c r="E41" s="4"/>
      <c r="F41" s="14"/>
      <c r="G41" s="14"/>
      <c r="H41" s="14"/>
      <c r="I41" s="5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spans="1:43" x14ac:dyDescent="0.25">
      <c r="A42" s="12">
        <f t="shared" si="1"/>
        <v>39</v>
      </c>
      <c r="B42" s="4" t="s">
        <v>753</v>
      </c>
      <c r="C42" s="4" t="s">
        <v>754</v>
      </c>
      <c r="D42" s="4" t="s">
        <v>45</v>
      </c>
      <c r="E42" s="4"/>
      <c r="F42" s="14"/>
      <c r="G42" s="14"/>
      <c r="H42" s="14"/>
      <c r="I42" s="5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spans="1:43" x14ac:dyDescent="0.25">
      <c r="A43" s="12">
        <f t="shared" si="1"/>
        <v>40</v>
      </c>
      <c r="B43" s="4" t="s">
        <v>755</v>
      </c>
      <c r="C43" s="4" t="s">
        <v>568</v>
      </c>
      <c r="D43" s="4" t="s">
        <v>45</v>
      </c>
      <c r="E43" s="4"/>
      <c r="F43" s="14"/>
      <c r="G43" s="14"/>
      <c r="H43" s="1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spans="1:43" x14ac:dyDescent="0.25">
      <c r="A44" s="12">
        <f t="shared" si="1"/>
        <v>41</v>
      </c>
      <c r="B44" s="4" t="s">
        <v>756</v>
      </c>
      <c r="C44" s="4" t="s">
        <v>757</v>
      </c>
      <c r="D44" s="4" t="s">
        <v>45</v>
      </c>
      <c r="E44" s="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spans="1:43" x14ac:dyDescent="0.25">
      <c r="A45" s="12">
        <f t="shared" si="1"/>
        <v>42</v>
      </c>
      <c r="B45" s="4" t="s">
        <v>758</v>
      </c>
      <c r="C45" s="4" t="s">
        <v>759</v>
      </c>
      <c r="D45" s="4" t="s">
        <v>768</v>
      </c>
      <c r="E45" s="4"/>
      <c r="F45" s="14"/>
      <c r="G45" s="14"/>
      <c r="H45" s="14"/>
      <c r="I45" s="5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spans="1:43" x14ac:dyDescent="0.25">
      <c r="A46" s="12">
        <f t="shared" si="1"/>
        <v>43</v>
      </c>
      <c r="B46" s="4" t="s">
        <v>760</v>
      </c>
      <c r="C46" s="4" t="s">
        <v>761</v>
      </c>
      <c r="D46" s="4" t="s">
        <v>45</v>
      </c>
      <c r="E46" s="4"/>
      <c r="F46" s="14"/>
      <c r="G46" s="14"/>
      <c r="H46" s="14"/>
      <c r="I46" s="5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spans="1:43" x14ac:dyDescent="0.25">
      <c r="A47" s="12">
        <f t="shared" si="1"/>
        <v>44</v>
      </c>
      <c r="B47" s="4" t="s">
        <v>762</v>
      </c>
      <c r="C47" s="4" t="s">
        <v>763</v>
      </c>
      <c r="D47" s="4" t="s">
        <v>45</v>
      </c>
      <c r="E47" s="4"/>
      <c r="F47" s="14"/>
      <c r="G47" s="14"/>
      <c r="H47" s="14"/>
      <c r="I47" s="5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spans="1:43" x14ac:dyDescent="0.25">
      <c r="A48" s="12">
        <f t="shared" si="1"/>
        <v>45</v>
      </c>
      <c r="B48" s="4" t="s">
        <v>764</v>
      </c>
      <c r="C48" s="4" t="s">
        <v>765</v>
      </c>
      <c r="D48" s="4" t="s">
        <v>45</v>
      </c>
      <c r="E48" s="4"/>
      <c r="F48" s="14"/>
      <c r="G48" s="14"/>
      <c r="H48" s="14"/>
      <c r="I48" s="5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spans="1:43" x14ac:dyDescent="0.25">
      <c r="A49" s="12">
        <f t="shared" si="1"/>
        <v>46</v>
      </c>
      <c r="B49" s="4" t="s">
        <v>766</v>
      </c>
      <c r="C49" s="4" t="s">
        <v>1133</v>
      </c>
      <c r="D49" s="4" t="s">
        <v>128</v>
      </c>
      <c r="E49" s="4"/>
      <c r="F49" s="14"/>
      <c r="G49" s="14"/>
      <c r="H49" s="14"/>
      <c r="I49" s="5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spans="1:43" x14ac:dyDescent="0.25">
      <c r="A50" s="12">
        <f t="shared" si="1"/>
        <v>47</v>
      </c>
      <c r="B50" s="13" t="s">
        <v>2590</v>
      </c>
      <c r="C50" s="4" t="s">
        <v>2591</v>
      </c>
      <c r="D50" s="4" t="s">
        <v>45</v>
      </c>
      <c r="E50" s="4">
        <f>+[96]Main!$K$2</f>
        <v>39.04</v>
      </c>
      <c r="F50" s="14">
        <f>+[96]Main!$K$4</f>
        <v>14227.016843519999</v>
      </c>
      <c r="G50" s="14">
        <f>+[96]Main!$K$6-[96]Main!$K$5</f>
        <v>-706.58600000000001</v>
      </c>
      <c r="H50" s="14">
        <f>+F50+G50</f>
        <v>13520.43084352</v>
      </c>
      <c r="I50" s="5" t="s">
        <v>708</v>
      </c>
      <c r="J50" s="4"/>
      <c r="K50" s="4"/>
      <c r="L50" s="4"/>
      <c r="M50" s="4"/>
      <c r="N50" s="4"/>
      <c r="O50" s="4"/>
      <c r="P50" s="4">
        <v>2012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spans="1:43" x14ac:dyDescent="0.25">
      <c r="A51" s="12">
        <f t="shared" si="1"/>
        <v>48</v>
      </c>
      <c r="B51" s="4" t="s">
        <v>2589</v>
      </c>
      <c r="C51" s="4" t="s">
        <v>2592</v>
      </c>
      <c r="D51" s="4" t="s">
        <v>45</v>
      </c>
      <c r="E51" s="4"/>
      <c r="F51" s="14"/>
      <c r="G51" s="14"/>
      <c r="H51" s="14"/>
      <c r="I51" s="5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spans="1:43" x14ac:dyDescent="0.25">
      <c r="A52" s="12">
        <f t="shared" si="1"/>
        <v>49</v>
      </c>
      <c r="B52" s="13" t="s">
        <v>2596</v>
      </c>
      <c r="C52" s="4" t="s">
        <v>2595</v>
      </c>
      <c r="D52" s="4" t="s">
        <v>45</v>
      </c>
      <c r="E52" s="4">
        <f>+[97]Main!$H$2</f>
        <v>59.96</v>
      </c>
      <c r="F52" s="14">
        <f>+[97]Main!$H$4</f>
        <v>9165.7399503199995</v>
      </c>
      <c r="G52" s="14">
        <f>+[97]Main!$H$6-[97]Main!$H$5</f>
        <v>1242.8240000000001</v>
      </c>
      <c r="H52" s="14">
        <f>+F52+G52</f>
        <v>10408.56395032</v>
      </c>
      <c r="I52" s="21" t="s">
        <v>2583</v>
      </c>
      <c r="J52" s="4"/>
      <c r="K52" s="4"/>
      <c r="L52" s="4"/>
      <c r="M52" s="4"/>
      <c r="N52" s="4"/>
      <c r="O52" s="4"/>
      <c r="P52" s="4">
        <v>2008</v>
      </c>
      <c r="Q52" s="4" t="s">
        <v>2598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spans="1:43" x14ac:dyDescent="0.25">
      <c r="A53" s="12">
        <f t="shared" si="1"/>
        <v>50</v>
      </c>
      <c r="B53" s="4" t="s">
        <v>2599</v>
      </c>
      <c r="C53" s="4" t="s">
        <v>2604</v>
      </c>
      <c r="D53" s="4" t="s">
        <v>45</v>
      </c>
      <c r="E53" s="4"/>
      <c r="F53" s="4"/>
      <c r="G53" s="4"/>
      <c r="H53" s="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spans="1:43" x14ac:dyDescent="0.25">
      <c r="A54" s="12">
        <f t="shared" si="1"/>
        <v>51</v>
      </c>
      <c r="B54" s="13" t="s">
        <v>2584</v>
      </c>
      <c r="C54" s="4" t="s">
        <v>2585</v>
      </c>
      <c r="D54" s="4" t="s">
        <v>301</v>
      </c>
      <c r="E54" s="4">
        <f>+[78]Main!$I$2</f>
        <v>65.7</v>
      </c>
      <c r="F54" s="14">
        <f>+[78]Main!$I$4</f>
        <v>7075.3846356000004</v>
      </c>
      <c r="G54" s="14">
        <f>+[78]Main!$I$6-[78]Main!$I$5</f>
        <v>-640.70899999999995</v>
      </c>
      <c r="H54" s="14">
        <f>+F54+G54</f>
        <v>6434.6756356000005</v>
      </c>
      <c r="I54" s="5" t="s">
        <v>430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spans="1:43" x14ac:dyDescent="0.25">
      <c r="A55" s="12">
        <f t="shared" si="1"/>
        <v>52</v>
      </c>
      <c r="B55" s="4" t="s">
        <v>2710</v>
      </c>
      <c r="C55" s="4" t="s">
        <v>2709</v>
      </c>
      <c r="D55" s="4" t="s">
        <v>45</v>
      </c>
      <c r="E55" s="4"/>
      <c r="F55" s="4"/>
      <c r="G55" s="4"/>
      <c r="H55" s="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spans="1:43" x14ac:dyDescent="0.25">
      <c r="A56" s="4"/>
      <c r="B56" s="4"/>
      <c r="C56" s="4"/>
      <c r="D56" s="4"/>
      <c r="E56" s="4"/>
      <c r="F56" s="4"/>
      <c r="G56" s="4"/>
      <c r="H56" s="4"/>
      <c r="I56" s="5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spans="1:43" x14ac:dyDescent="0.25">
      <c r="A57" s="4"/>
      <c r="B57" s="4" t="s">
        <v>808</v>
      </c>
      <c r="C57" s="4"/>
      <c r="D57" s="4"/>
      <c r="E57" s="4"/>
      <c r="F57" s="4"/>
      <c r="G57" s="4"/>
      <c r="H57" s="4"/>
      <c r="I57" s="5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spans="1:43" x14ac:dyDescent="0.25">
      <c r="A58" s="4"/>
      <c r="B58" s="4" t="s">
        <v>2703</v>
      </c>
      <c r="C58" s="4"/>
      <c r="D58" s="4"/>
      <c r="E58" s="4"/>
      <c r="F58" s="4"/>
      <c r="G58" s="4"/>
      <c r="H58" s="4"/>
      <c r="I58" s="5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spans="1:43" x14ac:dyDescent="0.25">
      <c r="A59" s="4"/>
      <c r="B59" s="4" t="s">
        <v>2704</v>
      </c>
      <c r="C59" s="4"/>
      <c r="D59" s="4"/>
      <c r="E59" s="4"/>
      <c r="F59" s="4"/>
      <c r="G59" s="4"/>
      <c r="H59" s="4"/>
      <c r="I59" s="5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spans="1:43" x14ac:dyDescent="0.25">
      <c r="A60" s="4"/>
      <c r="B60" s="4" t="s">
        <v>2600</v>
      </c>
      <c r="C60" s="4"/>
      <c r="D60" s="4"/>
      <c r="E60" s="4"/>
      <c r="F60" s="4"/>
      <c r="G60" s="4"/>
      <c r="H60" s="4"/>
      <c r="I60" s="5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spans="1:43" x14ac:dyDescent="0.25">
      <c r="A61" s="4"/>
      <c r="B61" s="4" t="s">
        <v>2601</v>
      </c>
      <c r="C61" s="4"/>
      <c r="D61" s="4"/>
      <c r="E61" s="4"/>
      <c r="F61" s="4"/>
      <c r="G61" s="4"/>
      <c r="H61" s="4"/>
      <c r="I61" s="5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spans="1:43" x14ac:dyDescent="0.25">
      <c r="A62" s="4"/>
      <c r="B62" s="4"/>
      <c r="C62" s="4"/>
      <c r="D62" s="4"/>
      <c r="E62" s="4"/>
      <c r="F62" s="4"/>
      <c r="G62" s="4"/>
      <c r="H62" s="4"/>
      <c r="I62" s="5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6" customWidth="1"/>
    <col min="2" max="2" width="28.42578125" style="6" customWidth="1"/>
    <col min="3" max="16384" width="9.140625" style="6"/>
  </cols>
  <sheetData>
    <row r="1" spans="1:24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8" t="s">
        <v>5</v>
      </c>
      <c r="I3" s="19"/>
      <c r="J3" s="19"/>
      <c r="K3" s="19"/>
      <c r="L3" s="19"/>
      <c r="M3" s="19"/>
      <c r="N3" s="19"/>
      <c r="O3" s="19"/>
      <c r="P3" s="19"/>
      <c r="Q3" s="19"/>
      <c r="R3" s="11"/>
      <c r="S3" s="4"/>
      <c r="T3" s="4"/>
      <c r="U3" s="4"/>
      <c r="V3" s="4"/>
      <c r="W3" s="4"/>
      <c r="X3" s="4"/>
    </row>
    <row r="4" spans="1:24" x14ac:dyDescent="0.25">
      <c r="A4" s="12">
        <v>1</v>
      </c>
      <c r="B4" s="4" t="s">
        <v>9</v>
      </c>
      <c r="C4" s="4" t="s">
        <v>811</v>
      </c>
      <c r="D4" s="4" t="s">
        <v>45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x14ac:dyDescent="0.25">
      <c r="A5" s="12">
        <f>+A4+1</f>
        <v>2</v>
      </c>
      <c r="B5" s="4" t="s">
        <v>61</v>
      </c>
      <c r="C5" s="4" t="s">
        <v>62</v>
      </c>
      <c r="D5" s="4" t="s">
        <v>768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x14ac:dyDescent="0.25">
      <c r="A6" s="12">
        <f t="shared" ref="A6:A69" si="0">+A5+1</f>
        <v>3</v>
      </c>
      <c r="B6" s="4" t="s">
        <v>960</v>
      </c>
      <c r="C6" s="4" t="s">
        <v>68</v>
      </c>
      <c r="D6" s="4" t="s">
        <v>768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x14ac:dyDescent="0.25">
      <c r="A7" s="12">
        <f t="shared" si="0"/>
        <v>4</v>
      </c>
      <c r="B7" s="4" t="s">
        <v>75</v>
      </c>
      <c r="C7" s="4" t="s">
        <v>76</v>
      </c>
      <c r="D7" s="4" t="s">
        <v>768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x14ac:dyDescent="0.25">
      <c r="A8" s="12">
        <f t="shared" si="0"/>
        <v>5</v>
      </c>
      <c r="B8" s="4" t="s">
        <v>29</v>
      </c>
      <c r="C8" s="4" t="s">
        <v>106</v>
      </c>
      <c r="D8" s="4" t="s">
        <v>1123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x14ac:dyDescent="0.25">
      <c r="A9" s="12">
        <f t="shared" si="0"/>
        <v>6</v>
      </c>
      <c r="B9" s="4" t="s">
        <v>961</v>
      </c>
      <c r="C9" s="4" t="s">
        <v>100</v>
      </c>
      <c r="D9" s="4" t="s">
        <v>101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x14ac:dyDescent="0.25">
      <c r="A10" s="12">
        <f t="shared" si="0"/>
        <v>7</v>
      </c>
      <c r="B10" s="4" t="s">
        <v>962</v>
      </c>
      <c r="C10" s="4" t="s">
        <v>159</v>
      </c>
      <c r="D10" s="4" t="s">
        <v>161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x14ac:dyDescent="0.25">
      <c r="A11" s="12">
        <f t="shared" si="0"/>
        <v>8</v>
      </c>
      <c r="B11" s="4" t="s">
        <v>963</v>
      </c>
      <c r="C11" s="4" t="s">
        <v>964</v>
      </c>
      <c r="D11" s="4" t="s">
        <v>45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x14ac:dyDescent="0.25">
      <c r="A12" s="12">
        <f t="shared" si="0"/>
        <v>9</v>
      </c>
      <c r="B12" s="4" t="s">
        <v>137</v>
      </c>
      <c r="C12" s="4" t="s">
        <v>138</v>
      </c>
      <c r="D12" s="4" t="s">
        <v>768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x14ac:dyDescent="0.25">
      <c r="A13" s="12">
        <f t="shared" si="0"/>
        <v>10</v>
      </c>
      <c r="B13" s="4" t="s">
        <v>175</v>
      </c>
      <c r="C13" s="4" t="s">
        <v>176</v>
      </c>
      <c r="D13" s="4" t="s">
        <v>45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x14ac:dyDescent="0.25">
      <c r="A14" s="12">
        <f t="shared" si="0"/>
        <v>11</v>
      </c>
      <c r="B14" s="4" t="s">
        <v>225</v>
      </c>
      <c r="C14" s="4" t="s">
        <v>226</v>
      </c>
      <c r="D14" s="4" t="s">
        <v>45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 x14ac:dyDescent="0.25">
      <c r="A15" s="12">
        <f t="shared" si="0"/>
        <v>12</v>
      </c>
      <c r="B15" s="4" t="s">
        <v>965</v>
      </c>
      <c r="C15" s="4" t="s">
        <v>966</v>
      </c>
      <c r="D15" s="4" t="s">
        <v>45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x14ac:dyDescent="0.25">
      <c r="A16" s="12">
        <f t="shared" si="0"/>
        <v>13</v>
      </c>
      <c r="B16" s="4" t="s">
        <v>366</v>
      </c>
      <c r="C16" s="4" t="s">
        <v>367</v>
      </c>
      <c r="D16" s="4" t="s">
        <v>768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 x14ac:dyDescent="0.25">
      <c r="A17" s="12">
        <f t="shared" si="0"/>
        <v>14</v>
      </c>
      <c r="B17" s="4" t="s">
        <v>412</v>
      </c>
      <c r="C17" s="4" t="s">
        <v>413</v>
      </c>
      <c r="D17" s="4" t="s">
        <v>45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5">
      <c r="A18" s="12">
        <f t="shared" si="0"/>
        <v>15</v>
      </c>
      <c r="B18" s="4" t="s">
        <v>378</v>
      </c>
      <c r="C18" s="4" t="s">
        <v>379</v>
      </c>
      <c r="D18" s="4" t="s">
        <v>87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5">
      <c r="A19" s="12">
        <f t="shared" si="0"/>
        <v>16</v>
      </c>
      <c r="B19" s="4" t="s">
        <v>967</v>
      </c>
      <c r="C19" s="4" t="s">
        <v>476</v>
      </c>
      <c r="D19" s="4" t="s">
        <v>45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5">
      <c r="A20" s="12">
        <f t="shared" si="0"/>
        <v>17</v>
      </c>
      <c r="B20" s="4" t="s">
        <v>500</v>
      </c>
      <c r="C20" s="4" t="s">
        <v>501</v>
      </c>
      <c r="D20" s="4" t="s">
        <v>87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5">
      <c r="A21" s="12">
        <f t="shared" si="0"/>
        <v>18</v>
      </c>
      <c r="B21" s="4" t="s">
        <v>968</v>
      </c>
      <c r="C21" s="4" t="s">
        <v>403</v>
      </c>
      <c r="D21" s="4" t="s">
        <v>1124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5">
      <c r="A22" s="12">
        <f t="shared" si="0"/>
        <v>19</v>
      </c>
      <c r="B22" s="4" t="s">
        <v>506</v>
      </c>
      <c r="C22" s="4" t="s">
        <v>507</v>
      </c>
      <c r="D22" s="4" t="s">
        <v>508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x14ac:dyDescent="0.25">
      <c r="A23" s="12">
        <f t="shared" si="0"/>
        <v>20</v>
      </c>
      <c r="B23" s="4" t="s">
        <v>534</v>
      </c>
      <c r="C23" s="4" t="s">
        <v>535</v>
      </c>
      <c r="D23" s="4" t="s">
        <v>536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x14ac:dyDescent="0.25">
      <c r="A24" s="12">
        <f t="shared" si="0"/>
        <v>21</v>
      </c>
      <c r="B24" s="4" t="s">
        <v>969</v>
      </c>
      <c r="C24" s="4" t="s">
        <v>503</v>
      </c>
      <c r="D24" s="4" t="s">
        <v>87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spans="1:24" x14ac:dyDescent="0.25">
      <c r="A25" s="12">
        <f t="shared" si="0"/>
        <v>22</v>
      </c>
      <c r="B25" s="4" t="s">
        <v>522</v>
      </c>
      <c r="C25" s="4" t="s">
        <v>523</v>
      </c>
      <c r="D25" s="4" t="s">
        <v>768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x14ac:dyDescent="0.25">
      <c r="A26" s="12">
        <f t="shared" si="0"/>
        <v>23</v>
      </c>
      <c r="B26" s="4" t="s">
        <v>595</v>
      </c>
      <c r="C26" s="4" t="s">
        <v>970</v>
      </c>
      <c r="D26" s="4" t="s">
        <v>398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x14ac:dyDescent="0.25">
      <c r="A27" s="12">
        <f t="shared" si="0"/>
        <v>24</v>
      </c>
      <c r="B27" s="4" t="s">
        <v>628</v>
      </c>
      <c r="C27" s="4" t="s">
        <v>971</v>
      </c>
      <c r="D27" s="4" t="s">
        <v>770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x14ac:dyDescent="0.25">
      <c r="A28" s="12">
        <f t="shared" si="0"/>
        <v>25</v>
      </c>
      <c r="B28" s="4" t="s">
        <v>972</v>
      </c>
      <c r="C28" s="4" t="s">
        <v>586</v>
      </c>
      <c r="D28" s="4" t="s">
        <v>1125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x14ac:dyDescent="0.25">
      <c r="A29" s="12">
        <f t="shared" si="0"/>
        <v>26</v>
      </c>
      <c r="B29" s="4" t="s">
        <v>973</v>
      </c>
      <c r="C29" s="4" t="s">
        <v>622</v>
      </c>
      <c r="D29" s="4" t="s">
        <v>245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x14ac:dyDescent="0.25">
      <c r="A30" s="12">
        <f t="shared" si="0"/>
        <v>27</v>
      </c>
      <c r="B30" s="4" t="s">
        <v>638</v>
      </c>
      <c r="C30" s="4" t="s">
        <v>639</v>
      </c>
      <c r="D30" s="4" t="s">
        <v>45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x14ac:dyDescent="0.25">
      <c r="A31" s="12">
        <f t="shared" si="0"/>
        <v>28</v>
      </c>
      <c r="B31" s="4" t="s">
        <v>685</v>
      </c>
      <c r="C31" s="4" t="s">
        <v>686</v>
      </c>
      <c r="D31" s="4" t="s">
        <v>45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spans="1:24" x14ac:dyDescent="0.25">
      <c r="A32" s="12">
        <f t="shared" si="0"/>
        <v>29</v>
      </c>
      <c r="B32" s="4" t="s">
        <v>974</v>
      </c>
      <c r="C32" s="4" t="s">
        <v>975</v>
      </c>
      <c r="D32" s="4" t="s">
        <v>84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 spans="1:24" x14ac:dyDescent="0.25">
      <c r="A33" s="12">
        <f t="shared" si="0"/>
        <v>30</v>
      </c>
      <c r="B33" s="4" t="s">
        <v>976</v>
      </c>
      <c r="C33" s="4" t="s">
        <v>977</v>
      </c>
      <c r="D33" s="4" t="s">
        <v>46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x14ac:dyDescent="0.25">
      <c r="A34" s="12">
        <f t="shared" si="0"/>
        <v>31</v>
      </c>
      <c r="B34" s="4" t="s">
        <v>978</v>
      </c>
      <c r="C34" s="4" t="s">
        <v>979</v>
      </c>
      <c r="D34" s="4" t="s">
        <v>87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1:24" x14ac:dyDescent="0.25">
      <c r="A35" s="12">
        <f t="shared" si="0"/>
        <v>32</v>
      </c>
      <c r="B35" s="4" t="s">
        <v>980</v>
      </c>
      <c r="C35" s="4" t="s">
        <v>981</v>
      </c>
      <c r="D35" s="4" t="s">
        <v>1126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x14ac:dyDescent="0.25">
      <c r="A36" s="12">
        <f t="shared" si="0"/>
        <v>33</v>
      </c>
      <c r="B36" s="4" t="s">
        <v>982</v>
      </c>
      <c r="C36" s="4" t="s">
        <v>983</v>
      </c>
      <c r="D36" s="4" t="s">
        <v>770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5">
      <c r="A37" s="12">
        <f t="shared" si="0"/>
        <v>34</v>
      </c>
      <c r="B37" s="4" t="s">
        <v>984</v>
      </c>
      <c r="C37" s="4" t="s">
        <v>985</v>
      </c>
      <c r="D37" s="4" t="s">
        <v>45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5">
      <c r="A38" s="12">
        <f t="shared" si="0"/>
        <v>35</v>
      </c>
      <c r="B38" s="4" t="s">
        <v>986</v>
      </c>
      <c r="C38" s="4" t="s">
        <v>987</v>
      </c>
      <c r="D38" s="4" t="s">
        <v>508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x14ac:dyDescent="0.25">
      <c r="A39" s="12">
        <f t="shared" si="0"/>
        <v>36</v>
      </c>
      <c r="B39" s="4" t="s">
        <v>988</v>
      </c>
      <c r="C39" s="4" t="s">
        <v>989</v>
      </c>
      <c r="D39" s="4" t="s">
        <v>1123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5">
      <c r="A40" s="12">
        <f t="shared" si="0"/>
        <v>37</v>
      </c>
      <c r="B40" s="4" t="s">
        <v>990</v>
      </c>
      <c r="C40" s="4" t="s">
        <v>991</v>
      </c>
      <c r="D40" s="4" t="s">
        <v>282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5">
      <c r="A41" s="12">
        <f t="shared" si="0"/>
        <v>38</v>
      </c>
      <c r="B41" s="4" t="s">
        <v>992</v>
      </c>
      <c r="C41" s="4" t="s">
        <v>993</v>
      </c>
      <c r="D41" s="4" t="s">
        <v>84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x14ac:dyDescent="0.25">
      <c r="A42" s="12">
        <f t="shared" si="0"/>
        <v>39</v>
      </c>
      <c r="B42" s="4" t="s">
        <v>994</v>
      </c>
      <c r="C42" s="4" t="s">
        <v>995</v>
      </c>
      <c r="D42" s="4" t="s">
        <v>45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 spans="1:24" x14ac:dyDescent="0.25">
      <c r="A43" s="12">
        <f t="shared" si="0"/>
        <v>40</v>
      </c>
      <c r="B43" s="4" t="s">
        <v>996</v>
      </c>
      <c r="C43" s="4" t="s">
        <v>996</v>
      </c>
      <c r="D43" s="4" t="s">
        <v>84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x14ac:dyDescent="0.25">
      <c r="A44" s="12">
        <f t="shared" si="0"/>
        <v>41</v>
      </c>
      <c r="B44" s="4" t="s">
        <v>997</v>
      </c>
      <c r="C44" s="4" t="s">
        <v>998</v>
      </c>
      <c r="D44" s="4" t="s">
        <v>245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1:24" x14ac:dyDescent="0.25">
      <c r="A45" s="12">
        <f t="shared" si="0"/>
        <v>42</v>
      </c>
      <c r="B45" s="4" t="s">
        <v>999</v>
      </c>
      <c r="C45" s="4" t="s">
        <v>1000</v>
      </c>
      <c r="D45" s="4" t="s">
        <v>508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x14ac:dyDescent="0.25">
      <c r="A46" s="12">
        <f t="shared" si="0"/>
        <v>43</v>
      </c>
      <c r="B46" s="4" t="s">
        <v>1001</v>
      </c>
      <c r="C46" s="4" t="s">
        <v>1002</v>
      </c>
      <c r="D46" s="4" t="s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1:24" x14ac:dyDescent="0.25">
      <c r="A47" s="12">
        <f t="shared" si="0"/>
        <v>44</v>
      </c>
      <c r="B47" s="4" t="s">
        <v>1003</v>
      </c>
      <c r="C47" s="4" t="s">
        <v>1004</v>
      </c>
      <c r="D47" s="4" t="s">
        <v>536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x14ac:dyDescent="0.25">
      <c r="A48" s="12">
        <f t="shared" si="0"/>
        <v>45</v>
      </c>
      <c r="B48" s="4" t="s">
        <v>1005</v>
      </c>
      <c r="C48" s="4" t="s">
        <v>1006</v>
      </c>
      <c r="D48" s="4" t="s">
        <v>508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r="49" spans="1:24" x14ac:dyDescent="0.25">
      <c r="A49" s="12">
        <f t="shared" si="0"/>
        <v>46</v>
      </c>
      <c r="B49" s="4" t="s">
        <v>1007</v>
      </c>
      <c r="C49" s="4" t="s">
        <v>1008</v>
      </c>
      <c r="D49" s="4" t="s">
        <v>768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x14ac:dyDescent="0.25">
      <c r="A50" s="12">
        <f t="shared" si="0"/>
        <v>47</v>
      </c>
      <c r="B50" s="4" t="s">
        <v>1009</v>
      </c>
      <c r="C50" s="4" t="s">
        <v>1010</v>
      </c>
      <c r="D50" s="4" t="s">
        <v>45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1:24" x14ac:dyDescent="0.25">
      <c r="A51" s="12">
        <f t="shared" si="0"/>
        <v>48</v>
      </c>
      <c r="B51" s="4" t="s">
        <v>1011</v>
      </c>
      <c r="C51" s="4" t="s">
        <v>1012</v>
      </c>
      <c r="D51" s="4" t="s">
        <v>45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x14ac:dyDescent="0.25">
      <c r="A52" s="12">
        <f t="shared" si="0"/>
        <v>49</v>
      </c>
      <c r="B52" s="4" t="s">
        <v>1013</v>
      </c>
      <c r="C52" s="4" t="s">
        <v>1014</v>
      </c>
      <c r="D52" s="4" t="s">
        <v>770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x14ac:dyDescent="0.25">
      <c r="A53" s="12">
        <f t="shared" si="0"/>
        <v>50</v>
      </c>
      <c r="B53" s="4" t="s">
        <v>1015</v>
      </c>
      <c r="C53" s="4" t="s">
        <v>1016</v>
      </c>
      <c r="D53" s="4" t="s">
        <v>1127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x14ac:dyDescent="0.25">
      <c r="A54" s="12">
        <f t="shared" si="0"/>
        <v>51</v>
      </c>
      <c r="B54" s="4" t="s">
        <v>1017</v>
      </c>
      <c r="C54" s="4" t="s">
        <v>1018</v>
      </c>
      <c r="D54" s="4" t="s">
        <v>768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x14ac:dyDescent="0.25">
      <c r="A55" s="12">
        <f t="shared" si="0"/>
        <v>52</v>
      </c>
      <c r="B55" s="4" t="s">
        <v>1019</v>
      </c>
      <c r="C55" s="4" t="s">
        <v>1020</v>
      </c>
      <c r="D55" s="4" t="s">
        <v>84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x14ac:dyDescent="0.25">
      <c r="A56" s="12">
        <f t="shared" si="0"/>
        <v>53</v>
      </c>
      <c r="B56" s="4" t="s">
        <v>1021</v>
      </c>
      <c r="C56" s="4" t="s">
        <v>1022</v>
      </c>
      <c r="D56" s="4" t="s">
        <v>84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x14ac:dyDescent="0.25">
      <c r="A57" s="12">
        <f t="shared" si="0"/>
        <v>54</v>
      </c>
      <c r="B57" s="4" t="s">
        <v>1023</v>
      </c>
      <c r="C57" s="4" t="s">
        <v>1024</v>
      </c>
      <c r="D57" s="4" t="s">
        <v>768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5">
      <c r="A58" s="12">
        <f t="shared" si="0"/>
        <v>55</v>
      </c>
      <c r="B58" s="4" t="s">
        <v>1025</v>
      </c>
      <c r="C58" s="4" t="s">
        <v>1026</v>
      </c>
      <c r="D58" s="4" t="s">
        <v>84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x14ac:dyDescent="0.25">
      <c r="A59" s="12">
        <f t="shared" si="0"/>
        <v>56</v>
      </c>
      <c r="B59" s="4" t="s">
        <v>1027</v>
      </c>
      <c r="C59" s="4" t="s">
        <v>1028</v>
      </c>
      <c r="D59" s="4" t="s">
        <v>45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5">
      <c r="A60" s="12">
        <f t="shared" si="0"/>
        <v>57</v>
      </c>
      <c r="B60" s="4" t="s">
        <v>1029</v>
      </c>
      <c r="C60" s="4" t="s">
        <v>1030</v>
      </c>
      <c r="D60" s="4" t="s">
        <v>770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1:24" x14ac:dyDescent="0.25">
      <c r="A61" s="12">
        <f t="shared" si="0"/>
        <v>58</v>
      </c>
      <c r="B61" s="4" t="s">
        <v>1031</v>
      </c>
      <c r="C61" s="4" t="s">
        <v>1032</v>
      </c>
      <c r="D61" s="4" t="s">
        <v>45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x14ac:dyDescent="0.25">
      <c r="A62" s="12">
        <f t="shared" si="0"/>
        <v>59</v>
      </c>
      <c r="B62" s="4" t="s">
        <v>1033</v>
      </c>
      <c r="C62" s="4" t="s">
        <v>1034</v>
      </c>
      <c r="D62" s="4" t="s">
        <v>128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1:24" x14ac:dyDescent="0.25">
      <c r="A63" s="12">
        <f t="shared" si="0"/>
        <v>60</v>
      </c>
      <c r="B63" s="4" t="s">
        <v>1035</v>
      </c>
      <c r="C63" s="4" t="s">
        <v>1036</v>
      </c>
      <c r="D63" s="4" t="s">
        <v>536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x14ac:dyDescent="0.25">
      <c r="A64" s="12">
        <f t="shared" si="0"/>
        <v>61</v>
      </c>
      <c r="B64" s="4" t="s">
        <v>1037</v>
      </c>
      <c r="C64" s="4" t="s">
        <v>1038</v>
      </c>
      <c r="D64" s="4" t="s">
        <v>508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x14ac:dyDescent="0.25">
      <c r="A65" s="12">
        <f t="shared" si="0"/>
        <v>62</v>
      </c>
      <c r="B65" s="4" t="s">
        <v>1039</v>
      </c>
      <c r="C65" s="4" t="s">
        <v>1040</v>
      </c>
      <c r="D65" s="4" t="s">
        <v>1123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1:24" x14ac:dyDescent="0.25">
      <c r="A66" s="12">
        <f t="shared" si="0"/>
        <v>63</v>
      </c>
      <c r="B66" s="4" t="s">
        <v>1041</v>
      </c>
      <c r="C66" s="4" t="s">
        <v>1042</v>
      </c>
      <c r="D66" s="4" t="s">
        <v>45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1:24" x14ac:dyDescent="0.25">
      <c r="A67" s="12">
        <f t="shared" si="0"/>
        <v>64</v>
      </c>
      <c r="B67" s="4" t="s">
        <v>1043</v>
      </c>
      <c r="C67" s="4" t="s">
        <v>1044</v>
      </c>
      <c r="D67" s="4" t="s">
        <v>508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x14ac:dyDescent="0.25">
      <c r="A68" s="12">
        <f t="shared" si="0"/>
        <v>65</v>
      </c>
      <c r="B68" s="4" t="s">
        <v>1045</v>
      </c>
      <c r="C68" s="4" t="s">
        <v>1046</v>
      </c>
      <c r="D68" s="4" t="s">
        <v>45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x14ac:dyDescent="0.25">
      <c r="A69" s="12">
        <f t="shared" si="0"/>
        <v>66</v>
      </c>
      <c r="B69" s="4" t="s">
        <v>1047</v>
      </c>
      <c r="C69" s="4" t="s">
        <v>1048</v>
      </c>
      <c r="D69" s="4" t="s">
        <v>1128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spans="1:24" x14ac:dyDescent="0.25">
      <c r="A70" s="12">
        <f t="shared" ref="A70:A115" si="1">+A69+1</f>
        <v>67</v>
      </c>
      <c r="B70" s="4" t="s">
        <v>1049</v>
      </c>
      <c r="C70" s="4" t="s">
        <v>1050</v>
      </c>
      <c r="D70" s="4" t="s">
        <v>1129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x14ac:dyDescent="0.25">
      <c r="A71" s="12">
        <f t="shared" si="1"/>
        <v>68</v>
      </c>
      <c r="B71" s="4" t="s">
        <v>1051</v>
      </c>
      <c r="C71" s="4" t="s">
        <v>1052</v>
      </c>
      <c r="D71" s="4" t="s">
        <v>1124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spans="1:24" x14ac:dyDescent="0.25">
      <c r="A72" s="12">
        <f t="shared" si="1"/>
        <v>69</v>
      </c>
      <c r="B72" s="4" t="s">
        <v>1053</v>
      </c>
      <c r="C72" s="4" t="s">
        <v>1054</v>
      </c>
      <c r="D72" s="4" t="s">
        <v>508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x14ac:dyDescent="0.25">
      <c r="A73" s="12">
        <f t="shared" si="1"/>
        <v>70</v>
      </c>
      <c r="B73" s="4" t="s">
        <v>1055</v>
      </c>
      <c r="C73" s="4" t="s">
        <v>1056</v>
      </c>
      <c r="D73" s="4" t="s">
        <v>768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1:24" x14ac:dyDescent="0.25">
      <c r="A74" s="12">
        <f t="shared" si="1"/>
        <v>71</v>
      </c>
      <c r="B74" s="4" t="s">
        <v>1057</v>
      </c>
      <c r="C74" s="4" t="s">
        <v>1058</v>
      </c>
      <c r="D74" s="4" t="s">
        <v>1130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x14ac:dyDescent="0.25">
      <c r="A75" s="12">
        <f t="shared" si="1"/>
        <v>72</v>
      </c>
      <c r="B75" s="4" t="s">
        <v>1059</v>
      </c>
      <c r="C75" s="4" t="s">
        <v>1060</v>
      </c>
      <c r="D75" s="4" t="s">
        <v>45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spans="1:24" x14ac:dyDescent="0.25">
      <c r="A76" s="12">
        <f t="shared" si="1"/>
        <v>73</v>
      </c>
      <c r="B76" s="4" t="s">
        <v>1061</v>
      </c>
      <c r="C76" s="4" t="s">
        <v>1062</v>
      </c>
      <c r="D76" s="4" t="s">
        <v>1128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spans="1:24" x14ac:dyDescent="0.25">
      <c r="A77" s="12">
        <f t="shared" si="1"/>
        <v>74</v>
      </c>
      <c r="B77" s="4" t="s">
        <v>1063</v>
      </c>
      <c r="C77" s="4" t="s">
        <v>1064</v>
      </c>
      <c r="D77" s="4" t="s">
        <v>278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spans="1:24" x14ac:dyDescent="0.25">
      <c r="A78" s="12">
        <f t="shared" si="1"/>
        <v>75</v>
      </c>
      <c r="B78" s="4" t="s">
        <v>1065</v>
      </c>
      <c r="C78" s="4" t="s">
        <v>1066</v>
      </c>
      <c r="D78" s="4" t="s">
        <v>1130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x14ac:dyDescent="0.25">
      <c r="A79" s="12">
        <f t="shared" si="1"/>
        <v>76</v>
      </c>
      <c r="B79" s="4" t="s">
        <v>1067</v>
      </c>
      <c r="C79" s="4" t="s">
        <v>1068</v>
      </c>
      <c r="D79" s="4" t="s">
        <v>45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spans="1:24" x14ac:dyDescent="0.25">
      <c r="A80" s="12">
        <f t="shared" si="1"/>
        <v>77</v>
      </c>
      <c r="B80" s="4" t="s">
        <v>1069</v>
      </c>
      <c r="C80" s="4" t="s">
        <v>1070</v>
      </c>
      <c r="D80" s="4" t="s">
        <v>508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spans="1:24" x14ac:dyDescent="0.25">
      <c r="A81" s="12">
        <f t="shared" si="1"/>
        <v>78</v>
      </c>
      <c r="B81" s="4" t="s">
        <v>1071</v>
      </c>
      <c r="C81" s="4" t="s">
        <v>1072</v>
      </c>
      <c r="D81" s="4" t="s">
        <v>601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x14ac:dyDescent="0.25">
      <c r="A82" s="12">
        <f t="shared" si="1"/>
        <v>79</v>
      </c>
      <c r="B82" s="4" t="s">
        <v>1073</v>
      </c>
      <c r="C82" s="4" t="s">
        <v>1074</v>
      </c>
      <c r="D82" s="4" t="s">
        <v>45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spans="1:24" x14ac:dyDescent="0.25">
      <c r="A83" s="12">
        <f t="shared" si="1"/>
        <v>80</v>
      </c>
      <c r="B83" s="4" t="s">
        <v>1075</v>
      </c>
      <c r="C83" s="4" t="s">
        <v>1076</v>
      </c>
      <c r="D83" s="4" t="s">
        <v>508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spans="1:24" x14ac:dyDescent="0.25">
      <c r="A84" s="12">
        <f t="shared" si="1"/>
        <v>81</v>
      </c>
      <c r="B84" s="4" t="s">
        <v>1077</v>
      </c>
      <c r="C84" s="4" t="s">
        <v>1078</v>
      </c>
      <c r="D84" s="4" t="s">
        <v>45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x14ac:dyDescent="0.25">
      <c r="A85" s="12">
        <f t="shared" si="1"/>
        <v>82</v>
      </c>
      <c r="B85" s="4" t="s">
        <v>1079</v>
      </c>
      <c r="C85" s="4" t="s">
        <v>1080</v>
      </c>
      <c r="D85" s="4" t="s">
        <v>128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spans="1:24" x14ac:dyDescent="0.25">
      <c r="A86" s="12">
        <f t="shared" si="1"/>
        <v>83</v>
      </c>
      <c r="B86" s="4" t="s">
        <v>1081</v>
      </c>
      <c r="C86" s="4" t="s">
        <v>1082</v>
      </c>
      <c r="D86" s="4" t="s">
        <v>508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x14ac:dyDescent="0.25">
      <c r="A87" s="12">
        <f t="shared" si="1"/>
        <v>84</v>
      </c>
      <c r="B87" s="4" t="s">
        <v>1083</v>
      </c>
      <c r="C87" s="4" t="s">
        <v>1084</v>
      </c>
      <c r="D87" s="4" t="s">
        <v>45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spans="1:24" x14ac:dyDescent="0.25">
      <c r="A88" s="12">
        <f t="shared" si="1"/>
        <v>85</v>
      </c>
      <c r="B88" s="4" t="s">
        <v>1085</v>
      </c>
      <c r="C88" s="4" t="s">
        <v>1086</v>
      </c>
      <c r="D88" s="4" t="s">
        <v>45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1:24" x14ac:dyDescent="0.25">
      <c r="A89" s="12">
        <f t="shared" si="1"/>
        <v>86</v>
      </c>
      <c r="B89" s="4" t="s">
        <v>1087</v>
      </c>
      <c r="C89" s="4" t="s">
        <v>1088</v>
      </c>
      <c r="D89" s="4" t="s">
        <v>1130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spans="1:24" x14ac:dyDescent="0.25">
      <c r="A90" s="12">
        <f t="shared" si="1"/>
        <v>87</v>
      </c>
      <c r="B90" s="4" t="s">
        <v>1089</v>
      </c>
      <c r="C90" s="4" t="s">
        <v>1090</v>
      </c>
      <c r="D90" s="4" t="s">
        <v>45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x14ac:dyDescent="0.25">
      <c r="A91" s="12">
        <f t="shared" si="1"/>
        <v>88</v>
      </c>
      <c r="B91" s="4" t="s">
        <v>1091</v>
      </c>
      <c r="C91" s="4" t="s">
        <v>1092</v>
      </c>
      <c r="D91" s="4" t="s">
        <v>45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spans="1:24" x14ac:dyDescent="0.25">
      <c r="A92" s="12">
        <f t="shared" si="1"/>
        <v>89</v>
      </c>
      <c r="B92" s="4" t="s">
        <v>1093</v>
      </c>
      <c r="C92" s="4" t="s">
        <v>1094</v>
      </c>
      <c r="D92" s="4" t="s">
        <v>508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spans="1:24" x14ac:dyDescent="0.25">
      <c r="A93" s="12">
        <f t="shared" si="1"/>
        <v>90</v>
      </c>
      <c r="B93" s="4" t="s">
        <v>1095</v>
      </c>
      <c r="C93" s="4" t="s">
        <v>1096</v>
      </c>
      <c r="D93" s="4" t="s">
        <v>161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spans="1:24" x14ac:dyDescent="0.25">
      <c r="A94" s="12">
        <f t="shared" si="1"/>
        <v>91</v>
      </c>
      <c r="B94" s="4" t="s">
        <v>1097</v>
      </c>
      <c r="C94" s="4" t="s">
        <v>1098</v>
      </c>
      <c r="D94" s="4" t="s">
        <v>508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spans="1:24" x14ac:dyDescent="0.25">
      <c r="A95" s="12">
        <f t="shared" si="1"/>
        <v>92</v>
      </c>
      <c r="B95" s="4" t="s">
        <v>1099</v>
      </c>
      <c r="C95" s="4" t="s">
        <v>1100</v>
      </c>
      <c r="D95" s="4" t="s">
        <v>45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spans="1:24" x14ac:dyDescent="0.25">
      <c r="A96" s="12">
        <f t="shared" si="1"/>
        <v>93</v>
      </c>
      <c r="B96" s="4" t="s">
        <v>1101</v>
      </c>
      <c r="C96" s="4" t="s">
        <v>1102</v>
      </c>
      <c r="D96" s="4" t="s">
        <v>45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x14ac:dyDescent="0.25">
      <c r="A97" s="12">
        <f t="shared" si="1"/>
        <v>94</v>
      </c>
      <c r="B97" s="4" t="s">
        <v>1103</v>
      </c>
      <c r="C97" s="4" t="s">
        <v>1104</v>
      </c>
      <c r="D97" s="4" t="s">
        <v>161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spans="1:24" x14ac:dyDescent="0.25">
      <c r="A98" s="12">
        <f t="shared" si="1"/>
        <v>95</v>
      </c>
      <c r="B98" s="4" t="s">
        <v>1105</v>
      </c>
      <c r="C98" s="4" t="s">
        <v>1106</v>
      </c>
      <c r="D98" s="4" t="s">
        <v>768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spans="1:24" x14ac:dyDescent="0.25">
      <c r="A99" s="12">
        <f t="shared" si="1"/>
        <v>96</v>
      </c>
      <c r="B99" s="4" t="s">
        <v>1107</v>
      </c>
      <c r="C99" s="4" t="s">
        <v>1108</v>
      </c>
      <c r="D99" s="4" t="s">
        <v>768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x14ac:dyDescent="0.25">
      <c r="A100" s="12">
        <f t="shared" si="1"/>
        <v>97</v>
      </c>
      <c r="B100" s="4" t="s">
        <v>1109</v>
      </c>
      <c r="C100" s="4" t="s">
        <v>1110</v>
      </c>
      <c r="D100" s="4" t="s">
        <v>45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spans="1:24" x14ac:dyDescent="0.25">
      <c r="A101" s="12">
        <f t="shared" si="1"/>
        <v>98</v>
      </c>
      <c r="B101" s="4" t="s">
        <v>1111</v>
      </c>
      <c r="C101" s="4" t="s">
        <v>1112</v>
      </c>
      <c r="D101" s="4" t="s">
        <v>45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x14ac:dyDescent="0.25">
      <c r="A102" s="12">
        <f t="shared" si="1"/>
        <v>99</v>
      </c>
      <c r="B102" s="4" t="s">
        <v>1113</v>
      </c>
      <c r="C102" s="4" t="s">
        <v>1114</v>
      </c>
      <c r="D102" s="4" t="s">
        <v>1131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4" x14ac:dyDescent="0.25">
      <c r="A103" s="12">
        <f t="shared" si="1"/>
        <v>100</v>
      </c>
      <c r="B103" s="4" t="s">
        <v>1115</v>
      </c>
      <c r="C103" s="4" t="s">
        <v>1116</v>
      </c>
      <c r="D103" s="4" t="s">
        <v>45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x14ac:dyDescent="0.25">
      <c r="A104" s="12">
        <f t="shared" si="1"/>
        <v>101</v>
      </c>
      <c r="B104" s="4" t="s">
        <v>1117</v>
      </c>
      <c r="C104" s="4" t="s">
        <v>1118</v>
      </c>
      <c r="D104" s="4" t="s">
        <v>1125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4" x14ac:dyDescent="0.25">
      <c r="A105" s="12">
        <f t="shared" si="1"/>
        <v>102</v>
      </c>
      <c r="B105" s="4" t="s">
        <v>1119</v>
      </c>
      <c r="C105" s="4" t="s">
        <v>1120</v>
      </c>
      <c r="D105" s="4" t="s">
        <v>45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x14ac:dyDescent="0.25">
      <c r="A106" s="12">
        <f t="shared" si="1"/>
        <v>103</v>
      </c>
      <c r="B106" s="4" t="s">
        <v>1121</v>
      </c>
      <c r="C106" s="4" t="s">
        <v>1122</v>
      </c>
      <c r="D106" s="4" t="s">
        <v>45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spans="1:24" x14ac:dyDescent="0.25">
      <c r="A107" s="12">
        <f t="shared" si="1"/>
        <v>104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spans="1:24" x14ac:dyDescent="0.25">
      <c r="A108" s="12">
        <f t="shared" si="1"/>
        <v>105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spans="1:24" x14ac:dyDescent="0.25">
      <c r="A109" s="12">
        <f t="shared" si="1"/>
        <v>106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x14ac:dyDescent="0.25">
      <c r="A110" s="12">
        <f t="shared" si="1"/>
        <v>107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spans="1:24" x14ac:dyDescent="0.25">
      <c r="A111" s="12">
        <f t="shared" si="1"/>
        <v>108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spans="1:24" x14ac:dyDescent="0.25">
      <c r="A112" s="12">
        <f t="shared" si="1"/>
        <v>109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spans="1:24" x14ac:dyDescent="0.25">
      <c r="A113" s="12">
        <f t="shared" si="1"/>
        <v>110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 x14ac:dyDescent="0.25">
      <c r="A114" s="12">
        <f t="shared" si="1"/>
        <v>111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spans="1:24" x14ac:dyDescent="0.25">
      <c r="A115" s="12">
        <f t="shared" si="1"/>
        <v>112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spans="1:24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spans="1:24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spans="1:24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spans="1:24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spans="1:24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spans="1:24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spans="1:24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24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spans="1:24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1:24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1:24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1:24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1:24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1:24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1:24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1:24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4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4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4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4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4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4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1:24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1:24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1:24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1:24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1:24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1:24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1:24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1:24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1:24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1:24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1:24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1:24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1:24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1:24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1:24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1:24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1:24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1:24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1:24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1:24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1:24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1:24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1:24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1:24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1:24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1:24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1:24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1:24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1:24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1:24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1:24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1:24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1:24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1:24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1:24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1:24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1:24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1:24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1:24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1:24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1:24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1:24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1:24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1:24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1:24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1:24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1:24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1:24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1:24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1:24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1:24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1:24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1:24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4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4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4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4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4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4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4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4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4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1:24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1:24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1:24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1:24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1:24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1:24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1:24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1:24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1:24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1:24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1:24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1:24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1:24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1:24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1:24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1:24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1:24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1:24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1:24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4"/>
  <sheetViews>
    <sheetView zoomScale="200" zoomScaleNormal="200" workbookViewId="0">
      <selection activeCell="C9" sqref="C9"/>
    </sheetView>
  </sheetViews>
  <sheetFormatPr defaultRowHeight="13.5" x14ac:dyDescent="0.25"/>
  <cols>
    <col min="1" max="1" width="4.5703125" style="6" customWidth="1"/>
    <col min="2" max="2" width="21.28515625" style="6" customWidth="1"/>
    <col min="3" max="16384" width="9.140625" style="6"/>
  </cols>
  <sheetData>
    <row r="1" spans="1:17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x14ac:dyDescent="0.25">
      <c r="A3" s="7" t="s">
        <v>54</v>
      </c>
      <c r="B3" s="8" t="s">
        <v>0</v>
      </c>
      <c r="C3" s="8" t="s">
        <v>767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</row>
    <row r="4" spans="1:17" x14ac:dyDescent="0.25">
      <c r="A4" s="12">
        <v>1</v>
      </c>
      <c r="B4" s="4" t="s">
        <v>680</v>
      </c>
      <c r="C4" s="4" t="s">
        <v>680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x14ac:dyDescent="0.25">
      <c r="A5" s="12">
        <f>+A4+1</f>
        <v>2</v>
      </c>
      <c r="B5" s="4" t="s">
        <v>2606</v>
      </c>
      <c r="C5" s="4" t="s">
        <v>702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x14ac:dyDescent="0.25">
      <c r="A6" s="12">
        <f t="shared" ref="A6:A8" si="0">+A5+1</f>
        <v>3</v>
      </c>
      <c r="B6" s="4" t="s">
        <v>2605</v>
      </c>
      <c r="C6" s="4" t="s">
        <v>1262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x14ac:dyDescent="0.25">
      <c r="A7" s="12">
        <f t="shared" si="0"/>
        <v>4</v>
      </c>
      <c r="B7" s="4" t="s">
        <v>2607</v>
      </c>
      <c r="C7" s="4" t="s">
        <v>1542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x14ac:dyDescent="0.25">
      <c r="A8" s="12">
        <f t="shared" si="0"/>
        <v>5</v>
      </c>
      <c r="B8" s="64" t="s">
        <v>3555</v>
      </c>
      <c r="C8" s="64" t="s">
        <v>3556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x14ac:dyDescent="0.25">
      <c r="A10" s="4"/>
      <c r="B10" s="4" t="s">
        <v>25</v>
      </c>
      <c r="C10" s="4" t="s">
        <v>25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x14ac:dyDescent="0.25">
      <c r="A11" s="4"/>
      <c r="B11" s="4" t="s">
        <v>2608</v>
      </c>
      <c r="C11" s="4" t="s">
        <v>34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x14ac:dyDescent="0.25">
      <c r="A12" s="4"/>
      <c r="B12" s="4" t="s">
        <v>216</v>
      </c>
      <c r="C12" s="4" t="s">
        <v>265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x14ac:dyDescent="0.25">
      <c r="A15" s="4"/>
      <c r="B15" s="4" t="s">
        <v>9</v>
      </c>
      <c r="C15" s="4" t="s">
        <v>811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x14ac:dyDescent="0.25">
      <c r="A16" s="4"/>
      <c r="B16" s="4" t="s">
        <v>6</v>
      </c>
      <c r="C16" s="4" t="s">
        <v>31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x14ac:dyDescent="0.25">
      <c r="A17" s="4"/>
      <c r="B17" s="4" t="s">
        <v>2609</v>
      </c>
      <c r="C17" s="4" t="s">
        <v>2610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5">
      <c r="A19" s="4"/>
      <c r="B19" s="4" t="s">
        <v>808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5">
      <c r="A20" s="4"/>
      <c r="B20" s="4" t="s">
        <v>2611</v>
      </c>
      <c r="C20" s="4" t="s">
        <v>808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5">
      <c r="A21" s="4"/>
      <c r="B21" s="4" t="s">
        <v>2612</v>
      </c>
      <c r="C21" s="4" t="s">
        <v>808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5">
      <c r="A22" s="4"/>
      <c r="B22" s="4" t="s">
        <v>2613</v>
      </c>
      <c r="C22" s="4" t="s">
        <v>808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5">
      <c r="A23" s="4"/>
      <c r="B23" s="4" t="s">
        <v>2614</v>
      </c>
      <c r="C23" s="4" t="s">
        <v>808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25">
      <c r="A24" s="4"/>
      <c r="B24" s="4" t="s">
        <v>2615</v>
      </c>
      <c r="C24" s="4" t="s">
        <v>808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25">
      <c r="A25" s="4"/>
      <c r="B25" s="1" t="s">
        <v>2616</v>
      </c>
      <c r="C25" s="4" t="s">
        <v>808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x14ac:dyDescent="0.25">
      <c r="A27" s="4"/>
      <c r="B27" s="4" t="s">
        <v>2617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x14ac:dyDescent="0.25">
      <c r="A28" s="4"/>
      <c r="B28" s="4" t="s">
        <v>2618</v>
      </c>
      <c r="C28" s="4" t="s">
        <v>2619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x14ac:dyDescent="0.25">
      <c r="A29" s="4"/>
      <c r="B29" s="4" t="s">
        <v>2620</v>
      </c>
      <c r="C29" s="4" t="s">
        <v>2621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x14ac:dyDescent="0.25">
      <c r="A30" s="4"/>
      <c r="B30" s="4" t="s">
        <v>2622</v>
      </c>
      <c r="C30" s="4" t="s">
        <v>2623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 t="s">
        <v>2624</v>
      </c>
      <c r="C31" s="4" t="s">
        <v>2625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x14ac:dyDescent="0.25">
      <c r="A32" s="4"/>
      <c r="B32" s="4" t="s">
        <v>2626</v>
      </c>
      <c r="C32" s="4" t="s">
        <v>2627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x14ac:dyDescent="0.25">
      <c r="A33" s="4"/>
      <c r="B33" s="4" t="s">
        <v>2628</v>
      </c>
      <c r="C33" s="4" t="s">
        <v>2629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x14ac:dyDescent="0.25">
      <c r="A34" s="4"/>
      <c r="B34" s="4" t="s">
        <v>2630</v>
      </c>
      <c r="C34" s="4" t="s">
        <v>2631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x14ac:dyDescent="0.25">
      <c r="A35" s="4"/>
      <c r="B35" s="4" t="s">
        <v>2632</v>
      </c>
      <c r="C35" s="4" t="s">
        <v>2633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x14ac:dyDescent="0.25">
      <c r="A36" s="4"/>
      <c r="B36" s="4" t="s">
        <v>2634</v>
      </c>
      <c r="C36" s="4" t="s">
        <v>2635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x14ac:dyDescent="0.25">
      <c r="A37" s="4"/>
      <c r="B37" s="4" t="s">
        <v>2636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x14ac:dyDescent="0.25">
      <c r="A38" s="4"/>
      <c r="B38" s="4" t="s">
        <v>2637</v>
      </c>
      <c r="C38" s="4" t="s">
        <v>2638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x14ac:dyDescent="0.25">
      <c r="A39" s="4"/>
      <c r="B39" s="4" t="s">
        <v>2639</v>
      </c>
      <c r="C39" s="4" t="s">
        <v>2640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x14ac:dyDescent="0.25">
      <c r="A40" s="4"/>
      <c r="B40" s="4" t="s">
        <v>2641</v>
      </c>
      <c r="C40" s="4" t="s">
        <v>2638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x14ac:dyDescent="0.25">
      <c r="A41" s="4"/>
      <c r="B41" s="4" t="s">
        <v>2642</v>
      </c>
      <c r="C41" s="4" t="s">
        <v>2643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x14ac:dyDescent="0.25">
      <c r="A42" s="4"/>
      <c r="B42" s="4" t="s">
        <v>2644</v>
      </c>
      <c r="C42" s="4" t="s">
        <v>2645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x14ac:dyDescent="0.25">
      <c r="A43" s="4"/>
      <c r="B43" s="4" t="s">
        <v>2646</v>
      </c>
      <c r="C43" s="4" t="s">
        <v>2647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x14ac:dyDescent="0.25">
      <c r="A44" s="4"/>
      <c r="B44" s="4" t="s">
        <v>2648</v>
      </c>
      <c r="C44" s="4" t="s">
        <v>2640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x14ac:dyDescent="0.25">
      <c r="A46" s="4"/>
      <c r="B46" s="4" t="s">
        <v>2649</v>
      </c>
      <c r="C46" s="4" t="s">
        <v>2650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x14ac:dyDescent="0.25">
      <c r="A47" s="4"/>
      <c r="B47" s="4" t="s">
        <v>2651</v>
      </c>
      <c r="C47" s="4" t="s">
        <v>2652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x14ac:dyDescent="0.25">
      <c r="A48" s="4"/>
      <c r="B48" s="4" t="s">
        <v>2653</v>
      </c>
      <c r="C48" s="4" t="s">
        <v>2654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x14ac:dyDescent="0.25">
      <c r="A49" s="4"/>
      <c r="B49" s="4" t="s">
        <v>2655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x14ac:dyDescent="0.25">
      <c r="A50" s="4"/>
      <c r="B50" s="4" t="s">
        <v>2656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x14ac:dyDescent="0.25">
      <c r="A51" s="4"/>
      <c r="B51" s="4" t="s">
        <v>2657</v>
      </c>
      <c r="C51" s="4" t="s">
        <v>2658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x14ac:dyDescent="0.25">
      <c r="A52" s="4"/>
      <c r="B52" s="4" t="s">
        <v>2659</v>
      </c>
      <c r="C52" s="4" t="s">
        <v>2660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x14ac:dyDescent="0.25">
      <c r="A53" s="4"/>
      <c r="B53" s="4" t="s">
        <v>2661</v>
      </c>
      <c r="C53" s="4" t="s">
        <v>2662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x14ac:dyDescent="0.25">
      <c r="A54" s="4"/>
      <c r="B54" s="4" t="s">
        <v>2663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x14ac:dyDescent="0.25">
      <c r="A55" s="4"/>
      <c r="B55" s="4" t="s">
        <v>2664</v>
      </c>
      <c r="C55" s="4" t="s">
        <v>2665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x14ac:dyDescent="0.25">
      <c r="A56" s="4"/>
      <c r="B56" s="4" t="s">
        <v>2666</v>
      </c>
      <c r="C56" s="4" t="s">
        <v>2667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x14ac:dyDescent="0.25">
      <c r="A57" s="4"/>
      <c r="B57" s="4" t="s">
        <v>2668</v>
      </c>
      <c r="C57" s="4" t="s">
        <v>2669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x14ac:dyDescent="0.25">
      <c r="A58" s="4"/>
      <c r="B58" s="4" t="s">
        <v>2670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x14ac:dyDescent="0.25">
      <c r="A59" s="4"/>
      <c r="B59" s="4" t="s">
        <v>2671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x14ac:dyDescent="0.25">
      <c r="A60" s="4"/>
      <c r="B60" s="2" t="s">
        <v>2672</v>
      </c>
      <c r="C60" s="2" t="s">
        <v>2673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x14ac:dyDescent="0.25">
      <c r="A61" s="4"/>
      <c r="B61" s="4" t="s">
        <v>2674</v>
      </c>
      <c r="C61" s="4" t="s">
        <v>2675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x14ac:dyDescent="0.25">
      <c r="A62" s="4"/>
      <c r="B62" s="4" t="s">
        <v>2676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x14ac:dyDescent="0.25">
      <c r="A63" s="4"/>
      <c r="B63" s="4" t="s">
        <v>2677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x14ac:dyDescent="0.25">
      <c r="A64" s="4"/>
      <c r="B64" s="4" t="s">
        <v>2678</v>
      </c>
      <c r="C64" s="4" t="s">
        <v>2679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x14ac:dyDescent="0.25">
      <c r="A65" s="4"/>
      <c r="B65" s="4" t="s">
        <v>2680</v>
      </c>
      <c r="C65" s="4" t="s">
        <v>2681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x14ac:dyDescent="0.25">
      <c r="A66" s="4"/>
      <c r="B66" s="4" t="s">
        <v>2682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x14ac:dyDescent="0.25">
      <c r="A67" s="4"/>
      <c r="B67" s="4" t="s">
        <v>2683</v>
      </c>
      <c r="C67" s="4" t="s">
        <v>2684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x14ac:dyDescent="0.25">
      <c r="A68" s="4"/>
      <c r="B68" s="4" t="s">
        <v>2685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x14ac:dyDescent="0.25">
      <c r="A69" s="4"/>
      <c r="B69" s="2" t="s">
        <v>2686</v>
      </c>
      <c r="C69" s="2" t="s">
        <v>2687</v>
      </c>
      <c r="D69" s="2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x14ac:dyDescent="0.25">
      <c r="A70" s="4"/>
      <c r="B70" s="4" t="s">
        <v>2688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A71" s="4"/>
      <c r="B71" s="4" t="s">
        <v>2689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x14ac:dyDescent="0.25">
      <c r="A72" s="4"/>
      <c r="B72" s="4" t="s">
        <v>2690</v>
      </c>
      <c r="C72" s="4" t="s">
        <v>2691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x14ac:dyDescent="0.25">
      <c r="A73" s="4"/>
      <c r="B73" s="4" t="s">
        <v>2692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x14ac:dyDescent="0.25">
      <c r="A74" s="4"/>
      <c r="B74" s="4" t="s">
        <v>2693</v>
      </c>
      <c r="C74" s="4" t="s">
        <v>2694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x14ac:dyDescent="0.25">
      <c r="A75" s="4"/>
      <c r="B75" s="4" t="s">
        <v>2695</v>
      </c>
      <c r="C75" s="4" t="s">
        <v>2696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x14ac:dyDescent="0.25">
      <c r="A76" s="4"/>
      <c r="B76" s="4" t="s">
        <v>2697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x14ac:dyDescent="0.25">
      <c r="A78" s="4"/>
      <c r="B78" s="4"/>
      <c r="C78" s="3" t="s">
        <v>2698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x14ac:dyDescent="0.25">
      <c r="A79" s="4"/>
      <c r="B79" s="4"/>
      <c r="C79" s="4" t="s">
        <v>2699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x14ac:dyDescent="0.25">
      <c r="A81" s="4"/>
      <c r="B81" s="4"/>
      <c r="C81" s="3" t="s">
        <v>2700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x14ac:dyDescent="0.25">
      <c r="A84" s="4"/>
      <c r="B84" s="4"/>
      <c r="C84" s="3" t="s">
        <v>2701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x14ac:dyDescent="0.25">
      <c r="A87" s="4"/>
      <c r="B87" s="4"/>
      <c r="C87" s="3" t="s">
        <v>2702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spans="1:17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spans="1:17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spans="1:17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1:17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 spans="1:17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6" customWidth="1"/>
    <col min="2" max="2" width="17.85546875" style="6" bestFit="1" customWidth="1"/>
    <col min="3" max="16384" width="9.140625" style="6"/>
  </cols>
  <sheetData>
    <row r="1" spans="1:32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2" x14ac:dyDescent="0.25">
      <c r="A3" s="7" t="s">
        <v>54</v>
      </c>
      <c r="B3" s="8" t="s">
        <v>0</v>
      </c>
      <c r="C3" s="8" t="s">
        <v>767</v>
      </c>
      <c r="D3" s="8" t="s">
        <v>44</v>
      </c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x14ac:dyDescent="0.25">
      <c r="A4" s="12">
        <v>1</v>
      </c>
      <c r="B4" s="4" t="s">
        <v>9</v>
      </c>
      <c r="C4" s="4" t="s">
        <v>811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 x14ac:dyDescent="0.25">
      <c r="A5" s="12">
        <f>+A4+1</f>
        <v>2</v>
      </c>
      <c r="B5" s="4" t="s">
        <v>15</v>
      </c>
      <c r="C5" s="4" t="s">
        <v>57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spans="1:32" x14ac:dyDescent="0.25">
      <c r="A6" s="12">
        <f t="shared" ref="A6:A69" si="0">+A5+1</f>
        <v>3</v>
      </c>
      <c r="B6" s="4" t="s">
        <v>20</v>
      </c>
      <c r="C6" s="4" t="s">
        <v>20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 x14ac:dyDescent="0.25">
      <c r="A7" s="12">
        <f t="shared" si="0"/>
        <v>4</v>
      </c>
      <c r="B7" s="4" t="s">
        <v>19</v>
      </c>
      <c r="C7" s="4" t="s">
        <v>63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 x14ac:dyDescent="0.25">
      <c r="A8" s="12">
        <f t="shared" si="0"/>
        <v>5</v>
      </c>
      <c r="B8" s="4" t="s">
        <v>25</v>
      </c>
      <c r="C8" s="4" t="s">
        <v>25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spans="1:32" x14ac:dyDescent="0.25">
      <c r="A9" s="12">
        <f t="shared" si="0"/>
        <v>6</v>
      </c>
      <c r="B9" s="4" t="s">
        <v>115</v>
      </c>
      <c r="C9" s="4" t="s">
        <v>116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spans="1:32" x14ac:dyDescent="0.25">
      <c r="A10" s="12">
        <f t="shared" si="0"/>
        <v>7</v>
      </c>
      <c r="B10" s="4" t="s">
        <v>812</v>
      </c>
      <c r="C10" s="4" t="s">
        <v>70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x14ac:dyDescent="0.25">
      <c r="A11" s="12">
        <f t="shared" si="0"/>
        <v>8</v>
      </c>
      <c r="B11" s="4" t="s">
        <v>140</v>
      </c>
      <c r="C11" s="4" t="s">
        <v>139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 spans="1:32" x14ac:dyDescent="0.25">
      <c r="A12" s="12">
        <f t="shared" si="0"/>
        <v>9</v>
      </c>
      <c r="B12" s="4" t="s">
        <v>813</v>
      </c>
      <c r="C12" s="4" t="s">
        <v>187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 spans="1:32" x14ac:dyDescent="0.25">
      <c r="A13" s="12">
        <f t="shared" si="0"/>
        <v>10</v>
      </c>
      <c r="B13" s="4" t="s">
        <v>814</v>
      </c>
      <c r="C13" s="4" t="s">
        <v>201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 spans="1:32" x14ac:dyDescent="0.25">
      <c r="A14" s="12">
        <f t="shared" si="0"/>
        <v>11</v>
      </c>
      <c r="B14" s="4" t="s">
        <v>206</v>
      </c>
      <c r="C14" s="4" t="s">
        <v>207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 spans="1:32" x14ac:dyDescent="0.25">
      <c r="A15" s="12">
        <f t="shared" si="0"/>
        <v>12</v>
      </c>
      <c r="B15" s="4" t="s">
        <v>815</v>
      </c>
      <c r="C15" s="4" t="s">
        <v>215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 spans="1:32" x14ac:dyDescent="0.25">
      <c r="A16" s="12">
        <f t="shared" si="0"/>
        <v>13</v>
      </c>
      <c r="B16" s="4" t="s">
        <v>816</v>
      </c>
      <c r="C16" s="4" t="s">
        <v>249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 x14ac:dyDescent="0.25">
      <c r="A17" s="12">
        <f t="shared" si="0"/>
        <v>14</v>
      </c>
      <c r="B17" s="4" t="s">
        <v>817</v>
      </c>
      <c r="C17" s="4" t="s">
        <v>312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 x14ac:dyDescent="0.25">
      <c r="A18" s="12">
        <f t="shared" si="0"/>
        <v>15</v>
      </c>
      <c r="B18" s="4" t="s">
        <v>346</v>
      </c>
      <c r="C18" s="4" t="s">
        <v>347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 spans="1:32" x14ac:dyDescent="0.25">
      <c r="A19" s="12">
        <f t="shared" si="0"/>
        <v>16</v>
      </c>
      <c r="B19" s="4" t="s">
        <v>818</v>
      </c>
      <c r="C19" s="4" t="s">
        <v>409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 x14ac:dyDescent="0.25">
      <c r="A20" s="12">
        <f t="shared" si="0"/>
        <v>17</v>
      </c>
      <c r="B20" s="4" t="s">
        <v>297</v>
      </c>
      <c r="C20" s="4" t="s">
        <v>298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spans="1:32" x14ac:dyDescent="0.25">
      <c r="A21" s="12">
        <f t="shared" si="0"/>
        <v>18</v>
      </c>
      <c r="B21" s="4" t="s">
        <v>819</v>
      </c>
      <c r="C21" s="4" t="s">
        <v>407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spans="1:32" x14ac:dyDescent="0.25">
      <c r="A22" s="12">
        <f t="shared" si="0"/>
        <v>19</v>
      </c>
      <c r="B22" s="4" t="s">
        <v>518</v>
      </c>
      <c r="C22" s="4" t="s">
        <v>519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 x14ac:dyDescent="0.25">
      <c r="A23" s="12">
        <f t="shared" si="0"/>
        <v>20</v>
      </c>
      <c r="B23" s="4" t="s">
        <v>820</v>
      </c>
      <c r="C23" s="4" t="s">
        <v>564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 x14ac:dyDescent="0.25">
      <c r="A24" s="12">
        <f t="shared" si="0"/>
        <v>21</v>
      </c>
      <c r="B24" s="4" t="s">
        <v>821</v>
      </c>
      <c r="C24" s="4" t="s">
        <v>822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x14ac:dyDescent="0.25">
      <c r="A25" s="12">
        <f t="shared" si="0"/>
        <v>22</v>
      </c>
      <c r="B25" s="4" t="s">
        <v>823</v>
      </c>
      <c r="C25" s="4" t="s">
        <v>824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 x14ac:dyDescent="0.25">
      <c r="A26" s="12">
        <f t="shared" si="0"/>
        <v>23</v>
      </c>
      <c r="B26" s="4" t="s">
        <v>340</v>
      </c>
      <c r="C26" s="4" t="s">
        <v>341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 x14ac:dyDescent="0.25">
      <c r="A27" s="12">
        <f t="shared" si="0"/>
        <v>24</v>
      </c>
      <c r="B27" s="4" t="s">
        <v>499</v>
      </c>
      <c r="C27" s="4" t="s">
        <v>499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 x14ac:dyDescent="0.25">
      <c r="A28" s="12">
        <f t="shared" si="0"/>
        <v>25</v>
      </c>
      <c r="B28" s="4" t="s">
        <v>825</v>
      </c>
      <c r="C28" s="4" t="s">
        <v>570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 x14ac:dyDescent="0.25">
      <c r="A29" s="12">
        <f t="shared" si="0"/>
        <v>26</v>
      </c>
      <c r="B29" s="4" t="s">
        <v>235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 x14ac:dyDescent="0.25">
      <c r="A30" s="12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 x14ac:dyDescent="0.25">
      <c r="A31" s="12">
        <f t="shared" si="0"/>
        <v>28</v>
      </c>
      <c r="B31" s="4" t="s">
        <v>433</v>
      </c>
      <c r="C31" s="4" t="s">
        <v>382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 x14ac:dyDescent="0.25">
      <c r="A32" s="12">
        <f t="shared" si="0"/>
        <v>29</v>
      </c>
      <c r="B32" s="4" t="s">
        <v>613</v>
      </c>
      <c r="C32" s="4" t="s">
        <v>614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 x14ac:dyDescent="0.25">
      <c r="A33" s="12">
        <f t="shared" si="0"/>
        <v>30</v>
      </c>
      <c r="B33" s="4" t="s">
        <v>516</v>
      </c>
      <c r="C33" s="4" t="s">
        <v>517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 x14ac:dyDescent="0.25">
      <c r="A34" s="12">
        <f t="shared" si="0"/>
        <v>31</v>
      </c>
      <c r="B34" s="4" t="s">
        <v>829</v>
      </c>
      <c r="C34" s="4" t="s">
        <v>830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 x14ac:dyDescent="0.25">
      <c r="A35" s="12">
        <f t="shared" si="0"/>
        <v>32</v>
      </c>
      <c r="B35" s="4" t="s">
        <v>831</v>
      </c>
      <c r="C35" s="4" t="s">
        <v>832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 x14ac:dyDescent="0.25">
      <c r="A36" s="12">
        <f t="shared" si="0"/>
        <v>33</v>
      </c>
      <c r="B36" s="4" t="s">
        <v>833</v>
      </c>
      <c r="C36" s="4" t="s">
        <v>834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 x14ac:dyDescent="0.25">
      <c r="A37" s="12">
        <f t="shared" si="0"/>
        <v>34</v>
      </c>
      <c r="B37" s="4" t="s">
        <v>835</v>
      </c>
      <c r="C37" s="4" t="s">
        <v>836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 x14ac:dyDescent="0.25">
      <c r="A38" s="12">
        <f t="shared" si="0"/>
        <v>35</v>
      </c>
      <c r="B38" s="4" t="s">
        <v>837</v>
      </c>
      <c r="C38" s="4" t="s">
        <v>838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 x14ac:dyDescent="0.25">
      <c r="A39" s="12">
        <f t="shared" si="0"/>
        <v>36</v>
      </c>
      <c r="B39" s="4" t="s">
        <v>839</v>
      </c>
      <c r="C39" s="4" t="s">
        <v>474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 x14ac:dyDescent="0.25">
      <c r="A40" s="12">
        <f t="shared" si="0"/>
        <v>37</v>
      </c>
      <c r="B40" s="4" t="s">
        <v>356</v>
      </c>
      <c r="C40" s="4" t="s">
        <v>357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 x14ac:dyDescent="0.25">
      <c r="A41" s="12">
        <f t="shared" si="0"/>
        <v>38</v>
      </c>
      <c r="B41" s="4" t="s">
        <v>840</v>
      </c>
      <c r="C41" s="4" t="s">
        <v>365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 x14ac:dyDescent="0.25">
      <c r="A42" s="12">
        <f t="shared" si="0"/>
        <v>39</v>
      </c>
      <c r="B42" s="4" t="s">
        <v>841</v>
      </c>
      <c r="C42" s="4" t="s">
        <v>842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 x14ac:dyDescent="0.25">
      <c r="A43" s="12">
        <f t="shared" si="0"/>
        <v>40</v>
      </c>
      <c r="B43" s="4" t="s">
        <v>843</v>
      </c>
      <c r="C43" s="4" t="s">
        <v>676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 x14ac:dyDescent="0.25">
      <c r="A44" s="12">
        <f t="shared" si="0"/>
        <v>41</v>
      </c>
      <c r="B44" s="4" t="s">
        <v>844</v>
      </c>
      <c r="C44" s="4" t="s">
        <v>845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 x14ac:dyDescent="0.25">
      <c r="A45" s="12">
        <f t="shared" si="0"/>
        <v>42</v>
      </c>
      <c r="B45" s="4" t="s">
        <v>846</v>
      </c>
      <c r="C45" s="4" t="s">
        <v>847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 x14ac:dyDescent="0.25">
      <c r="A46" s="12">
        <f t="shared" si="0"/>
        <v>43</v>
      </c>
      <c r="B46" s="4" t="s">
        <v>625</v>
      </c>
      <c r="C46" s="4" t="s">
        <v>625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 x14ac:dyDescent="0.25">
      <c r="A47" s="12">
        <f t="shared" si="0"/>
        <v>44</v>
      </c>
      <c r="B47" s="4" t="s">
        <v>342</v>
      </c>
      <c r="C47" s="4" t="s">
        <v>848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 x14ac:dyDescent="0.25">
      <c r="A48" s="12">
        <f t="shared" si="0"/>
        <v>45</v>
      </c>
      <c r="B48" s="4" t="s">
        <v>849</v>
      </c>
      <c r="C48" s="4" t="s">
        <v>576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 x14ac:dyDescent="0.25">
      <c r="A49" s="12">
        <f t="shared" si="0"/>
        <v>46</v>
      </c>
      <c r="B49" s="4" t="s">
        <v>850</v>
      </c>
      <c r="C49" s="4" t="s">
        <v>851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 x14ac:dyDescent="0.25">
      <c r="A50" s="12">
        <f t="shared" si="0"/>
        <v>47</v>
      </c>
      <c r="B50" s="4" t="s">
        <v>852</v>
      </c>
      <c r="C50" s="4" t="s">
        <v>853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 x14ac:dyDescent="0.25">
      <c r="A51" s="12">
        <f t="shared" si="0"/>
        <v>48</v>
      </c>
      <c r="B51" s="4" t="s">
        <v>854</v>
      </c>
      <c r="C51" s="4" t="s">
        <v>855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 x14ac:dyDescent="0.25">
      <c r="A52" s="12">
        <f t="shared" si="0"/>
        <v>49</v>
      </c>
      <c r="B52" s="4" t="s">
        <v>553</v>
      </c>
      <c r="C52" s="4" t="s">
        <v>554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 x14ac:dyDescent="0.25">
      <c r="A53" s="12">
        <f t="shared" si="0"/>
        <v>50</v>
      </c>
      <c r="B53" s="4" t="s">
        <v>524</v>
      </c>
      <c r="C53" s="4" t="s">
        <v>856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 x14ac:dyDescent="0.25">
      <c r="A54" s="12">
        <f t="shared" si="0"/>
        <v>51</v>
      </c>
      <c r="B54" s="4" t="s">
        <v>857</v>
      </c>
      <c r="C54" s="4" t="s">
        <v>858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 x14ac:dyDescent="0.25">
      <c r="A55" s="12">
        <f t="shared" si="0"/>
        <v>52</v>
      </c>
      <c r="B55" s="4" t="s">
        <v>493</v>
      </c>
      <c r="C55" s="4" t="s">
        <v>494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 x14ac:dyDescent="0.25">
      <c r="A56" s="12">
        <f t="shared" si="0"/>
        <v>53</v>
      </c>
      <c r="B56" s="4" t="s">
        <v>859</v>
      </c>
      <c r="C56" s="4" t="s">
        <v>860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 x14ac:dyDescent="0.25">
      <c r="A57" s="12">
        <f t="shared" si="0"/>
        <v>54</v>
      </c>
      <c r="B57" s="4" t="s">
        <v>861</v>
      </c>
      <c r="C57" s="4" t="s">
        <v>538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 x14ac:dyDescent="0.25">
      <c r="A58" s="12">
        <f t="shared" si="0"/>
        <v>55</v>
      </c>
      <c r="B58" s="4" t="s">
        <v>862</v>
      </c>
      <c r="C58" s="4" t="s">
        <v>863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 x14ac:dyDescent="0.25">
      <c r="A59" s="12">
        <f t="shared" si="0"/>
        <v>56</v>
      </c>
      <c r="B59" s="4" t="s">
        <v>864</v>
      </c>
      <c r="C59" s="4" t="s">
        <v>588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 x14ac:dyDescent="0.25">
      <c r="A60" s="12">
        <f t="shared" si="0"/>
        <v>57</v>
      </c>
      <c r="B60" s="4" t="s">
        <v>865</v>
      </c>
      <c r="C60" s="4" t="s">
        <v>866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 x14ac:dyDescent="0.25">
      <c r="A61" s="12">
        <f t="shared" si="0"/>
        <v>58</v>
      </c>
      <c r="B61" s="4" t="s">
        <v>653</v>
      </c>
      <c r="C61" s="4" t="s">
        <v>652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 x14ac:dyDescent="0.25">
      <c r="A62" s="12">
        <f t="shared" si="0"/>
        <v>59</v>
      </c>
      <c r="B62" s="4" t="s">
        <v>571</v>
      </c>
      <c r="C62" s="4" t="s">
        <v>572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 x14ac:dyDescent="0.25">
      <c r="A63" s="12">
        <f t="shared" si="0"/>
        <v>60</v>
      </c>
      <c r="B63" s="4" t="s">
        <v>867</v>
      </c>
      <c r="C63" s="4" t="s">
        <v>868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 x14ac:dyDescent="0.25">
      <c r="A64" s="12">
        <f t="shared" si="0"/>
        <v>61</v>
      </c>
      <c r="B64" s="4" t="s">
        <v>869</v>
      </c>
      <c r="C64" s="4" t="s">
        <v>870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 x14ac:dyDescent="0.25">
      <c r="A65" s="12">
        <f t="shared" si="0"/>
        <v>62</v>
      </c>
      <c r="B65" s="4" t="s">
        <v>871</v>
      </c>
      <c r="C65" s="4" t="s">
        <v>872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 x14ac:dyDescent="0.25">
      <c r="A66" s="12">
        <f t="shared" si="0"/>
        <v>63</v>
      </c>
      <c r="B66" s="4" t="s">
        <v>873</v>
      </c>
      <c r="C66" s="4" t="s">
        <v>592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 x14ac:dyDescent="0.25">
      <c r="A67" s="12">
        <f t="shared" si="0"/>
        <v>64</v>
      </c>
      <c r="B67" s="4" t="s">
        <v>874</v>
      </c>
      <c r="C67" s="4" t="s">
        <v>670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 x14ac:dyDescent="0.25">
      <c r="A68" s="12">
        <f t="shared" si="0"/>
        <v>65</v>
      </c>
      <c r="B68" s="4" t="s">
        <v>875</v>
      </c>
      <c r="C68" s="4" t="s">
        <v>876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 x14ac:dyDescent="0.25">
      <c r="A69" s="12">
        <f t="shared" si="0"/>
        <v>66</v>
      </c>
      <c r="B69" s="4" t="s">
        <v>877</v>
      </c>
      <c r="C69" s="4" t="s">
        <v>878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 x14ac:dyDescent="0.25">
      <c r="A70" s="12">
        <f t="shared" ref="A70:A74" si="1">+A69+1</f>
        <v>67</v>
      </c>
      <c r="B70" s="4" t="s">
        <v>879</v>
      </c>
      <c r="C70" s="4" t="s">
        <v>880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 x14ac:dyDescent="0.25">
      <c r="A71" s="12">
        <f t="shared" si="1"/>
        <v>68</v>
      </c>
      <c r="B71" s="4" t="s">
        <v>881</v>
      </c>
      <c r="C71" s="4" t="s">
        <v>882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 x14ac:dyDescent="0.25">
      <c r="A72" s="12">
        <f t="shared" si="1"/>
        <v>69</v>
      </c>
      <c r="B72" s="4" t="s">
        <v>883</v>
      </c>
      <c r="C72" s="4" t="s">
        <v>884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 x14ac:dyDescent="0.25">
      <c r="A73" s="12">
        <f t="shared" si="1"/>
        <v>70</v>
      </c>
      <c r="B73" s="4" t="s">
        <v>885</v>
      </c>
      <c r="C73" s="4" t="s">
        <v>886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 x14ac:dyDescent="0.25">
      <c r="A74" s="12">
        <f t="shared" si="1"/>
        <v>71</v>
      </c>
      <c r="B74" s="4" t="s">
        <v>887</v>
      </c>
      <c r="C74" s="4" t="s">
        <v>887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 x14ac:dyDescent="0.25">
      <c r="A76" s="4"/>
      <c r="B76" s="3" t="s">
        <v>808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 x14ac:dyDescent="0.25">
      <c r="A77" s="4"/>
      <c r="B77" s="4" t="s">
        <v>888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 x14ac:dyDescent="0.25">
      <c r="A78" s="4"/>
      <c r="B78" s="4" t="s">
        <v>889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 x14ac:dyDescent="0.25">
      <c r="A79" s="4"/>
      <c r="B79" s="4" t="s">
        <v>890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 x14ac:dyDescent="0.25">
      <c r="A80" s="4"/>
      <c r="B80" s="4" t="s">
        <v>891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 x14ac:dyDescent="0.25">
      <c r="A81" s="4"/>
      <c r="B81" s="4" t="s">
        <v>892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B7" sqref="B7"/>
    </sheetView>
  </sheetViews>
  <sheetFormatPr defaultRowHeight="13.5" x14ac:dyDescent="0.25"/>
  <cols>
    <col min="1" max="1" width="4.140625" style="6" customWidth="1"/>
    <col min="2" max="2" width="15" style="6" bestFit="1" customWidth="1"/>
    <col min="3" max="3" width="10.42578125" style="6" bestFit="1" customWidth="1"/>
    <col min="4" max="16384" width="9.140625" style="6"/>
  </cols>
  <sheetData>
    <row r="1" spans="1:15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25">
      <c r="A2" s="4" t="s">
        <v>957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7" t="s">
        <v>54</v>
      </c>
      <c r="B3" s="8" t="s">
        <v>0</v>
      </c>
      <c r="C3" s="8" t="s">
        <v>767</v>
      </c>
      <c r="D3" s="8" t="s">
        <v>44</v>
      </c>
      <c r="E3" s="10" t="s">
        <v>2</v>
      </c>
      <c r="F3" s="10" t="s">
        <v>3</v>
      </c>
      <c r="G3" s="10" t="s">
        <v>4</v>
      </c>
      <c r="H3" s="10" t="s">
        <v>5</v>
      </c>
      <c r="I3" s="8"/>
      <c r="J3" s="8"/>
      <c r="K3" s="8"/>
      <c r="L3" s="8"/>
      <c r="M3" s="8"/>
      <c r="N3" s="8"/>
      <c r="O3" s="20"/>
    </row>
    <row r="4" spans="1:15" x14ac:dyDescent="0.25">
      <c r="A4" s="12">
        <v>1</v>
      </c>
      <c r="B4" s="4" t="s">
        <v>12</v>
      </c>
      <c r="C4" s="4" t="s">
        <v>34</v>
      </c>
      <c r="D4" s="4" t="s">
        <v>45</v>
      </c>
      <c r="E4" s="4"/>
      <c r="F4" s="14"/>
      <c r="G4" s="14"/>
      <c r="H4" s="31"/>
      <c r="I4" s="4"/>
      <c r="J4" s="4"/>
      <c r="K4" s="4"/>
      <c r="L4" s="4"/>
      <c r="M4" s="4"/>
      <c r="N4" s="4"/>
      <c r="O4" s="4"/>
    </row>
    <row r="5" spans="1:15" x14ac:dyDescent="0.25">
      <c r="A5" s="12">
        <f>+A4+1</f>
        <v>2</v>
      </c>
      <c r="B5" s="4" t="s">
        <v>11</v>
      </c>
      <c r="C5" s="4" t="s">
        <v>37</v>
      </c>
      <c r="D5" s="4" t="s">
        <v>45</v>
      </c>
      <c r="E5" s="4"/>
      <c r="F5" s="14"/>
      <c r="G5" s="14"/>
      <c r="H5" s="31"/>
      <c r="I5" s="4"/>
      <c r="J5" s="4"/>
      <c r="K5" s="4"/>
      <c r="L5" s="4"/>
      <c r="M5" s="4"/>
      <c r="N5" s="4"/>
      <c r="O5" s="4"/>
    </row>
    <row r="6" spans="1:15" x14ac:dyDescent="0.25">
      <c r="A6" s="12">
        <f t="shared" ref="A6:A23" si="0">+A5+1</f>
        <v>3</v>
      </c>
      <c r="B6" s="4" t="s">
        <v>893</v>
      </c>
      <c r="C6" s="4" t="s">
        <v>894</v>
      </c>
      <c r="D6" s="4" t="s">
        <v>768</v>
      </c>
      <c r="E6" s="4"/>
      <c r="F6" s="14"/>
      <c r="G6" s="14"/>
      <c r="H6" s="31"/>
      <c r="I6" s="4"/>
      <c r="J6" s="4"/>
      <c r="K6" s="4"/>
      <c r="L6" s="4"/>
      <c r="M6" s="4"/>
      <c r="N6" s="4"/>
      <c r="O6" s="4"/>
    </row>
    <row r="7" spans="1:15" x14ac:dyDescent="0.25">
      <c r="A7" s="12">
        <f t="shared" si="0"/>
        <v>4</v>
      </c>
      <c r="B7" s="4" t="s">
        <v>895</v>
      </c>
      <c r="C7" s="4" t="s">
        <v>896</v>
      </c>
      <c r="D7" s="4" t="s">
        <v>768</v>
      </c>
      <c r="E7" s="4"/>
      <c r="F7" s="14"/>
      <c r="G7" s="14"/>
      <c r="H7" s="31"/>
      <c r="I7" s="4"/>
      <c r="J7" s="4"/>
      <c r="K7" s="4"/>
      <c r="L7" s="4"/>
      <c r="M7" s="4"/>
      <c r="N7" s="4"/>
      <c r="O7" s="4"/>
    </row>
    <row r="8" spans="1:15" x14ac:dyDescent="0.25">
      <c r="A8" s="12">
        <f t="shared" si="0"/>
        <v>5</v>
      </c>
      <c r="B8" s="4" t="s">
        <v>417</v>
      </c>
      <c r="C8" s="4" t="s">
        <v>897</v>
      </c>
      <c r="D8" s="4" t="s">
        <v>955</v>
      </c>
      <c r="E8" s="4"/>
      <c r="F8" s="14"/>
      <c r="G8" s="14"/>
      <c r="H8" s="31"/>
      <c r="I8" s="4"/>
      <c r="J8" s="4"/>
      <c r="K8" s="4"/>
      <c r="L8" s="4"/>
      <c r="M8" s="4"/>
      <c r="N8" s="4"/>
      <c r="O8" s="4"/>
    </row>
    <row r="9" spans="1:15" x14ac:dyDescent="0.25">
      <c r="A9" s="12">
        <f t="shared" si="0"/>
        <v>6</v>
      </c>
      <c r="B9" s="4" t="s">
        <v>313</v>
      </c>
      <c r="C9" s="4" t="s">
        <v>898</v>
      </c>
      <c r="D9" s="4" t="s">
        <v>955</v>
      </c>
      <c r="E9" s="4"/>
      <c r="F9" s="14"/>
      <c r="G9" s="14"/>
      <c r="H9" s="31"/>
      <c r="I9" s="4"/>
      <c r="J9" s="4"/>
      <c r="K9" s="4"/>
      <c r="L9" s="4"/>
      <c r="M9" s="4"/>
      <c r="N9" s="4"/>
      <c r="O9" s="4"/>
    </row>
    <row r="10" spans="1:15" x14ac:dyDescent="0.25">
      <c r="A10" s="12">
        <f t="shared" si="0"/>
        <v>7</v>
      </c>
      <c r="B10" s="4" t="s">
        <v>327</v>
      </c>
      <c r="C10" s="4" t="s">
        <v>326</v>
      </c>
      <c r="D10" s="4" t="s">
        <v>45</v>
      </c>
      <c r="E10" s="4"/>
      <c r="F10" s="14"/>
      <c r="G10" s="14"/>
      <c r="H10" s="31"/>
      <c r="I10" s="4"/>
      <c r="J10" s="4"/>
      <c r="K10" s="4"/>
      <c r="L10" s="4"/>
      <c r="M10" s="4"/>
      <c r="N10" s="4"/>
      <c r="O10" s="4"/>
    </row>
    <row r="11" spans="1:15" x14ac:dyDescent="0.25">
      <c r="A11" s="12">
        <f t="shared" si="0"/>
        <v>8</v>
      </c>
      <c r="B11" s="4" t="s">
        <v>899</v>
      </c>
      <c r="C11" s="4" t="s">
        <v>900</v>
      </c>
      <c r="D11" s="4" t="s">
        <v>45</v>
      </c>
      <c r="E11" s="4"/>
      <c r="F11" s="14"/>
      <c r="G11" s="14"/>
      <c r="H11" s="31"/>
      <c r="I11" s="4"/>
      <c r="J11" s="4"/>
      <c r="K11" s="4"/>
      <c r="L11" s="4"/>
      <c r="M11" s="4"/>
      <c r="N11" s="4"/>
      <c r="O11" s="4"/>
    </row>
    <row r="12" spans="1:15" x14ac:dyDescent="0.25">
      <c r="A12" s="12">
        <f t="shared" si="0"/>
        <v>9</v>
      </c>
      <c r="B12" s="4" t="s">
        <v>901</v>
      </c>
      <c r="C12" s="4" t="s">
        <v>902</v>
      </c>
      <c r="D12" s="4" t="s">
        <v>45</v>
      </c>
      <c r="E12" s="4"/>
      <c r="F12" s="14"/>
      <c r="G12" s="14"/>
      <c r="H12" s="31"/>
      <c r="I12" s="4"/>
      <c r="J12" s="4"/>
      <c r="K12" s="4"/>
      <c r="L12" s="4"/>
      <c r="M12" s="4"/>
      <c r="N12" s="4"/>
      <c r="O12" s="4"/>
    </row>
    <row r="13" spans="1:15" x14ac:dyDescent="0.25">
      <c r="A13" s="12">
        <f t="shared" si="0"/>
        <v>10</v>
      </c>
      <c r="B13" s="4" t="s">
        <v>903</v>
      </c>
      <c r="C13" s="4" t="s">
        <v>904</v>
      </c>
      <c r="D13" s="4" t="s">
        <v>45</v>
      </c>
      <c r="E13" s="4"/>
      <c r="F13" s="14"/>
      <c r="G13" s="14"/>
      <c r="H13" s="31"/>
      <c r="I13" s="4"/>
      <c r="J13" s="4"/>
      <c r="K13" s="4"/>
      <c r="L13" s="4"/>
      <c r="M13" s="4"/>
      <c r="N13" s="4"/>
      <c r="O13" s="4"/>
    </row>
    <row r="14" spans="1:15" x14ac:dyDescent="0.25">
      <c r="A14" s="12">
        <f t="shared" si="0"/>
        <v>11</v>
      </c>
      <c r="B14" s="13" t="s">
        <v>905</v>
      </c>
      <c r="C14" s="4" t="s">
        <v>542</v>
      </c>
      <c r="D14" s="4" t="s">
        <v>45</v>
      </c>
      <c r="E14" s="4">
        <f>+[98]Main!$I$2</f>
        <v>38.35</v>
      </c>
      <c r="F14" s="14">
        <f>+[98]Main!$I$4</f>
        <v>9227.8593374500015</v>
      </c>
      <c r="G14" s="14">
        <f>+[98]Main!$I$6-[98]Main!$I$5</f>
        <v>3088.2860000000001</v>
      </c>
      <c r="H14" s="31">
        <f>+F14+G14</f>
        <v>12316.145337450002</v>
      </c>
      <c r="I14" s="30" t="s">
        <v>2583</v>
      </c>
      <c r="J14" s="4"/>
      <c r="K14" s="4"/>
      <c r="L14" s="4"/>
      <c r="M14" s="4"/>
      <c r="N14" s="4"/>
      <c r="O14" s="4"/>
    </row>
    <row r="15" spans="1:15" x14ac:dyDescent="0.25">
      <c r="A15" s="12">
        <f t="shared" si="0"/>
        <v>12</v>
      </c>
      <c r="B15" s="4" t="s">
        <v>424</v>
      </c>
      <c r="C15" s="4" t="s">
        <v>425</v>
      </c>
      <c r="D15" s="4" t="s">
        <v>45</v>
      </c>
      <c r="E15" s="4"/>
      <c r="F15" s="14"/>
      <c r="G15" s="14"/>
      <c r="H15" s="31"/>
      <c r="I15" s="4"/>
      <c r="J15" s="4"/>
      <c r="K15" s="4"/>
      <c r="L15" s="4"/>
      <c r="M15" s="4"/>
      <c r="N15" s="4"/>
      <c r="O15" s="4"/>
    </row>
    <row r="16" spans="1:15" x14ac:dyDescent="0.25">
      <c r="A16" s="12">
        <f t="shared" si="0"/>
        <v>13</v>
      </c>
      <c r="B16" s="4" t="s">
        <v>906</v>
      </c>
      <c r="C16" s="4" t="s">
        <v>907</v>
      </c>
      <c r="D16" s="4" t="s">
        <v>45</v>
      </c>
      <c r="E16" s="4"/>
      <c r="F16" s="14"/>
      <c r="G16" s="14"/>
      <c r="H16" s="31"/>
      <c r="I16" s="4"/>
      <c r="J16" s="4"/>
      <c r="K16" s="4"/>
      <c r="L16" s="4"/>
      <c r="M16" s="4"/>
      <c r="N16" s="4"/>
      <c r="O16" s="4"/>
    </row>
    <row r="17" spans="1:15" x14ac:dyDescent="0.25">
      <c r="A17" s="12">
        <f t="shared" si="0"/>
        <v>14</v>
      </c>
      <c r="B17" s="4" t="s">
        <v>908</v>
      </c>
      <c r="C17" s="4" t="s">
        <v>909</v>
      </c>
      <c r="D17" s="4" t="s">
        <v>45</v>
      </c>
      <c r="E17" s="4"/>
      <c r="F17" s="14"/>
      <c r="G17" s="14"/>
      <c r="H17" s="31"/>
      <c r="I17" s="4"/>
      <c r="J17" s="4"/>
      <c r="K17" s="4"/>
      <c r="L17" s="4"/>
      <c r="M17" s="4"/>
      <c r="N17" s="4"/>
      <c r="O17" s="4"/>
    </row>
    <row r="18" spans="1:15" x14ac:dyDescent="0.25">
      <c r="A18" s="12">
        <f t="shared" si="0"/>
        <v>15</v>
      </c>
      <c r="B18" s="13" t="s">
        <v>697</v>
      </c>
      <c r="C18" s="4" t="s">
        <v>698</v>
      </c>
      <c r="D18" s="4" t="s">
        <v>45</v>
      </c>
      <c r="E18" s="4">
        <f>+[80]Main!$J$3</f>
        <v>15.92</v>
      </c>
      <c r="F18" s="14">
        <f>+[80]Main!$J$5</f>
        <v>3056.2842516800001</v>
      </c>
      <c r="G18" s="14">
        <f>+([80]Main!$J$7-[80]Main!$J$6)</f>
        <v>162.63800000000003</v>
      </c>
      <c r="H18" s="31">
        <f>+F18+G18</f>
        <v>3218.92225168</v>
      </c>
      <c r="I18" s="30" t="s">
        <v>2583</v>
      </c>
      <c r="J18" s="4"/>
      <c r="K18" s="4"/>
      <c r="L18" s="4"/>
      <c r="M18" s="4"/>
      <c r="N18" s="4"/>
      <c r="O18" s="4"/>
    </row>
    <row r="19" spans="1:15" x14ac:dyDescent="0.25">
      <c r="A19" s="12">
        <f t="shared" si="0"/>
        <v>16</v>
      </c>
      <c r="B19" s="4" t="s">
        <v>910</v>
      </c>
      <c r="C19" s="4" t="s">
        <v>911</v>
      </c>
      <c r="D19" s="4" t="s">
        <v>45</v>
      </c>
      <c r="E19" s="4"/>
      <c r="F19" s="14"/>
      <c r="G19" s="14"/>
      <c r="H19" s="31"/>
      <c r="I19" s="4"/>
      <c r="J19" s="4"/>
      <c r="K19" s="4"/>
      <c r="L19" s="4"/>
      <c r="M19" s="4"/>
      <c r="N19" s="4"/>
      <c r="O19" s="4"/>
    </row>
    <row r="20" spans="1:15" x14ac:dyDescent="0.25">
      <c r="A20" s="12">
        <f t="shared" si="0"/>
        <v>17</v>
      </c>
      <c r="B20" s="4" t="s">
        <v>912</v>
      </c>
      <c r="C20" s="4" t="s">
        <v>913</v>
      </c>
      <c r="D20" s="4" t="s">
        <v>45</v>
      </c>
      <c r="E20" s="4"/>
      <c r="F20" s="14"/>
      <c r="G20" s="14"/>
      <c r="H20" s="31"/>
      <c r="I20" s="4"/>
      <c r="J20" s="4"/>
      <c r="K20" s="4"/>
      <c r="L20" s="4"/>
      <c r="M20" s="4"/>
      <c r="N20" s="4"/>
      <c r="O20" s="4"/>
    </row>
    <row r="21" spans="1:15" x14ac:dyDescent="0.25">
      <c r="A21" s="12">
        <f t="shared" si="0"/>
        <v>18</v>
      </c>
      <c r="B21" s="4" t="s">
        <v>914</v>
      </c>
      <c r="C21" s="4"/>
      <c r="D21" s="4" t="s">
        <v>45</v>
      </c>
      <c r="E21" s="4"/>
      <c r="F21" s="14"/>
      <c r="G21" s="14"/>
      <c r="H21" s="31"/>
      <c r="I21" s="4"/>
      <c r="J21" s="4"/>
      <c r="K21" s="4"/>
      <c r="L21" s="4"/>
      <c r="M21" s="4"/>
      <c r="N21" s="4"/>
      <c r="O21" s="4"/>
    </row>
    <row r="22" spans="1:15" x14ac:dyDescent="0.25">
      <c r="A22" s="12">
        <f t="shared" si="0"/>
        <v>19</v>
      </c>
      <c r="B22" s="4" t="s">
        <v>915</v>
      </c>
      <c r="C22" s="4"/>
      <c r="D22" s="4" t="s">
        <v>45</v>
      </c>
      <c r="E22" s="4"/>
      <c r="F22" s="14"/>
      <c r="G22" s="14"/>
      <c r="H22" s="31"/>
      <c r="I22" s="4"/>
      <c r="J22" s="4"/>
      <c r="K22" s="4"/>
      <c r="L22" s="4"/>
      <c r="M22" s="4"/>
      <c r="N22" s="4"/>
      <c r="O22" s="4"/>
    </row>
    <row r="23" spans="1:15" x14ac:dyDescent="0.25">
      <c r="A23" s="12">
        <f t="shared" si="0"/>
        <v>20</v>
      </c>
      <c r="B23" s="39" t="s">
        <v>3149</v>
      </c>
      <c r="C23" s="39" t="s">
        <v>3148</v>
      </c>
      <c r="D23" s="39" t="s">
        <v>3150</v>
      </c>
      <c r="E23" s="4"/>
      <c r="F23" s="14"/>
      <c r="G23" s="14"/>
      <c r="H23" s="31"/>
      <c r="I23" s="4"/>
      <c r="J23" s="4"/>
      <c r="K23" s="4"/>
      <c r="L23" s="4"/>
      <c r="M23" s="4"/>
      <c r="N23" s="4"/>
      <c r="O23" s="4"/>
    </row>
    <row r="24" spans="1:15" x14ac:dyDescent="0.25">
      <c r="A24" s="4"/>
      <c r="B24" s="4"/>
      <c r="C24" s="4"/>
      <c r="D24" s="4"/>
      <c r="E24" s="4"/>
      <c r="F24" s="14"/>
      <c r="G24" s="14"/>
      <c r="H24" s="31"/>
      <c r="I24" s="4"/>
      <c r="J24" s="4"/>
      <c r="K24" s="4"/>
      <c r="L24" s="4"/>
      <c r="M24" s="4"/>
      <c r="N24" s="4"/>
      <c r="O24" s="4"/>
    </row>
    <row r="25" spans="1:15" x14ac:dyDescent="0.25">
      <c r="A25" s="4"/>
      <c r="B25" s="16" t="s">
        <v>808</v>
      </c>
      <c r="C25" s="4"/>
      <c r="D25" s="4"/>
      <c r="E25" s="4"/>
      <c r="F25" s="14"/>
      <c r="G25" s="14"/>
      <c r="H25" s="31"/>
      <c r="I25" s="4"/>
      <c r="J25" s="4"/>
      <c r="K25" s="4"/>
      <c r="L25" s="4"/>
      <c r="M25" s="4"/>
      <c r="N25" s="4"/>
      <c r="O25" s="4"/>
    </row>
    <row r="26" spans="1:15" x14ac:dyDescent="0.25">
      <c r="A26" s="4"/>
      <c r="B26" s="4" t="s">
        <v>916</v>
      </c>
      <c r="C26" s="4"/>
      <c r="D26" s="4"/>
      <c r="E26" s="4"/>
      <c r="F26" s="14"/>
      <c r="G26" s="14"/>
      <c r="H26" s="31"/>
      <c r="I26" s="4"/>
      <c r="J26" s="4"/>
      <c r="K26" s="4"/>
      <c r="L26" s="4"/>
      <c r="M26" s="4"/>
      <c r="N26" s="4"/>
      <c r="O26" s="4"/>
    </row>
    <row r="27" spans="1:15" x14ac:dyDescent="0.25">
      <c r="A27" s="4"/>
      <c r="B27" s="4" t="s">
        <v>917</v>
      </c>
      <c r="C27" s="4"/>
      <c r="D27" s="4"/>
      <c r="E27" s="4"/>
      <c r="F27" s="14"/>
      <c r="G27" s="14"/>
      <c r="H27" s="31"/>
      <c r="I27" s="4"/>
      <c r="J27" s="4"/>
      <c r="K27" s="4"/>
      <c r="L27" s="4"/>
      <c r="M27" s="4"/>
      <c r="N27" s="4"/>
      <c r="O27" s="4"/>
    </row>
    <row r="28" spans="1:15" x14ac:dyDescent="0.25">
      <c r="A28" s="4"/>
      <c r="B28" s="4" t="s">
        <v>918</v>
      </c>
      <c r="C28" s="4" t="s">
        <v>919</v>
      </c>
      <c r="D28" s="4"/>
      <c r="E28" s="4"/>
      <c r="F28" s="14"/>
      <c r="G28" s="14"/>
      <c r="H28" s="31"/>
      <c r="I28" s="4"/>
      <c r="J28" s="4"/>
      <c r="K28" s="4"/>
      <c r="L28" s="4"/>
      <c r="M28" s="4"/>
      <c r="N28" s="4"/>
      <c r="O28" s="4"/>
    </row>
    <row r="29" spans="1:15" x14ac:dyDescent="0.25">
      <c r="A29" s="4"/>
      <c r="B29" s="4" t="s">
        <v>920</v>
      </c>
      <c r="C29" s="4"/>
      <c r="D29" s="4"/>
      <c r="E29" s="4"/>
      <c r="F29" s="14"/>
      <c r="G29" s="14"/>
      <c r="H29" s="31"/>
      <c r="I29" s="4"/>
      <c r="J29" s="4"/>
      <c r="K29" s="4"/>
      <c r="L29" s="4"/>
      <c r="M29" s="4"/>
      <c r="N29" s="4"/>
      <c r="O29" s="4"/>
    </row>
    <row r="30" spans="1:15" x14ac:dyDescent="0.25">
      <c r="A30" s="4"/>
      <c r="B30" s="4" t="s">
        <v>921</v>
      </c>
      <c r="C30" s="4"/>
      <c r="D30" s="4"/>
      <c r="E30" s="4"/>
      <c r="F30" s="14"/>
      <c r="G30" s="14"/>
      <c r="H30" s="31"/>
      <c r="I30" s="4"/>
      <c r="J30" s="4"/>
      <c r="K30" s="4"/>
      <c r="L30" s="4"/>
      <c r="M30" s="4"/>
      <c r="N30" s="4"/>
      <c r="O30" s="4"/>
    </row>
    <row r="31" spans="1:15" x14ac:dyDescent="0.25">
      <c r="A31" s="4"/>
      <c r="B31" s="4" t="s">
        <v>922</v>
      </c>
      <c r="C31" s="4"/>
      <c r="D31" s="4"/>
      <c r="E31" s="4"/>
      <c r="F31" s="14"/>
      <c r="G31" s="14"/>
      <c r="H31" s="31"/>
      <c r="I31" s="4"/>
      <c r="J31" s="4"/>
      <c r="K31" s="4"/>
      <c r="L31" s="4"/>
      <c r="M31" s="4"/>
      <c r="N31" s="4"/>
      <c r="O31" s="4"/>
    </row>
    <row r="32" spans="1:15" x14ac:dyDescent="0.25">
      <c r="A32" s="4"/>
      <c r="B32" s="4" t="s">
        <v>923</v>
      </c>
      <c r="C32" s="4"/>
      <c r="D32" s="4"/>
      <c r="E32" s="4"/>
      <c r="F32" s="14"/>
      <c r="G32" s="14"/>
      <c r="H32" s="31"/>
      <c r="I32" s="4"/>
      <c r="J32" s="4"/>
      <c r="K32" s="4"/>
      <c r="L32" s="4"/>
      <c r="M32" s="4"/>
      <c r="N32" s="4"/>
      <c r="O32" s="4"/>
    </row>
    <row r="33" spans="1:15" x14ac:dyDescent="0.25">
      <c r="A33" s="4"/>
      <c r="B33" s="4" t="s">
        <v>924</v>
      </c>
      <c r="C33" s="4"/>
      <c r="D33" s="4"/>
      <c r="E33" s="4"/>
      <c r="F33" s="14"/>
      <c r="G33" s="14"/>
      <c r="H33" s="31"/>
      <c r="I33" s="4"/>
      <c r="J33" s="4"/>
      <c r="K33" s="4"/>
      <c r="L33" s="4"/>
      <c r="M33" s="4"/>
      <c r="N33" s="4"/>
      <c r="O33" s="4"/>
    </row>
    <row r="34" spans="1:15" x14ac:dyDescent="0.25">
      <c r="A34" s="4"/>
      <c r="B34" s="4" t="s">
        <v>925</v>
      </c>
      <c r="C34" s="4"/>
      <c r="D34" s="4"/>
      <c r="E34" s="4"/>
      <c r="F34" s="14"/>
      <c r="G34" s="14"/>
      <c r="H34" s="31"/>
      <c r="I34" s="4"/>
      <c r="J34" s="4"/>
      <c r="K34" s="4"/>
      <c r="L34" s="4"/>
      <c r="M34" s="4"/>
      <c r="N34" s="4"/>
      <c r="O34" s="4"/>
    </row>
    <row r="35" spans="1:15" x14ac:dyDescent="0.25">
      <c r="A35" s="4"/>
      <c r="B35" s="4" t="s">
        <v>926</v>
      </c>
      <c r="C35" s="4"/>
      <c r="D35" s="4"/>
      <c r="E35" s="4"/>
      <c r="F35" s="14"/>
      <c r="G35" s="14"/>
      <c r="H35" s="31"/>
      <c r="I35" s="4"/>
      <c r="J35" s="4"/>
      <c r="K35" s="4"/>
      <c r="L35" s="4"/>
      <c r="M35" s="4"/>
      <c r="N35" s="4"/>
      <c r="O35" s="4"/>
    </row>
    <row r="36" spans="1:15" x14ac:dyDescent="0.25">
      <c r="A36" s="4"/>
      <c r="B36" s="4" t="s">
        <v>927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x14ac:dyDescent="0.25">
      <c r="A37" s="4"/>
      <c r="B37" s="4" t="s">
        <v>928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x14ac:dyDescent="0.25">
      <c r="A38" s="4"/>
      <c r="B38" s="4" t="s">
        <v>929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x14ac:dyDescent="0.25">
      <c r="A39" s="4"/>
      <c r="B39" s="4" t="s">
        <v>930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x14ac:dyDescent="0.25">
      <c r="A40" s="4"/>
      <c r="B40" s="4" t="s">
        <v>931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x14ac:dyDescent="0.25">
      <c r="A41" s="4"/>
      <c r="B41" s="4" t="s">
        <v>932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x14ac:dyDescent="0.25">
      <c r="A42" s="4"/>
      <c r="B42" s="4" t="s">
        <v>933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x14ac:dyDescent="0.25">
      <c r="A43" s="4"/>
      <c r="B43" s="4" t="s">
        <v>934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spans="1:15" x14ac:dyDescent="0.25">
      <c r="A44" s="4"/>
      <c r="B44" s="4" t="s">
        <v>297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x14ac:dyDescent="0.25">
      <c r="A45" s="4"/>
      <c r="B45" s="4" t="s">
        <v>935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x14ac:dyDescent="0.25">
      <c r="A46" s="4"/>
      <c r="B46" s="4" t="s">
        <v>936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spans="1:15" x14ac:dyDescent="0.25">
      <c r="A47" s="4"/>
      <c r="B47" s="4" t="s">
        <v>937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x14ac:dyDescent="0.25">
      <c r="A48" s="4"/>
      <c r="B48" s="4" t="s">
        <v>938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 x14ac:dyDescent="0.25">
      <c r="A49" s="4"/>
      <c r="B49" s="4" t="s">
        <v>939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x14ac:dyDescent="0.25">
      <c r="A50" s="4"/>
      <c r="B50" s="4" t="s">
        <v>940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 x14ac:dyDescent="0.25">
      <c r="A51" s="4"/>
      <c r="B51" s="4" t="s">
        <v>941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 x14ac:dyDescent="0.25">
      <c r="A52" s="4"/>
      <c r="B52" s="4" t="s">
        <v>942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x14ac:dyDescent="0.25">
      <c r="A53" s="4"/>
      <c r="B53" s="4" t="s">
        <v>943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 x14ac:dyDescent="0.25">
      <c r="A54" s="4"/>
      <c r="B54" s="4" t="s">
        <v>944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x14ac:dyDescent="0.25">
      <c r="A55" s="4"/>
      <c r="B55" s="4" t="s">
        <v>945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 x14ac:dyDescent="0.25">
      <c r="A56" s="4"/>
      <c r="B56" s="4" t="s">
        <v>946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x14ac:dyDescent="0.25">
      <c r="A57" s="4"/>
      <c r="B57" s="4" t="s">
        <v>947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x14ac:dyDescent="0.25">
      <c r="A58" s="4"/>
      <c r="B58" s="4" t="s">
        <v>948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1:15" x14ac:dyDescent="0.25">
      <c r="A59" s="4"/>
      <c r="B59" s="4" t="s">
        <v>949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x14ac:dyDescent="0.25">
      <c r="A60" s="4"/>
      <c r="B60" s="4" t="s">
        <v>950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1:15" x14ac:dyDescent="0.25">
      <c r="A61" s="4"/>
      <c r="B61" s="4" t="s">
        <v>951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1:15" x14ac:dyDescent="0.25">
      <c r="A62" s="4"/>
      <c r="B62" s="4" t="s">
        <v>952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x14ac:dyDescent="0.25">
      <c r="A63" s="4"/>
      <c r="B63" s="4" t="s">
        <v>953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1:15" x14ac:dyDescent="0.25">
      <c r="A64" s="4"/>
      <c r="B64" s="4" t="s">
        <v>954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1:15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spans="1:15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spans="1:15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spans="1:15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spans="1:15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spans="1:15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5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5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5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5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1:15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1:15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1:15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1:15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1:15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9A383-B6C2-444C-A28D-0BAA60C000BF}">
  <dimension ref="A1:P118"/>
  <sheetViews>
    <sheetView zoomScale="200" zoomScaleNormal="200" workbookViewId="0">
      <selection activeCell="K3" sqref="K3"/>
    </sheetView>
  </sheetViews>
  <sheetFormatPr defaultRowHeight="12.75" x14ac:dyDescent="0.2"/>
  <cols>
    <col min="1" max="1" width="5" style="52" bestFit="1" customWidth="1"/>
    <col min="2" max="16384" width="9.140625" style="52"/>
  </cols>
  <sheetData>
    <row r="1" spans="1:16" x14ac:dyDescent="0.2">
      <c r="A1" s="13" t="s">
        <v>958</v>
      </c>
    </row>
    <row r="2" spans="1:16" x14ac:dyDescent="0.2">
      <c r="A2" s="61"/>
      <c r="B2" s="61"/>
      <c r="C2" s="61" t="s">
        <v>3159</v>
      </c>
      <c r="D2" s="61"/>
      <c r="E2" s="61" t="s">
        <v>3160</v>
      </c>
      <c r="F2" s="61"/>
      <c r="H2" s="61"/>
      <c r="J2" s="61" t="s">
        <v>3525</v>
      </c>
      <c r="N2" s="61" t="s">
        <v>2597</v>
      </c>
      <c r="O2" s="61"/>
      <c r="P2" s="61" t="s">
        <v>2617</v>
      </c>
    </row>
    <row r="3" spans="1:16" x14ac:dyDescent="0.2">
      <c r="A3" s="61"/>
      <c r="B3" s="61"/>
      <c r="C3" s="13" t="s">
        <v>3158</v>
      </c>
      <c r="D3" s="61"/>
      <c r="E3" s="61" t="s">
        <v>3523</v>
      </c>
      <c r="F3" s="61"/>
      <c r="G3" s="61"/>
      <c r="H3" s="61"/>
      <c r="I3" s="61"/>
      <c r="J3" s="61" t="s">
        <v>3526</v>
      </c>
      <c r="K3" s="61"/>
      <c r="L3" s="61"/>
    </row>
    <row r="4" spans="1:16" x14ac:dyDescent="0.2">
      <c r="A4" s="61"/>
      <c r="B4" s="61"/>
      <c r="C4" s="61"/>
      <c r="D4" s="61"/>
      <c r="E4" s="61" t="s">
        <v>3524</v>
      </c>
      <c r="F4" s="61"/>
      <c r="G4" s="61"/>
      <c r="H4" s="61"/>
      <c r="I4" s="61"/>
      <c r="J4" s="61"/>
      <c r="K4" s="61"/>
      <c r="L4" s="61"/>
    </row>
    <row r="5" spans="1:16" x14ac:dyDescent="0.2">
      <c r="A5" s="61"/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2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7" spans="1:16" x14ac:dyDescent="0.2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</row>
    <row r="8" spans="1:16" x14ac:dyDescent="0.2">
      <c r="A8" s="61"/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2">
      <c r="A9" s="61"/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2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1" spans="1:16" x14ac:dyDescent="0.2">
      <c r="A11" s="61"/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</row>
    <row r="12" spans="1:16" x14ac:dyDescent="0.2">
      <c r="A12" s="61"/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2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2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5" spans="1:16" x14ac:dyDescent="0.2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</row>
    <row r="16" spans="1:16" x14ac:dyDescent="0.2">
      <c r="A16" s="61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</row>
    <row r="17" spans="1:12" x14ac:dyDescent="0.2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</row>
    <row r="18" spans="1:12" x14ac:dyDescent="0.2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</row>
    <row r="19" spans="1:12" x14ac:dyDescent="0.2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</row>
    <row r="20" spans="1:12" x14ac:dyDescent="0.2">
      <c r="A20" s="61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</row>
    <row r="21" spans="1:12" x14ac:dyDescent="0.2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</row>
    <row r="22" spans="1:12" x14ac:dyDescent="0.2">
      <c r="A22" s="61"/>
      <c r="B22" s="61"/>
      <c r="C22" s="61"/>
      <c r="D22" s="61"/>
      <c r="E22" s="61"/>
      <c r="F22" s="61"/>
      <c r="G22" s="61"/>
      <c r="H22" s="61"/>
      <c r="I22" s="61"/>
      <c r="J22" s="61"/>
      <c r="K22" s="61"/>
      <c r="L22" s="61"/>
    </row>
    <row r="23" spans="1:12" x14ac:dyDescent="0.2">
      <c r="A23" s="61"/>
      <c r="B23" s="61"/>
      <c r="C23" s="61"/>
      <c r="D23" s="61"/>
      <c r="E23" s="61"/>
      <c r="F23" s="61"/>
      <c r="G23" s="61"/>
      <c r="H23" s="61"/>
      <c r="I23" s="61"/>
      <c r="J23" s="61"/>
      <c r="K23" s="61"/>
      <c r="L23" s="61"/>
    </row>
    <row r="24" spans="1:12" x14ac:dyDescent="0.2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</row>
    <row r="25" spans="1:12" x14ac:dyDescent="0.2">
      <c r="A25" s="61"/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</row>
    <row r="26" spans="1:12" x14ac:dyDescent="0.2">
      <c r="A26" s="61"/>
      <c r="B26" s="61"/>
      <c r="C26" s="61"/>
      <c r="D26" s="61"/>
      <c r="E26" s="61"/>
      <c r="F26" s="61"/>
      <c r="G26" s="61"/>
      <c r="H26" s="61"/>
      <c r="I26" s="61"/>
      <c r="J26" s="61"/>
      <c r="K26" s="61"/>
      <c r="L26" s="61"/>
    </row>
    <row r="27" spans="1:12" x14ac:dyDescent="0.2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</row>
    <row r="28" spans="1:12" x14ac:dyDescent="0.2">
      <c r="A28" s="61"/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</row>
    <row r="29" spans="1:12" x14ac:dyDescent="0.2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</row>
    <row r="30" spans="1:12" x14ac:dyDescent="0.2">
      <c r="A30" s="61"/>
      <c r="B30" s="61"/>
      <c r="C30" s="61"/>
      <c r="D30" s="61"/>
      <c r="E30" s="61"/>
      <c r="F30" s="61"/>
      <c r="G30" s="61"/>
      <c r="H30" s="61"/>
      <c r="I30" s="61"/>
      <c r="J30" s="61"/>
      <c r="K30" s="61"/>
      <c r="L30" s="61"/>
    </row>
    <row r="31" spans="1:12" x14ac:dyDescent="0.2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</row>
    <row r="32" spans="1:12" x14ac:dyDescent="0.2">
      <c r="A32" s="61"/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1"/>
    </row>
    <row r="33" spans="1:12" x14ac:dyDescent="0.2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</row>
    <row r="34" spans="1:12" x14ac:dyDescent="0.2">
      <c r="A34" s="61"/>
      <c r="B34" s="61"/>
      <c r="C34" s="61"/>
      <c r="D34" s="61"/>
      <c r="E34" s="61"/>
      <c r="F34" s="61"/>
      <c r="G34" s="61"/>
      <c r="H34" s="61"/>
      <c r="I34" s="61"/>
      <c r="J34" s="61"/>
      <c r="K34" s="61"/>
      <c r="L34" s="61"/>
    </row>
    <row r="35" spans="1:12" x14ac:dyDescent="0.2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</row>
    <row r="36" spans="1:12" x14ac:dyDescent="0.2">
      <c r="A36" s="61"/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1"/>
    </row>
    <row r="37" spans="1:12" x14ac:dyDescent="0.2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</row>
    <row r="38" spans="1:12" x14ac:dyDescent="0.2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</row>
    <row r="39" spans="1:12" x14ac:dyDescent="0.2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</row>
    <row r="40" spans="1:12" x14ac:dyDescent="0.2">
      <c r="A40" s="61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</row>
    <row r="41" spans="1:12" x14ac:dyDescent="0.2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</row>
    <row r="42" spans="1:12" x14ac:dyDescent="0.2">
      <c r="A42" s="61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1"/>
    </row>
    <row r="43" spans="1:12" x14ac:dyDescent="0.2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x14ac:dyDescent="0.2">
      <c r="A44" s="61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</row>
    <row r="45" spans="1:12" x14ac:dyDescent="0.2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</row>
    <row r="46" spans="1:12" x14ac:dyDescent="0.2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</row>
    <row r="47" spans="1:12" x14ac:dyDescent="0.2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</row>
    <row r="48" spans="1:12" x14ac:dyDescent="0.2">
      <c r="A48" s="61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</row>
    <row r="49" spans="1:12" x14ac:dyDescent="0.2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</row>
    <row r="50" spans="1:12" x14ac:dyDescent="0.2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</row>
    <row r="51" spans="1:12" x14ac:dyDescent="0.2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</row>
    <row r="52" spans="1:12" x14ac:dyDescent="0.2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</row>
    <row r="53" spans="1:12" x14ac:dyDescent="0.2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</row>
    <row r="54" spans="1:12" x14ac:dyDescent="0.2">
      <c r="A54" s="61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</row>
    <row r="55" spans="1:12" x14ac:dyDescent="0.2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</row>
    <row r="56" spans="1:12" x14ac:dyDescent="0.2">
      <c r="A56" s="61"/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1"/>
    </row>
    <row r="57" spans="1:12" x14ac:dyDescent="0.2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</row>
    <row r="58" spans="1:12" x14ac:dyDescent="0.2">
      <c r="A58" s="61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</row>
    <row r="59" spans="1:12" x14ac:dyDescent="0.2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</row>
    <row r="60" spans="1:12" x14ac:dyDescent="0.2">
      <c r="A60" s="61"/>
      <c r="B60" s="61"/>
      <c r="C60" s="61"/>
      <c r="D60" s="61"/>
      <c r="E60" s="61"/>
      <c r="F60" s="61"/>
      <c r="G60" s="61"/>
      <c r="H60" s="61"/>
      <c r="I60" s="61"/>
      <c r="J60" s="61"/>
      <c r="K60" s="61"/>
      <c r="L60" s="61"/>
    </row>
    <row r="61" spans="1:12" x14ac:dyDescent="0.2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</row>
    <row r="62" spans="1:12" x14ac:dyDescent="0.2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</row>
    <row r="63" spans="1:12" x14ac:dyDescent="0.2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</row>
    <row r="64" spans="1:12" x14ac:dyDescent="0.2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</row>
    <row r="65" spans="1:12" x14ac:dyDescent="0.2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</row>
    <row r="66" spans="1:12" x14ac:dyDescent="0.2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</row>
    <row r="67" spans="1:12" x14ac:dyDescent="0.2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</row>
    <row r="68" spans="1:12" x14ac:dyDescent="0.2">
      <c r="A68" s="61"/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</row>
    <row r="69" spans="1:12" x14ac:dyDescent="0.2">
      <c r="A69" s="61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1"/>
    </row>
    <row r="70" spans="1:12" x14ac:dyDescent="0.2">
      <c r="A70" s="6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</row>
    <row r="71" spans="1:12" x14ac:dyDescent="0.2">
      <c r="A71" s="6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</row>
    <row r="72" spans="1:12" x14ac:dyDescent="0.2">
      <c r="A72" s="6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</row>
    <row r="73" spans="1:12" x14ac:dyDescent="0.2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</row>
    <row r="74" spans="1:12" x14ac:dyDescent="0.2">
      <c r="A74" s="6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</row>
    <row r="75" spans="1:12" x14ac:dyDescent="0.2">
      <c r="A75" s="6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</row>
    <row r="76" spans="1:12" x14ac:dyDescent="0.2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</row>
    <row r="77" spans="1:12" x14ac:dyDescent="0.2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</row>
    <row r="78" spans="1:12" x14ac:dyDescent="0.2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</row>
    <row r="79" spans="1:12" x14ac:dyDescent="0.2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</row>
    <row r="80" spans="1:12" x14ac:dyDescent="0.2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</row>
    <row r="81" spans="1:12" x14ac:dyDescent="0.2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</row>
    <row r="82" spans="1:12" x14ac:dyDescent="0.2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</row>
    <row r="83" spans="1:12" x14ac:dyDescent="0.2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</row>
    <row r="84" spans="1:12" x14ac:dyDescent="0.2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</row>
    <row r="85" spans="1:12" x14ac:dyDescent="0.2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</row>
    <row r="86" spans="1:12" x14ac:dyDescent="0.2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</row>
    <row r="87" spans="1:12" x14ac:dyDescent="0.2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</row>
    <row r="88" spans="1:12" x14ac:dyDescent="0.2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</row>
    <row r="89" spans="1:12" x14ac:dyDescent="0.2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</row>
    <row r="90" spans="1:12" x14ac:dyDescent="0.2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</row>
    <row r="91" spans="1:12" x14ac:dyDescent="0.2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</row>
    <row r="92" spans="1:12" x14ac:dyDescent="0.2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</row>
    <row r="93" spans="1:12" x14ac:dyDescent="0.2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</row>
    <row r="94" spans="1:12" x14ac:dyDescent="0.2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</row>
    <row r="95" spans="1:12" x14ac:dyDescent="0.2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</row>
    <row r="96" spans="1:12" x14ac:dyDescent="0.2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</row>
    <row r="97" spans="1:12" x14ac:dyDescent="0.2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</row>
    <row r="98" spans="1:12" x14ac:dyDescent="0.2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</row>
    <row r="99" spans="1:12" x14ac:dyDescent="0.2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</row>
    <row r="100" spans="1:12" x14ac:dyDescent="0.2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</row>
    <row r="101" spans="1:12" x14ac:dyDescent="0.2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</row>
    <row r="102" spans="1:12" x14ac:dyDescent="0.2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</row>
    <row r="103" spans="1:12" x14ac:dyDescent="0.2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</row>
    <row r="104" spans="1:12" x14ac:dyDescent="0.2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</row>
    <row r="105" spans="1:12" x14ac:dyDescent="0.2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</row>
    <row r="106" spans="1:12" x14ac:dyDescent="0.2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</row>
    <row r="107" spans="1:12" x14ac:dyDescent="0.2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</row>
    <row r="108" spans="1:12" x14ac:dyDescent="0.2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</row>
    <row r="109" spans="1:12" x14ac:dyDescent="0.2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</row>
    <row r="110" spans="1:12" x14ac:dyDescent="0.2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</row>
    <row r="111" spans="1:12" x14ac:dyDescent="0.2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</row>
    <row r="112" spans="1:12" x14ac:dyDescent="0.2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</row>
    <row r="113" spans="1:12" x14ac:dyDescent="0.2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</row>
    <row r="114" spans="1:12" x14ac:dyDescent="0.2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</row>
    <row r="115" spans="1:12" x14ac:dyDescent="0.2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</row>
    <row r="116" spans="1:12" x14ac:dyDescent="0.2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</row>
    <row r="117" spans="1:12" x14ac:dyDescent="0.2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</row>
    <row r="118" spans="1:12" x14ac:dyDescent="0.2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</row>
  </sheetData>
  <sortState xmlns:xlrd2="http://schemas.microsoft.com/office/spreadsheetml/2017/richdata2" ref="B19:B70">
    <sortCondition ref="B70"/>
  </sortState>
  <hyperlinks>
    <hyperlink ref="A1" location="Main!A1" display="Main" xr:uid="{3D615B08-D3AE-4019-B225-2EAC32ADAB3B}"/>
    <hyperlink ref="C3" r:id="rId1" xr:uid="{90F0D077-7B3E-41C5-BE93-60C8BF5C0BB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B2:C6"/>
  <sheetViews>
    <sheetView zoomScale="200" zoomScaleNormal="200" workbookViewId="0">
      <selection activeCell="B7" sqref="B7"/>
    </sheetView>
  </sheetViews>
  <sheetFormatPr defaultRowHeight="12.75" x14ac:dyDescent="0.2"/>
  <cols>
    <col min="1" max="1" width="4.140625" style="52" customWidth="1"/>
    <col min="2" max="2" width="15.28515625" style="52" customWidth="1"/>
    <col min="3" max="16384" width="9.140625" style="52"/>
  </cols>
  <sheetData>
    <row r="2" spans="2:3" x14ac:dyDescent="0.2">
      <c r="B2" s="52" t="s">
        <v>434</v>
      </c>
      <c r="C2" s="52">
        <v>0.03</v>
      </c>
    </row>
    <row r="3" spans="2:3" x14ac:dyDescent="0.2">
      <c r="B3" s="52" t="s">
        <v>435</v>
      </c>
      <c r="C3" s="52">
        <v>0.14000000000000001</v>
      </c>
    </row>
    <row r="4" spans="2:3" x14ac:dyDescent="0.2">
      <c r="B4" s="52" t="s">
        <v>436</v>
      </c>
      <c r="C4" s="52">
        <v>1.02</v>
      </c>
    </row>
    <row r="5" spans="2:3" x14ac:dyDescent="0.2">
      <c r="B5" s="52" t="s">
        <v>437</v>
      </c>
      <c r="C5" s="52">
        <v>6.8000000000000005E-4</v>
      </c>
    </row>
    <row r="6" spans="2:3" x14ac:dyDescent="0.2">
      <c r="B6" s="52" t="s">
        <v>439</v>
      </c>
      <c r="C6" s="52">
        <v>6.4999999999999997E-3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</vt:lpstr>
      <vt:lpstr>AI</vt:lpstr>
      <vt:lpstr>Semiconductors</vt:lpstr>
      <vt:lpstr>Telecom</vt:lpstr>
      <vt:lpstr>Fintech</vt:lpstr>
      <vt:lpstr>E-Commerce</vt:lpstr>
      <vt:lpstr>Quantum</vt:lpstr>
      <vt:lpstr>Enterprise Cloud</vt:lpstr>
      <vt:lpstr>Social</vt:lpstr>
      <vt:lpstr>Education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2026-07-28T18:00:44Z</dcterms:modified>
</cp:coreProperties>
</file>