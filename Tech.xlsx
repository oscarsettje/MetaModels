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2BC2F94-BFA5-4925-B1F1-197B134EB36F}" xr6:coauthVersionLast="47" xr6:coauthVersionMax="47" xr10:uidLastSave="{00000000-0000-0000-0000-000000000000}"/>
  <bookViews>
    <workbookView xWindow="225" yWindow="3855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H1100" i="1" s="1"/>
  <c r="E1100" i="1"/>
  <c r="H1101" i="1" l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<sst xmlns="http://schemas.openxmlformats.org/spreadsheetml/2006/main" count="5053" uniqueCount="3154">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</sst>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7" fillId="0" borderId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4" applyNumberFormat="0" applyFill="0" applyAlignment="0" applyProtection="0"/>
    <xf numFmtId="0" fontId="32" fillId="0" borderId="5" applyNumberFormat="0" applyFill="0" applyAlignment="0" applyProtection="0"/>
    <xf numFmtId="0" fontId="33" fillId="0" borderId="6" applyNumberFormat="0" applyFill="0" applyAlignment="0" applyProtection="0"/>
    <xf numFmtId="0" fontId="33" fillId="0" borderId="0" applyNumberFormat="0" applyFill="0" applyBorder="0" applyAlignment="0" applyProtection="0"/>
    <xf numFmtId="0" fontId="34" fillId="3" borderId="0" applyNumberFormat="0" applyBorder="0" applyAlignment="0" applyProtection="0"/>
    <xf numFmtId="0" fontId="35" fillId="4" borderId="0" applyNumberFormat="0" applyBorder="0" applyAlignment="0" applyProtection="0"/>
    <xf numFmtId="0" fontId="36" fillId="5" borderId="0" applyNumberFormat="0" applyBorder="0" applyAlignment="0" applyProtection="0"/>
    <xf numFmtId="0" fontId="37" fillId="6" borderId="7" applyNumberFormat="0" applyAlignment="0" applyProtection="0"/>
    <xf numFmtId="0" fontId="38" fillId="7" borderId="8" applyNumberFormat="0" applyAlignment="0" applyProtection="0"/>
    <xf numFmtId="0" fontId="39" fillId="7" borderId="7" applyNumberFormat="0" applyAlignment="0" applyProtection="0"/>
    <xf numFmtId="0" fontId="40" fillId="0" borderId="9" applyNumberFormat="0" applyFill="0" applyAlignment="0" applyProtection="0"/>
    <xf numFmtId="0" fontId="41" fillId="8" borderId="10" applyNumberFormat="0" applyAlignment="0" applyProtection="0"/>
    <xf numFmtId="0" fontId="42" fillId="0" borderId="0" applyNumberFormat="0" applyFill="0" applyBorder="0" applyAlignment="0" applyProtection="0"/>
    <xf numFmtId="0" fontId="29" fillId="9" borderId="11" applyNumberFormat="0" applyFont="0" applyAlignment="0" applyProtection="0"/>
    <xf numFmtId="0" fontId="43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44" fillId="10" borderId="0" applyNumberFormat="0" applyBorder="0" applyAlignment="0" applyProtection="0"/>
    <xf numFmtId="0" fontId="29" fillId="11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44" fillId="14" borderId="0" applyNumberFormat="0" applyBorder="0" applyAlignment="0" applyProtection="0"/>
    <xf numFmtId="0" fontId="29" fillId="15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44" fillId="18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44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44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44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3" borderId="0" applyNumberFormat="0" applyBorder="0" applyAlignment="0" applyProtection="0"/>
  </cellStyleXfs>
  <cellXfs count="48">
    <xf numFmtId="0" fontId="0" fillId="0" borderId="0" xfId="0"/>
    <xf numFmtId="0" fontId="26" fillId="0" borderId="0" xfId="0" applyFont="1"/>
    <xf numFmtId="0" fontId="27" fillId="0" borderId="0" xfId="0" applyFont="1"/>
    <xf numFmtId="0" fontId="28" fillId="0" borderId="0" xfId="0" applyFont="1"/>
    <xf numFmtId="0" fontId="45" fillId="0" borderId="0" xfId="0" applyFont="1"/>
    <xf numFmtId="0" fontId="24" fillId="0" borderId="0" xfId="0" applyFont="1"/>
    <xf numFmtId="0" fontId="24" fillId="0" borderId="0" xfId="0" applyFont="1" applyAlignment="1">
      <alignment horizontal="right"/>
    </xf>
    <xf numFmtId="0" fontId="46" fillId="0" borderId="0" xfId="0" applyFont="1"/>
    <xf numFmtId="0" fontId="27" fillId="2" borderId="1" xfId="0" applyFont="1" applyFill="1" applyBorder="1" applyAlignment="1">
      <alignment horizontal="center"/>
    </xf>
    <xf numFmtId="0" fontId="27" fillId="2" borderId="2" xfId="0" applyFont="1" applyFill="1" applyBorder="1"/>
    <xf numFmtId="0" fontId="27" fillId="2" borderId="2" xfId="0" applyFont="1" applyFill="1" applyBorder="1" applyAlignment="1">
      <alignment horizontal="center"/>
    </xf>
    <xf numFmtId="0" fontId="27" fillId="2" borderId="2" xfId="0" applyFont="1" applyFill="1" applyBorder="1" applyAlignment="1">
      <alignment horizontal="right"/>
    </xf>
    <xf numFmtId="0" fontId="24" fillId="2" borderId="3" xfId="0" applyFont="1" applyFill="1" applyBorder="1"/>
    <xf numFmtId="0" fontId="24" fillId="0" borderId="0" xfId="0" applyFont="1" applyAlignment="1">
      <alignment horizontal="center"/>
    </xf>
    <xf numFmtId="0" fontId="47" fillId="0" borderId="0" xfId="1"/>
    <xf numFmtId="164" fontId="24" fillId="0" borderId="0" xfId="0" applyNumberFormat="1" applyFont="1"/>
    <xf numFmtId="16" fontId="24" fillId="0" borderId="0" xfId="0" applyNumberFormat="1" applyFont="1"/>
    <xf numFmtId="0" fontId="48" fillId="0" borderId="0" xfId="0" applyFont="1"/>
    <xf numFmtId="0" fontId="24" fillId="0" borderId="0" xfId="0" quotePrefix="1" applyFont="1"/>
    <xf numFmtId="0" fontId="46" fillId="0" borderId="0" xfId="0" applyFont="1" applyAlignment="1">
      <alignment horizontal="right"/>
    </xf>
    <xf numFmtId="0" fontId="24" fillId="2" borderId="2" xfId="0" applyFont="1" applyFill="1" applyBorder="1"/>
    <xf numFmtId="0" fontId="27" fillId="2" borderId="3" xfId="0" applyFont="1" applyFill="1" applyBorder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164" fontId="14" fillId="0" borderId="0" xfId="0" applyNumberFormat="1" applyFont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357.2</v>
          </cell>
        </row>
        <row r="5">
          <cell r="G5">
            <v>1686828.7858583999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1460</v>
          </cell>
        </row>
        <row r="4">
          <cell r="H4">
            <v>37857800</v>
          </cell>
        </row>
        <row r="5">
          <cell r="H5">
            <v>2751056</v>
          </cell>
        </row>
        <row r="6">
          <cell r="H6">
            <v>956659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1" t="s">
        <v>3148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1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1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1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1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357.2</v>
      </c>
      <c r="F11" s="15">
        <f>+[8]Main!$G$5</f>
        <v>1686828.7858583999</v>
      </c>
      <c r="G11" s="15">
        <f>+[8]Main!$G$7-[8]Main!$G$6</f>
        <v>57810</v>
      </c>
      <c r="H11" s="15">
        <f t="shared" si="0"/>
        <v>1744638.7858583999</v>
      </c>
      <c r="I11" s="29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1460</v>
      </c>
      <c r="F13" s="15">
        <f>+[10]Main!$H$4*FX!C2</f>
        <v>1135734</v>
      </c>
      <c r="G13" s="15">
        <f>+([10]Main!$H$6-[10]Main!$H$5)*FX!C2</f>
        <v>-53831.909999999996</v>
      </c>
      <c r="H13" s="15">
        <f t="shared" si="0"/>
        <v>1081902.0900000001</v>
      </c>
      <c r="I13" s="46" t="s">
        <v>2709</v>
      </c>
      <c r="J13" s="16">
        <v>45671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1123</v>
      </c>
      <c r="F17" s="15">
        <f>+[14]Main!$I$5</f>
        <v>475851.41108200001</v>
      </c>
      <c r="G17" s="15">
        <f>+[14]Main!$I$7-[14]Main!$I$6</f>
        <v>5138.6280000000006</v>
      </c>
      <c r="H17" s="15">
        <f t="shared" si="3"/>
        <v>480990.03908200003</v>
      </c>
      <c r="I17" s="41" t="s">
        <v>2709</v>
      </c>
      <c r="J17" s="16">
        <v>46043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1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2025-12-29T16:12:43Z</dcterms:modified>
</cp:coreProperties>
</file>