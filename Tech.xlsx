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ED32E5F-2F4D-441D-B44C-CA632F6B8F9E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H1101" i="1"/>
  <c r="G1101" i="1"/>
  <c r="F1101" i="1"/>
  <c r="E1101" i="1"/>
  <c r="A531" i="1"/>
  <c r="G292" i="1"/>
  <c r="F292" i="1"/>
  <c r="E292" i="1"/>
  <c r="G1098" i="1"/>
  <c r="F1098" i="1"/>
  <c r="H1098" i="1" s="1"/>
  <c r="E1098" i="1"/>
  <c r="G1100" i="1"/>
  <c r="F1100" i="1"/>
  <c r="H1100" i="1" s="1"/>
  <c r="E1100" i="1"/>
  <c r="H292" i="1" l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<sst xmlns="http://schemas.openxmlformats.org/spreadsheetml/2006/main" count="5053" uniqueCount="3153">
  <si>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</si>
  <si>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</si>
  <si>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</si>
  <si>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</si>
  <si>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</si>
  <si>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</si>
  <si>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</si>
  <si>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</si>
  <si>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</si>
  <si>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</si>
  <si>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</si>
  <si>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</si>
  <si>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</si>
  <si>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</si>
  <si>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</si>
  <si>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</si>
  <si>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</si>
  <si>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</si>
  <si>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</si>
  <si>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</si>
  <si>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</si>
  <si>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</si>
  <si>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</si>
  <si>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</si>
  <si>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</si>
  <si>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</si>
  <si>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</si>
  <si>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</si>
  <si>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</si>
  <si>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</si>
  <si>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</si>
  <si>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</si>
  <si>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</si>
  <si>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</si>
  <si>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</si>
  <si>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</si>
  <si>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</si>
  <si>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</si>
  <si>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</si>
  <si>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</si>
  <si>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</si>
  <si>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</si>
  <si>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</si>
  <si>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</si>
  <si>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</si>
  <si>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</si>
  <si>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</si>
  <si>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</si>
  <si>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</si>
  <si>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</si>
  <si>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</si>
  <si>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</si>
  <si>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</si>
  <si>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</si>
  <si>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</si>
  <si>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</si>
  <si>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</si>
  <si>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</si>
  <si>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</si>
  <si>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</si>
  <si>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</si>
  <si>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</si>
  <si>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</si>
  <si>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</si>
  <si>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</si>
  <si>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</si>
  <si>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</si>
  <si>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</si>
  <si>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</si>
  <si>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</si>
  <si>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</si>
  <si>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</si>
  <si>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</si>
  <si>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</si>
  <si>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</si>
  <si>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</si>
  <si>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</si>
  <si>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</si>
  <si>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</si>
  <si>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</si>
  <si>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</si>
  <si>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</si>
  <si>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</si>
  <si>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</si>
  <si>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</si>
  <si>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</si>
  <si>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</si>
  <si>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</si>
  <si>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</si>
  <si>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</si>
  <si>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</si>
  <si>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</si>
  <si>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</si>
  <si>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</si>
  <si>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</si>
  <si>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</si>
  <si>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</si>
  <si>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</si>
  <si>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</si>
  <si>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</si>
  <si>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</si>
  <si>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</si>
  <si>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</si>
  <si>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</si>
  <si>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</si>
  <si>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</si>
  <si>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</si>
  <si>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</si>
  <si>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</si>
  <si>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</si>
  <si>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</si>
  <si>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</si>
  <si>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</si>
  <si>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</si>
  <si>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</si>
  <si>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</si>
  <si>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</si>
  <si>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</si>
  <si>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</si>
  <si>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</si>
  <si>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</si>
  <si>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</si>
  <si>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</si>
  <si>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</si>
  <si>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</si>
  <si>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</si>
  <si>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</si>
  <si>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</si>
  <si>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</si>
  <si>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</si>
  <si>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</si>
  <si>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</si>
  <si>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</si>
  <si>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</si>
  <si>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</si>
  <si>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</si>
  <si>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</si>
  <si>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</si>
  <si>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</si>
  <si>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</si>
  <si>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</si>
  <si>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</si>
  <si>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</si>
  <si>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</si>
  <si>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</si>
  <si>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</si>
  <si>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</si>
  <si>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</si>
  <si>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</si>
  <si>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</si>
  <si>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</si>
  <si>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</si>
  <si>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</si>
  <si>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</si>
  <si>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</si>
  <si>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</si>
  <si>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</si>
  <si>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</si>
  <si>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</si>
  <si>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</si>
  <si>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</si>
  <si>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</si>
  <si>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</si>
  <si>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</si>
  <si>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</si>
  <si>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</si>
  <si>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</si>
  <si>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</si>
  <si>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</si>
  <si>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</si>
  <si>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</si>
  <si>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</si>
  <si>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</si>
  <si>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</si>
  <si>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</si>
  <si>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</si>
  <si>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</si>
  <si>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</si>
  <si>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</si>
  <si>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</si>
  <si>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</si>
  <si>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</si>
  <si>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</si>
  <si>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</si>
  <si>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</si>
  <si>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</si>
  <si>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</si>
  <si>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</si>
  <si>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</si>
  <si>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</si>
  <si>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</si>
  <si>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</si>
  <si>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</si>
  <si>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</si>
  <si>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</si>
  <si>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</si>
  <si>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</si>
  <si>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</si>
  <si>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</si>
  <si>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</si>
  <si>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</si>
  <si>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</si>
  <si>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</si>
  <si>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</si>
  <si>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</si>
  <si>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</si>
  <si>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</si>
  <si>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</si>
  <si>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</si>
  <si>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</si>
  <si>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</si>
  <si>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</si>
  <si>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</si>
  <si>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</si>
  <si>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</si>
  <si>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</si>
  <si>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</si>
  <si>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</si>
  <si>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</si>
  <si>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</si>
  <si>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</si>
  <si>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</si>
  <si>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</si>
  <si>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</si>
  <si>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</si>
  <si>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</si>
  <si>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</si>
  <si>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</si>
  <si>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</si>
  <si>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</si>
  <si>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</si>
  <si>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</si>
  <si>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</si>
  <si>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</si>
  <si>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</si>
  <si>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</si>
  <si>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</si>
  <si>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</si>
  <si>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</si>
  <si>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</si>
  <si>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</si>
  <si>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</si>
  <si>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</si>
  <si>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</si>
  <si>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</si>
  <si>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</si>
  <si>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</si>
  <si>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</si>
  <si>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</si>
  <si>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</si>
  <si>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</si>
  <si>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</si>
  <si>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</si>
  <si>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</si>
  <si>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</si>
  <si>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</si>
  <si>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</si>
  <si>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</si>
  <si>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</si>
  <si>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</si>
  <si>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</si>
  <si>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</si>
  <si>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</si>
  <si>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</si>
  <si>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</si>
  <si>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</si>
  <si>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</si>
  <si>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</si>
  <si>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</si>
  <si>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</si>
  <si>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</si>
  <si>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</si>
  <si>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</si>
  <si>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</si>
  <si>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</si>
  <si>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</si>
  <si>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</si>
  <si>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</si>
  <si>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</si>
  <si>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</si>
  <si>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</si>
  <si>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</si>
  <si>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</si>
  <si>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</si>
  <si>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</si>
  <si>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</si>
  <si>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</si>
  <si>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</si>
  <si>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</si>
  <si>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</si>
  <si>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</si>
  <si>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</si>
  <si>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</si>
  <si>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</si>
  <si>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</si>
  <si>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</si>
  <si>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</si>
  <si>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</si>
  <si>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</si>
  <si>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</si>
  <si>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</si>
  <si>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</si>
  <si>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</si>
  <si>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</si>
  <si>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</si>
  <si>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</si>
  <si>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</si>
  <si>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</si>
  <si>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</si>
  <si>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</si>
  <si>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</si>
  <si>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</si>
  <si>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</si>
  <si>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</si>
  <si>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</si>
  <si>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</si>
  <si>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</si>
  <si>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</si>
  <si>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</si>
  <si>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</si>
  <si>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</si>
  <si>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</si>
  <si>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</si>
  <si>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</si>
  <si>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</si>
  <si>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</si>
  <si>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</si>
  <si>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</si>
  <si>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</si>
  <si>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</si>
  <si>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</si>
  <si>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</si>
  <si>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</si>
  <si>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</si>
  <si>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</si>
  <si>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</si>
  <si>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</si>
  <si>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</si>
  <si>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</si>
  <si>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</si>
  <si>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</si>
  <si>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</si>
  <si>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</si>
  <si>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</si>
  <si>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</si>
  <si>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</si>
  <si>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</si>
  <si>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</si>
  <si>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</si>
  <si>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</si>
  <si>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</si>
  <si>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</si>
  <si>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</si>
  <si>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</si>
  <si>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</si>
  <si>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</si>
  <si>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</si>
  <si>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</si>
  <si>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</si>
  <si>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</si>
  <si>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</si>
  <si>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</si>
  <si>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</si>
  <si>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</si>
  <si>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</si>
  <si>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</si>
  <si>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</si>
  <si>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</si>
  <si>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</si>
  <si>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</si>
  <si>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</si>
  <si>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</si>
  <si>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</si>
  <si>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</si>
  <si>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</si>
  <si>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</si>
  <si>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</si>
  <si>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</si>
  <si>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</si>
  <si>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</si>
  <si>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</si>
  <si>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</si>
  <si>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</si>
  <si>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</si>
  <si>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</si>
  <si>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</si>
  <si>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</si>
  <si>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</si>
  <si>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</si>
  <si>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</si>
  <si>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</si>
  <si>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</si>
  <si>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</si>
  <si>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</si>
  <si>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</si>
  <si>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</si>
  <si>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</si>
  <si>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</si>
  <si>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</si>
  <si>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</si>
  <si>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</si>
  <si>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</si>
  <si>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</si>
  <si>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</si>
  <si>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</si>
  <si>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</si>
  <si>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</si>
  <si>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</si>
  <si>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</si>
  <si>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</si>
  <si>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</si>
  <si>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</si>
  <si>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</si>
  <si>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</si>
  <si>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</si>
  <si>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</si>
  <si>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</si>
  <si>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</si>
  <si>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</si>
  <si>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</si>
  <si>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</si>
  <si>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</si>
  <si>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</si>
  <si>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</si>
  <si>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</si>
  <si>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</si>
  <si>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</si>
  <si>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</si>
  <si>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</si>
  <si>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</si>
  <si>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</si>
  <si>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</si>
  <si>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</si>
  <si>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</si>
  <si>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</si>
  <si>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</si>
  <si>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</si>
  <si>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</si>
  <si>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</si>
  <si>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</si>
  <si>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</si>
  <si>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</si>
  <si>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</si>
  <si>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</si>
  <si>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</si>
  <si>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</si>
  <si>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</si>
  <si>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</si>
  <si>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</si>
  <si>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</si>
  <si>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</si>
  <si>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</si>
  <si>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</si>
  <si>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</si>
  <si>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</si>
  <si>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</si>
  <si>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</si>
  <si>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</si>
  <si>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</si>
  <si>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</si>
  <si>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</si>
  <si>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</si>
  <si>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</si>
  <si>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</si>
  <si>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</si>
  <si>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</si>
  <si>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</si>
  <si>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</si>
  <si>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</si>
  <si>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</si>
  <si>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</si>
  <si>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</si>
  <si>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</si>
  <si>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</si>
  <si>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</si>
  <si>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</si>
  <si>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</si>
  <si>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</si>
  <si>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</si>
  <si>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</si>
  <si>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</si>
  <si>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</si>
  <si>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</si>
  <si>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</si>
  <si>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</si>
  <si>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</si>
  <si>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</si>
  <si>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</si>
  <si>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</si>
  <si>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</si>
  <si>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</si>
  <si>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</si>
  <si>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</si>
  <si>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</si>
  <si>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</si>
  <si>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</si>
  <si>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</si>
  <si>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</si>
  <si>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</si>
  <si>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</si>
  <si>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</si>
  <si>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</si>
  <si>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</si>
  <si>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</si>
  <si>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</si>
  <si>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</si>
  <si>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</si>
  <si>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</si>
  <si>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</si>
  <si>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</si>
  <si>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</si>
  <si>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</si>
  <si>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</si>
  <si>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</si>
  <si>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</si>
  <si>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</si>
  <si>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</si>
  <si>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</si>
  <si>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</si>
  <si>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</si>
  <si>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</si>
  <si>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</si>
  <si>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</si>
  <si>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</si>
  <si>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</si>
  <si>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</si>
  <si>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</si>
  <si>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</si>
  <si>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</si>
  <si>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</si>
  <si>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</si>
  <si>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</si>
  <si>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</si>
  <si>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</si>
  <si>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</si>
  <si>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</si>
  <si>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</si>
  <si>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</si>
  <si>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</si>
  <si>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</si>
  <si>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</si>
  <si>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</si>
  <si>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</si>
  <si>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</si>
  <si>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</si>
  <si>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</si>
  <si>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</si>
  <si>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</si>
  <si>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</si>
  <si>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</si>
  <si>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</si>
  <si>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</si>
  <si>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</si>
  <si>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</si>
  <si>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</si>
  <si>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</si>
  <si>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</si>
  <si>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</si>
  <si>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</si>
  <si>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</si>
  <si>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</si>
  <si>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</si>
  <si>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</si>
  <si>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</si>
  <si>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</si>
  <si>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</si>
  <si>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</si>
  <si>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</si>
  <si>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</si>
  <si>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</si>
  <si>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</si>
  <si>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</si>
  <si>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</si>
  <si>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</si>
  <si>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</si>
  <si>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</si>
  <si>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</si>
  <si>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</si>
  <si>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</si>
  <si>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</si>
  <si>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</si>
  <si>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</si>
  <si>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</si>
  <si>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</si>
  <si>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</si>
  <si>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</si>
  <si>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</si>
  <si>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</si>
  <si>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</si>
  <si>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</si>
  <si>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</si>
  <si>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</si>
  <si>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</si>
  <si>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</si>
  <si>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</si>
  <si>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</si>
  <si>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</si>
  <si>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</si>
  <si>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</si>
  <si>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</si>
  <si>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</si>
  <si>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</si>
  <si>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</si>
  <si>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</si>
  <si>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</si>
  <si>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</si>
  <si>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</si>
  <si>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</si>
  <si>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</si>
  <si>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</si>
  <si>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</si>
  <si>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</si>
  <si>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</si>
  <si>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</si>
  <si>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</si>
  <si>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</si>
  <si>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</si>
  <si>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</si>
  <si>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</si>
  <si>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</si>
  <si>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</si>
  <si>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</si>
  <si>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</si>
  <si>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</si>
  <si>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</si>
  <si>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</si>
  <si>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</si>
  <si>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</si>
  <si>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</si>
  <si>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</si>
  <si>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</si>
  <si>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</si>
  <si>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</si>
  <si>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</si>
  <si>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</si>
  <si>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</si>
  <si>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</si>
  <si>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</si>
  <si>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</si>
  <si>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</si>
  <si>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</si>
  <si>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</si>
  <si>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</si>
  <si>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</si>
  <si>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</si>
  <si>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</si>
  <si>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</si>
  <si>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</si>
  <si>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</si>
  <si>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</si>
  <si>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</si>
  <si>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</si>
  <si>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</si>
  <si>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</si>
  <si>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</si>
  <si>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</si>
  <si>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</si>
  <si>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</si>
  <si>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</si>
  <si>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</si>
  <si>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</si>
  <si>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</si>
  <si>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</si>
  <si>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</si>
  <si>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</si>
  <si>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</si>
  <si>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</si>
  <si>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</si>
  <si>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</si>
  <si>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</si>
  <si>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</si>
  <si>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</si>
  <si>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</si>
  <si>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</si>
  <si>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</si>
  <si>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</si>
  <si>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</si>
  <si>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</si>
  <si>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</si>
  <si>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</si>
  <si>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</si>
  <si>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</si>
  <si>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</si>
  <si>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</si>
  <si>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</si>
  <si>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</si>
  <si>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</si>
  <si>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</si>
  <si>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</si>
  <si>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</si>
  <si>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</si>
  <si>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</si>
  <si>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</si>
  <si>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</si>
  <si>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</si>
  <si>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</si>
  <si>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</si>
  <si>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</si>
  <si>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</si>
  <si>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</si>
  <si>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</si>
  <si>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</si>
  <si>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</si>
  <si>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</si>
  <si>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</si>
  <si>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</si>
  <si>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</si>
  <si>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</si>
  <si>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</si>
  <si>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</si>
  <si>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</si>
  <si>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</si>
  <si>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</si>
  <si>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</si>
  <si>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</si>
  <si>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</si>
  <si>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</si>
  <si>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</si>
  <si>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</si>
  <si>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</si>
  <si>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</si>
  <si>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</si>
  <si>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</si>
  <si>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</si>
  <si>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</si>
  <si>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</si>
  <si>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</si>
  <si>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</si>
  <si>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</si>
  <si>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</si>
  <si>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</si>
  <si>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</si>
  <si>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</si>
  <si>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</si>
  <si>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</si>
  <si>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</si>
  <si>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</si>
  <si>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</si>
  <si>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</si>
  <si>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</si>
  <si>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</si>
  <si>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</si>
  <si>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</si>
  <si>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</si>
  <si>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</si>
  <si>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</si>
  <si>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</si>
  <si>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</si>
  <si>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</si>
  <si>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</si>
  <si>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</si>
  <si>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</si>
  <si>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</si>
  <si>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</si>
  <si>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</si>
  <si>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</si>
  <si>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</si>
  <si>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</si>
  <si>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</si>
  <si>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</si>
  <si>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</si>
  <si>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</si>
  <si>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</si>
  <si>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</si>
  <si>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</si>
  <si>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</si>
  <si>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</si>
  <si>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</si>
  <si>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</si>
  <si>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</si>
  <si>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</si>
  <si>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</si>
  <si>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</si>
  <si>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</si>
  <si>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</si>
  <si>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</si>
  <si>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</si>
  <si>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</si>
  <si>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</si>
  <si>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</si>
  <si>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</si>
  <si>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</si>
  <si>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</si>
  <si>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</si>
  <si>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</si>
  <si>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</si>
  <si>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</si>
  <si>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</si>
  <si>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</si>
  <si>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</si>
  <si>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</si>
  <si>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</si>
  <si>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</si>
  <si>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</si>
  <si>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</si>
  <si>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</si>
  <si>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</si>
  <si>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</si>
  <si>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</si>
  <si>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</si>
  <si>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</si>
  <si>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</si>
  <si>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</si>
  <si>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</si>
  <si>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</si>
  <si>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</si>
  <si>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</si>
  <si>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</si>
  <si>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</si>
  <si>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</si>
  <si>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</si>
  <si>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</si>
  <si>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</si>
  <si>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</si>
  <si>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</si>
  <si>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</si>
  <si>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</si>
  <si>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</si>
  <si>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</si>
  <si>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</si>
  <si>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</si>
  <si>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</si>
  <si>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</si>
  <si>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</si>
  <si>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</si>
  <si>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</si>
  <si>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</si>
  <si>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</si>
  <si>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</si>
  <si>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</si>
  <si>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</si>
  <si>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</si>
  <si>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</si>
  <si>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</si>
  <si>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</si>
  <si>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</si>
  <si>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</si>
  <si>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</si>
  <si>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</si>
  <si>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</si>
  <si>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</si>
  <si>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</si>
  <si>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</si>
  <si>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</si>
  <si>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</si>
  <si>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</si>
  <si>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</si>
  <si>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</si>
  <si>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</si>
  <si>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</si>
  <si>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</si>
  <si>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</si>
  <si>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</si>
  <si>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</si>
  <si>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</si>
  <si>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</si>
  <si>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</si>
  <si>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</si>
  <si>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</si>
  <si>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</si>
  <si>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</si>
  <si>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</si>
  <si>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</si>
  <si>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</si>
  <si>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</si>
  <si>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</si>
  <si>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</si>
  <si>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</si>
  <si>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</si>
  <si>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</si>
  <si>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</si>
  <si>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</si>
  <si>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</si>
  <si>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</si>
  <si>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</si>
  <si>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</si>
  <si>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</si>
  <si>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</si>
  <si>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</si>
  <si>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</si>
  <si>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</si>
  <si>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</si>
  <si>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</si>
  <si>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</si>
  <si>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</si>
  <si>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</si>
  <si>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</si>
  <si>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</si>
  <si>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</si>
  <si>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</si>
  <si>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</si>
  <si>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</si>
  <si>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</si>
  <si>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</si>
  <si>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</si>
  <si>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</si>
  <si>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</si>
  <si>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</si>
  <si>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</si>
  <si>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</si>
  <si>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</si>
  <si>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</si>
  <si>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</si>
  <si>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</si>
  <si>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</si>
  <si>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</si>
  <si>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</si>
  <si>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</si>
  <si>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</si>
  <si>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</si>
  <si>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</si>
  <si>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</si>
  <si>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</si>
  <si>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</si>
  <si>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</si>
  <si>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</si>
  <si>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</si>
  <si>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</si>
  <si>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</si>
  <si>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</si>
  <si>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</si>
  <si>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</si>
  <si>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</si>
  <si>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</si>
  <si>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</si>
  <si>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</si>
  <si>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</si>
  <si>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</si>
  <si>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</si>
  <si>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</si>
  <si>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</si>
  <si>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</si>
  <si>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</si>
  <si>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</si>
  <si>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</si>
  <si>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</si>
  <si>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</si>
  <si>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</si>
  <si>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</si>
  <si>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</si>
  <si>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</si>
  <si>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</si>
  <si>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</si>
  <si>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</si>
  <si>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</si>
  <si>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</si>
  <si>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</si>
  <si>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</si>
  <si>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</si>
  <si>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</si>
  <si>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</si>
  <si>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</si>
  <si>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</si>
  <si>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</si>
  <si>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</si>
  <si>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</si>
  <si>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</si>
  <si>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</si>
  <si>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</si>
  <si>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</si>
  <si>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</si>
  <si>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</si>
  <si>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</si>
  <si>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</si>
  <si>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</si>
  <si>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</si>
  <si>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</si>
  <si>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</si>
  <si>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</si>
  <si>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</si>
  <si>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</si>
  <si>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</si>
  <si>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</si>
  <si>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</si>
  <si>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</si>
  <si>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</si>
  <si>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</si>
  <si>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</si>
  <si>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</si>
  <si>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</si>
  <si>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</si>
  <si>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</si>
  <si>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</si>
  <si>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</si>
  <si>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</si>
  <si>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</si>
  <si>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</si>
  <si>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</si>
  <si>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</si>
  <si>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</si>
  <si>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</si>
  <si>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</si>
  <si>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</si>
  <si>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</si>
  <si>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</si>
  <si>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</si>
  <si>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</si>
  <si>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</si>
  <si>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</si>
  <si>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</si>
  <si>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</si>
  <si>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</si>
  <si>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</si>
  <si>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</si>
  <si>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</si>
  <si>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</si>
  <si>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</si>
  <si>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</si>
  <si>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</si>
  <si>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</si>
  <si>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</si>
  <si>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</si>
  <si>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</si>
  <si>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</si>
  <si>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</si>
  <si>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</si>
  <si>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</si>
  <si>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</si>
  <si>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</si>
  <si>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</si>
  <si>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</si>
  <si>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</si>
  <si>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</si>
  <si>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</si>
  <si>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</si>
  <si>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</si>
  <si>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</si>
  <si>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</si>
  <si>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</si>
  <si>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</si>
  <si>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</si>
  <si>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</si>
  <si>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</si>
  <si>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</si>
  <si>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</si>
  <si>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</si>
  <si>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</si>
  <si>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</si>
  <si>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</si>
  <si>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</si>
  <si>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</si>
  <si>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</si>
  <si>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</si>
  <si>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</si>
  <si>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</si>
  <si>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</si>
  <si>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</si>
  <si>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</si>
  <si>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</si>
  <si>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</si>
  <si>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</si>
  <si>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</si>
  <si>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</si>
  <si>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</si>
  <si>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</si>
  <si>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</si>
  <si>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</si>
  <si>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</si>
  <si>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</si>
  <si>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</si>
  <si>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</si>
  <si>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</si>
  <si>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</si>
  <si>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</si>
  <si>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</si>
  <si>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</si>
  <si>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</si>
  <si>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</si>
  <si>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</si>
  <si>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</si>
  <si>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</si>
  <si>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</si>
  <si>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</si>
  <si>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</si>
  <si>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</si>
  <si>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</si>
  <si>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</si>
  <si>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</si>
  <si>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</si>
  <si>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</si>
  <si>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</si>
  <si>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</si>
  <si>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</si>
  <si>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</si>
  <si>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</si>
  <si>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</si>
  <si>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</si>
  <si>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</si>
  <si>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</si>
  <si>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</si>
  <si>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</si>
  <si>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</si>
  <si>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</si>
  <si>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</si>
  <si>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</si>
  <si>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</si>
  <si>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</si>
  <si>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</si>
  <si>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</si>
  <si>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</si>
  <si>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</si>
  <si>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</si>
  <si>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</si>
  <si>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</si>
  <si>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</si>
  <si>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</si>
  <si>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</si>
  <si>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</si>
  <si>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</si>
  <si>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</si>
  <si>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</si>
  <si>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</si>
  <si>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</si>
  <si>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</si>
  <si>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</si>
  <si>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</si>
  <si>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</si>
  <si>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</si>
  <si>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</si>
  <si>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</si>
  <si>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</si>
  <si>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</si>
  <si>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</si>
  <si>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</si>
  <si>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</si>
  <si>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</si>
  <si>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</si>
  <si>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</si>
  <si>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</si>
  <si>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</si>
  <si>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</si>
  <si>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</si>
  <si>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</si>
  <si>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</si>
  <si>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</si>
  <si>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</si>
  <si>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</si>
  <si>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</si>
  <si>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</si>
  <si>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</si>
  <si>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</si>
  <si>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</si>
  <si>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</si>
  <si>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</si>
  <si>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</si>
  <si>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</si>
  <si>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</si>
  <si>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</si>
  <si>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</si>
  <si>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</si>
  <si>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</si>
  <si>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</si>
  <si>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</si>
  <si>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</si>
  <si>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</si>
  <si>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</si>
  <si>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</si>
  <si>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</si>
  <si>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</si>
  <si>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</si>
  <si>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</si>
  <si>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</si>
  <si>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</si>
  <si>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</si>
  <si>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</si>
  <si>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</si>
  <si>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</si>
  <si>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</si>
  <si>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</si>
  <si>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</si>
  <si>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</si>
  <si>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</si>
  <si>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</si>
  <si>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</si>
  <si>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</si>
  <si>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</si>
  <si>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</si>
  <si>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</si>
  <si>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</si>
  <si>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</si>
  <si>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</si>
  <si>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</si>
  <si>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</si>
  <si>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</si>
  <si>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</si>
  <si>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</si>
  <si>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</si>
  <si>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</si>
  <si>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</si>
  <si>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</si>
  <si>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</si>
  <si>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</si>
  <si>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</si>
  <si>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</si>
  <si>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</si>
  <si>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</si>
  <si>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</si>
  <si>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</si>
  <si>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</si>
  <si>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</si>
  <si>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</si>
  <si>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</si>
  <si>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</si>
  <si>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</si>
  <si>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</si>
  <si>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</si>
  <si>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</si>
  <si>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</si>
  <si>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</si>
  <si>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</si>
  <si>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</si>
  <si>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</si>
  <si>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</si>
  <si>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</si>
  <si>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</si>
  <si>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</si>
  <si>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</si>
  <si>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</si>
  <si>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</si>
  <si>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</si>
  <si>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</si>
  <si>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</si>
  <si>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</si>
  <si>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</si>
  <si>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</si>
  <si>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</si>
  <si>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</si>
  <si>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</si>
  <si>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</si>
  <si>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</si>
  <si>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</si>
  <si>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</si>
  <si>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</si>
  <si>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</si>
  <si>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</si>
  <si>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</si>
  <si>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</si>
  <si>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</si>
  <si>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</si>
  <si>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</si>
  <si>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</si>
  <si>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</si>
  <si>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</si>
  <si>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</si>
  <si>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</si>
  <si>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</si>
  <si>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</si>
  <si>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</si>
  <si>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</si>
  <si>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</si>
  <si>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</si>
  <si>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</si>
  <si>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</si>
  <si>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</si>
  <si>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</si>
  <si>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</si>
  <si>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</si>
  <si>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</si>
  <si>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</si>
  <si>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</si>
  <si>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</si>
  <si>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</si>
  <si>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</si>
  <si>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</si>
  <si>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</si>
  <si>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</si>
  <si>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</si>
  <si>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</si>
  <si>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</si>
  <si>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</si>
  <si>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</si>
  <si>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</si>
  <si>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</si>
  <si>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</si>
  <si>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</si>
  <si>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</si>
  <si>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</si>
  <si>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</si>
  <si>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</si>
  <si>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</si>
  <si>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</si>
  <si>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</si>
  <si>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</si>
  <si>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</si>
  <si>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</si>
  <si>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</si>
  <si>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</si>
  <si>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</si>
  <si>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</si>
  <si>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</si>
  <si>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</si>
  <si>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</si>
  <si>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</si>
  <si>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</si>
  <si>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</si>
  <si>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</si>
  <si>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</si>
  <si>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</si>
  <si>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</si>
  <si>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</si>
  <si>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</si>
  <si>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</si>
  <si>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</si>
  <si>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</si>
  <si>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</si>
  <si>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</si>
  <si>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</si>
  <si>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</si>
  <si>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</si>
  <si>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</si>
  <si>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</si>
  <si>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</si>
  <si>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</si>
  <si>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</si>
  <si>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</si>
  <si>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</si>
  <si>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</si>
  <si>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</si>
  <si>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</si>
  <si>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</si>
  <si>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</si>
  <si>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</si>
  <si>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</si>
  <si>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</si>
  <si>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</si>
  <si>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</si>
  <si>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</si>
  <si>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</si>
  <si>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</si>
  <si>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</si>
  <si>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</si>
  <si>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</si>
  <si>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</si>
  <si>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</si>
  <si>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</si>
  <si>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</si>
  <si>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</si>
  <si>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</si>
  <si>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</si>
  <si>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</si>
  <si>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</si>
  <si>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</si>
  <si>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</si>
  <si>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</si>
  <si>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</si>
  <si>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</si>
  <si>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</si>
  <si>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</si>
  <si>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</si>
  <si>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</si>
  <si>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</si>
  <si>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</si>
  <si>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</si>
  <si>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</si>
  <si>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</si>
  <si>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</si>
  <si>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</si>
  <si>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</si>
  <si>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</si>
  <si>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</si>
  <si>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</si>
  <si>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</si>
  <si>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</si>
  <si>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</si>
  <si>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</si>
  <si>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</si>
  <si>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</si>
  <si>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</si>
  <si>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</si>
  <si>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</si>
  <si>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</si>
  <si>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</si>
  <si>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</si>
  <si>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</si>
  <si>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</si>
  <si>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</si>
  <si>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</si>
  <si>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</si>
  <si>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</si>
  <si>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</si>
  <si>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</si>
  <si>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</si>
  <si>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</si>
  <si>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</si>
  <si>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</si>
  <si>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</si>
  <si>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</si>
  <si>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</si>
  <si>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</si>
  <si>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</si>
  <si>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</si>
  <si>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</si>
  <si>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</si>
  <si>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</si>
  <si>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</si>
  <si>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</si>
  <si>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</si>
  <si>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</si>
  <si>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</si>
  <si>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</si>
  <si>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</si>
  <si>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</si>
  <si>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</si>
  <si>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</si>
  <si>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</si>
  <si>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</si>
  <si>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</si>
  <si>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</si>
  <si>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</si>
  <si>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</si>
  <si>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</si>
  <si>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</si>
  <si>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</si>
  <si>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</si>
  <si>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</si>
  <si>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</si>
  <si>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</si>
  <si>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</si>
  <si>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</si>
  <si>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</si>
  <si>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</si>
  <si>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</si>
  <si>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</si>
  <si>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</si>
  <si>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</si>
  <si>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</si>
  <si>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</si>
  <si>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</si>
  <si>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</si>
  <si>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</si>
  <si>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</si>
  <si>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</si>
  <si>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</si>
  <si>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</si>
  <si>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</si>
  <si>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</si>
  <si>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</si>
  <si>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</si>
  <si>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</si>
  <si>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</si>
  <si>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</si>
  <si>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</si>
  <si>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</si>
  <si>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</si>
  <si>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</si>
  <si>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</si>
  <si>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</si>
  <si>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</si>
  <si>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</si>
  <si>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</si>
  <si>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</si>
  <si>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</si>
  <si>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</si>
  <si>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</si>
  <si>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</si>
  <si>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</si>
  <si>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</si>
  <si>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</si>
  <si>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</si>
  <si>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</si>
  <si>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</si>
  <si>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</si>
  <si>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</si>
  <si>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</si>
  <si>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</si>
  <si>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</si>
  <si>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</si>
  <si>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</si>
  <si>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</si>
  <si>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</si>
  <si>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</si>
  <si>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</si>
  <si>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</si>
  <si>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</si>
  <si>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</si>
  <si>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</si>
  <si>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</si>
  <si>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</si>
  <si>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</si>
  <si>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</si>
  <si>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</si>
  <si>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</si>
  <si>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</si>
  <si>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</si>
  <si>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</si>
  <si>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</si>
  <si>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</si>
  <si>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</si>
  <si>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</si>
  <si>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</si>
  <si>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</si>
  <si>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</si>
  <si>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</si>
  <si>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</si>
  <si>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</si>
  <si>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</si>
  <si>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</si>
  <si>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</si>
  <si>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</si>
  <si>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</si>
  <si>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</si>
  <si>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</si>
  <si>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</si>
  <si>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</si>
  <si>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</si>
  <si>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</si>
  <si>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</si>
  <si>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</si>
  <si>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</si>
  <si>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</si>
  <si>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</si>
  <si>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</si>
  <si>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</si>
  <si>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</si>
  <si>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</si>
  <si>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</si>
  <si>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</si>
  <si>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</si>
  <si>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</si>
  <si>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</si>
  <si>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</si>
  <si>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</si>
  <si>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</si>
  <si>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</si>
  <si>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</si>
  <si>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</si>
  <si>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</si>
  <si>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</si>
  <si>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</si>
  <si>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</si>
  <si>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</si>
  <si>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</si>
  <si>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</si>
  <si>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</si>
  <si>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</si>
  <si>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</si>
  <si>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</si>
  <si>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</si>
  <si>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</si>
  <si>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</si>
  <si>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</si>
  <si>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</si>
  <si>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</si>
  <si>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</si>
  <si>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</si>
  <si>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</si>
  <si>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</si>
  <si>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</si>
  <si>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</si>
  <si>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</si>
  <si>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</si>
  <si>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</si>
  <si>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</si>
  <si>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</si>
  <si>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</si>
  <si>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</si>
  <si>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</si>
  <si>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</si>
  <si>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</si>
  <si>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</si>
  <si>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</si>
  <si>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</si>
  <si>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</si>
  <si>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</si>
  <si>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</si>
  <si>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</si>
  <si>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</si>
  <si>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</si>
  <si>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</si>
  <si>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</si>
  <si>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</si>
  <si>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</si>
  <si>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</si>
  <si>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</si>
  <si>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</si>
  <si>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</si>
  <si>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</si>
  <si>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</si>
  <si>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</si>
  <si>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</si>
  <si>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</si>
  <si>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</si>
  <si>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</si>
  <si>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</si>
  <si>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</si>
  <si>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</si>
  <si>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</si>
  <si>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</si>
  <si>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</si>
  <si>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</si>
  <si>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</si>
  <si>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</si>
  <si>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</si>
  <si>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</si>
  <si>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</si>
  <si>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</si>
  <si>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</si>
  <si>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</si>
  <si>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</si>
  <si>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</si>
  <si>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</si>
  <si>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</si>
  <si>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</si>
  <si>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</si>
  <si>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</si>
  <si>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</si>
  <si>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</si>
  <si>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</si>
  <si>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</si>
  <si>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</si>
  <si>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</si>
  <si>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</si>
  <si>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</si>
  <si>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</si>
  <si>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</si>
  <si>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</si>
  <si>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</si>
  <si>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</si>
  <si>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</si>
  <si>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</si>
  <si>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</si>
  <si>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</si>
  <si>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</si>
  <si>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</si>
  <si>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</si>
  <si>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</si>
  <si>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</si>
  <si>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</si>
  <si>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</si>
  <si>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</si>
  <si>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</si>
  <si>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</si>
  <si>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</si>
  <si>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</si>
  <si>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</si>
  <si>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</si>
  <si>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</si>
  <si>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</si>
  <si>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</si>
  <si>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</si>
  <si>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</si>
  <si>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</si>
  <si>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</si>
  <si>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</si>
  <si>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</si>
  <si>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</si>
  <si>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</si>
  <si>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</si>
  <si>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</si>
  <si>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</si>
  <si>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</si>
  <si>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</si>
  <si>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</si>
  <si>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</si>
  <si>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</si>
  <si>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</si>
  <si>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</si>
  <si>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</si>
  <si>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</si>
  <si>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</si>
  <si>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</si>
  <si>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</si>
  <si>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</si>
  <si>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</si>
  <si>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</si>
  <si>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</si>
  <si>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</si>
  <si>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</si>
  <si>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</si>
  <si>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</si>
  <si>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</si>
  <si>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</si>
  <si>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</si>
  <si>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</si>
  <si>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</si>
  <si>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</si>
  <si>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</si>
  <si>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</si>
  <si>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</si>
  <si>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</si>
  <si>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</si>
  <si>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</si>
  <si>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</si>
  <si>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</si>
  <si>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</si>
  <si>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</si>
  <si>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</si>
  <si>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</si>
  <si>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</si>
  <si>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</si>
  <si>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</si>
  <si>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</si>
  <si>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</si>
  <si>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</si>
  <si>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</si>
  <si>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</si>
  <si>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</si>
  <si>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</si>
  <si>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</si>
  <si>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</si>
  <si>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</si>
  <si>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</si>
  <si>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</si>
  <si>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</si>
  <si>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</si>
  <si>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</si>
  <si>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</si>
  <si>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</si>
  <si>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</si>
  <si>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</si>
  <si>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</si>
  <si>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</si>
  <si>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</si>
  <si>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</si>
  <si>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</si>
  <si>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</si>
  <si>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</si>
  <si>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</si>
  <si>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</si>
  <si>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</si>
  <si>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</si>
  <si>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</si>
  <si>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</si>
  <si>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</si>
  <si>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</si>
  <si>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</si>
  <si>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</si>
  <si>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</si>
  <si>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</si>
  <si>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</si>
  <si>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</si>
  <si>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</si>
  <si>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</si>
  <si>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</si>
  <si>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</si>
  <si>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</si>
  <si>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</si>
  <si>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</si>
  <si>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</si>
  <si>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</si>
  <si>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</si>
  <si>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</si>
  <si>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</si>
  <si>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</si>
  <si>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</si>
  <si>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</si>
  <si>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</si>
  <si>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</si>
  <si>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</si>
  <si>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</si>
  <si>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</si>
  <si>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</si>
  <si>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</si>
  <si>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</si>
  <si>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</si>
  <si>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</si>
  <si>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</si>
  <si>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</si>
  <si>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</si>
  <si>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</si>
  <si>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</si>
  <si>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</si>
  <si>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</si>
  <si>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</si>
  <si>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</si>
  <si>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</si>
  <si>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</si>
  <si>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</si>
  <si>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</si>
  <si>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</si>
  <si>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</si>
  <si>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</si>
  <si>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</si>
  <si>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</si>
  <si>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</si>
  <si>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</si>
  <si>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</si>
  <si>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</si>
  <si>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</si>
  <si>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</si>
  <si>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</si>
  <si>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</si>
  <si>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</si>
  <si>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</si>
  <si>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</si>
  <si>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</si>
  <si>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</si>
  <si>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</si>
  <si>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</si>
  <si>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</si>
  <si>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</si>
  <si>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</si>
  <si>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</si>
  <si>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</si>
  <si>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</si>
  <si>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</si>
  <si>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</si>
  <si>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</si>
  <si>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</si>
  <si>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</si>
  <si>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</si>
  <si>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</si>
  <si>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</si>
  <si>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</si>
  <si>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</si>
  <si>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</si>
  <si>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</si>
  <si>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</si>
  <si>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</si>
  <si>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</si>
  <si>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</si>
  <si>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</si>
  <si>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</si>
  <si>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</si>
  <si>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</si>
  <si>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</si>
  <si>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</si>
  <si>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</si>
  <si>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</si>
  <si>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</si>
  <si>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</si>
  <si>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</si>
  <si>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</si>
  <si>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</si>
  <si>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</si>
  <si>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</si>
  <si>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</si>
  <si>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</si>
  <si>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</si>
  <si>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</si>
  <si>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</si>
  <si>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</si>
  <si>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</si>
  <si>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</si>
  <si>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</si>
  <si>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</si>
  <si>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</si>
  <si>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</si>
  <si>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</si>
  <si>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</si>
  <si>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</si>
  <si>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</si>
  <si>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</si>
  <si>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</si>
  <si>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</si>
  <si>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</si>
  <si>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</si>
  <si>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</si>
  <si>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</si>
  <si>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</si>
  <si>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</si>
  <si>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</si>
  <si>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</si>
  <si>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</si>
  <si>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</si>
  <si>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</si>
  <si>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</si>
  <si>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</si>
  <si>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</si>
  <si>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</si>
  <si>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</si>
  <si>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</si>
  <si>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</si>
  <si>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</si>
  <si>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</si>
  <si>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</si>
  <si>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</si>
  <si>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</si>
  <si>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</si>
  <si>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</si>
  <si>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</si>
  <si>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</si>
  <si>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</si>
  <si>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</si>
  <si>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</si>
  <si>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</si>
  <si>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</si>
  <si>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</si>
  <si>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</si>
  <si>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</si>
  <si>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</si>
  <si>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</si>
  <si>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</si>
  <si>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</si>
  <si>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</si>
  <si>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</si>
  <si>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</si>
  <si>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</si>
  <si>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</si>
  <si>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</si>
  <si>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</si>
  <si>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</si>
  <si>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</si>
  <si>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</si>
  <si>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</si>
  <si>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</si>
  <si>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</si>
  <si>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</si>
  <si>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</si>
  <si>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</si>
  <si>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</si>
  <si>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</si>
  <si>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</si>
  <si>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</si>
  <si>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</si>
  <si>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</si>
  <si>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</si>
  <si>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</si>
  <si>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</si>
  <si>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</si>
  <si>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</si>
  <si>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</si>
  <si>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</si>
  <si>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</si>
  <si>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</si>
  <si>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</si>
  <si>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</si>
  <si>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</si>
  <si>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</si>
  <si>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</si>
  <si>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</si>
  <si>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</si>
  <si>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</si>
  <si>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</si>
  <si>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</si>
  <si>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</si>
  <si>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</si>
  <si>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</si>
  <si>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</si>
  <si>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</si>
  <si>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</si>
  <si>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</si>
  <si>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</si>
  <si>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</si>
  <si>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</si>
  <si>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</si>
  <si>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</si>
  <si>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</si>
  <si>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</si>
  <si>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</si>
  <si>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</si>
  <si>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</si>
  <si>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</si>
  <si>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</si>
  <si>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</si>
  <si>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</si>
  <si>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</si>
  <si>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</si>
  <si>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</si>
  <si>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</si>
  <si>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</si>
  <si>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</si>
  <si>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</si>
  <si>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</si>
  <si>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</si>
  <si>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</si>
  <si>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</si>
  <si>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</si>
  <si>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</si>
  <si>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</si>
  <si>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</si>
  <si>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</si>
  <si>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</si>
  <si>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</si>
  <si>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</si>
  <si>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</si>
  <si>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</si>
  <si>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</si>
  <si>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</si>
  <si>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</si>
  <si>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</si>
  <si>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</si>
  <si>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</si>
  <si>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</si>
  <si>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</si>
  <si>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</si>
  <si>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</si>
  <si>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</si>
  <si>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</si>
  <si>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</si>
  <si>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</si>
  <si>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</si>
  <si>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</si>
  <si>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</si>
  <si>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</si>
  <si>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</si>
  <si>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</si>
  <si>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</si>
  <si>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</si>
  <si>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</si>
  <si>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</si>
  <si>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</si>
  <si>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</si>
  <si>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</si>
  <si>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</si>
  <si>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</si>
  <si>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</si>
  <si>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</si>
  <si>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</si>
  <si>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</si>
  <si>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</si>
  <si>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</si>
  <si>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</si>
  <si>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</si>
  <si>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</si>
  <si>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</si>
  <si>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</si>
  <si>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</si>
  <si>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</si>
  <si>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</si>
  <si>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</si>
  <si>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</si>
  <si>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</si>
  <si>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</si>
  <si>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</si>
  <si>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</si>
  <si>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</si>
  <si>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</si>
  <si>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</si>
  <si>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</si>
  <si>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</si>
  <si>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</si>
  <si>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</si>
  <si>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</si>
  <si>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</si>
  <si>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</si>
  <si>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</si>
  <si>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</si>
  <si>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</si>
  <si>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</si>
  <si>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</si>
  <si>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</si>
  <si>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</si>
  <si>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</si>
  <si>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</si>
  <si>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</si>
  <si>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</si>
  <si>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</si>
  <si>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</si>
  <si>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</si>
  <si>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</si>
  <si>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</si>
  <si>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</si>
  <si>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</si>
  <si>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</si>
  <si>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</si>
  <si>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</si>
  <si>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</si>
  <si>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</si>
  <si>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</si>
  <si>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</si>
  <si>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</si>
  <si>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</si>
  <si>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</si>
  <si>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</si>
  <si>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</si>
  <si>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</si>
  <si>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</si>
  <si>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</si>
  <si>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</si>
  <si>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</si>
  <si>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</si>
  <si>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</si>
  <si>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</si>
  <si>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</si>
  <si>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</si>
  <si>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</si>
  <si>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</si>
  <si>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</si>
  <si>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</si>
  <si>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</si>
  <si>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</si>
  <si>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</si>
  <si>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</si>
  <si>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</si>
  <si>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</si>
  <si>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</si>
  <si>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</si>
  <si>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</si>
  <si>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</si>
  <si>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</si>
  <si>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</si>
  <si>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</si>
  <si>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</si>
  <si>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</si>
  <si>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</si>
  <si>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</si>
  <si>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</si>
  <si>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</si>
  <si>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</si>
  <si>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</si>
  <si>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</si>
  <si>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</si>
  <si>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</si>
  <si>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</si>
  <si>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</si>
  <si>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</si>
  <si>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</si>
  <si>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</si>
  <si>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</si>
  <si>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</si>
  <si>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</si>
  <si>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</si>
  <si>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</si>
  <si>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</si>
  <si>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</si>
  <si>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</si>
  <si>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</si>
  <si>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</si>
  <si>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</si>
  <si>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</si>
  <si>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</si>
  <si>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</si>
  <si>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</si>
  <si>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</si>
  <si>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</si>
  <si>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</si>
  <si>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</si>
  <si>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</si>
  <si>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</si>
  <si>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</si>
  <si>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</si>
  <si>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</si>
  <si>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</si>
  <si>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</si>
  <si>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</si>
  <si>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</si>
  <si>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</si>
  <si>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</si>
  <si>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</si>
  <si>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</si>
  <si>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</si>
  <si>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</si>
  <si>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</si>
  <si>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</si>
  <si>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</si>
  <si>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</si>
  <si>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</si>
  <si>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</si>
  <si>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</si>
  <si>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</si>
  <si>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</si>
  <si>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</si>
  <si>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</si>
  <si>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</si>
  <si>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</si>
  <si>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</si>
  <si>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</si>
  <si>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</si>
  <si>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</si>
  <si>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</si>
  <si>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</si>
  <si>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</si>
  <si>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</si>
  <si>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</si>
  <si>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</si>
  <si>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</si>
  <si>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</si>
  <si>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</si>
  <si>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</si>
  <si>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</si>
  <si>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</si>
  <si>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</si>
  <si>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</si>
  <si>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</si>
  <si>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</si>
  <si>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</si>
  <si>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</si>
  <si>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</si>
  <si>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</si>
  <si>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</si>
  <si>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</si>
  <si>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</si>
  <si>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</si>
  <si>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</si>
  <si>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</si>
  <si>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</si>
  <si>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</si>
  <si>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</si>
  <si>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</si>
  <si>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</si>
  <si>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</si>
  <si>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</si>
  <si>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</si>
  <si>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</si>
  <si>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</si>
  <si>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</si>
  <si>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</si>
  <si>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</si>
  <si>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</si>
  <si>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</si>
  <si>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</si>
  <si>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</si>
  <si>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</si>
  <si>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</si>
  <si>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</si>
  <si>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</si>
  <si>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</si>
  <si>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</si>
  <si>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</si>
  <si>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</si>
  <si>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</si>
  <si>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</si>
  <si>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</si>
  <si>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</si>
  <si>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</si>
  <si>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</si>
  <si>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</si>
  <si>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</si>
  <si>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</si>
  <si>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</si>
  <si>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</si>
  <si>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</si>
  <si>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</si>
  <si>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</si>
  <si>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</si>
  <si>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</si>
  <si>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</si>
  <si>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</si>
  <si>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</si>
  <si>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</si>
  <si>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</si>
  <si>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</si>
  <si>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</si>
  <si>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</si>
  <si>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</si>
  <si>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</si>
  <si>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</si>
  <si>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</si>
  <si>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</si>
  <si>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</si>
  <si>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</si>
  <si>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</si>
  <si>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</si>
  <si>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</si>
  <si>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</si>
  <si>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</si>
  <si>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</si>
  <si>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</si>
  <si>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</si>
  <si>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</si>
  <si>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</si>
  <si>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</si>
  <si>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</si>
  <si>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</si>
  <si>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</si>
  <si>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</si>
  <si>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</si>
  <si>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</si>
  <si>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</si>
  <si>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</si>
  <si>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</si>
  <si>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</si>
  <si>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</si>
  <si>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</si>
  <si>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</si>
  <si>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</si>
  <si>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</si>
  <si>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</si>
  <si>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</si>
  <si>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</si>
  <si>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</si>
  <si>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</si>
  <si>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</si>
  <si>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</si>
  <si>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</si>
  <si>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</si>
  <si>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</si>
  <si>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</si>
  <si>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</si>
  <si>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</si>
  <si>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</si>
  <si>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</si>
  <si>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</si>
  <si>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</si>
  <si>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</si>
  <si>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</si>
  <si>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</si>
  <si>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</si>
  <si>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</si>
  <si>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</si>
  <si>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</si>
  <si>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</si>
  <si>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</si>
  <si>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</si>
  <si>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</si>
  <si>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</si>
  <si>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</si>
  <si>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</si>
  <si>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</si>
  <si>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</si>
  <si>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</si>
  <si>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</si>
  <si>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</si>
  <si>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</si>
  <si>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</si>
  <si>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</si>
  <si>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</si>
  <si>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</si>
  <si>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</si>
  <si>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</si>
  <si>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</si>
  <si>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</si>
  <si>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</si>
  <si>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</si>
  <si>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</si>
  <si>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</si>
  <si>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</si>
  <si>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</si>
  <si>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</si>
  <si>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</si>
  <si>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</si>
  <si>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</si>
  <si>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</si>
  <si>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</si>
  <si>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</si>
  <si>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</si>
  <si>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</si>
  <si>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</si>
  <si>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</si>
  <si>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</si>
  <si>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</si>
  <si>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</si>
  <si>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</si>
  <si>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</si>
  <si>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</si>
  <si>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</si>
  <si>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</si>
  <si>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</si>
  <si>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</si>
  <si>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</si>
  <si>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</si>
  <si>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</si>
  <si>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</si>
  <si>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</si>
  <si>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</si>
  <si>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</si>
  <si>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</si>
  <si>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</si>
  <si>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</si>
  <si>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</si>
  <si>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</si>
  <si>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</si>
  <si>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</si>
  <si>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</si>
  <si>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</si>
  <si>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</si>
  <si>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</si>
  <si>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</si>
  <si>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</si>
  <si>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</si>
  <si>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</si>
  <si>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</si>
  <si>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</si>
  <si>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</si>
  <si>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</si>
  <si>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</si>
  <si>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</si>
  <si>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</si>
  <si>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</si>
  <si>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</si>
  <si>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</si>
  <si>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</si>
  <si>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</si>
  <si>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</si>
  <si>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</si>
  <si>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</si>
  <si>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</si>
  <si>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</si>
  <si>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</si>
  <si>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</si>
  <si>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</si>
  <si>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</si>
  <si>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</si>
  <si>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</si>
  <si>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</si>
  <si>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</si>
  <si>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</si>
  <si>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</si>
  <si>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</si>
  <si>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</si>
  <si>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</si>
  <si>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</si>
  <si>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</si>
  <si>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</si>
  <si>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</si>
  <si>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</si>
  <si>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</si>
  <si>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</si>
  <si>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</si>
  <si>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</si>
  <si>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</si>
  <si>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</si>
  <si>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</si>
  <si>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</si>
  <si>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</si>
  <si>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</si>
  <si>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</si>
  <si>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</si>
  <si>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</si>
  <si>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</si>
  <si>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</si>
  <si>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</si>
  <si>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</si>
  <si>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</si>
  <si>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</si>
  <si>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</si>
  <si>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</si>
  <si>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</si>
  <si>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</si>
  <si>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</si>
  <si>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</si>
  <si>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</si>
  <si>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</si>
  <si>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</si>
  <si>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</si>
  <si>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</si>
  <si>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</si>
  <si>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</si>
  <si>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</si>
  <si>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</si>
  <si>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</si>
  <si>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</si>
  <si>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</si>
  <si>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</si>
  <si>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</si>
  <si>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</si>
  <si>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</si>
  <si>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</si>
  <si>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</si>
  <si>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</si>
  <si>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</si>
  <si>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</si>
  <si>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</si>
  <si>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</si>
  <si>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</si>
  <si>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</si>
  <si>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</si>
  <si>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</si>
  <si>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</si>
  <si>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</si>
  <si>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</si>
  <si>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</si>
  <si>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</si>
  <si>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</si>
  <si>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</si>
  <si>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</si>
  <si>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</si>
  <si>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</si>
  <si>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</si>
  <si>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</si>
  <si>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</si>
  <si>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</si>
  <si>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</si>
  <si>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</si>
  <si>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</si>
  <si>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</si>
  <si>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</si>
  <si>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</si>
  <si>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</si>
  <si>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</si>
  <si>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</si>
  <si>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</si>
  <si>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</si>
  <si>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</si>
  <si>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</si>
  <si>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</si>
  <si>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</si>
  <si>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</si>
  <si>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</si>
  <si>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</si>
  <si>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</si>
  <si>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</si>
  <si>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</si>
  <si>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</si>
  <si>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</si>
  <si>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</si>
  <si>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</si>
  <si>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</si>
  <si>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</si>
  <si>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</si>
  <si>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</si>
  <si>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</si>
  <si>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</si>
  <si>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</si>
  <si>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</si>
  <si>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</si>
  <si>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</si>
  <si>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</si>
  <si>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</si>
  <si>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</si>
  <si>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</si>
  <si>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</si>
  <si>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</si>
  <si>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</si>
  <si>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</si>
  <si>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</si>
  <si>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</si>
  <si>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</si>
  <si>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</si>
  <si>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</si>
  <si>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</si>
  <si>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</si>
  <si>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</si>
  <si>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</si>
  <si>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</si>
  <si>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</si>
  <si>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</si>
  <si>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</si>
  <si>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</si>
  <si>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</si>
  <si>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</si>
  <si>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</si>
  <si>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</si>
  <si>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</si>
  <si>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</si>
  <si>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</si>
  <si>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</si>
  <si>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</si>
  <si>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</si>
  <si>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</si>
  <si>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</si>
  <si>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</si>
  <si>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</si>
  <si>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</si>
  <si>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</si>
  <si>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</si>
  <si>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</si>
  <si>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</si>
  <si>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</si>
  <si>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</si>
  <si>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</si>
  <si>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</si>
  <si>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</si>
  <si>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</si>
  <si>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</si>
  <si>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</si>
  <si>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</si>
  <si>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</si>
  <si>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</si>
  <si>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</si>
  <si>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</si>
  <si>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</si>
  <si>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</si>
  <si>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</si>
  <si>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</si>
  <si>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</si>
  <si>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</si>
  <si>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</si>
  <si>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</si>
  <si>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</si>
  <si>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</si>
  <si>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</si>
  <si>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</si>
  <si>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</si>
  <si>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</si>
  <si>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</si>
  <si>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</si>
  <si>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</si>
  <si>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</si>
  <si>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</si>
  <si>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</si>
  <si>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</si>
  <si>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</si>
  <si>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</si>
  <si>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</si>
  <si>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</si>
  <si>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</si>
  <si>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</si>
  <si>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</si>
  <si>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</si>
  <si>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</si>
  <si>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</si>
  <si>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</si>
  <si>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</si>
  <si>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</si>
  <si>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</si>
  <si>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</si>
  <si>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</si>
  <si>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</si>
  <si>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</si>
  <si>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</si>
  <si>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</si>
  <si>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</si>
  <si>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</si>
  <si>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</si>
  <si>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</si>
  <si>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</si>
  <si>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</si>
  <si>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</si>
  <si>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</si>
  <si>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</si>
  <si>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</si>
  <si>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</si>
  <si>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</si>
  <si>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</si>
  <si>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</si>
  <si>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</si>
  <si>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</si>
  <si>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</si>
  <si>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</si>
  <si>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</si>
  <si>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</si>
  <si>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</si>
  <si>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</si>
  <si>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</si>
  <si>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</si>
  <si>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</si>
  <si>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</si>
  <si>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</si>
  <si>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</si>
  <si>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</si>
  <si>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</si>
  <si>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</si>
  <si>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</si>
  <si>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</si>
  <si>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</si>
  <si>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</si>
  <si>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</si>
  <si>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</si>
  <si>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</si>
  <si>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</si>
  <si>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</si>
  <si>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</si>
  <si>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</si>
  <si>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</si>
  <si>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</si>
  <si>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</si>
  <si>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</si>
  <si>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</si>
  <si>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</si>
  <si>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</si>
  <si>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</si>
  <si>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</si>
  <si>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</si>
  <si>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</si>
  <si>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</si>
  <si>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</si>
  <si>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</si>
  <si>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</si>
  <si>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</si>
  <si>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</si>
  <si>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</si>
  <si>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</si>
  <si>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</si>
  <si>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</si>
  <si>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</si>
  <si>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</si>
  <si>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</si>
  <si>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</si>
  <si>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</si>
  <si>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</si>
  <si>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</si>
  <si>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</si>
  <si>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</si>
  <si>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</si>
  <si>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</si>
  <si>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</si>
  <si>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</si>
  <si>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</si>
  <si>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</si>
  <si>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</si>
  <si>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</si>
  <si>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</si>
  <si>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</si>
  <si>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</si>
  <si>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</si>
  <si>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</si>
  <si>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</si>
  <si>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</si>
  <si>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</si>
  <si>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</si>
  <si>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</si>
  <si>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</si>
  <si>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</si>
  <si>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</si>
  <si>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</si>
  <si>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</si>
  <si>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</si>
  <si>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</si>
  <si>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</si>
  <si>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</si>
  <si>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</si>
  <si>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</si>
  <si>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</si>
  <si>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</si>
  <si>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</si>
  <si>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</si>
  <si>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</si>
  <si>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</si>
  <si>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</si>
  <si>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</si>
  <si>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</si>
  <si>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</si>
  <si>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</si>
  <si>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</si>
  <si>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</si>
  <si>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</si>
  <si>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</si>
  <si>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</si>
  <si>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</si>
  <si>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</si>
  <si>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</si>
  <si>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</si>
  <si>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</si>
  <si>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</si>
  <si>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</si>
  <si>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</si>
  <si>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</si>
  <si>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</si>
  <si>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</si>
  <si>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</si>
  <si>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</si>
  <si>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</si>
  <si>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</si>
  <si>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</si>
  <si>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</si>
  <si>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</si>
  <si>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</si>
  <si>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</si>
  <si>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</si>
  <si>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</si>
  <si>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</si>
  <si>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</si>
  <si>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</si>
  <si>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</si>
  <si>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</si>
  <si>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</si>
  <si>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</si>
  <si>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</si>
  <si>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</si>
  <si>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</si>
  <si>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</si>
  <si>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</si>
  <si>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</si>
  <si>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</si>
  <si>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</si>
  <si>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</si>
  <si>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</si>
  <si>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</si>
  <si>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</si>
  <si>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</si>
  <si>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</si>
  <si>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</si>
  <si>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</si>
  <si>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</si>
  <si>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</si>
  <si>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</si>
  <si>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</si>
  <si>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</si>
  <si>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</si>
  <si>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</si>
  <si>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</si>
  <si>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</si>
  <si>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</si>
  <si>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</si>
  <si>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</si>
  <si>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</si>
  <si>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</si>
  <si>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</si>
  <si>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</si>
  <si>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</si>
  <si>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</si>
  <si>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</si>
  <si>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</si>
  <si>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</si>
  <si>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</si>
  <si>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</si>
  <si>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</si>
  <si>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</si>
  <si>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</si>
  <si>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</si>
  <si>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</si>
  <si>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</si>
  <si>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</si>
  <si>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</si>
  <si>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</si>
  <si>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</si>
  <si>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</si>
  <si>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</si>
  <si>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</si>
  <si>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</si>
  <si>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</si>
  <si>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</si>
  <si>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</si>
  <si>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</si>
  <si>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</si>
  <si>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</si>
  <si>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</si>
  <si>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</si>
  <si>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</si>
  <si>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</si>
  <si>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</si>
  <si>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</si>
  <si>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</si>
  <si>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</si>
  <si>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</si>
  <si>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</si>
  <si>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</si>
  <si>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</si>
  <si>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</si>
  <si>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</si>
  <si>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</si>
  <si>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</si>
  <si>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</si>
  <si>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</si>
  <si>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</si>
  <si>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</si>
  <si>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</si>
  <si>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</si>
  <si>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</si>
  <si>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</si>
  <si>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</si>
  <si>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</si>
  <si>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</si>
  <si>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</si>
  <si>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</si>
  <si>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</si>
  <si>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</si>
  <si>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</si>
  <si>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</si>
  <si>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</si>
  <si>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</si>
  <si>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</si>
  <si>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</si>
  <si>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</si>
  <si>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</si>
  <si>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</si>
  <si>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</si>
  <si>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</si>
  <si>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</si>
  <si>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</si>
  <si>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</si>
  <si>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</si>
  <si>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</si>
  <si>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</si>
  <si>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</si>
  <si>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</si>
  <si>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</si>
  <si>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</si>
  <si>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</si>
  <si>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</si>
  <si>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</si>
  <si>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</si>
  <si>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</si>
  <si>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</si>
  <si>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</si>
  <si>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</si>
  <si>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</si>
  <si>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</si>
  <si>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</si>
  <si>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</si>
  <si>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</si>
  <si>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</si>
  <si>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</si>
  <si>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</si>
  <si>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</si>
  <si>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</si>
  <si>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</si>
  <si>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</si>
  <si>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</si>
  <si>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</si>
  <si>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</si>
  <si>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</si>
  <si>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</si>
  <si>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</si>
  <si>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</si>
  <si>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</si>
  <si>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</si>
  <si>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</si>
  <si>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</si>
  <si>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</si>
  <si>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</si>
  <si>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</si>
  <si>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</si>
  <si>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</si>
  <si>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</si>
  <si>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</si>
  <si>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</si>
  <si>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</si>
  <si>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</si>
  <si>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</si>
  <si>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</si>
  <si>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</si>
  <si>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</si>
  <si>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</si>
  <si>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</si>
  <si>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</si>
  <si>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</si>
  <si>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</si>
  <si>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</si>
  <si>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</si>
  <si>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</si>
  <si>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</si>
  <si>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</si>
  <si>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</si>
  <si>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</si>
  <si>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</si>
  <si>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</si>
  <si>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</si>
  <si>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</si>
  <si>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</si>
  <si>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</si>
  <si>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</si>
  <si>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</si>
  <si>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</si>
  <si>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</si>
  <si>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</si>
  <si>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</si>
  <si>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</si>
  <si>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</si>
  <si>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</si>
  <si>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</si>
  <si>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</si>
  <si>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</si>
  <si>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</si>
  <si>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</si>
  <si>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</si>
  <si>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</si>
  <si>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</si>
  <si>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</si>
  <si>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</si>
  <si>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</si>
  <si>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</si>
  <si>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</si>
  <si>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</si>
  <si>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</si>
  <si>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</si>
  <si>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</si>
  <si>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</si>
  <si>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</si>
  <si>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</si>
  <si>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</si>
  <si>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</si>
  <si>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</si>
  <si>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</si>
  <si>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</si>
  <si>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</si>
  <si>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</si>
  <si>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</si>
  <si>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</si>
  <si>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</si>
  <si>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</si>
  <si>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</si>
  <si>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</si>
  <si>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</si>
  <si>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</si>
  <si>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</si>
  <si>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</si>
  <si>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</si>
  <si>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</si>
  <si>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</si>
  <si>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</si>
  <si>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</si>
  <si>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</si>
  <si>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</si>
  <si>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</si>
  <si>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</si>
  <si>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</si>
  <si>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</si>
  <si>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</si>
  <si>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</si>
  <si>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</si>
  <si>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</si>
  <si>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</si>
  <si>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</si>
  <si>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</si>
  <si>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</si>
  <si>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</si>
  <si>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</si>
  <si>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</si>
  <si>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</si>
  <si>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</si>
  <si>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</si>
  <si>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</si>
  <si>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</si>
  <si>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</si>
  <si>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</si>
  <si>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</si>
  <si>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</si>
  <si>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</si>
  <si>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</si>
  <si>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</si>
  <si>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</si>
  <si>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</si>
  <si>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</si>
  <si>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</si>
  <si>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</si>
  <si>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</si>
  <si>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</si>
  <si>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</si>
  <si>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</si>
  <si>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</si>
  <si>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</si>
  <si>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</si>
  <si>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</si>
  <si>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</si>
  <si>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</si>
  <si>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</si>
  <si>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</si>
  <si>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</si>
  <si>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</si>
  <si>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</si>
  <si>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</si>
  <si>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</si>
  <si>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</si>
  <si>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</si>
  <si>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</si>
  <si>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</si>
  <si>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</si>
  <si>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</si>
  <si>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</si>
  <si>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</si>
  <si>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</si>
  <si>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</si>
  <si>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</si>
  <si>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</si>
  <si>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</si>
  <si>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</si>
  <si>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</si>
  <si>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</si>
  <si>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</si>
  <si>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</si>
  <si>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</si>
  <si>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</si>
  <si>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</si>
  <si>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</si>
  <si>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</si>
  <si>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</si>
  <si>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</si>
  <si>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</si>
  <si>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</si>
  <si>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</si>
  <si>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</si>
  <si>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</si>
  <si>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</si>
  <si>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</si>
  <si>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</si>
  <si>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</si>
  <si>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</si>
  <si>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</si>
  <si>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</si>
  <si>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</si>
  <si>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</si>
  <si>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</si>
  <si>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</si>
  <si>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</si>
  <si>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</si>
  <si>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</si>
  <si>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</si>
  <si>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</si>
  <si>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</si>
  <si>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</si>
  <si>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</si>
  <si>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</si>
  <si>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</si>
  <si>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</si>
  <si>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</si>
  <si>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</si>
  <si>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</si>
  <si>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</si>
  <si>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</si>
  <si>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</si>
  <si>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</si>
  <si>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</si>
  <si>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</si>
  <si>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</si>
  <si>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</si>
  <si>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</si>
  <si>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</si>
  <si>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</si>
  <si>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</si>
  <si>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</si>
  <si>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</si>
  <si>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</si>
  <si>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</si>
  <si>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</si>
  <si>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</si>
  <si>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</si>
  <si>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</si>
  <si>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</si>
  <si>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</si>
  <si>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</si>
  <si>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</si>
  <si>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</si>
  <si>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</si>
  <si>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</si>
  <si>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</si>
  <si>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</si>
  <si>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</si>
  <si>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</si>
  <si>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</si>
  <si>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</si>
  <si>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</si>
  <si>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</si>
  <si>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</si>
  <si>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</si>
  <si>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</si>
  <si>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</si>
  <si>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</si>
  <si>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</si>
  <si>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</si>
  <si>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</si>
  <si>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</si>
  <si>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</si>
  <si>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</si>
  <si>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</si>
  <si>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</si>
  <si>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</si>
  <si>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</si>
  <si>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</si>
  <si>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</si>
  <si>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</si>
  <si>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</si>
  <si>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</si>
  <si>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</si>
  <si>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</si>
  <si>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</si>
  <si>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</si>
  <si>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</si>
  <si>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</si>
  <si>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</si>
  <si>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</si>
  <si>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</si>
  <si>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</si>
  <si>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</si>
  <si>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</si>
  <si>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</si>
  <si>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</si>
  <si>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</si>
  <si>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</si>
  <si>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</si>
  <si>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</si>
  <si>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</si>
  <si>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</si>
  <si>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</si>
  <si>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</si>
  <si>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</si>
  <si>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</si>
  <si>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</si>
  <si>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</si>
  <si>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</si>
  <si>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</si>
  <si>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</si>
  <si>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</si>
  <si>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</si>
  <si>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</si>
  <si>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</si>
  <si>
    <t>Acquired</t>
  </si>
  <si>
    <t>Q425</t>
  </si>
  <si>
    <t>9626.HK</t>
  </si>
  <si>
    <t>BiliBili</t>
  </si>
  <si>
    <t>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</si>
</sst>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5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" applyNumberFormat="0" applyFill="0" applyAlignment="0" applyProtection="0"/>
    <xf numFmtId="0" fontId="30" fillId="0" borderId="5" applyNumberFormat="0" applyFill="0" applyAlignment="0" applyProtection="0"/>
    <xf numFmtId="0" fontId="31" fillId="0" borderId="6" applyNumberFormat="0" applyFill="0" applyAlignment="0" applyProtection="0"/>
    <xf numFmtId="0" fontId="31" fillId="0" borderId="0" applyNumberFormat="0" applyFill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0" applyNumberFormat="0" applyBorder="0" applyAlignment="0" applyProtection="0"/>
    <xf numFmtId="0" fontId="35" fillId="6" borderId="7" applyNumberFormat="0" applyAlignment="0" applyProtection="0"/>
    <xf numFmtId="0" fontId="36" fillId="7" borderId="8" applyNumberFormat="0" applyAlignment="0" applyProtection="0"/>
    <xf numFmtId="0" fontId="37" fillId="7" borderId="7" applyNumberFormat="0" applyAlignment="0" applyProtection="0"/>
    <xf numFmtId="0" fontId="38" fillId="0" borderId="9" applyNumberFormat="0" applyFill="0" applyAlignment="0" applyProtection="0"/>
    <xf numFmtId="0" fontId="39" fillId="8" borderId="10" applyNumberFormat="0" applyAlignment="0" applyProtection="0"/>
    <xf numFmtId="0" fontId="40" fillId="0" borderId="0" applyNumberFormat="0" applyFill="0" applyBorder="0" applyAlignment="0" applyProtection="0"/>
    <xf numFmtId="0" fontId="27" fillId="9" borderId="11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12" applyNumberFormat="0" applyFill="0" applyAlignment="0" applyProtection="0"/>
    <xf numFmtId="0" fontId="42" fillId="10" borderId="0" applyNumberFormat="0" applyBorder="0" applyAlignment="0" applyProtection="0"/>
    <xf numFmtId="0" fontId="27" fillId="11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42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42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4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27" fillId="25" borderId="0" applyNumberFormat="0" applyBorder="0" applyAlignment="0" applyProtection="0"/>
    <xf numFmtId="0" fontId="42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42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3" borderId="0" applyNumberFormat="0" applyBorder="0" applyAlignment="0" applyProtection="0"/>
  </cellStyleXfs>
  <cellXfs count="46">
    <xf numFmtId="0" fontId="0" fillId="0" borderId="0" xfId="0"/>
    <xf numFmtId="0" fontId="24" fillId="0" borderId="0" xfId="0" applyFont="1"/>
    <xf numFmtId="0" fontId="25" fillId="0" borderId="0" xfId="0" applyFont="1"/>
    <xf numFmtId="0" fontId="26" fillId="0" borderId="0" xfId="0" applyFont="1"/>
    <xf numFmtId="0" fontId="43" fillId="0" borderId="0" xfId="0" applyFont="1"/>
    <xf numFmtId="0" fontId="22" fillId="0" borderId="0" xfId="0" applyFont="1"/>
    <xf numFmtId="0" fontId="22" fillId="0" borderId="0" xfId="0" applyFont="1" applyAlignment="1">
      <alignment horizontal="right"/>
    </xf>
    <xf numFmtId="0" fontId="44" fillId="0" borderId="0" xfId="0" applyFont="1"/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/>
    <xf numFmtId="0" fontId="25" fillId="2" borderId="2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right"/>
    </xf>
    <xf numFmtId="0" fontId="22" fillId="2" borderId="3" xfId="0" applyFont="1" applyFill="1" applyBorder="1"/>
    <xf numFmtId="0" fontId="22" fillId="0" borderId="0" xfId="0" applyFont="1" applyAlignment="1">
      <alignment horizontal="center"/>
    </xf>
    <xf numFmtId="0" fontId="45" fillId="0" borderId="0" xfId="1"/>
    <xf numFmtId="164" fontId="22" fillId="0" borderId="0" xfId="0" applyNumberFormat="1" applyFont="1"/>
    <xf numFmtId="16" fontId="22" fillId="0" borderId="0" xfId="0" applyNumberFormat="1" applyFont="1"/>
    <xf numFmtId="0" fontId="46" fillId="0" borderId="0" xfId="0" applyFont="1"/>
    <xf numFmtId="0" fontId="22" fillId="0" borderId="0" xfId="0" quotePrefix="1" applyFont="1"/>
    <xf numFmtId="0" fontId="44" fillId="0" borderId="0" xfId="0" applyFont="1" applyAlignment="1">
      <alignment horizontal="right"/>
    </xf>
    <xf numFmtId="0" fontId="22" fillId="2" borderId="2" xfId="0" applyFont="1" applyFill="1" applyBorder="1"/>
    <xf numFmtId="0" fontId="25" fillId="2" borderId="3" xfId="0" applyFont="1" applyFill="1" applyBorder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164" fontId="11" fillId="0" borderId="0" xfId="0" applyNumberFormat="1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203.4</v>
          </cell>
        </row>
        <row r="4">
          <cell r="I4">
            <v>4956044.4000000004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1087" activePane="bottomRight" state="frozen"/>
      <selection pane="topRight" activeCell="C1" sqref="C1"/>
      <selection pane="bottomLeft" activeCell="A3" sqref="A3"/>
      <selection pane="bottomRight" activeCell="B1101" sqref="B1101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203.4</v>
      </c>
      <c r="F4" s="15">
        <f>+[1]Main!$I$4</f>
        <v>4956044.4000000004</v>
      </c>
      <c r="G4" s="15">
        <f>+[1]Main!$I$6-[1]Main!$I$5</f>
        <v>-48325</v>
      </c>
      <c r="H4" s="15">
        <f>F4+G4</f>
        <v>4907719.4000000004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2" t="s">
        <v>3149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2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2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2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2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2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3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6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1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2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6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5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5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40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40" t="s">
        <v>3149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40" t="s">
        <v>3147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1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5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2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5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2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9" t="s">
        <v>3148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8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8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7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3151</v>
      </c>
      <c r="C1101" s="44" t="s">
        <v>3150</v>
      </c>
      <c r="D1101" s="44" t="s">
        <v>768</v>
      </c>
      <c r="E1101" s="5">
        <f>+[95]Main!$I$2</f>
        <v>209</v>
      </c>
      <c r="F1101" s="15">
        <f>+[95]Main!$I$5*FX!C3</f>
        <v>11115.748496252399</v>
      </c>
      <c r="G1101" s="15">
        <f>+([95]Main!$I$7-[95]Main!$I$6)*FX!C3</f>
        <v>-1206.6192600000004</v>
      </c>
      <c r="H1101" s="15">
        <f>+F1101+G1101</f>
        <v>9909.1292362524</v>
      </c>
      <c r="I1101" s="45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+[83]Main!$I$2</f>
        <v>251.74</v>
      </c>
      <c r="F4" s="15">
        <f>+[83]Main!$I$4</f>
        <v>283312.98862612003</v>
      </c>
      <c r="G4" s="15">
        <f>+[83]Main!$I$6-[83]Main!$I$5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+[84]Main!$J$2</f>
        <v>334.9</v>
      </c>
      <c r="F4" s="15">
        <f>+[84]Main!$J$4</f>
        <v>622169.62413309992</v>
      </c>
      <c r="G4" s="15">
        <f>+[84]Main!$J$6-[84]Main!$J$5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+[85]Main!$I$2</f>
        <v>519.49</v>
      </c>
      <c r="F5" s="15">
        <f>+[85]Main!$I$4</f>
        <v>473623.45178194001</v>
      </c>
      <c r="G5" s="15">
        <f>+[85]Main!$I$6-[85]Main!$I$5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+[86]Main!$J$2</f>
        <v>494.32</v>
      </c>
      <c r="F7" s="15">
        <f>+[86]Main!$J$4</f>
        <v>151607.94399999999</v>
      </c>
      <c r="G7" s="15">
        <f>+[86]Main!$J$6-[86]Main!$J$5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+[87]Main!$I$2</f>
        <v>185.7</v>
      </c>
      <c r="F10" s="15">
        <f>+[87]Main!$I$4</f>
        <v>106522.39852469999</v>
      </c>
      <c r="G10" s="15">
        <f>+[87]Main!$I$6-[87]Main!$I$5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2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+[88]Main!$I$2</f>
        <v>86.25</v>
      </c>
      <c r="F14" s="15">
        <f>+[88]Main!$I$4</f>
        <v>49517.989724999999</v>
      </c>
      <c r="G14" s="15">
        <f>+[88]Main!$I$6-[88]Main!$I$5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+[89]Main!$I$2</f>
        <v>220.4</v>
      </c>
      <c r="F15" s="15">
        <f>+[89]Main!$I$4</f>
        <v>45785.921346000003</v>
      </c>
      <c r="G15" s="15">
        <f>+[89]Main!$I$6-[89]Main!$I$5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+[90]Main!$J$2</f>
        <v>544.77</v>
      </c>
      <c r="F16" s="15">
        <f>+[90]Main!$J$4</f>
        <v>42149.669331149998</v>
      </c>
      <c r="G16" s="15">
        <f>+[90]Main!$J$6-[90]Main!$J$5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+[91]Main!$J$2</f>
        <v>208.42</v>
      </c>
      <c r="F20" s="15">
        <f>+[91]Main!$J$4</f>
        <v>22709.220190600001</v>
      </c>
      <c r="G20" s="15">
        <f>+[91]Main!$J$6-[91]Main!$J$5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+[92]Main!$K$2</f>
        <v>39.04</v>
      </c>
      <c r="F50" s="15">
        <f>+[92]Main!$K$4</f>
        <v>14227.016843519999</v>
      </c>
      <c r="G50" s="15">
        <f>+[92]Main!$K$6-[92]Main!$K$5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+[93]Main!$H$2</f>
        <v>34.51</v>
      </c>
      <c r="F52" s="15">
        <f>+[93]Main!$H$4</f>
        <v>5275.3449914199991</v>
      </c>
      <c r="G52" s="15">
        <f>+[93]Main!$H$6-[93]Main!$H$5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4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4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4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4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4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4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4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4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4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4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+[94]Main!$I$2</f>
        <v>38.35</v>
      </c>
      <c r="F14" s="15">
        <f>+[94]Main!$I$4</f>
        <v>9227.8593374500015</v>
      </c>
      <c r="G14" s="15">
        <f>+[94]Main!$I$6-[94]Main!$I$5</f>
        <v>3088.2860000000001</v>
      </c>
      <c r="H14" s="34">
        <f>+F14+G14</f>
        <v>12316.145337450002</v>
      </c>
      <c r="I14" s="33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4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4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4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4">
        <f>+F18+G18</f>
        <v>3218.92225168</v>
      </c>
      <c r="I18" s="33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4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4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4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4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4" t="s">
        <v>3151</v>
      </c>
      <c r="C23" s="44" t="s">
        <v>3150</v>
      </c>
      <c r="D23" s="44" t="s">
        <v>3152</v>
      </c>
      <c r="E23" s="5"/>
      <c r="F23" s="15"/>
      <c r="G23" s="15"/>
      <c r="H23" s="34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4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4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4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4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4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4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4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4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4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4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4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4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2025-11-15T09:03:13Z</dcterms:modified>
</cp:coreProperties>
</file>