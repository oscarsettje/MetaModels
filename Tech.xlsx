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5FC864D-F380-4886-8B29-B08F8DAF7D57}" xr6:coauthVersionLast="47" xr6:coauthVersionMax="47" xr10:uidLastSave="{00000000-0000-0000-0000-000000000000}"/>
  <bookViews>
    <workbookView xWindow="225" yWindow="3510" windowWidth="38175" windowHeight="15240" activeTab="2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4" i="9" l="1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91" i="1" l="1"/>
  <c r="H131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E35" i="1"/>
  <c r="G33" i="1"/>
  <c r="F33" i="1"/>
  <c r="E33" i="1"/>
  <c r="E15" i="3"/>
  <c r="H35" i="1" l="1"/>
  <c r="H67" i="1"/>
  <c r="H33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1" i="1"/>
  <c r="F321" i="1"/>
  <c r="E321" i="1"/>
  <c r="G320" i="1"/>
  <c r="F320" i="1"/>
  <c r="E320" i="1"/>
  <c r="H54" i="1" l="1"/>
  <c r="H41" i="1"/>
  <c r="H43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203" i="1"/>
  <c r="F203" i="1"/>
  <c r="E203" i="1"/>
  <c r="G19" i="1"/>
  <c r="E19" i="1"/>
  <c r="F19" i="1"/>
  <c r="G62" i="1"/>
  <c r="F62" i="1"/>
  <c r="E62" i="1"/>
  <c r="H203" i="1" l="1"/>
  <c r="H46" i="1"/>
  <c r="H204" i="1"/>
  <c r="H42" i="1"/>
  <c r="H74" i="1"/>
  <c r="H19" i="1"/>
  <c r="H62" i="1"/>
  <c r="G16" i="1"/>
  <c r="F16" i="1"/>
  <c r="E16" i="1"/>
  <c r="G146" i="1"/>
  <c r="F146" i="1"/>
  <c r="E146" i="1"/>
  <c r="G65" i="1"/>
  <c r="E65" i="1"/>
  <c r="F65" i="1"/>
  <c r="G44" i="1"/>
  <c r="F44" i="1"/>
  <c r="E44" i="1"/>
  <c r="G38" i="1"/>
  <c r="F38" i="1"/>
  <c r="E38" i="1"/>
  <c r="G90" i="1"/>
  <c r="F90" i="1"/>
  <c r="E90" i="1"/>
  <c r="G48" i="1"/>
  <c r="F48" i="1"/>
  <c r="E48" i="1"/>
  <c r="G153" i="1"/>
  <c r="F153" i="1"/>
  <c r="E153" i="1"/>
  <c r="H38" i="1" l="1"/>
  <c r="H44" i="1"/>
  <c r="H90" i="1"/>
  <c r="H16" i="1"/>
  <c r="H146" i="1"/>
  <c r="H65" i="1"/>
  <c r="H48" i="1"/>
  <c r="H153" i="1"/>
  <c r="G154" i="1"/>
  <c r="F154" i="1"/>
  <c r="E154" i="1"/>
  <c r="G87" i="1"/>
  <c r="F87" i="1"/>
  <c r="E87" i="1"/>
  <c r="H154" i="1" l="1"/>
  <c r="H87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4" i="1"/>
  <c r="F13" i="1"/>
  <c r="G13" i="1" l="1"/>
  <c r="H13" i="1" s="1"/>
  <c r="E13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6" i="1"/>
  <c r="H12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</calcChain>
</file>

<file path=xl/sharedStrings.xml><?xml version="1.0" encoding="utf-8"?>
<sst xmlns="http://schemas.openxmlformats.org/spreadsheetml/2006/main" count="5038" uniqueCount="3149">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</sst>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4" applyNumberFormat="0" applyFill="0" applyAlignment="0" applyProtection="0"/>
    <xf numFmtId="0" fontId="15" fillId="0" borderId="5" applyNumberFormat="0" applyFill="0" applyAlignment="0" applyProtection="0"/>
    <xf numFmtId="0" fontId="16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5" borderId="0" applyNumberFormat="0" applyBorder="0" applyAlignment="0" applyProtection="0"/>
    <xf numFmtId="0" fontId="20" fillId="6" borderId="7" applyNumberFormat="0" applyAlignment="0" applyProtection="0"/>
    <xf numFmtId="0" fontId="21" fillId="7" borderId="8" applyNumberFormat="0" applyAlignment="0" applyProtection="0"/>
    <xf numFmtId="0" fontId="22" fillId="7" borderId="7" applyNumberFormat="0" applyAlignment="0" applyProtection="0"/>
    <xf numFmtId="0" fontId="23" fillId="0" borderId="9" applyNumberFormat="0" applyFill="0" applyAlignment="0" applyProtection="0"/>
    <xf numFmtId="0" fontId="24" fillId="8" borderId="10" applyNumberFormat="0" applyAlignment="0" applyProtection="0"/>
    <xf numFmtId="0" fontId="25" fillId="0" borderId="0" applyNumberFormat="0" applyFill="0" applyBorder="0" applyAlignment="0" applyProtection="0"/>
    <xf numFmtId="0" fontId="12" fillId="9" borderId="11" applyNumberFormat="0" applyFont="0" applyAlignment="0" applyProtection="0"/>
    <xf numFmtId="0" fontId="26" fillId="0" borderId="0" applyNumberFormat="0" applyFill="0" applyBorder="0" applyAlignment="0" applyProtection="0"/>
    <xf numFmtId="0" fontId="7" fillId="0" borderId="12" applyNumberFormat="0" applyFill="0" applyAlignment="0" applyProtection="0"/>
    <xf numFmtId="0" fontId="27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27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27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4" borderId="0" applyNumberFormat="0" applyBorder="0" applyAlignment="0" applyProtection="0"/>
    <xf numFmtId="0" fontId="12" fillId="25" borderId="0" applyNumberFormat="0" applyBorder="0" applyAlignment="0" applyProtection="0"/>
    <xf numFmtId="0" fontId="27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</cellStyleXfs>
  <cellXfs count="27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28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29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right"/>
    </xf>
    <xf numFmtId="0" fontId="6" fillId="2" borderId="3" xfId="0" applyFont="1" applyFill="1" applyBorder="1"/>
    <xf numFmtId="0" fontId="6" fillId="0" borderId="0" xfId="0" applyFont="1" applyAlignment="1">
      <alignment horizontal="center"/>
    </xf>
    <xf numFmtId="0" fontId="30" fillId="0" borderId="0" xfId="1" applyFont="1"/>
    <xf numFmtId="164" fontId="6" fillId="0" borderId="0" xfId="0" applyNumberFormat="1" applyFont="1"/>
    <xf numFmtId="16" fontId="6" fillId="0" borderId="0" xfId="0" applyNumberFormat="1" applyFont="1"/>
    <xf numFmtId="0" fontId="31" fillId="0" borderId="0" xfId="0" applyFont="1"/>
    <xf numFmtId="0" fontId="6" fillId="0" borderId="0" xfId="0" quotePrefix="1" applyFont="1"/>
    <xf numFmtId="0" fontId="29" fillId="0" borderId="0" xfId="0" applyFont="1" applyAlignment="1">
      <alignment horizontal="right"/>
    </xf>
    <xf numFmtId="0" fontId="6" fillId="2" borderId="2" xfId="0" applyFont="1" applyFill="1" applyBorder="1"/>
    <xf numFmtId="0" fontId="10" fillId="2" borderId="3" xfId="0" applyFont="1" applyFill="1" applyBorder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1590337.6074194799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1590337.6074194799</v>
      </c>
      <c r="G11" s="15">
        <f>+[8]Main!$G$7-[8]Main!$G$6</f>
        <v>57810</v>
      </c>
      <c r="H11" s="15">
        <f t="shared" si="0"/>
        <v>1648147.6074194799</v>
      </c>
      <c r="I11" s="6" t="s">
        <v>710</v>
      </c>
      <c r="J11" s="16">
        <v>45819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3148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1129</v>
      </c>
      <c r="E13" s="15">
        <f>+[10]Main!$H$2</f>
        <v>1130</v>
      </c>
      <c r="F13" s="15">
        <f>+[10]Main!$H$4*FX!C2</f>
        <v>878993.1</v>
      </c>
      <c r="G13" s="15">
        <f>+([10]Main!$H$6-[10]Main!$H$5)*FX!C2</f>
        <v>-50750.400000000001</v>
      </c>
      <c r="H13" s="15">
        <f t="shared" si="0"/>
        <v>828242.7</v>
      </c>
      <c r="I13" s="6" t="s">
        <v>49</v>
      </c>
      <c r="J13" s="16">
        <v>45764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770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2586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2586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1" si="4">F20+G20</f>
        <v>273265.85399999999</v>
      </c>
      <c r="I20" s="25" t="s">
        <v>2586</v>
      </c>
      <c r="J20" s="5"/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326.79000000000002</v>
      </c>
      <c r="F21" s="15">
        <f>+[18]Main!$F$5</f>
        <v>312411.24</v>
      </c>
      <c r="G21" s="15">
        <f>+[18]Main!$F$7-[18]Main!$F$6</f>
        <v>-4206</v>
      </c>
      <c r="H21" s="15">
        <f t="shared" si="4"/>
        <v>308205.24</v>
      </c>
      <c r="I21" s="6" t="s">
        <v>48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115.27</v>
      </c>
      <c r="F22" s="15">
        <f>+[19]Main!$H$4</f>
        <v>187061.00277342001</v>
      </c>
      <c r="G22" s="15">
        <f>+[19]Main!$H$6-[19]Main!$H$5</f>
        <v>-2824</v>
      </c>
      <c r="H22" s="15">
        <f t="shared" si="4"/>
        <v>184237.00277342001</v>
      </c>
      <c r="I22" s="6" t="s">
        <v>49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407.92</v>
      </c>
      <c r="F23" s="15">
        <f>+[20]Main!$G$4</f>
        <v>179566.38399999999</v>
      </c>
      <c r="G23" s="15">
        <f>+[20]Main!$G$6-[20]Main!$G$5</f>
        <v>-1888</v>
      </c>
      <c r="H23" s="15">
        <f t="shared" si="4"/>
        <v>177678.38399999999</v>
      </c>
      <c r="I23" s="6" t="s">
        <v>49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58.74</v>
      </c>
      <c r="F24" s="15">
        <f>+[21]Main!$G$4</f>
        <v>233947.22019240001</v>
      </c>
      <c r="G24" s="15">
        <f>+[21]Main!$G$6-[21]Main!$G$5</f>
        <v>13316</v>
      </c>
      <c r="H24" s="15">
        <f t="shared" si="4"/>
        <v>247263.22019240001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219.2</v>
      </c>
      <c r="F26" s="15">
        <f>+[23]Main!$H$4</f>
        <v>202682.21731840001</v>
      </c>
      <c r="G26" s="15">
        <f>+[23]Main!$H$6-[23]Main!$H$5</f>
        <v>42877</v>
      </c>
      <c r="H26" s="15">
        <f t="shared" si="4"/>
        <v>245559.21731840001</v>
      </c>
      <c r="I26" s="6" t="s">
        <v>49</v>
      </c>
      <c r="J26" s="5"/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53.1</v>
      </c>
      <c r="F33" s="15">
        <f>+[30]Main!$I$5*FX!C3</f>
        <v>170725.44492864003</v>
      </c>
      <c r="G33" s="15">
        <f>+([30]Main!$I$7-[30]Main!$I$6)*FX!C3</f>
        <v>-14645.047760000001</v>
      </c>
      <c r="H33" s="15">
        <f>+F33+G33</f>
        <v>156080.39716864005</v>
      </c>
      <c r="I33" s="6" t="s">
        <v>710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5668.04</v>
      </c>
      <c r="F37" s="15">
        <f>+[32]Main!$I$4</f>
        <v>184439.93739752</v>
      </c>
      <c r="G37" s="15">
        <f>+[32]Main!$I$6-[32]Main!$I$5</f>
        <v>446</v>
      </c>
      <c r="H37" s="15">
        <f>F37+G37</f>
        <v>184885.93739752</v>
      </c>
      <c r="I37" s="6" t="s">
        <v>49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1737.97</v>
      </c>
      <c r="F45" s="15">
        <f>+[39]Main!$H$5</f>
        <v>88110.626320859999</v>
      </c>
      <c r="G45" s="15">
        <f>+[39]Main!$H$7-[39]Main!$H$6</f>
        <v>-7896</v>
      </c>
      <c r="H45" s="15">
        <f t="shared" si="5"/>
        <v>80214.626320859999</v>
      </c>
      <c r="I45" s="6" t="s">
        <v>48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5" t="s">
        <v>185</v>
      </c>
      <c r="C86" s="5" t="s">
        <v>187</v>
      </c>
      <c r="D86" s="5" t="s">
        <v>186</v>
      </c>
      <c r="E86" s="15"/>
      <c r="F86" s="15"/>
      <c r="G86" s="15"/>
      <c r="H86" s="1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14" t="s">
        <v>443</v>
      </c>
      <c r="C87" s="5" t="s">
        <v>222</v>
      </c>
      <c r="D87" s="5" t="s">
        <v>45</v>
      </c>
      <c r="E87" s="15">
        <f>+[61]Main!$I$2</f>
        <v>337.5</v>
      </c>
      <c r="F87" s="15">
        <f>+[61]Main!$I$4</f>
        <v>78536.25</v>
      </c>
      <c r="G87" s="15">
        <f>+[61]Main!$I$6-[61]Main!$I$5</f>
        <v>-42129.569890000006</v>
      </c>
      <c r="H87" s="15">
        <f>+F87+G87</f>
        <v>36406.680109999994</v>
      </c>
      <c r="I87" s="6" t="s">
        <v>430</v>
      </c>
      <c r="J87" s="5"/>
      <c r="K87" s="5"/>
      <c r="L87" s="5"/>
      <c r="M87" s="5"/>
      <c r="N87" s="5"/>
      <c r="O87" s="5"/>
      <c r="P87" s="5"/>
      <c r="Q87" s="5"/>
      <c r="R87" s="5"/>
      <c r="S87" s="5" t="s">
        <v>449</v>
      </c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5" t="s">
        <v>188</v>
      </c>
      <c r="C88" s="5" t="s">
        <v>189</v>
      </c>
      <c r="D88" s="5" t="s">
        <v>45</v>
      </c>
      <c r="E88" s="15"/>
      <c r="F88" s="15"/>
      <c r="G88" s="15"/>
      <c r="H88" s="1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190</v>
      </c>
      <c r="C89" s="5" t="s">
        <v>191</v>
      </c>
      <c r="D89" s="5" t="s">
        <v>770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14" t="s">
        <v>192</v>
      </c>
      <c r="C90" s="5" t="s">
        <v>193</v>
      </c>
      <c r="D90" s="5" t="s">
        <v>45</v>
      </c>
      <c r="E90" s="15">
        <f>+[62]Main!$H$2</f>
        <v>276.01</v>
      </c>
      <c r="F90" s="15">
        <f>+[62]Main!$H$4</f>
        <v>69099.22577243</v>
      </c>
      <c r="G90" s="15">
        <f>+[62]Main!$H$6-[62]Main!$H$5</f>
        <v>-3259.3870999999999</v>
      </c>
      <c r="H90" s="15">
        <f>+F90+G90</f>
        <v>65839.838672429993</v>
      </c>
      <c r="I90" s="6" t="s">
        <v>49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194</v>
      </c>
      <c r="C91" s="5" t="s">
        <v>709</v>
      </c>
      <c r="D91" s="5" t="s">
        <v>45</v>
      </c>
      <c r="E91" s="15">
        <f>+[63]Main!$J$2</f>
        <v>53.86</v>
      </c>
      <c r="F91" s="15">
        <f>+[63]Main!$J$4</f>
        <v>33365.192799999997</v>
      </c>
      <c r="G91" s="15">
        <f>+[63]Main!$J$6-[63]Main!$J$5</f>
        <v>-2373.2370000000001</v>
      </c>
      <c r="H91" s="15">
        <f>+F91+G91</f>
        <v>30991.955799999996</v>
      </c>
      <c r="I91" s="6" t="s">
        <v>430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5" t="s">
        <v>195</v>
      </c>
      <c r="C92" s="5" t="s">
        <v>197</v>
      </c>
      <c r="D92" s="5" t="s">
        <v>196</v>
      </c>
      <c r="E92" s="15"/>
      <c r="F92" s="15"/>
      <c r="G92" s="15"/>
      <c r="H92" s="1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198</v>
      </c>
      <c r="C93" s="5" t="s">
        <v>199</v>
      </c>
      <c r="D93" s="5" t="s">
        <v>46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200</v>
      </c>
      <c r="C94" s="5" t="s">
        <v>201</v>
      </c>
      <c r="D94" s="5" t="s">
        <v>45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202</v>
      </c>
      <c r="C95" s="5" t="s">
        <v>203</v>
      </c>
      <c r="D95" s="5" t="s">
        <v>770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14" t="s">
        <v>204</v>
      </c>
      <c r="C96" s="5" t="s">
        <v>205</v>
      </c>
      <c r="D96" s="5" t="s">
        <v>45</v>
      </c>
      <c r="E96" s="15">
        <f>+[64]Main!$I$2</f>
        <v>173.3</v>
      </c>
      <c r="F96" s="15">
        <f>+[64]Main!$I$4</f>
        <v>43360.925609900005</v>
      </c>
      <c r="G96" s="15">
        <f>+[64]Main!$I$6-[64]Main!$I$5</f>
        <v>-1230</v>
      </c>
      <c r="H96" s="15">
        <f>+F96+G96</f>
        <v>42130.925609900005</v>
      </c>
      <c r="I96" s="6" t="s">
        <v>431</v>
      </c>
      <c r="J96" s="5"/>
      <c r="K96" s="5"/>
      <c r="L96" s="5"/>
      <c r="M96" s="5"/>
      <c r="N96" s="5"/>
      <c r="O96" s="5"/>
      <c r="P96" s="5"/>
      <c r="Q96" s="5"/>
      <c r="R96" s="5"/>
      <c r="S96" s="5" t="s">
        <v>447</v>
      </c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5" t="s">
        <v>206</v>
      </c>
      <c r="C97" s="5" t="s">
        <v>207</v>
      </c>
      <c r="D97" s="5" t="s">
        <v>45</v>
      </c>
      <c r="E97" s="15"/>
      <c r="F97" s="15"/>
      <c r="G97" s="15"/>
      <c r="H97" s="1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208</v>
      </c>
      <c r="C98" s="5" t="s">
        <v>209</v>
      </c>
      <c r="D98" s="5" t="s">
        <v>87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210</v>
      </c>
      <c r="C99" s="18" t="s">
        <v>211</v>
      </c>
      <c r="D99" s="5" t="s">
        <v>770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212</v>
      </c>
      <c r="C100" s="5" t="s">
        <v>213</v>
      </c>
      <c r="D100" s="5" t="s">
        <v>87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214</v>
      </c>
      <c r="C101" s="5" t="s">
        <v>215</v>
      </c>
      <c r="D101" s="5" t="s">
        <v>45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14" t="s">
        <v>216</v>
      </c>
      <c r="C102" s="5" t="s">
        <v>217</v>
      </c>
      <c r="D102" s="5" t="s">
        <v>45</v>
      </c>
      <c r="E102" s="15">
        <f>+[65]Main!$I$2</f>
        <v>28.82</v>
      </c>
      <c r="F102" s="15">
        <f>+[65]Main!$I$4</f>
        <v>27027.330751519999</v>
      </c>
      <c r="G102" s="15">
        <f>+[65]Main!$I$6-[65]Main!$I$5</f>
        <v>6416</v>
      </c>
      <c r="H102" s="15">
        <f>+F102+G102</f>
        <v>33443.330751519999</v>
      </c>
      <c r="I102" s="6" t="s">
        <v>430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5" t="s">
        <v>218</v>
      </c>
      <c r="C103" s="5" t="s">
        <v>219</v>
      </c>
      <c r="D103" s="5" t="s">
        <v>173</v>
      </c>
      <c r="E103" s="15"/>
      <c r="F103" s="15"/>
      <c r="G103" s="15"/>
      <c r="H103" s="1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220</v>
      </c>
      <c r="C104" s="5" t="s">
        <v>221</v>
      </c>
      <c r="D104" s="5" t="s">
        <v>770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223</v>
      </c>
      <c r="C105" s="5" t="s">
        <v>224</v>
      </c>
      <c r="D105" s="5" t="s">
        <v>1129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14" t="s">
        <v>225</v>
      </c>
      <c r="C106" s="5" t="s">
        <v>226</v>
      </c>
      <c r="D106" s="5" t="s">
        <v>45</v>
      </c>
      <c r="E106" s="15">
        <f>+[66]Main!$H$2</f>
        <v>93.14</v>
      </c>
      <c r="F106" s="15">
        <f>+[66]Main!$H$4</f>
        <v>42564.98</v>
      </c>
      <c r="G106" s="15">
        <f>+[66]Main!$H$6-[66]Main!$H$5</f>
        <v>2998</v>
      </c>
      <c r="H106" s="15">
        <f>+F106+G106</f>
        <v>45562.98</v>
      </c>
      <c r="I106" s="6" t="s">
        <v>2586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5" t="s">
        <v>227</v>
      </c>
      <c r="C107" s="5" t="s">
        <v>228</v>
      </c>
      <c r="D107" s="5" t="s">
        <v>46</v>
      </c>
      <c r="E107" s="15"/>
      <c r="F107" s="15"/>
      <c r="G107" s="15"/>
      <c r="H107" s="1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 t="s">
        <v>448</v>
      </c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229</v>
      </c>
      <c r="C108" s="5" t="s">
        <v>230</v>
      </c>
      <c r="D108" s="5" t="s">
        <v>87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195</v>
      </c>
      <c r="C109" s="5" t="s">
        <v>231</v>
      </c>
      <c r="D109" s="5" t="s">
        <v>1129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232</v>
      </c>
      <c r="C110" s="5" t="s">
        <v>234</v>
      </c>
      <c r="D110" s="5" t="s">
        <v>233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235</v>
      </c>
      <c r="C111" s="5" t="s">
        <v>236</v>
      </c>
      <c r="D111" s="5" t="s">
        <v>186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237</v>
      </c>
      <c r="C112" s="5" t="s">
        <v>238</v>
      </c>
      <c r="D112" s="5" t="s">
        <v>45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239</v>
      </c>
      <c r="C113" s="5" t="s">
        <v>240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241</v>
      </c>
      <c r="C114" s="5" t="s">
        <v>242</v>
      </c>
      <c r="D114" s="5" t="s">
        <v>87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243</v>
      </c>
      <c r="C115" s="5" t="s">
        <v>244</v>
      </c>
      <c r="D115" s="5" t="s">
        <v>245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246</v>
      </c>
      <c r="C116" s="5" t="s">
        <v>247</v>
      </c>
      <c r="D116" s="5" t="s">
        <v>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248</v>
      </c>
      <c r="C117" s="5" t="s">
        <v>249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250</v>
      </c>
      <c r="C118" s="5" t="s">
        <v>251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252</v>
      </c>
      <c r="C119" s="5" t="s">
        <v>253</v>
      </c>
      <c r="D119" s="5" t="s">
        <v>173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14" t="s">
        <v>257</v>
      </c>
      <c r="C120" s="5" t="s">
        <v>254</v>
      </c>
      <c r="D120" s="5" t="s">
        <v>45</v>
      </c>
      <c r="E120" s="15">
        <f>+[67]Main!$I$2</f>
        <v>194.53</v>
      </c>
      <c r="F120" s="15">
        <f>+[67]Main!$I$4</f>
        <v>67601.194415930004</v>
      </c>
      <c r="G120" s="15">
        <f>+[67]Main!$I$6-[67]Main!$I$5</f>
        <v>-204.459</v>
      </c>
      <c r="H120" s="15">
        <f>+F120+G120</f>
        <v>67396.735415930001</v>
      </c>
      <c r="I120" s="6" t="s">
        <v>710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255</v>
      </c>
      <c r="C121" s="5" t="s">
        <v>256</v>
      </c>
      <c r="D121" s="5" t="s">
        <v>45</v>
      </c>
      <c r="E121" s="15">
        <f>+[68]Main!$L$3</f>
        <v>228.01</v>
      </c>
      <c r="F121" s="15">
        <f>+[68]Main!$L$5</f>
        <v>42061.053038120001</v>
      </c>
      <c r="G121" s="15">
        <f>+[68]Main!$L$7-[68]Main!$L$6</f>
        <v>1030</v>
      </c>
      <c r="H121" s="15">
        <f>+F121+G121</f>
        <v>43091.053038120001</v>
      </c>
      <c r="I121" s="6" t="s">
        <v>429</v>
      </c>
      <c r="J121" s="5"/>
      <c r="K121" s="5"/>
      <c r="L121" s="5"/>
      <c r="M121" s="5"/>
      <c r="N121" s="5"/>
      <c r="O121" s="5"/>
      <c r="P121" s="5"/>
      <c r="Q121" s="5"/>
      <c r="R121" s="5"/>
      <c r="S121" s="5" t="s">
        <v>447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5" t="s">
        <v>258</v>
      </c>
      <c r="C122" s="5" t="s">
        <v>259</v>
      </c>
      <c r="D122" s="5" t="s">
        <v>87</v>
      </c>
      <c r="E122" s="15"/>
      <c r="F122" s="15"/>
      <c r="G122" s="15"/>
      <c r="H122" s="1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260</v>
      </c>
      <c r="C123" s="5" t="s">
        <v>261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262</v>
      </c>
      <c r="C124" s="5" t="s">
        <v>263</v>
      </c>
      <c r="D124" s="5" t="s">
        <v>45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264</v>
      </c>
      <c r="C125" s="5" t="s">
        <v>265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266</v>
      </c>
      <c r="C126" s="5" t="s">
        <v>267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268</v>
      </c>
      <c r="C127" s="5" t="s">
        <v>269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271</v>
      </c>
      <c r="C128" s="5" t="s">
        <v>270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272</v>
      </c>
      <c r="C129" s="5" t="s">
        <v>273</v>
      </c>
      <c r="D129" s="5" t="s">
        <v>128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5" t="s">
        <v>274</v>
      </c>
      <c r="C130" s="5" t="s">
        <v>275</v>
      </c>
      <c r="D130" s="5" t="s">
        <v>45</v>
      </c>
      <c r="E130" s="15"/>
      <c r="F130" s="15"/>
      <c r="G130" s="15"/>
      <c r="H130" s="1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14" t="s">
        <v>276</v>
      </c>
      <c r="C131" s="5" t="s">
        <v>277</v>
      </c>
      <c r="D131" s="5" t="s">
        <v>278</v>
      </c>
      <c r="E131" s="15">
        <f>+[69]Main!$J$2</f>
        <v>4.42</v>
      </c>
      <c r="F131" s="15">
        <f>+[69]Main!$J$4*FX!C4</f>
        <v>25273.325527398003</v>
      </c>
      <c r="G131" s="15">
        <f>+([69]Main!$J$6-[69]Main!$J$5)*FX!C4</f>
        <v>-2129.7600000000002</v>
      </c>
      <c r="H131" s="15">
        <f>+F131+G131</f>
        <v>23143.565527398001</v>
      </c>
      <c r="I131" s="6" t="s">
        <v>710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279</v>
      </c>
      <c r="C132" s="5" t="s">
        <v>280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5" t="s">
        <v>281</v>
      </c>
      <c r="C133" s="5" t="s">
        <v>283</v>
      </c>
      <c r="D133" s="5" t="s">
        <v>282</v>
      </c>
      <c r="E133" s="15"/>
      <c r="F133" s="15"/>
      <c r="G133" s="15"/>
      <c r="H133" s="1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285</v>
      </c>
      <c r="C134" s="5" t="s">
        <v>284</v>
      </c>
      <c r="D134" s="5" t="s">
        <v>770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286</v>
      </c>
      <c r="C135" s="5" t="s">
        <v>287</v>
      </c>
      <c r="D135" s="5" t="s">
        <v>45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288</v>
      </c>
      <c r="C136" s="5" t="s">
        <v>289</v>
      </c>
      <c r="D136" s="5" t="s">
        <v>45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290</v>
      </c>
      <c r="C137" s="5" t="s">
        <v>291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292</v>
      </c>
      <c r="C138" s="5" t="s">
        <v>293</v>
      </c>
      <c r="D138" s="5" t="s">
        <v>1129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295</v>
      </c>
      <c r="C139" s="5" t="s">
        <v>296</v>
      </c>
      <c r="D139" s="5" t="s">
        <v>294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299</v>
      </c>
      <c r="C140" s="5" t="s">
        <v>299</v>
      </c>
      <c r="D140" s="5" t="s">
        <v>45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297</v>
      </c>
      <c r="C141" s="5" t="s">
        <v>298</v>
      </c>
      <c r="D141" s="5" t="s">
        <v>45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300</v>
      </c>
      <c r="C142" s="5" t="s">
        <v>302</v>
      </c>
      <c r="D142" s="5" t="s">
        <v>301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303</v>
      </c>
      <c r="C143" s="5" t="s">
        <v>304</v>
      </c>
      <c r="D143" s="5" t="s">
        <v>1129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305</v>
      </c>
      <c r="C144" s="5" t="s">
        <v>306</v>
      </c>
      <c r="D144" s="5" t="s">
        <v>87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14" t="s">
        <v>307</v>
      </c>
      <c r="C145" s="5" t="s">
        <v>308</v>
      </c>
      <c r="D145" s="5" t="s">
        <v>45</v>
      </c>
      <c r="E145" s="15">
        <f>+[70]Main!$J$2</f>
        <v>117.07</v>
      </c>
      <c r="F145" s="15">
        <f>+[70]Main!$J$4</f>
        <v>104037.19313750998</v>
      </c>
      <c r="G145" s="15">
        <f>+[70]Main!$J$6-[70]Main!$J$5</f>
        <v>-4332</v>
      </c>
      <c r="H145" s="15">
        <f>+F145+G145</f>
        <v>99705.193137509981</v>
      </c>
      <c r="I145" s="6" t="s">
        <v>2586</v>
      </c>
      <c r="J145" s="5"/>
      <c r="K145" s="5"/>
      <c r="L145" s="5"/>
      <c r="M145" s="5"/>
      <c r="N145" s="5"/>
      <c r="O145" s="5"/>
      <c r="P145" s="5"/>
      <c r="Q145" s="5"/>
      <c r="R145" s="5"/>
      <c r="S145" s="5" t="s">
        <v>446</v>
      </c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14" t="s">
        <v>309</v>
      </c>
      <c r="C146" s="5" t="s">
        <v>310</v>
      </c>
      <c r="D146" s="5" t="s">
        <v>45</v>
      </c>
      <c r="E146" s="15">
        <f>+[71]Main!$I$2</f>
        <v>195.81</v>
      </c>
      <c r="F146" s="15">
        <f>+[71]Main!$I$4</f>
        <v>25231.503659940001</v>
      </c>
      <c r="G146" s="15">
        <f>+[71]Main!$I$6-[71]Main!$I$5</f>
        <v>392</v>
      </c>
      <c r="H146" s="15">
        <f>+F146+G146</f>
        <v>25623.503659940001</v>
      </c>
      <c r="I146" s="6" t="s">
        <v>430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5" t="s">
        <v>311</v>
      </c>
      <c r="C147" s="5" t="s">
        <v>312</v>
      </c>
      <c r="D147" s="5" t="s">
        <v>45</v>
      </c>
      <c r="E147" s="15"/>
      <c r="F147" s="15"/>
      <c r="G147" s="15"/>
      <c r="H147" s="1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313</v>
      </c>
      <c r="C148" s="18" t="s">
        <v>314</v>
      </c>
      <c r="D148" s="5" t="s">
        <v>59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315</v>
      </c>
      <c r="C149" s="5" t="s">
        <v>316</v>
      </c>
      <c r="D149" s="5" t="s">
        <v>45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317</v>
      </c>
      <c r="C150" s="5" t="s">
        <v>318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320</v>
      </c>
      <c r="C151" s="5" t="s">
        <v>319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14" t="s">
        <v>321</v>
      </c>
      <c r="C152" s="18" t="s">
        <v>323</v>
      </c>
      <c r="D152" s="5" t="s">
        <v>322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324</v>
      </c>
      <c r="C153" s="5" t="s">
        <v>325</v>
      </c>
      <c r="D153" s="5" t="s">
        <v>45</v>
      </c>
      <c r="E153" s="15">
        <f>+[72]Main!$I$2</f>
        <v>462.43</v>
      </c>
      <c r="F153" s="15">
        <f>+[72]Main!$I$4</f>
        <v>17586.234171780001</v>
      </c>
      <c r="G153" s="15">
        <f>+[72]Main!$I$6-[72]Main!$I$5</f>
        <v>1000.3120000000001</v>
      </c>
      <c r="H153" s="15">
        <f>+F153+G153</f>
        <v>18586.546171780003</v>
      </c>
      <c r="I153" s="6" t="s">
        <v>429</v>
      </c>
      <c r="J153" s="5"/>
      <c r="K153" s="5"/>
      <c r="L153" s="5"/>
      <c r="M153" s="5"/>
      <c r="N153" s="5"/>
      <c r="O153" s="5"/>
      <c r="P153" s="5"/>
      <c r="Q153" s="5"/>
      <c r="R153" s="5"/>
      <c r="S153" s="5" t="s">
        <v>444</v>
      </c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327</v>
      </c>
      <c r="C154" s="5" t="s">
        <v>326</v>
      </c>
      <c r="D154" s="5" t="s">
        <v>45</v>
      </c>
      <c r="E154" s="15">
        <f>+[73]Main!$I$2</f>
        <v>7.44</v>
      </c>
      <c r="F154" s="15">
        <f>+[73]Main!$I$4</f>
        <v>12572.354291040001</v>
      </c>
      <c r="G154" s="15">
        <f>+[73]Main!$I$6-[73]Main!$I$5</f>
        <v>682.92700000000013</v>
      </c>
      <c r="H154" s="15">
        <f>+F154+G154</f>
        <v>13255.281291040001</v>
      </c>
      <c r="I154" s="6" t="s">
        <v>2586</v>
      </c>
      <c r="J154" s="16">
        <v>45958</v>
      </c>
      <c r="K154" s="5"/>
      <c r="L154" s="5"/>
      <c r="M154" s="5"/>
      <c r="N154" s="5"/>
      <c r="O154" s="5"/>
      <c r="P154" s="5"/>
      <c r="Q154" s="5"/>
      <c r="R154" s="5"/>
      <c r="S154" s="5" t="s">
        <v>445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5" t="s">
        <v>329</v>
      </c>
      <c r="C155" s="5" t="s">
        <v>328</v>
      </c>
      <c r="D155" s="5" t="s">
        <v>45</v>
      </c>
      <c r="E155" s="15"/>
      <c r="F155" s="15"/>
      <c r="G155" s="15"/>
      <c r="H155" s="1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330</v>
      </c>
      <c r="C156" s="5" t="s">
        <v>331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332</v>
      </c>
      <c r="C157" s="5" t="s">
        <v>333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334</v>
      </c>
      <c r="C158" s="5" t="s">
        <v>335</v>
      </c>
      <c r="D158" s="5" t="s">
        <v>87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336</v>
      </c>
      <c r="C159" s="5" t="s">
        <v>337</v>
      </c>
      <c r="D159" s="5" t="s">
        <v>45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338</v>
      </c>
      <c r="C160" s="5" t="s">
        <v>339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340</v>
      </c>
      <c r="C161" s="5" t="s">
        <v>341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342</v>
      </c>
      <c r="C162" s="5" t="s">
        <v>343</v>
      </c>
      <c r="D162" s="5" t="s">
        <v>186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344</v>
      </c>
      <c r="C163" s="5" t="s">
        <v>345</v>
      </c>
      <c r="D163" s="5" t="s">
        <v>45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346</v>
      </c>
      <c r="C164" s="5" t="s">
        <v>347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348</v>
      </c>
      <c r="C165" s="5" t="s">
        <v>349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350</v>
      </c>
      <c r="C166" s="5" t="s">
        <v>351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353</v>
      </c>
      <c r="C167" s="5" t="s">
        <v>352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354</v>
      </c>
      <c r="C168" s="5" t="s">
        <v>355</v>
      </c>
      <c r="D168" s="5" t="s">
        <v>161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356</v>
      </c>
      <c r="C169" s="5" t="s">
        <v>357</v>
      </c>
      <c r="D169" s="5" t="s">
        <v>45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358</v>
      </c>
      <c r="C170" s="5" t="s">
        <v>359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360</v>
      </c>
      <c r="C171" s="5" t="s">
        <v>361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362</v>
      </c>
      <c r="C172" s="5" t="s">
        <v>363</v>
      </c>
      <c r="D172" s="5" t="s">
        <v>322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364</v>
      </c>
      <c r="C173" s="5" t="s">
        <v>365</v>
      </c>
      <c r="D173" s="5" t="s">
        <v>45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366</v>
      </c>
      <c r="C174" s="5" t="s">
        <v>367</v>
      </c>
      <c r="D174" s="5" t="s">
        <v>770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368</v>
      </c>
      <c r="C175" s="5" t="s">
        <v>369</v>
      </c>
      <c r="D175" s="5" t="s">
        <v>87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14" t="s">
        <v>371</v>
      </c>
      <c r="C176" s="5" t="s">
        <v>370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5" t="s">
        <v>372</v>
      </c>
      <c r="C177" s="5" t="s">
        <v>373</v>
      </c>
      <c r="D177" s="5" t="s">
        <v>770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374</v>
      </c>
      <c r="C178" s="5" t="s">
        <v>375</v>
      </c>
      <c r="D178" s="5" t="s">
        <v>45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376</v>
      </c>
      <c r="C179" s="5" t="s">
        <v>377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378</v>
      </c>
      <c r="C180" s="5" t="s">
        <v>379</v>
      </c>
      <c r="D180" s="5" t="s">
        <v>87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380</v>
      </c>
      <c r="C181" s="5" t="s">
        <v>381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433</v>
      </c>
      <c r="C182" s="5" t="s">
        <v>382</v>
      </c>
      <c r="D182" s="5" t="s">
        <v>301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383</v>
      </c>
      <c r="C183" s="5" t="s">
        <v>384</v>
      </c>
      <c r="D183" s="5" t="s">
        <v>1129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385</v>
      </c>
      <c r="C184" s="5" t="s">
        <v>386</v>
      </c>
      <c r="D184" s="5" t="s">
        <v>173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387</v>
      </c>
      <c r="C185" s="18" t="s">
        <v>388</v>
      </c>
      <c r="D185" s="5" t="s">
        <v>59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389</v>
      </c>
      <c r="C186" s="5" t="s">
        <v>390</v>
      </c>
      <c r="D186" s="5" t="s">
        <v>84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391</v>
      </c>
      <c r="C187" s="5" t="s">
        <v>392</v>
      </c>
      <c r="D187" s="5" t="s">
        <v>45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393</v>
      </c>
      <c r="C188" s="5" t="s">
        <v>394</v>
      </c>
      <c r="D188" s="5" t="s">
        <v>87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395</v>
      </c>
      <c r="C189" s="5" t="s">
        <v>396</v>
      </c>
      <c r="D189" s="5" t="s">
        <v>45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397</v>
      </c>
      <c r="C190" s="5" t="s">
        <v>399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400</v>
      </c>
      <c r="C191" s="5" t="s">
        <v>401</v>
      </c>
      <c r="D191" s="5" t="s">
        <v>398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402</v>
      </c>
      <c r="C192" s="18" t="s">
        <v>403</v>
      </c>
      <c r="D192" s="5" t="s">
        <v>322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404</v>
      </c>
      <c r="C193" s="5" t="s">
        <v>405</v>
      </c>
      <c r="D193" s="5" t="s">
        <v>186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406</v>
      </c>
      <c r="C194" s="5" t="s">
        <v>407</v>
      </c>
      <c r="D194" s="5" t="s">
        <v>45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408</v>
      </c>
      <c r="C195" s="5" t="s">
        <v>409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410</v>
      </c>
      <c r="C196" s="5" t="s">
        <v>411</v>
      </c>
      <c r="D196" s="5" t="s">
        <v>301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412</v>
      </c>
      <c r="C197" s="5" t="s">
        <v>413</v>
      </c>
      <c r="D197" s="5" t="s">
        <v>45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416</v>
      </c>
      <c r="C198" s="5" t="s">
        <v>415</v>
      </c>
      <c r="D198" s="5" t="s">
        <v>47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417</v>
      </c>
      <c r="C199" s="18" t="s">
        <v>418</v>
      </c>
      <c r="D199" s="5" t="s">
        <v>59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419</v>
      </c>
      <c r="C200" s="5" t="s">
        <v>420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414</v>
      </c>
      <c r="C201" s="5" t="s">
        <v>421</v>
      </c>
      <c r="D201" s="5" t="s">
        <v>47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422</v>
      </c>
      <c r="C202" s="5" t="s">
        <v>423</v>
      </c>
      <c r="D202" s="5" t="s">
        <v>45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14" t="s">
        <v>424</v>
      </c>
      <c r="C203" s="5" t="s">
        <v>425</v>
      </c>
      <c r="D203" s="5" t="s">
        <v>45</v>
      </c>
      <c r="E203" s="15">
        <f>+[74]Main!$I$2</f>
        <v>215</v>
      </c>
      <c r="F203" s="15">
        <f>+[74]Main!$I$4</f>
        <v>40238.578914999998</v>
      </c>
      <c r="G203" s="15">
        <f>+[74]Main!$I$6-[74]Main!$I$5</f>
        <v>-2059.9409999999998</v>
      </c>
      <c r="H203" s="15">
        <f>+F203+G203</f>
        <v>38178.637914999999</v>
      </c>
      <c r="I203" s="6" t="s">
        <v>2586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5" t="s">
        <v>471</v>
      </c>
      <c r="C208" s="5" t="s">
        <v>472</v>
      </c>
      <c r="D208" s="5" t="s">
        <v>1129</v>
      </c>
      <c r="E208" s="15"/>
      <c r="F208" s="15"/>
      <c r="G208" s="15"/>
      <c r="H208" s="1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473</v>
      </c>
      <c r="C209" s="5" t="s">
        <v>474</v>
      </c>
      <c r="D209" s="5" t="s">
        <v>45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475</v>
      </c>
      <c r="C210" s="5" t="s">
        <v>476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477</v>
      </c>
      <c r="C211" s="5" t="s">
        <v>478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480</v>
      </c>
      <c r="C212" s="5" t="s">
        <v>479</v>
      </c>
      <c r="D212" s="5" t="s">
        <v>1129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481</v>
      </c>
      <c r="C213" s="5" t="s">
        <v>482</v>
      </c>
      <c r="D213" s="5" t="s">
        <v>45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483</v>
      </c>
      <c r="C214" s="5" t="s">
        <v>484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485</v>
      </c>
      <c r="C215" s="5" t="s">
        <v>486</v>
      </c>
      <c r="D215" s="5" t="s">
        <v>245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487</v>
      </c>
      <c r="C216" s="5" t="s">
        <v>488</v>
      </c>
      <c r="D216" s="5" t="s">
        <v>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489</v>
      </c>
      <c r="C217" s="5" t="s">
        <v>490</v>
      </c>
      <c r="D217" s="5" t="s">
        <v>770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491</v>
      </c>
      <c r="C218" s="5" t="s">
        <v>492</v>
      </c>
      <c r="D218" s="5" t="s">
        <v>45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493</v>
      </c>
      <c r="C219" s="5" t="s">
        <v>494</v>
      </c>
      <c r="D219" s="5" t="s">
        <v>301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495</v>
      </c>
      <c r="C220" s="5" t="s">
        <v>496</v>
      </c>
      <c r="D220" s="5" t="s">
        <v>45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497</v>
      </c>
      <c r="C221" s="5" t="s">
        <v>498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499</v>
      </c>
      <c r="C222" s="5" t="s">
        <v>500</v>
      </c>
      <c r="D222" s="5" t="s">
        <v>46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501</v>
      </c>
      <c r="C223" s="5" t="s">
        <v>501</v>
      </c>
      <c r="D223" s="5" t="s">
        <v>301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502</v>
      </c>
      <c r="C224" s="5" t="s">
        <v>503</v>
      </c>
      <c r="D224" s="5" t="s">
        <v>87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504</v>
      </c>
      <c r="C225" s="5" t="s">
        <v>505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506</v>
      </c>
      <c r="C226" s="5" t="s">
        <v>507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508</v>
      </c>
      <c r="C227" s="5" t="s">
        <v>509</v>
      </c>
      <c r="D227" s="5" t="s">
        <v>510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511</v>
      </c>
      <c r="C228" s="5" t="s">
        <v>512</v>
      </c>
      <c r="D228" s="5" t="s">
        <v>513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514</v>
      </c>
      <c r="C229" s="5" t="s">
        <v>515</v>
      </c>
      <c r="D229" s="5" t="s">
        <v>1129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516</v>
      </c>
      <c r="C230" s="5" t="s">
        <v>517</v>
      </c>
      <c r="D230" s="5" t="s">
        <v>45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518</v>
      </c>
      <c r="C231" s="5" t="s">
        <v>519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520</v>
      </c>
      <c r="C232" s="5" t="s">
        <v>521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522</v>
      </c>
      <c r="C233" s="5" t="s">
        <v>523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524</v>
      </c>
      <c r="C234" s="5" t="s">
        <v>525</v>
      </c>
      <c r="D234" s="5" t="s">
        <v>770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526</v>
      </c>
      <c r="C235" s="5" t="s">
        <v>527</v>
      </c>
      <c r="D235" s="5" t="s">
        <v>107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528</v>
      </c>
      <c r="C236" s="5" t="s">
        <v>529</v>
      </c>
      <c r="D236" s="5" t="s">
        <v>770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530</v>
      </c>
      <c r="C237" s="5" t="s">
        <v>531</v>
      </c>
      <c r="D237" s="5" t="s">
        <v>186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532</v>
      </c>
      <c r="C238" s="5" t="s">
        <v>533</v>
      </c>
      <c r="D238" s="5" t="s">
        <v>45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534</v>
      </c>
      <c r="C239" s="5" t="s">
        <v>535</v>
      </c>
      <c r="D239" s="5" t="s">
        <v>107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536</v>
      </c>
      <c r="C240" s="5" t="s">
        <v>537</v>
      </c>
      <c r="D240" s="5" t="s">
        <v>538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539</v>
      </c>
      <c r="C241" s="5" t="s">
        <v>540</v>
      </c>
      <c r="D241" s="5" t="s">
        <v>45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541</v>
      </c>
      <c r="C242" s="5" t="s">
        <v>542</v>
      </c>
      <c r="D242" s="5" t="s">
        <v>87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543</v>
      </c>
      <c r="C243" s="5" t="s">
        <v>544</v>
      </c>
      <c r="D243" s="5" t="s">
        <v>45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545</v>
      </c>
      <c r="C244" s="5" t="s">
        <v>546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547</v>
      </c>
      <c r="C245" s="5" t="s">
        <v>548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549</v>
      </c>
      <c r="C246" s="5" t="s">
        <v>550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14" t="s">
        <v>2587</v>
      </c>
      <c r="C247" s="5" t="s">
        <v>2588</v>
      </c>
      <c r="D247" s="5" t="s">
        <v>301</v>
      </c>
      <c r="E247" s="15">
        <f>+[76]Main!$I$2</f>
        <v>65.7</v>
      </c>
      <c r="F247" s="15">
        <f>+[76]Main!$I$4</f>
        <v>7075.3846356000004</v>
      </c>
      <c r="G247" s="15">
        <f>+[76]Main!$I$6-[76]Main!$I$5</f>
        <v>-640.70899999999995</v>
      </c>
      <c r="H247" s="15">
        <f>+F247+G247</f>
        <v>6434.6756356000005</v>
      </c>
      <c r="I247" s="6" t="s">
        <v>430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5" t="s">
        <v>551</v>
      </c>
      <c r="C248" s="5" t="s">
        <v>552</v>
      </c>
      <c r="D248" s="5" t="s">
        <v>45</v>
      </c>
      <c r="E248" s="15"/>
      <c r="F248" s="15"/>
      <c r="G248" s="15"/>
      <c r="H248" s="1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553</v>
      </c>
      <c r="C249" s="5" t="s">
        <v>554</v>
      </c>
      <c r="D249" s="5" t="s">
        <v>1129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555</v>
      </c>
      <c r="C250" s="5" t="s">
        <v>556</v>
      </c>
      <c r="D250" s="5" t="s">
        <v>45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557</v>
      </c>
      <c r="C251" s="5" t="s">
        <v>558</v>
      </c>
      <c r="D251" s="5" t="s">
        <v>245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559</v>
      </c>
      <c r="C252" s="5" t="s">
        <v>560</v>
      </c>
      <c r="D252" s="5" t="s">
        <v>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561</v>
      </c>
      <c r="C253" s="5" t="s">
        <v>562</v>
      </c>
      <c r="D253" s="5" t="s">
        <v>107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563</v>
      </c>
      <c r="C254" s="5" t="s">
        <v>564</v>
      </c>
      <c r="D254" s="5" t="s">
        <v>770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565</v>
      </c>
      <c r="C255" s="5" t="s">
        <v>566</v>
      </c>
      <c r="D255" s="5" t="s">
        <v>45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567</v>
      </c>
      <c r="C256" s="5" t="s">
        <v>568</v>
      </c>
      <c r="D256" s="5" t="s">
        <v>1129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569</v>
      </c>
      <c r="C257" s="5" t="s">
        <v>570</v>
      </c>
      <c r="D257" s="5" t="s">
        <v>45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571</v>
      </c>
      <c r="C258" s="5" t="s">
        <v>572</v>
      </c>
      <c r="D258" s="5" t="s">
        <v>107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573</v>
      </c>
      <c r="C259" s="5" t="s">
        <v>574</v>
      </c>
      <c r="D259" s="5" t="s">
        <v>45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575</v>
      </c>
      <c r="C260" s="5" t="s">
        <v>576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577</v>
      </c>
      <c r="C261" s="5" t="s">
        <v>578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579</v>
      </c>
      <c r="C262" s="5" t="s">
        <v>580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581</v>
      </c>
      <c r="C263" s="5" t="s">
        <v>582</v>
      </c>
      <c r="D263" s="5" t="s">
        <v>770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583</v>
      </c>
      <c r="C264" s="5" t="s">
        <v>584</v>
      </c>
      <c r="D264" s="5" t="s">
        <v>301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585</v>
      </c>
      <c r="C265" s="5" t="s">
        <v>586</v>
      </c>
      <c r="D265" s="5" t="s">
        <v>45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587</v>
      </c>
      <c r="C266" s="5" t="s">
        <v>588</v>
      </c>
      <c r="D266" s="5" t="s">
        <v>301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589</v>
      </c>
      <c r="C267" s="5" t="s">
        <v>590</v>
      </c>
      <c r="D267" s="5" t="s">
        <v>45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591</v>
      </c>
      <c r="C268" s="5" t="s">
        <v>592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593</v>
      </c>
      <c r="C269" s="5" t="s">
        <v>594</v>
      </c>
      <c r="D269" s="5" t="s">
        <v>46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595</v>
      </c>
      <c r="C270" s="5" t="s">
        <v>596</v>
      </c>
      <c r="D270" s="5" t="s">
        <v>45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597</v>
      </c>
      <c r="C271" s="5" t="s">
        <v>598</v>
      </c>
      <c r="D271" s="5" t="s">
        <v>398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599</v>
      </c>
      <c r="C272" s="5" t="s">
        <v>600</v>
      </c>
      <c r="D272" s="5" t="s">
        <v>1129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601</v>
      </c>
      <c r="C273" s="5" t="s">
        <v>602</v>
      </c>
      <c r="D273" s="5" t="s">
        <v>603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604</v>
      </c>
      <c r="C274" s="5" t="s">
        <v>605</v>
      </c>
      <c r="D274" s="5" t="s">
        <v>1129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606</v>
      </c>
      <c r="C275" s="5" t="s">
        <v>607</v>
      </c>
      <c r="D275" s="5" t="s">
        <v>173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608</v>
      </c>
      <c r="C276" s="5" t="s">
        <v>609</v>
      </c>
      <c r="D276" s="5" t="s">
        <v>1129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610</v>
      </c>
      <c r="C277" s="5" t="s">
        <v>611</v>
      </c>
      <c r="D277" s="5" t="s">
        <v>612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613</v>
      </c>
      <c r="C278" s="5" t="s">
        <v>614</v>
      </c>
      <c r="D278" s="5" t="s">
        <v>186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615</v>
      </c>
      <c r="C279" s="5" t="s">
        <v>616</v>
      </c>
      <c r="D279" s="5" t="s">
        <v>45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617</v>
      </c>
      <c r="C280" s="5" t="s">
        <v>618</v>
      </c>
      <c r="D280" s="5" t="s">
        <v>538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619</v>
      </c>
      <c r="C281" s="5" t="s">
        <v>620</v>
      </c>
      <c r="D281" s="5" t="s">
        <v>45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622</v>
      </c>
      <c r="C282" s="5" t="s">
        <v>621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623</v>
      </c>
      <c r="C283" s="5" t="s">
        <v>624</v>
      </c>
      <c r="D283" s="5" t="s">
        <v>625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626</v>
      </c>
      <c r="C284" s="5" t="s">
        <v>627</v>
      </c>
      <c r="D284" s="5" t="s">
        <v>45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629</v>
      </c>
      <c r="C285" s="5" t="s">
        <v>628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630</v>
      </c>
      <c r="C286" s="5" t="s">
        <v>631</v>
      </c>
      <c r="D286" s="5" t="s">
        <v>245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632</v>
      </c>
      <c r="C287" s="5" t="s">
        <v>633</v>
      </c>
      <c r="D287" s="5" t="s">
        <v>1129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634</v>
      </c>
      <c r="C288" s="5" t="s">
        <v>635</v>
      </c>
      <c r="D288" s="5" t="s">
        <v>245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636</v>
      </c>
      <c r="C289" s="5" t="s">
        <v>637</v>
      </c>
      <c r="D289" s="5" t="s">
        <v>186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638</v>
      </c>
      <c r="C290" s="5" t="s">
        <v>639</v>
      </c>
      <c r="D290" s="5" t="s">
        <v>45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640</v>
      </c>
      <c r="C291" s="5" t="s">
        <v>641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642</v>
      </c>
      <c r="C292" s="5" t="s">
        <v>643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644</v>
      </c>
      <c r="C293" s="5" t="s">
        <v>645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646</v>
      </c>
      <c r="C294" s="5" t="s">
        <v>647</v>
      </c>
      <c r="D294" s="5" t="s">
        <v>770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648</v>
      </c>
      <c r="C295" s="5" t="s">
        <v>649</v>
      </c>
      <c r="D295" s="5" t="s">
        <v>1129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650</v>
      </c>
      <c r="C296" s="5" t="s">
        <v>651</v>
      </c>
      <c r="D296" s="5" t="s">
        <v>45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652</v>
      </c>
      <c r="C297" s="5" t="s">
        <v>653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655</v>
      </c>
      <c r="C298" s="5" t="s">
        <v>654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656</v>
      </c>
      <c r="C299" s="5" t="s">
        <v>657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659</v>
      </c>
      <c r="C300" s="5" t="s">
        <v>658</v>
      </c>
      <c r="D300" s="5" t="s">
        <v>770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660</v>
      </c>
      <c r="C301" s="5" t="s">
        <v>661</v>
      </c>
      <c r="D301" s="5" t="s">
        <v>45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662</v>
      </c>
      <c r="C302" s="5" t="s">
        <v>663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664</v>
      </c>
      <c r="C303" s="5" t="s">
        <v>665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666</v>
      </c>
      <c r="C304" s="5" t="s">
        <v>667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668</v>
      </c>
      <c r="C305" s="5" t="s">
        <v>669</v>
      </c>
      <c r="D305" s="5" t="s">
        <v>245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670</v>
      </c>
      <c r="C306" s="5" t="s">
        <v>671</v>
      </c>
      <c r="D306" s="5" t="s">
        <v>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672</v>
      </c>
      <c r="C307" s="5" t="s">
        <v>672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673</v>
      </c>
      <c r="C308" s="5" t="s">
        <v>674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675</v>
      </c>
      <c r="C309" s="5" t="s">
        <v>676</v>
      </c>
      <c r="D309" s="5" t="s">
        <v>770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677</v>
      </c>
      <c r="C310" s="5" t="s">
        <v>678</v>
      </c>
      <c r="D310" s="5" t="s">
        <v>45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679</v>
      </c>
      <c r="C311" s="5" t="s">
        <v>680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683</v>
      </c>
      <c r="C312" s="5" t="s">
        <v>684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685</v>
      </c>
      <c r="C313" s="5" t="s">
        <v>686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687</v>
      </c>
      <c r="C314" s="5" t="s">
        <v>688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689</v>
      </c>
      <c r="C315" s="5" t="s">
        <v>690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691</v>
      </c>
      <c r="C316" s="5" t="s">
        <v>692</v>
      </c>
      <c r="D316" s="5" t="s">
        <v>46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693</v>
      </c>
      <c r="C317" s="5" t="s">
        <v>694</v>
      </c>
      <c r="D317" s="5" t="s">
        <v>87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695</v>
      </c>
      <c r="C318" s="5" t="s">
        <v>696</v>
      </c>
      <c r="D318" s="5" t="s">
        <v>510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697</v>
      </c>
      <c r="C319" s="5" t="s">
        <v>698</v>
      </c>
      <c r="D319" s="5" t="s">
        <v>1129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14" t="s">
        <v>699</v>
      </c>
      <c r="C320" s="5" t="s">
        <v>700</v>
      </c>
      <c r="D320" s="5" t="s">
        <v>45</v>
      </c>
      <c r="E320" s="15">
        <f>+[77]Main!$I$3</f>
        <v>12.26</v>
      </c>
      <c r="F320" s="15">
        <f>+[77]Main!$I$5</f>
        <v>2157.6645436399999</v>
      </c>
      <c r="G320" s="15">
        <f>+[77]Main!$I$7-[77]Main!$I$6</f>
        <v>280.74099999999999</v>
      </c>
      <c r="H320" s="15">
        <f>+F320+G320</f>
        <v>2438.4055436399999</v>
      </c>
      <c r="I320" s="6" t="s">
        <v>48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701</v>
      </c>
      <c r="C321" s="5" t="s">
        <v>702</v>
      </c>
      <c r="D321" s="5" t="s">
        <v>45</v>
      </c>
      <c r="E321" s="15">
        <f>+[78]Main!$I$2</f>
        <v>7.36</v>
      </c>
      <c r="F321" s="15">
        <f>+[78]Main!$I$4</f>
        <v>1581.06035488</v>
      </c>
      <c r="G321" s="15">
        <f>+[78]Main!$I$6-[78]Main!$I$5</f>
        <v>-73.627598000000006</v>
      </c>
      <c r="H321" s="15">
        <f>+F321+G321</f>
        <v>1507.4327568799999</v>
      </c>
      <c r="I321" s="6" t="s">
        <v>430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5" t="s">
        <v>703</v>
      </c>
      <c r="C322" s="5" t="s">
        <v>704</v>
      </c>
      <c r="D322" s="5" t="s">
        <v>45</v>
      </c>
      <c r="E322" s="15"/>
      <c r="F322" s="15"/>
      <c r="G322" s="15"/>
      <c r="H322" s="1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705</v>
      </c>
      <c r="C323" s="5" t="s">
        <v>706</v>
      </c>
      <c r="D323" s="5" t="s">
        <v>510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14" t="s">
        <v>707</v>
      </c>
      <c r="C324" s="5" t="s">
        <v>708</v>
      </c>
      <c r="D324" s="5" t="s">
        <v>45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2" r:id="rId19" xr:uid="{ADC65BE2-5B3F-4EB3-89B1-58E7D9C5B4C1}"/>
    <hyperlink ref="B106" r:id="rId20" xr:uid="{42D9B4C2-49DB-4976-8CCA-C4017A3941C0}"/>
    <hyperlink ref="B55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8" r:id="rId48" xr:uid="{135277CF-6DC3-47F7-8FC6-007EBD401D21}"/>
    <hyperlink ref="B90" r:id="rId49" xr:uid="{B5BADCA7-FA1F-4469-8A4E-6DBF15BC2D45}"/>
    <hyperlink ref="B38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+[79]Main!$I$2</f>
        <v>251.74</v>
      </c>
      <c r="F4" s="15">
        <f>+[79]Main!$I$4</f>
        <v>283312.98862612003</v>
      </c>
      <c r="G4" s="15">
        <f>+[79]Main!$I$6-[79]Main!$I$5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tabSelected="1" topLeftCell="A46"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+[80]Main!$J$2</f>
        <v>334.9</v>
      </c>
      <c r="F4" s="15">
        <f>+[80]Main!$J$4</f>
        <v>622169.62413309992</v>
      </c>
      <c r="G4" s="15">
        <f>+[80]Main!$J$6-[80]Main!$J$5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+[81]Main!$I$2</f>
        <v>519.49</v>
      </c>
      <c r="F5" s="15">
        <f>+[81]Main!$I$4</f>
        <v>473623.45178194001</v>
      </c>
      <c r="G5" s="15">
        <f>+[81]Main!$I$6-[81]Main!$I$5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+[82]Main!$J$2</f>
        <v>494.32</v>
      </c>
      <c r="F7" s="15">
        <f>+[82]Main!$J$4</f>
        <v>151607.94399999999</v>
      </c>
      <c r="G7" s="15">
        <f>+[82]Main!$J$6-[82]Main!$J$5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+[83]Main!$I$2</f>
        <v>185.7</v>
      </c>
      <c r="F10" s="15">
        <f>+[83]Main!$I$4</f>
        <v>106522.39852469999</v>
      </c>
      <c r="G10" s="15">
        <f>+[83]Main!$I$6-[83]Main!$I$5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+[62]Main!$H$2</f>
        <v>276.01</v>
      </c>
      <c r="F11" s="15">
        <f>+[62]Main!$H$4</f>
        <v>69099.22577243</v>
      </c>
      <c r="G11" s="15">
        <f>+[62]Main!$H$6-[62]Main!$H$5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+[70]Main!$J$2</f>
        <v>117.07</v>
      </c>
      <c r="F12" s="15">
        <f>+[70]Main!$J$4</f>
        <v>104037.19313750998</v>
      </c>
      <c r="G12" s="15">
        <f>+[70]Main!$J$6-[70]Main!$J$5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+[84]Main!$I$2</f>
        <v>86.25</v>
      </c>
      <c r="F14" s="15">
        <f>+[84]Main!$I$4</f>
        <v>49517.989724999999</v>
      </c>
      <c r="G14" s="15">
        <f>+[84]Main!$I$6-[84]Main!$I$5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+[85]Main!$I$2</f>
        <v>220.4</v>
      </c>
      <c r="F15" s="15">
        <f>+[85]Main!$I$4</f>
        <v>45785.921346000003</v>
      </c>
      <c r="G15" s="15">
        <f>+[85]Main!$I$6-[85]Main!$I$5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+[86]Main!$J$2</f>
        <v>544.77</v>
      </c>
      <c r="F16" s="15">
        <f>+[86]Main!$J$4</f>
        <v>42149.669331149998</v>
      </c>
      <c r="G16" s="15">
        <f>+[86]Main!$J$6-[86]Main!$J$5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+[63]Main!$J$2</f>
        <v>53.86</v>
      </c>
      <c r="F17" s="15">
        <f>+[63]Main!$J$4</f>
        <v>33365.192799999997</v>
      </c>
      <c r="G17" s="15">
        <f>+[63]Main!$J$6-[63]Main!$J$5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+[87]Main!$J$2</f>
        <v>208.42</v>
      </c>
      <c r="F20" s="15">
        <f>+[87]Main!$J$4</f>
        <v>22709.220190600001</v>
      </c>
      <c r="G20" s="15">
        <f>+[87]Main!$J$6-[87]Main!$J$5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+[88]Main!$K$2</f>
        <v>39.04</v>
      </c>
      <c r="F50" s="15">
        <f>+[88]Main!$K$4</f>
        <v>14227.016843519999</v>
      </c>
      <c r="G50" s="15">
        <f>+[88]Main!$K$6-[88]Main!$K$5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+[89]Main!$H$2</f>
        <v>41.35</v>
      </c>
      <c r="F52" s="15">
        <f>+[89]Main!$H$4</f>
        <v>6320.9364066999997</v>
      </c>
      <c r="G52" s="15">
        <f>+[89]Main!$H$6-[89]Main!$H$5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+[76]Main!$I$2</f>
        <v>65.7</v>
      </c>
      <c r="F54" s="15">
        <f>+[76]Main!$I$4</f>
        <v>7075.3846356000004</v>
      </c>
      <c r="G54" s="15">
        <f>+[76]Main!$I$6-[76]Main!$I$5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2025-09-10T12:36:41Z</dcterms:modified>
</cp:coreProperties>
</file>