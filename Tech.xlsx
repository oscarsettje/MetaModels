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EBC3EF5-9EB5-41BD-95D3-CEB05BE55DA1}" xr6:coauthVersionLast="47" xr6:coauthVersionMax="47" xr10:uidLastSave="{00000000-0000-0000-0000-000000000000}"/>
  <bookViews>
    <workbookView xWindow="225" yWindow="39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E1100" i="1"/>
  <c r="H1100" i="1" l="1"/>
  <c r="H1101" i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<sst xmlns="http://schemas.openxmlformats.org/spreadsheetml/2006/main" count="5053" uniqueCount="3155">
  <si>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</si>
  <si>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</si>
  <si>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</si>
  <si>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</si>
  <si>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</si>
  <si>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</si>
  <si>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</si>
  <si>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</si>
  <si>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</si>
  <si>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</si>
  <si>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</si>
  <si>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</si>
  <si>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</si>
  <si>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</si>
  <si>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</si>
  <si>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</si>
  <si>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</si>
  <si>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</si>
  <si>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</si>
  <si>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</si>
  <si>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</si>
  <si>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</si>
  <si>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</si>
  <si>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</si>
  <si>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</si>
  <si>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</si>
  <si>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</si>
  <si>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</si>
  <si>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</si>
  <si>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</si>
  <si>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</si>
  <si>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</si>
  <si>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</si>
  <si>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</si>
  <si>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</si>
  <si>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</si>
  <si>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</si>
  <si>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</si>
  <si>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</si>
  <si>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</si>
  <si>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</si>
  <si>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</si>
  <si>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</si>
  <si>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</si>
  <si>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</si>
  <si>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</si>
  <si>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</si>
  <si>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</si>
  <si>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</si>
  <si>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</si>
  <si>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</si>
  <si>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</si>
  <si>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</si>
  <si>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</si>
  <si>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</si>
  <si>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</si>
  <si>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</si>
  <si>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</si>
  <si>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</si>
  <si>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</si>
  <si>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</si>
  <si>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</si>
  <si>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</si>
  <si>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</si>
  <si>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</si>
  <si>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</si>
  <si>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</si>
  <si>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</si>
  <si>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</si>
  <si>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</si>
  <si>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</si>
  <si>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</si>
  <si>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</si>
  <si>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</si>
  <si>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</si>
  <si>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</si>
  <si>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</si>
  <si>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</si>
  <si>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</si>
  <si>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</si>
  <si>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</si>
  <si>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</si>
  <si>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</si>
  <si>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</si>
  <si>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</si>
  <si>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</si>
  <si>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</si>
  <si>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</si>
  <si>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</si>
  <si>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</si>
  <si>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</si>
  <si>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</si>
  <si>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</si>
  <si>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</si>
  <si>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</si>
  <si>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</si>
  <si>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</si>
  <si>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</si>
  <si>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</si>
  <si>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</si>
  <si>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</si>
  <si>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</si>
  <si>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</si>
  <si>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</si>
  <si>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</si>
  <si>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</si>
  <si>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</si>
  <si>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</si>
  <si>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</si>
  <si>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</si>
  <si>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</si>
  <si>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</si>
  <si>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</si>
  <si>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</si>
  <si>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</si>
  <si>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</si>
  <si>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</si>
  <si>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</si>
  <si>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</si>
  <si>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</si>
  <si>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</si>
  <si>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</si>
  <si>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</si>
  <si>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</si>
  <si>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</si>
  <si>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</si>
  <si>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</si>
  <si>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</si>
  <si>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</si>
  <si>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</si>
  <si>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</si>
  <si>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</si>
  <si>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</si>
  <si>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</si>
  <si>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</si>
  <si>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</si>
  <si>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</si>
  <si>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</si>
  <si>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</si>
  <si>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</si>
  <si>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</si>
  <si>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</si>
  <si>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</si>
  <si>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</si>
  <si>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</si>
  <si>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</si>
  <si>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</si>
  <si>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</si>
  <si>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</si>
  <si>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</si>
  <si>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</si>
  <si>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</si>
  <si>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</si>
  <si>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</si>
  <si>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</si>
  <si>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</si>
  <si>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</si>
  <si>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</si>
  <si>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</si>
  <si>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</si>
  <si>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</si>
  <si>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</si>
  <si>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</si>
  <si>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</si>
  <si>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</si>
  <si>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</si>
  <si>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</si>
  <si>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</si>
  <si>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</si>
  <si>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</si>
  <si>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</si>
  <si>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</si>
  <si>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</si>
  <si>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</si>
  <si>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</si>
  <si>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</si>
  <si>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</si>
  <si>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</si>
  <si>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</si>
  <si>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</si>
  <si>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</si>
  <si>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</si>
  <si>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</si>
  <si>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</si>
  <si>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</si>
  <si>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</si>
  <si>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</si>
  <si>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</si>
  <si>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</si>
  <si>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</si>
  <si>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</si>
  <si>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</si>
  <si>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</si>
  <si>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</si>
  <si>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</si>
  <si>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</si>
  <si>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</si>
  <si>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</si>
  <si>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</si>
  <si>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</si>
  <si>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</si>
  <si>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</si>
  <si>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</si>
  <si>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</si>
  <si>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</si>
  <si>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</si>
  <si>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</si>
  <si>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</si>
  <si>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</si>
  <si>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</si>
  <si>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</si>
  <si>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</si>
  <si>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</si>
  <si>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</si>
  <si>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</si>
  <si>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</si>
  <si>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</si>
  <si>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</si>
  <si>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</si>
  <si>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</si>
  <si>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</si>
  <si>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</si>
  <si>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</si>
  <si>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</si>
  <si>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</si>
  <si>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</si>
  <si>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</si>
  <si>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</si>
  <si>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</si>
  <si>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</si>
  <si>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</si>
  <si>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</si>
  <si>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</si>
  <si>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</si>
  <si>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</si>
  <si>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</si>
  <si>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</si>
  <si>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</si>
  <si>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</si>
  <si>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</si>
  <si>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</si>
  <si>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</si>
  <si>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</si>
  <si>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</si>
  <si>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</si>
  <si>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</si>
  <si>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</si>
  <si>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</si>
  <si>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</si>
  <si>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</si>
  <si>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</si>
  <si>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</si>
  <si>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</si>
  <si>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</si>
  <si>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</si>
  <si>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</si>
  <si>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</si>
  <si>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</si>
  <si>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</si>
  <si>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</si>
  <si>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</si>
  <si>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</si>
  <si>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</si>
  <si>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</si>
  <si>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</si>
  <si>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</si>
  <si>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</si>
  <si>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</si>
  <si>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</si>
  <si>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</si>
  <si>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</si>
  <si>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</si>
  <si>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</si>
  <si>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</si>
  <si>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</si>
  <si>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</si>
  <si>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</si>
  <si>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</si>
  <si>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</si>
  <si>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</si>
  <si>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</si>
  <si>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</si>
  <si>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</si>
  <si>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</si>
  <si>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</si>
  <si>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</si>
  <si>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</si>
  <si>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</si>
  <si>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</si>
  <si>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</si>
  <si>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</si>
  <si>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</si>
  <si>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</si>
  <si>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</si>
  <si>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</si>
  <si>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</si>
  <si>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</si>
  <si>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</si>
  <si>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</si>
  <si>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</si>
  <si>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</si>
  <si>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</si>
  <si>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</si>
  <si>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</si>
  <si>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</si>
  <si>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</si>
  <si>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</si>
  <si>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</si>
  <si>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</si>
  <si>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</si>
  <si>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</si>
  <si>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</si>
  <si>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</si>
  <si>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</si>
  <si>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</si>
  <si>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</si>
  <si>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</si>
  <si>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</si>
  <si>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</si>
  <si>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</si>
  <si>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</si>
  <si>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</si>
  <si>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</si>
  <si>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</si>
  <si>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</si>
  <si>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</si>
  <si>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</si>
  <si>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</si>
  <si>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</si>
  <si>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</si>
  <si>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</si>
  <si>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</si>
  <si>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</si>
  <si>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</si>
  <si>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</si>
  <si>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</si>
  <si>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</si>
  <si>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</si>
  <si>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</si>
  <si>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</si>
  <si>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</si>
  <si>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</si>
  <si>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</si>
  <si>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</si>
  <si>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</si>
  <si>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</si>
  <si>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</si>
  <si>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</si>
  <si>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</si>
  <si>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</si>
  <si>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</si>
  <si>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</si>
  <si>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</si>
  <si>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</si>
  <si>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</si>
  <si>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</si>
  <si>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</si>
  <si>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</si>
  <si>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</si>
  <si>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</si>
  <si>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</si>
  <si>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</si>
  <si>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</si>
  <si>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</si>
  <si>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</si>
  <si>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</si>
  <si>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</si>
  <si>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</si>
  <si>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</si>
  <si>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</si>
  <si>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</si>
  <si>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</si>
  <si>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</si>
  <si>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</si>
  <si>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</si>
  <si>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</si>
  <si>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</si>
  <si>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</si>
  <si>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</si>
  <si>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</si>
  <si>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</si>
  <si>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</si>
  <si>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</si>
  <si>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</si>
  <si>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</si>
  <si>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</si>
  <si>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</si>
  <si>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</si>
  <si>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</si>
  <si>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</si>
  <si>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</si>
  <si>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</si>
  <si>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</si>
  <si>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</si>
  <si>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</si>
  <si>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</si>
  <si>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</si>
  <si>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</si>
  <si>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</si>
  <si>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</si>
  <si>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</si>
  <si>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</si>
  <si>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</si>
  <si>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</si>
  <si>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</si>
  <si>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</si>
  <si>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</si>
  <si>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</si>
  <si>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</si>
  <si>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</si>
  <si>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</si>
  <si>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</si>
  <si>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</si>
  <si>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</si>
  <si>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</si>
  <si>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</si>
  <si>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</si>
  <si>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</si>
  <si>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</si>
  <si>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</si>
  <si>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</si>
  <si>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</si>
  <si>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</si>
  <si>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</si>
  <si>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</si>
  <si>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</si>
  <si>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</si>
  <si>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</si>
  <si>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</si>
  <si>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</si>
  <si>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</si>
  <si>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</si>
  <si>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</si>
  <si>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</si>
  <si>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</si>
  <si>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</si>
  <si>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</si>
  <si>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</si>
  <si>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</si>
  <si>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</si>
  <si>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</si>
  <si>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</si>
  <si>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</si>
  <si>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</si>
  <si>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</si>
  <si>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</si>
  <si>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</si>
  <si>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</si>
  <si>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</si>
  <si>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</si>
  <si>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</si>
  <si>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</si>
  <si>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</si>
  <si>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</si>
  <si>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</si>
  <si>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</si>
  <si>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</si>
  <si>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</si>
  <si>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</si>
  <si>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</si>
  <si>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</si>
  <si>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</si>
  <si>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</si>
  <si>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</si>
  <si>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</si>
  <si>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</si>
  <si>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</si>
  <si>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</si>
  <si>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</si>
  <si>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</si>
  <si>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</si>
  <si>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</si>
  <si>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</si>
  <si>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</si>
  <si>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</si>
  <si>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</si>
  <si>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</si>
  <si>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</si>
  <si>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</si>
  <si>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</si>
  <si>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</si>
  <si>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</si>
  <si>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</si>
  <si>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</si>
  <si>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</si>
  <si>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</si>
  <si>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</si>
  <si>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</si>
  <si>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</si>
  <si>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</si>
  <si>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</si>
  <si>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</si>
  <si>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</si>
  <si>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</si>
  <si>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</si>
  <si>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</si>
  <si>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</si>
  <si>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</si>
  <si>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</si>
  <si>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</si>
  <si>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</si>
  <si>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</si>
  <si>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</si>
  <si>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</si>
  <si>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</si>
  <si>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</si>
  <si>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</si>
  <si>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</si>
  <si>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</si>
  <si>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</si>
  <si>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</si>
  <si>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</si>
  <si>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</si>
  <si>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</si>
  <si>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</si>
  <si>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</si>
  <si>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</si>
  <si>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</si>
  <si>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</si>
  <si>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</si>
  <si>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</si>
  <si>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</si>
  <si>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</si>
  <si>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</si>
  <si>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</si>
  <si>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</si>
  <si>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</si>
  <si>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</si>
  <si>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</si>
  <si>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</si>
  <si>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</si>
  <si>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</si>
  <si>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</si>
  <si>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</si>
  <si>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</si>
  <si>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</si>
  <si>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</si>
  <si>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</si>
  <si>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</si>
  <si>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</si>
  <si>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</si>
  <si>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</si>
  <si>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</si>
  <si>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</si>
  <si>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</si>
  <si>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</si>
  <si>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</si>
  <si>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</si>
  <si>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</si>
  <si>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</si>
  <si>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</si>
  <si>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</si>
  <si>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</si>
  <si>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</si>
  <si>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</si>
  <si>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</si>
  <si>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</si>
  <si>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</si>
  <si>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</si>
  <si>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</si>
  <si>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</si>
  <si>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</si>
  <si>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</si>
  <si>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</si>
  <si>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</si>
  <si>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</si>
  <si>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</si>
  <si>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</si>
  <si>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</si>
  <si>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</si>
  <si>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</si>
  <si>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</si>
  <si>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</si>
  <si>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</si>
  <si>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</si>
  <si>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</si>
  <si>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</si>
  <si>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</si>
  <si>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</si>
  <si>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</si>
  <si>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</si>
  <si>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</si>
  <si>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</si>
  <si>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</si>
  <si>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</si>
  <si>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</si>
  <si>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</si>
  <si>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</si>
  <si>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</si>
  <si>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</si>
  <si>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</si>
  <si>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</si>
  <si>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</si>
  <si>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</si>
  <si>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</si>
  <si>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</si>
  <si>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</si>
  <si>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</si>
  <si>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</si>
  <si>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</si>
  <si>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</si>
  <si>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</si>
  <si>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</si>
  <si>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</si>
  <si>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</si>
  <si>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</si>
  <si>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</si>
  <si>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</si>
  <si>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</si>
  <si>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</si>
  <si>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</si>
  <si>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</si>
  <si>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</si>
  <si>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</si>
  <si>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</si>
  <si>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</si>
  <si>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</si>
  <si>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</si>
  <si>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</si>
  <si>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</si>
  <si>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</si>
  <si>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</si>
  <si>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</si>
  <si>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</si>
  <si>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</si>
  <si>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</si>
  <si>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</si>
  <si>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</si>
  <si>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</si>
  <si>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</si>
  <si>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</si>
  <si>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</si>
  <si>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</si>
  <si>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</si>
  <si>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</si>
  <si>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</si>
  <si>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</si>
  <si>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</si>
  <si>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</si>
  <si>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</si>
  <si>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</si>
  <si>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</si>
  <si>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</si>
  <si>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</si>
  <si>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</si>
  <si>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</si>
  <si>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</si>
  <si>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</si>
  <si>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</si>
  <si>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</si>
  <si>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</si>
  <si>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</si>
  <si>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</si>
  <si>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</si>
  <si>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</si>
  <si>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</si>
  <si>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</si>
  <si>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</si>
  <si>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</si>
  <si>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</si>
  <si>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</si>
  <si>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</si>
  <si>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</si>
  <si>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</si>
  <si>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</si>
  <si>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</si>
  <si>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</si>
  <si>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</si>
  <si>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</si>
  <si>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</si>
  <si>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</si>
  <si>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</si>
  <si>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</si>
  <si>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</si>
  <si>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</si>
  <si>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</si>
  <si>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</si>
  <si>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</si>
  <si>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</si>
  <si>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</si>
  <si>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</si>
  <si>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</si>
  <si>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</si>
  <si>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</si>
  <si>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</si>
  <si>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</si>
  <si>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</si>
  <si>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</si>
  <si>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</si>
  <si>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</si>
  <si>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</si>
  <si>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</si>
  <si>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</si>
  <si>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</si>
  <si>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</si>
  <si>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</si>
  <si>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</si>
  <si>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</si>
  <si>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</si>
  <si>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</si>
  <si>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</si>
  <si>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</si>
  <si>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</si>
  <si>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</si>
  <si>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</si>
  <si>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</si>
  <si>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</si>
  <si>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</si>
  <si>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</si>
  <si>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</si>
  <si>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</si>
  <si>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</si>
  <si>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</si>
  <si>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</si>
  <si>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</si>
  <si>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</si>
  <si>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</si>
  <si>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</si>
  <si>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</si>
  <si>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</si>
  <si>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</si>
  <si>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</si>
  <si>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</si>
  <si>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</si>
  <si>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</si>
  <si>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</si>
  <si>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</si>
  <si>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</si>
  <si>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</si>
  <si>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</si>
  <si>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</si>
  <si>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</si>
  <si>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</si>
  <si>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</si>
  <si>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</si>
  <si>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</si>
  <si>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</si>
  <si>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</si>
  <si>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</si>
  <si>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</si>
  <si>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</si>
  <si>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</si>
  <si>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</si>
  <si>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</si>
  <si>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</si>
  <si>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</si>
  <si>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</si>
  <si>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</si>
  <si>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</si>
  <si>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</si>
  <si>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</si>
  <si>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</si>
  <si>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</si>
  <si>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</si>
  <si>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</si>
  <si>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</si>
  <si>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</si>
  <si>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</si>
  <si>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</si>
  <si>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</si>
  <si>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</si>
  <si>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</si>
  <si>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</si>
  <si>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</si>
  <si>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</si>
  <si>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</si>
  <si>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</si>
  <si>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</si>
  <si>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</si>
  <si>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</si>
  <si>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</si>
  <si>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</si>
  <si>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</si>
  <si>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</si>
  <si>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</si>
  <si>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</si>
  <si>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</si>
  <si>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</si>
  <si>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</si>
  <si>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</si>
  <si>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</si>
  <si>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</si>
  <si>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</si>
  <si>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</si>
  <si>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</si>
  <si>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</si>
  <si>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</si>
  <si>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</si>
  <si>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</si>
  <si>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</si>
  <si>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</si>
  <si>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</si>
  <si>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</si>
  <si>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</si>
  <si>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</si>
  <si>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</si>
  <si>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</si>
  <si>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</si>
  <si>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</si>
  <si>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</si>
  <si>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</si>
  <si>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</si>
  <si>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</si>
  <si>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</si>
  <si>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</si>
  <si>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</si>
  <si>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</si>
  <si>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</si>
  <si>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</si>
  <si>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</si>
  <si>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</si>
  <si>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</si>
  <si>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</si>
  <si>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</si>
  <si>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</si>
  <si>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</si>
  <si>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</si>
  <si>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</si>
  <si>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</si>
  <si>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</si>
  <si>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</si>
  <si>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</si>
  <si>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</si>
  <si>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</si>
  <si>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</si>
  <si>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</si>
  <si>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</si>
  <si>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</si>
  <si>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</si>
  <si>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</si>
  <si>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</si>
  <si>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</si>
  <si>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</si>
  <si>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</si>
  <si>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</si>
  <si>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</si>
  <si>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</si>
  <si>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</si>
  <si>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</si>
  <si>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</si>
  <si>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</si>
  <si>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</si>
  <si>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</si>
  <si>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</si>
  <si>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</si>
  <si>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</si>
  <si>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</si>
  <si>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</si>
  <si>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</si>
  <si>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</si>
  <si>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</si>
  <si>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</si>
  <si>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</si>
  <si>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</si>
  <si>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</si>
  <si>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</si>
  <si>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</si>
  <si>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</si>
  <si>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</si>
  <si>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</si>
  <si>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</si>
  <si>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</si>
  <si>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</si>
  <si>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</si>
  <si>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</si>
  <si>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</si>
  <si>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</si>
  <si>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</si>
  <si>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</si>
  <si>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</si>
  <si>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</si>
  <si>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</si>
  <si>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</si>
  <si>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</si>
  <si>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</si>
  <si>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</si>
  <si>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</si>
  <si>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</si>
  <si>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</si>
  <si>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</si>
  <si>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</si>
  <si>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</si>
  <si>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</si>
  <si>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</si>
  <si>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</si>
  <si>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</si>
  <si>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</si>
  <si>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</si>
  <si>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</si>
  <si>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</si>
  <si>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</si>
  <si>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</si>
  <si>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</si>
  <si>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</si>
  <si>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</si>
  <si>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</si>
  <si>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</si>
  <si>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</si>
  <si>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</si>
  <si>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</si>
  <si>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</si>
  <si>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</si>
  <si>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</si>
  <si>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</si>
  <si>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</si>
  <si>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</si>
  <si>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</si>
  <si>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</si>
  <si>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</si>
  <si>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</si>
  <si>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</si>
  <si>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</si>
  <si>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</si>
  <si>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</si>
  <si>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</si>
  <si>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</si>
  <si>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</si>
  <si>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</si>
  <si>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</si>
  <si>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</si>
  <si>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</si>
  <si>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</si>
  <si>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</si>
  <si>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</si>
  <si>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</si>
  <si>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</si>
  <si>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</si>
  <si>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</si>
  <si>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</si>
  <si>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</si>
  <si>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</si>
  <si>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</si>
  <si>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</si>
  <si>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</si>
  <si>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</si>
  <si>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</si>
  <si>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</si>
  <si>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</si>
  <si>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</si>
  <si>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</si>
  <si>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</si>
  <si>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</si>
  <si>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</si>
  <si>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</si>
  <si>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</si>
  <si>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</si>
  <si>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</si>
  <si>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</si>
  <si>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</si>
  <si>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</si>
  <si>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</si>
  <si>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</si>
  <si>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</si>
  <si>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</si>
  <si>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</si>
  <si>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</si>
  <si>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</si>
  <si>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</si>
  <si>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</si>
  <si>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</si>
  <si>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</si>
  <si>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</si>
  <si>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</si>
  <si>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</si>
  <si>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</si>
  <si>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</si>
  <si>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</si>
  <si>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</si>
  <si>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</si>
  <si>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</si>
  <si>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</si>
  <si>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</si>
  <si>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</si>
  <si>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</si>
  <si>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</si>
  <si>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</si>
  <si>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</si>
  <si>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</si>
  <si>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</si>
  <si>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</si>
  <si>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</si>
  <si>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</si>
  <si>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</si>
  <si>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</si>
  <si>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</si>
  <si>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</si>
  <si>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</si>
  <si>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</si>
  <si>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</si>
  <si>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</si>
  <si>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</si>
  <si>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</si>
  <si>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</si>
  <si>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</si>
  <si>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</si>
  <si>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</si>
  <si>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</si>
  <si>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</si>
  <si>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</si>
  <si>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</si>
  <si>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</si>
  <si>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</si>
  <si>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</si>
  <si>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</si>
  <si>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</si>
  <si>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</si>
  <si>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</si>
  <si>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</si>
  <si>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</si>
  <si>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</si>
  <si>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</si>
  <si>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</si>
  <si>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</si>
  <si>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</si>
  <si>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</si>
  <si>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</si>
  <si>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</si>
  <si>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</si>
  <si>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</si>
  <si>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</si>
  <si>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</si>
  <si>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</si>
  <si>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</si>
  <si>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</si>
  <si>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</si>
  <si>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</si>
  <si>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</si>
  <si>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</si>
  <si>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</si>
  <si>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</si>
  <si>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</si>
  <si>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</si>
  <si>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</si>
  <si>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</si>
  <si>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</si>
  <si>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</si>
  <si>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</si>
  <si>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</si>
  <si>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</si>
  <si>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</si>
  <si>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</si>
  <si>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</si>
  <si>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</si>
  <si>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</si>
  <si>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</si>
  <si>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</si>
  <si>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</si>
  <si>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</si>
  <si>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</si>
  <si>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</si>
  <si>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</si>
  <si>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</si>
  <si>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</si>
  <si>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</si>
  <si>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</si>
  <si>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</si>
  <si>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</si>
  <si>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</si>
  <si>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</si>
  <si>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</si>
  <si>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</si>
  <si>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</si>
  <si>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</si>
  <si>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</si>
  <si>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</si>
  <si>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</si>
  <si>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</si>
  <si>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</si>
  <si>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</si>
  <si>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</si>
  <si>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</si>
  <si>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</si>
  <si>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</si>
  <si>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</si>
  <si>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</si>
  <si>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</si>
  <si>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</si>
  <si>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</si>
  <si>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</si>
  <si>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</si>
  <si>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</si>
  <si>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</si>
  <si>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</si>
  <si>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</si>
  <si>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</si>
  <si>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</si>
  <si>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</si>
  <si>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</si>
  <si>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</si>
  <si>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</si>
  <si>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</si>
  <si>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</si>
  <si>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</si>
  <si>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</si>
  <si>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</si>
  <si>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</si>
  <si>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</si>
  <si>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</si>
  <si>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</si>
  <si>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</si>
  <si>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</si>
  <si>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</si>
  <si>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</si>
  <si>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</si>
  <si>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</si>
  <si>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</si>
  <si>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</si>
  <si>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</si>
  <si>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</si>
  <si>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</si>
  <si>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</si>
  <si>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</si>
  <si>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</si>
  <si>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</si>
  <si>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</si>
  <si>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</si>
  <si>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</si>
  <si>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</si>
  <si>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</si>
  <si>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</si>
  <si>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</si>
  <si>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</si>
  <si>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</si>
  <si>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</si>
  <si>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</si>
  <si>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</si>
  <si>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</si>
  <si>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</si>
  <si>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</si>
  <si>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</si>
  <si>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</si>
  <si>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</si>
  <si>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</si>
  <si>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</si>
  <si>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</si>
  <si>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</si>
  <si>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</si>
  <si>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</si>
  <si>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</si>
  <si>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</si>
  <si>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</si>
  <si>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</si>
  <si>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</si>
  <si>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</si>
  <si>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</si>
  <si>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</si>
  <si>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</si>
  <si>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</si>
  <si>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</si>
  <si>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</si>
  <si>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</si>
  <si>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</si>
  <si>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</si>
  <si>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</si>
  <si>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</si>
  <si>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</si>
  <si>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</si>
  <si>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</si>
  <si>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</si>
  <si>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</si>
  <si>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</si>
  <si>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</si>
  <si>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</si>
  <si>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</si>
  <si>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</si>
  <si>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</si>
  <si>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</si>
  <si>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</si>
  <si>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</si>
  <si>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</si>
  <si>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</si>
  <si>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</si>
  <si>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</si>
  <si>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</si>
  <si>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</si>
  <si>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</si>
  <si>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</si>
  <si>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</si>
  <si>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</si>
  <si>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</si>
  <si>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</si>
  <si>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</si>
  <si>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</si>
  <si>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</si>
  <si>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</si>
  <si>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</si>
  <si>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</si>
  <si>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</si>
  <si>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</si>
  <si>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</si>
  <si>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</si>
  <si>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</si>
  <si>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</si>
  <si>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</si>
  <si>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</si>
  <si>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</si>
  <si>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</si>
  <si>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</si>
  <si>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</si>
  <si>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</si>
  <si>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</si>
  <si>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</si>
  <si>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</si>
  <si>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</si>
  <si>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</si>
  <si>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</si>
  <si>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</si>
  <si>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</si>
  <si>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</si>
  <si>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</si>
  <si>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</si>
  <si>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</si>
  <si>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</si>
  <si>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</si>
  <si>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</si>
  <si>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</si>
  <si>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</si>
  <si>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</si>
  <si>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</si>
  <si>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</si>
  <si>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</si>
  <si>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</si>
  <si>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</si>
  <si>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</si>
  <si>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</si>
  <si>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</si>
  <si>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</si>
  <si>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</si>
  <si>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</si>
  <si>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</si>
  <si>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</si>
  <si>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</si>
  <si>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</si>
  <si>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</si>
  <si>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</si>
  <si>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</si>
  <si>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</si>
  <si>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</si>
  <si>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</si>
  <si>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</si>
  <si>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</si>
  <si>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</si>
  <si>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</si>
  <si>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</si>
  <si>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</si>
  <si>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</si>
  <si>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</si>
  <si>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</si>
  <si>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</si>
  <si>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</si>
  <si>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</si>
  <si>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</si>
  <si>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</si>
  <si>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</si>
  <si>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</si>
  <si>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</si>
  <si>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</si>
  <si>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</si>
  <si>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</si>
  <si>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</si>
  <si>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</si>
  <si>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</si>
  <si>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</si>
  <si>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</si>
  <si>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</si>
  <si>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</si>
  <si>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</si>
  <si>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</si>
  <si>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</si>
  <si>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</si>
  <si>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</si>
  <si>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</si>
  <si>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</si>
  <si>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</si>
  <si>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</si>
  <si>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</si>
  <si>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</si>
  <si>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</si>
  <si>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</si>
  <si>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</si>
  <si>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</si>
  <si>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</si>
  <si>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</si>
  <si>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</si>
  <si>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</si>
  <si>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</si>
  <si>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</si>
  <si>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</si>
  <si>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</si>
  <si>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</si>
  <si>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</si>
  <si>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</si>
  <si>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</si>
  <si>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</si>
  <si>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</si>
  <si>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</si>
  <si>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</si>
  <si>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</si>
  <si>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</si>
  <si>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</si>
  <si>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</si>
  <si>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</si>
  <si>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</si>
  <si>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</si>
  <si>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</si>
  <si>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</si>
  <si>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</si>
  <si>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</si>
  <si>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</si>
  <si>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</si>
  <si>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</si>
  <si>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</si>
  <si>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</si>
  <si>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</si>
  <si>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</si>
  <si>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</si>
  <si>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</si>
  <si>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</si>
  <si>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</si>
  <si>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</si>
  <si>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</si>
  <si>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</si>
  <si>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</si>
  <si>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</si>
  <si>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</si>
  <si>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</si>
  <si>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</si>
  <si>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</si>
  <si>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</si>
  <si>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</si>
  <si>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</si>
  <si>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</si>
  <si>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</si>
  <si>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</si>
  <si>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</si>
  <si>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</si>
  <si>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</si>
  <si>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</si>
  <si>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</si>
  <si>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</si>
  <si>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</si>
  <si>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</si>
  <si>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</si>
  <si>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</si>
  <si>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</si>
  <si>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</si>
  <si>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</si>
  <si>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</si>
  <si>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</si>
  <si>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</si>
  <si>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</si>
  <si>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</si>
  <si>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</si>
  <si>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</si>
  <si>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</si>
  <si>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</si>
  <si>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</si>
  <si>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</si>
  <si>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</si>
  <si>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</si>
  <si>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</si>
  <si>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</si>
  <si>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</si>
  <si>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</si>
  <si>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</si>
  <si>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</si>
  <si>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</si>
  <si>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</si>
  <si>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</si>
  <si>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</si>
  <si>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</si>
  <si>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</si>
  <si>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</si>
  <si>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</si>
  <si>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</si>
  <si>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</si>
  <si>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</si>
  <si>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</si>
  <si>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</si>
  <si>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</si>
  <si>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</si>
  <si>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</si>
  <si>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</si>
  <si>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</si>
  <si>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</si>
  <si>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</si>
  <si>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</si>
  <si>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</si>
  <si>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</si>
  <si>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</si>
  <si>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</si>
  <si>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</si>
  <si>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</si>
  <si>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</si>
  <si>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</si>
  <si>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</si>
  <si>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</si>
  <si>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</si>
  <si>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</si>
  <si>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</si>
  <si>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</si>
  <si>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</si>
  <si>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</si>
  <si>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</si>
  <si>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</si>
  <si>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</si>
  <si>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</si>
  <si>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</si>
  <si>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</si>
  <si>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</si>
  <si>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</si>
  <si>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</si>
  <si>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</si>
  <si>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</si>
  <si>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</si>
  <si>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</si>
  <si>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</si>
  <si>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</si>
  <si>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</si>
  <si>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</si>
  <si>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</si>
  <si>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</si>
  <si>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</si>
  <si>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</si>
  <si>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</si>
  <si>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</si>
  <si>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</si>
  <si>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</si>
  <si>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</si>
  <si>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</si>
  <si>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</si>
  <si>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</si>
  <si>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</si>
  <si>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</si>
  <si>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</si>
  <si>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</si>
  <si>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</si>
  <si>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</si>
  <si>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</si>
  <si>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</si>
  <si>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</si>
  <si>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</si>
  <si>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</si>
  <si>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</si>
  <si>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</si>
  <si>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</si>
  <si>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</si>
  <si>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</si>
  <si>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</si>
  <si>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</si>
  <si>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</si>
  <si>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</si>
  <si>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</si>
  <si>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</si>
  <si>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</si>
  <si>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</si>
  <si>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</si>
  <si>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</si>
  <si>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</si>
  <si>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</si>
  <si>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</si>
  <si>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</si>
  <si>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</si>
  <si>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</si>
  <si>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</si>
  <si>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</si>
  <si>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</si>
  <si>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</si>
  <si>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</si>
  <si>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</si>
  <si>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</si>
  <si>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</si>
  <si>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</si>
  <si>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</si>
  <si>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</si>
  <si>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</si>
  <si>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</si>
  <si>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</si>
  <si>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</si>
  <si>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</si>
  <si>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</si>
  <si>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</si>
  <si>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</si>
  <si>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</si>
  <si>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</si>
  <si>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</si>
  <si>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</si>
  <si>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</si>
  <si>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</si>
  <si>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</si>
  <si>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</si>
  <si>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</si>
  <si>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</si>
  <si>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</si>
  <si>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</si>
  <si>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</si>
  <si>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</si>
  <si>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</si>
  <si>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</si>
  <si>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</si>
  <si>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</si>
  <si>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</si>
  <si>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</si>
  <si>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</si>
  <si>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</si>
  <si>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</si>
  <si>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</si>
  <si>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</si>
  <si>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</si>
  <si>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</si>
  <si>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</si>
  <si>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</si>
  <si>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</si>
  <si>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</si>
  <si>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</si>
  <si>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</si>
  <si>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</si>
  <si>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</si>
  <si>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</si>
  <si>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</si>
  <si>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</si>
  <si>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</si>
  <si>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</si>
  <si>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</si>
  <si>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</si>
  <si>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</si>
  <si>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</si>
  <si>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</si>
  <si>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</si>
  <si>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</si>
  <si>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</si>
  <si>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</si>
  <si>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</si>
  <si>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</si>
  <si>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</si>
  <si>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</si>
  <si>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</si>
  <si>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</si>
  <si>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</si>
  <si>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</si>
  <si>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</si>
  <si>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</si>
  <si>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</si>
  <si>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</si>
  <si>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</si>
  <si>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</si>
  <si>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</si>
  <si>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</si>
  <si>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</si>
  <si>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</si>
  <si>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</si>
  <si>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</si>
  <si>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</si>
  <si>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</si>
  <si>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</si>
  <si>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</si>
  <si>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</si>
  <si>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</si>
  <si>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</si>
  <si>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</si>
  <si>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</si>
  <si>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</si>
  <si>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</si>
  <si>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</si>
  <si>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</si>
  <si>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</si>
  <si>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</si>
  <si>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</si>
  <si>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</si>
  <si>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</si>
  <si>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</si>
  <si>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</si>
  <si>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</si>
  <si>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</si>
  <si>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</si>
  <si>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</si>
  <si>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</si>
  <si>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</si>
  <si>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</si>
  <si>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</si>
  <si>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</si>
  <si>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</si>
  <si>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</si>
  <si>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</si>
  <si>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</si>
  <si>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</si>
  <si>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</si>
  <si>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</si>
  <si>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</si>
  <si>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</si>
  <si>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</si>
  <si>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</si>
  <si>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</si>
  <si>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</si>
  <si>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</si>
  <si>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</si>
  <si>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</si>
  <si>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</si>
  <si>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</si>
  <si>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</si>
  <si>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</si>
  <si>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</si>
  <si>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</si>
  <si>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</si>
  <si>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</si>
  <si>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</si>
  <si>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</si>
  <si>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</si>
  <si>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</si>
  <si>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</si>
  <si>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</si>
  <si>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</si>
  <si>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</si>
  <si>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</si>
  <si>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</si>
  <si>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</si>
  <si>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</si>
  <si>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</si>
  <si>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</si>
  <si>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</si>
  <si>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</si>
  <si>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</si>
  <si>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</si>
  <si>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</si>
  <si>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</si>
  <si>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</si>
  <si>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</si>
  <si>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</si>
  <si>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</si>
  <si>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</si>
  <si>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</si>
  <si>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</si>
  <si>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</si>
  <si>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</si>
  <si>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</si>
  <si>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</si>
  <si>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</si>
  <si>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</si>
  <si>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</si>
  <si>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</si>
  <si>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</si>
  <si>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</si>
  <si>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</si>
  <si>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</si>
  <si>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</si>
  <si>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</si>
  <si>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</si>
  <si>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</si>
  <si>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</si>
  <si>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</si>
  <si>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</si>
  <si>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</si>
  <si>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</si>
  <si>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</si>
  <si>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</si>
  <si>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</si>
  <si>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</si>
  <si>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</si>
  <si>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</si>
  <si>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</si>
  <si>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</si>
  <si>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</si>
  <si>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</si>
  <si>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</si>
  <si>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</si>
  <si>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</si>
  <si>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</si>
  <si>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</si>
  <si>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</si>
  <si>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</si>
  <si>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</si>
  <si>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</si>
  <si>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</si>
  <si>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</si>
  <si>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</si>
  <si>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</si>
  <si>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</si>
  <si>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</si>
  <si>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</si>
  <si>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</si>
  <si>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</si>
  <si>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</si>
  <si>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</si>
  <si>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</si>
  <si>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</si>
  <si>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</si>
  <si>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</si>
  <si>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</si>
  <si>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</si>
  <si>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</si>
  <si>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</si>
  <si>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</si>
  <si>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</si>
  <si>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</si>
  <si>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</si>
  <si>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</si>
  <si>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</si>
  <si>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</si>
  <si>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</si>
  <si>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</si>
  <si>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</si>
  <si>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</si>
  <si>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</si>
  <si>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</si>
  <si>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</si>
  <si>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</si>
  <si>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</si>
  <si>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</si>
  <si>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</si>
  <si>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</si>
  <si>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</si>
  <si>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</si>
  <si>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</si>
  <si>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</si>
  <si>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</si>
  <si>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</si>
  <si>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</si>
  <si>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</si>
  <si>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</si>
  <si>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</si>
  <si>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</si>
  <si>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</si>
  <si>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</si>
  <si>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</si>
  <si>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</si>
  <si>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</si>
  <si>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</si>
  <si>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</si>
  <si>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</si>
  <si>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</si>
  <si>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</si>
  <si>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</si>
  <si>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</si>
  <si>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</si>
  <si>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</si>
  <si>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</si>
  <si>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</si>
  <si>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</si>
  <si>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</si>
  <si>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</si>
  <si>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</si>
  <si>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</si>
  <si>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</si>
  <si>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</si>
  <si>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</si>
  <si>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</si>
  <si>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</si>
  <si>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</si>
  <si>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</si>
  <si>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</si>
  <si>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</si>
  <si>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</si>
  <si>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</si>
  <si>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</si>
  <si>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</si>
  <si>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</si>
  <si>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</si>
  <si>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</si>
  <si>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</si>
  <si>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</si>
  <si>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</si>
  <si>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</si>
  <si>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</si>
  <si>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</si>
  <si>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</si>
  <si>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</si>
  <si>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</si>
  <si>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</si>
  <si>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</si>
  <si>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</si>
  <si>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</si>
  <si>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</si>
  <si>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</si>
  <si>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</si>
  <si>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</si>
  <si>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</si>
  <si>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</si>
  <si>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</si>
  <si>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</si>
  <si>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</si>
  <si>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</si>
  <si>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</si>
  <si>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</si>
  <si>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</si>
  <si>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</si>
  <si>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</si>
  <si>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</si>
  <si>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</si>
  <si>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</si>
  <si>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</si>
  <si>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</si>
  <si>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</si>
  <si>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</si>
  <si>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</si>
  <si>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</si>
  <si>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</si>
  <si>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</si>
  <si>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</si>
  <si>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</si>
  <si>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</si>
  <si>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</si>
  <si>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</si>
  <si>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</si>
  <si>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</si>
  <si>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</si>
  <si>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</si>
  <si>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</si>
  <si>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</si>
  <si>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</si>
  <si>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</si>
  <si>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</si>
  <si>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</si>
  <si>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</si>
  <si>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</si>
  <si>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</si>
  <si>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</si>
  <si>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</si>
  <si>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</si>
  <si>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</si>
  <si>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</si>
  <si>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</si>
  <si>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</si>
  <si>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</si>
  <si>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</si>
  <si>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</si>
  <si>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</si>
  <si>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</si>
  <si>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</si>
  <si>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</si>
  <si>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</si>
  <si>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</si>
  <si>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</si>
  <si>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</si>
  <si>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</si>
  <si>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</si>
  <si>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</si>
  <si>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</si>
  <si>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</si>
  <si>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</si>
  <si>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</si>
  <si>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</si>
  <si>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</si>
  <si>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</si>
  <si>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</si>
  <si>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</si>
  <si>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</si>
  <si>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</si>
  <si>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</si>
  <si>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</si>
  <si>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</si>
  <si>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</si>
  <si>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</si>
  <si>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</si>
  <si>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</si>
  <si>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</si>
  <si>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</si>
  <si>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</si>
  <si>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</si>
  <si>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</si>
  <si>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</si>
  <si>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</si>
  <si>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</si>
  <si>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</si>
  <si>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</si>
  <si>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</si>
  <si>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</si>
  <si>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</si>
  <si>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</si>
  <si>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</si>
  <si>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</si>
  <si>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</si>
  <si>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</si>
  <si>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</si>
  <si>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</si>
  <si>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</si>
  <si>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</si>
  <si>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</si>
  <si>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</si>
  <si>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</si>
  <si>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</si>
  <si>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</si>
  <si>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</si>
  <si>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</si>
  <si>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</si>
  <si>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</si>
  <si>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</si>
  <si>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</si>
  <si>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</si>
  <si>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</si>
  <si>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</si>
  <si>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</si>
  <si>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</si>
  <si>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</si>
  <si>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</si>
  <si>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</si>
  <si>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</si>
  <si>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</si>
  <si>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</si>
  <si>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</si>
  <si>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</si>
  <si>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</si>
  <si>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</si>
  <si>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</si>
  <si>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</si>
  <si>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</si>
  <si>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</si>
  <si>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</si>
  <si>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</si>
  <si>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</si>
  <si>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</si>
  <si>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</si>
  <si>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</si>
  <si>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</si>
  <si>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</si>
  <si>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</si>
  <si>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</si>
  <si>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</si>
  <si>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</si>
  <si>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</si>
  <si>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</si>
  <si>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</si>
  <si>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</si>
  <si>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</si>
  <si>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</si>
  <si>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</si>
  <si>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</si>
  <si>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</si>
  <si>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</si>
  <si>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</si>
  <si>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</si>
  <si>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</si>
  <si>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</si>
  <si>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</si>
  <si>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</si>
  <si>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</si>
  <si>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</si>
  <si>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</si>
  <si>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</si>
  <si>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</si>
  <si>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</si>
  <si>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</si>
  <si>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</si>
  <si>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</si>
  <si>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</si>
  <si>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</si>
  <si>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</si>
  <si>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</si>
  <si>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</si>
  <si>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</si>
  <si>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</si>
  <si>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</si>
  <si>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</si>
  <si>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</si>
  <si>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</si>
  <si>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</si>
  <si>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</si>
  <si>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</si>
  <si>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</si>
  <si>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</si>
  <si>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</si>
  <si>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</si>
  <si>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</si>
  <si>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</si>
  <si>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</si>
  <si>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</si>
  <si>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</si>
  <si>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</si>
  <si>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</si>
  <si>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</si>
  <si>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</si>
  <si>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</si>
  <si>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</si>
  <si>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</si>
  <si>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</si>
  <si>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</si>
  <si>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</si>
  <si>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</si>
  <si>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</si>
  <si>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</si>
  <si>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</si>
  <si>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</si>
  <si>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</si>
  <si>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</si>
  <si>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</si>
  <si>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</si>
  <si>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</si>
  <si>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</si>
  <si>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</si>
  <si>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</si>
  <si>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</si>
  <si>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</si>
  <si>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</si>
  <si>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</si>
  <si>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</si>
  <si>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</si>
  <si>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</si>
  <si>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</si>
  <si>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</si>
  <si>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</si>
  <si>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</si>
  <si>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</si>
  <si>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</si>
  <si>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</si>
  <si>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</si>
  <si>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</si>
  <si>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</si>
  <si>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</si>
  <si>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</si>
  <si>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</si>
  <si>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</si>
  <si>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</si>
  <si>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</si>
  <si>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</si>
  <si>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</si>
  <si>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</si>
  <si>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</si>
  <si>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</si>
  <si>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</si>
  <si>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</si>
  <si>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</si>
  <si>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</si>
  <si>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</si>
  <si>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</si>
  <si>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</si>
  <si>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</si>
  <si>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</si>
  <si>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</si>
  <si>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</si>
  <si>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</si>
  <si>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</si>
  <si>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</si>
  <si>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</si>
  <si>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</si>
  <si>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</si>
  <si>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</si>
  <si>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</si>
  <si>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</si>
  <si>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</si>
  <si>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</si>
  <si>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</si>
  <si>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</si>
  <si>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</si>
  <si>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</si>
  <si>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</si>
  <si>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</si>
  <si>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</si>
  <si>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</si>
  <si>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</si>
  <si>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</si>
  <si>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</si>
  <si>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</si>
  <si>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</si>
  <si>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</si>
  <si>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</si>
  <si>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</si>
  <si>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</si>
  <si>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</si>
  <si>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</si>
  <si>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</si>
  <si>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</si>
  <si>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</si>
  <si>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</si>
  <si>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</si>
  <si>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</si>
  <si>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</si>
  <si>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</si>
  <si>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</si>
  <si>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</si>
  <si>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</si>
  <si>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</si>
  <si>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</si>
  <si>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</si>
  <si>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</si>
  <si>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</si>
  <si>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</si>
  <si>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</si>
  <si>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</si>
  <si>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</si>
  <si>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</si>
  <si>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</si>
  <si>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</si>
  <si>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</si>
  <si>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</si>
  <si>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</si>
  <si>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</si>
  <si>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</si>
  <si>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</si>
  <si>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</si>
  <si>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</si>
  <si>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</si>
  <si>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</si>
  <si>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</si>
  <si>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</si>
  <si>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</si>
  <si>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</si>
  <si>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</si>
  <si>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</si>
  <si>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</si>
  <si>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</si>
  <si>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</si>
  <si>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</si>
  <si>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</si>
  <si>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</si>
  <si>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</si>
  <si>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</si>
  <si>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</si>
  <si>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</si>
  <si>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</si>
  <si>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</si>
  <si>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</si>
  <si>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</si>
  <si>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</si>
  <si>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</si>
  <si>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</si>
  <si>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</si>
  <si>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</si>
  <si>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</si>
  <si>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</si>
  <si>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</si>
  <si>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</si>
  <si>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</si>
  <si>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</si>
  <si>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</si>
  <si>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</si>
  <si>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</si>
  <si>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</si>
  <si>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</si>
  <si>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</si>
  <si>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</si>
  <si>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</si>
  <si>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</si>
  <si>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</si>
  <si>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</si>
  <si>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</si>
  <si>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</si>
  <si>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</si>
  <si>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</si>
  <si>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</si>
  <si>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</si>
  <si>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</si>
  <si>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</si>
  <si>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</si>
  <si>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</si>
  <si>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</si>
  <si>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</si>
  <si>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</si>
  <si>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</si>
  <si>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</si>
  <si>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</si>
  <si>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</si>
  <si>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</si>
  <si>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</si>
  <si>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</si>
  <si>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</si>
  <si>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</si>
  <si>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</si>
  <si>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</si>
  <si>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</si>
  <si>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</si>
  <si>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</si>
  <si>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</si>
  <si>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</si>
  <si>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</si>
  <si>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</si>
  <si>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</si>
  <si>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</si>
  <si>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</si>
  <si>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</si>
  <si>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</si>
  <si>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</si>
  <si>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</si>
  <si>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</si>
  <si>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</si>
  <si>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</si>
  <si>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</si>
  <si>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</si>
  <si>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</si>
  <si>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</si>
  <si>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</si>
  <si>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</si>
  <si>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</si>
  <si>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</si>
  <si>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</si>
  <si>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</si>
  <si>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</si>
  <si>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</si>
  <si>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</si>
  <si>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</si>
  <si>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</si>
  <si>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</si>
  <si>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</si>
  <si>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</si>
  <si>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</si>
  <si>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</si>
  <si>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</si>
  <si>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</si>
  <si>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</si>
  <si>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</si>
  <si>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</si>
  <si>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</si>
  <si>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</si>
  <si>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</si>
  <si>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</si>
  <si>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</si>
  <si>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</si>
  <si>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</si>
  <si>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</si>
  <si>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</si>
  <si>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</si>
  <si>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</si>
  <si>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</si>
  <si>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</si>
  <si>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</si>
  <si>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</si>
  <si>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</si>
  <si>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</si>
  <si>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</si>
  <si>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</si>
  <si>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</si>
  <si>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</si>
  <si>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</si>
  <si>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</si>
  <si>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</si>
  <si>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</si>
  <si>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</si>
  <si>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</si>
  <si>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</si>
  <si>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</si>
  <si>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</si>
  <si>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</si>
  <si>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</si>
  <si>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</si>
  <si>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</si>
  <si>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</si>
  <si>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</si>
  <si>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</si>
  <si>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</si>
  <si>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</si>
  <si>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</si>
  <si>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</si>
  <si>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</si>
  <si>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</si>
  <si>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</si>
  <si>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</si>
  <si>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</si>
  <si>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</si>
  <si>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</si>
  <si>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</si>
  <si>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</si>
  <si>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</si>
  <si>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</si>
  <si>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</si>
  <si>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</si>
  <si>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</si>
  <si>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</si>
  <si>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</si>
  <si>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</si>
  <si>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</si>
  <si>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</si>
  <si>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</si>
  <si>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</si>
  <si>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</si>
  <si>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</si>
  <si>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</si>
  <si>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</si>
  <si>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</si>
  <si>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</si>
  <si>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</si>
  <si>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</si>
  <si>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</si>
  <si>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</si>
  <si>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</si>
  <si>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</si>
  <si>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</si>
  <si>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</si>
  <si>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</si>
  <si>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</si>
  <si>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</si>
  <si>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</si>
  <si>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</si>
  <si>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</si>
  <si>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</si>
  <si>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</si>
  <si>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</si>
  <si>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</si>
  <si>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</si>
  <si>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</si>
  <si>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</si>
  <si>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</si>
  <si>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</si>
  <si>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</si>
  <si>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</si>
  <si>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</si>
  <si>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</si>
  <si>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</si>
  <si>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</si>
  <si>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</si>
  <si>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</si>
  <si>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</si>
  <si>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</si>
  <si>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</si>
  <si>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</si>
  <si>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</si>
  <si>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</si>
  <si>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</si>
  <si>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</si>
  <si>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</si>
  <si>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</si>
  <si>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</si>
  <si>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</si>
  <si>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</si>
  <si>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</si>
  <si>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</si>
  <si>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</si>
  <si>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</si>
  <si>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</si>
  <si>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</si>
  <si>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</si>
  <si>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</si>
  <si>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</si>
  <si>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</si>
  <si>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</si>
  <si>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</si>
  <si>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</si>
  <si>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</si>
  <si>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</si>
  <si>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</si>
  <si>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</si>
  <si>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</si>
  <si>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</si>
  <si>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</si>
  <si>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</si>
  <si>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</si>
  <si>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</si>
  <si>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</si>
  <si>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</si>
  <si>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</si>
  <si>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</si>
  <si>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</si>
  <si>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</si>
  <si>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</si>
  <si>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</si>
  <si>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</si>
  <si>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</si>
  <si>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</si>
  <si>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</si>
  <si>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</si>
  <si>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</si>
  <si>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</si>
  <si>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</si>
  <si>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</si>
  <si>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</si>
  <si>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</si>
  <si>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</si>
  <si>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</si>
  <si>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</si>
  <si>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</si>
  <si>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</si>
  <si>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</si>
  <si>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</si>
  <si>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</si>
  <si>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</si>
  <si>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</si>
  <si>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</si>
  <si>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</si>
  <si>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</si>
  <si>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</si>
  <si>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</si>
  <si>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</si>
  <si>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</si>
  <si>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</si>
  <si>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</si>
  <si>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</si>
  <si>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</si>
  <si>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</si>
  <si>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</si>
  <si>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</si>
  <si>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</si>
  <si>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</si>
  <si>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</si>
  <si>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</si>
  <si>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</si>
  <si>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</si>
  <si>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</si>
  <si>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</si>
  <si>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</si>
  <si>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</si>
  <si>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</si>
  <si>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</si>
  <si>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</si>
  <si>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</si>
  <si>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</si>
  <si>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</si>
  <si>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</si>
  <si>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</si>
  <si>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</si>
  <si>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</si>
  <si>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</si>
  <si>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</si>
  <si>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</si>
  <si>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</si>
  <si>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</si>
  <si>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</si>
  <si>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</si>
  <si>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</si>
  <si>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</si>
  <si>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</si>
  <si>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</si>
  <si>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</si>
  <si>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</si>
  <si>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</si>
  <si>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</si>
  <si>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</si>
  <si>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</si>
  <si>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</si>
  <si>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</si>
  <si>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</si>
  <si>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</si>
  <si>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</si>
  <si>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</si>
  <si>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</si>
  <si>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</si>
  <si>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</si>
  <si>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</si>
  <si>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</si>
  <si>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</si>
  <si>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</si>
  <si>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</si>
  <si>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</si>
  <si>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</si>
  <si>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</si>
  <si>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</si>
  <si>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</si>
  <si>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</si>
  <si>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</si>
  <si>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</si>
  <si>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</si>
  <si>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</si>
  <si>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</si>
  <si>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</si>
  <si>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</si>
  <si>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</si>
  <si>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</si>
  <si>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</si>
  <si>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</si>
  <si>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</si>
  <si>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</si>
  <si>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</si>
  <si>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</si>
  <si>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</si>
  <si>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</si>
  <si>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</si>
  <si>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</si>
  <si>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</si>
  <si>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</si>
  <si>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</si>
  <si>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</si>
  <si>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</si>
  <si>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</si>
  <si>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</si>
  <si>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</si>
  <si>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</si>
  <si>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</si>
  <si>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</si>
  <si>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</si>
  <si>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</si>
  <si>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</si>
  <si>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</si>
  <si>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</si>
  <si>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</si>
  <si>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</si>
  <si>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</si>
  <si>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</si>
  <si>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</si>
  <si>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</si>
  <si>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</si>
  <si>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</si>
  <si>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</si>
  <si>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</si>
  <si>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</si>
  <si>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</si>
  <si>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</si>
  <si>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</si>
  <si>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</si>
  <si>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</si>
  <si>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</si>
  <si>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</si>
  <si>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</si>
  <si>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</si>
  <si>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</si>
  <si>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</si>
  <si>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</si>
  <si>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</si>
  <si>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</si>
  <si>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</si>
  <si>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</si>
  <si>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</si>
  <si>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</si>
  <si>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</si>
  <si>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</si>
  <si>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</si>
  <si>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</si>
  <si>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</si>
  <si>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</si>
  <si>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</si>
  <si>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</si>
  <si>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</si>
  <si>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</si>
  <si>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</si>
  <si>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</si>
  <si>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</si>
  <si>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</si>
  <si>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</si>
  <si>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</si>
  <si>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</si>
  <si>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</si>
  <si>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</si>
  <si>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</si>
  <si>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</si>
  <si>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</si>
  <si>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</si>
  <si>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</si>
  <si>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</si>
  <si>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</si>
  <si>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</si>
  <si>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</si>
  <si>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</si>
  <si>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</si>
  <si>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</si>
  <si>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</si>
  <si>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</si>
  <si>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</si>
  <si>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</si>
  <si>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</si>
  <si>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</si>
  <si>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</si>
  <si>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</si>
  <si>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</si>
  <si>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</si>
  <si>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</si>
  <si>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</si>
  <si>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</si>
  <si>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</si>
  <si>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</si>
  <si>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</si>
  <si>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</si>
  <si>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</si>
  <si>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</si>
  <si>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</si>
  <si>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</si>
  <si>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</si>
  <si>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</si>
  <si>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</si>
  <si>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</si>
  <si>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</si>
  <si>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</si>
  <si>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</si>
  <si>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</si>
  <si>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</si>
  <si>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</si>
  <si>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</si>
  <si>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</si>
  <si>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</si>
  <si>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</si>
  <si>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</si>
  <si>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</si>
  <si>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</si>
  <si>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</si>
  <si>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</si>
  <si>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</si>
  <si>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</si>
  <si>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</si>
  <si>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</si>
  <si>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</si>
  <si>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</si>
  <si>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</si>
  <si>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</si>
  <si>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</si>
  <si>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</si>
  <si>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</si>
  <si>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</si>
  <si>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</si>
  <si>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</si>
  <si>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</si>
  <si>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</si>
  <si>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</si>
  <si>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</si>
  <si>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</si>
  <si>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</si>
  <si>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</si>
  <si>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</si>
  <si>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</si>
  <si>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</si>
  <si>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</si>
  <si>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</si>
  <si>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</si>
  <si>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</si>
  <si>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</si>
  <si>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</si>
  <si>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</si>
  <si>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</si>
  <si>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</si>
  <si>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</si>
  <si>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</si>
  <si>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</si>
  <si>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</si>
  <si>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</si>
  <si>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</si>
  <si>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</si>
  <si>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</si>
  <si>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</si>
  <si>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</si>
  <si>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</si>
  <si>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</si>
  <si>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</si>
  <si>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</si>
  <si>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</si>
  <si>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</si>
  <si>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</si>
  <si>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</si>
  <si>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</si>
  <si>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</si>
  <si>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</si>
  <si>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</si>
  <si>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</si>
  <si>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</si>
  <si>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</si>
  <si>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</si>
  <si>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</si>
  <si>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</si>
  <si>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</si>
  <si>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</si>
  <si>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</si>
  <si>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</si>
  <si>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</si>
  <si>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</si>
  <si>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</si>
  <si>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</si>
  <si>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</si>
  <si>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</si>
  <si>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</si>
  <si>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</si>
  <si>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</si>
  <si>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</si>
  <si>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</si>
  <si>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</si>
  <si>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</si>
  <si>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</si>
  <si>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</si>
  <si>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</si>
  <si>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</si>
  <si>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</si>
  <si>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</si>
  <si>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</si>
  <si>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</si>
  <si>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</si>
  <si>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</si>
  <si>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</si>
  <si>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</si>
  <si>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</si>
  <si>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</si>
  <si>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</si>
  <si>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</si>
  <si>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</si>
  <si>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</si>
  <si>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</si>
  <si>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</si>
  <si>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</si>
  <si>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</si>
  <si>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</si>
  <si>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</si>
  <si>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</si>
  <si>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</si>
  <si>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</si>
  <si>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</si>
  <si>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</si>
  <si>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</si>
  <si>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</si>
  <si>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</si>
  <si>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</si>
  <si>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</si>
  <si>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</si>
  <si>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</si>
  <si>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</si>
  <si>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</si>
  <si>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</si>
  <si>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</si>
  <si>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</si>
  <si>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</si>
  <si>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</si>
  <si>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</si>
  <si>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</si>
  <si>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</si>
  <si>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</si>
  <si>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</si>
  <si>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</si>
  <si>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</si>
  <si>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</si>
  <si>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</si>
  <si>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</si>
  <si>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</si>
  <si>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</si>
  <si>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</si>
  <si>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</si>
  <si>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</si>
  <si>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</si>
  <si>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</si>
  <si>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</si>
  <si>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</si>
  <si>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</si>
  <si>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</si>
  <si>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</si>
  <si>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</si>
  <si>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</si>
  <si>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</si>
  <si>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</si>
  <si>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</si>
  <si>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</si>
  <si>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</si>
  <si>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</si>
  <si>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</si>
  <si>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</si>
  <si>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</si>
  <si>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</si>
  <si>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</si>
  <si>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</si>
  <si>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</si>
  <si>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</si>
  <si>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</si>
  <si>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</si>
  <si>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</si>
  <si>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</si>
  <si>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</si>
  <si>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</si>
  <si>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</si>
  <si>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</si>
  <si>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</si>
  <si>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</si>
  <si>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</si>
  <si>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</si>
  <si>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</si>
  <si>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</si>
  <si>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</si>
  <si>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</si>
  <si>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</si>
  <si>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</si>
  <si>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</si>
  <si>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</si>
  <si>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</si>
  <si>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</si>
  <si>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</si>
  <si>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</si>
  <si>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</si>
  <si>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</si>
  <si>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</si>
  <si>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</si>
  <si>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</si>
  <si>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</si>
  <si>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</si>
  <si>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</si>
  <si>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</si>
  <si>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</si>
  <si>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</si>
  <si>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</si>
  <si>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</si>
  <si>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</si>
  <si>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</si>
  <si>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</si>
  <si>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</si>
  <si>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</si>
  <si>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</si>
  <si>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</si>
  <si>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</si>
  <si>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</si>
  <si>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</si>
  <si>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</si>
  <si>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</si>
  <si>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</si>
  <si>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</si>
  <si>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</si>
  <si>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</si>
  <si>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</si>
  <si>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</si>
  <si>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</si>
  <si>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</si>
  <si>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</si>
  <si>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</si>
  <si>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</si>
  <si>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</si>
  <si>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</si>
  <si>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</si>
  <si>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</si>
  <si>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</si>
  <si>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</si>
  <si>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</si>
  <si>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</si>
  <si>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</si>
  <si>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</si>
  <si>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</si>
  <si>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</si>
  <si>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</si>
  <si>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</si>
  <si>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</si>
  <si>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</si>
  <si>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</si>
  <si>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</si>
  <si>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</si>
  <si>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</si>
  <si>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</si>
  <si>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</si>
  <si>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</si>
  <si>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</si>
  <si>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</si>
  <si>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</si>
  <si>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</si>
  <si>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</si>
  <si>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</si>
  <si>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</si>
  <si>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</si>
  <si>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</si>
  <si>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</si>
  <si>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</si>
  <si>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</si>
  <si>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</si>
  <si>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</si>
  <si>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</si>
  <si>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</si>
  <si>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</si>
  <si>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</si>
  <si>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</si>
  <si>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</si>
  <si>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</si>
  <si>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</si>
  <si>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</si>
  <si>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</si>
  <si>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</si>
  <si>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</si>
  <si>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</si>
  <si>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</si>
  <si>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</si>
  <si>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</si>
  <si>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</si>
  <si>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</si>
  <si>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</si>
  <si>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</si>
  <si>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</si>
  <si>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</si>
  <si>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</si>
  <si>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</si>
  <si>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</si>
  <si>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</si>
  <si>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</si>
  <si>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</si>
  <si>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</si>
  <si>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</si>
  <si>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</si>
  <si>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</si>
  <si>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</si>
  <si>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</si>
  <si>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</si>
  <si>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</si>
  <si>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</si>
  <si>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</si>
  <si>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</si>
  <si>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</si>
  <si>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</si>
  <si>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</si>
  <si>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</si>
  <si>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</si>
  <si>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</si>
  <si>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</si>
  <si>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</si>
  <si>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</si>
  <si>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</si>
  <si>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</si>
  <si>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</si>
  <si>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</si>
  <si>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</si>
  <si>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</si>
  <si>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</si>
  <si>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</si>
  <si>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</si>
  <si>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</si>
  <si>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</si>
  <si>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</si>
  <si>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</si>
  <si>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</si>
  <si>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</si>
  <si>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</si>
  <si>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</si>
  <si>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</si>
  <si>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</si>
  <si>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</si>
  <si>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</si>
  <si>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</si>
  <si>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</si>
  <si>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</si>
  <si>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</si>
  <si>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</si>
  <si>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</si>
  <si>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</si>
  <si>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</si>
  <si>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</si>
  <si>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</si>
  <si>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</si>
  <si>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</si>
  <si>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</si>
  <si>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</si>
  <si>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</si>
  <si>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</si>
  <si>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</si>
  <si>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</si>
  <si>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</si>
  <si>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</si>
  <si>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</si>
  <si>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</si>
  <si>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</si>
  <si>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</si>
  <si>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</si>
  <si>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</si>
  <si>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</si>
  <si>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</si>
  <si>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</si>
  <si>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</si>
  <si>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</si>
  <si>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</si>
  <si>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</si>
  <si>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</si>
  <si>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</si>
  <si>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</si>
  <si>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</si>
  <si>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</si>
  <si>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</si>
  <si>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</si>
  <si>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</si>
  <si>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</si>
  <si>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</si>
  <si>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</si>
  <si>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</si>
  <si>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</si>
  <si>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</si>
  <si>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</si>
  <si>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</si>
  <si>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</si>
  <si>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</si>
  <si>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</si>
  <si>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</si>
  <si>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</si>
  <si>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</si>
  <si>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</si>
  <si>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</si>
  <si>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</si>
  <si>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</si>
  <si>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</si>
  <si>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</si>
  <si>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</si>
  <si>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</si>
  <si>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</si>
  <si>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</si>
  <si>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</si>
  <si>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</si>
  <si>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</si>
  <si>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</si>
  <si>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</si>
  <si>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</si>
  <si>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</si>
  <si>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</si>
  <si>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</si>
  <si>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</si>
  <si>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</si>
  <si>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</si>
  <si>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</si>
  <si>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</si>
  <si>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</si>
  <si>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</si>
  <si>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</si>
  <si>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</si>
  <si>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</si>
  <si>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</si>
  <si>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</si>
  <si>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</si>
  <si>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</si>
  <si>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</si>
  <si>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</si>
  <si>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</si>
  <si>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</si>
  <si>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</si>
  <si>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</si>
  <si>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</si>
  <si>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</si>
  <si>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</si>
  <si>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</si>
  <si>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</si>
  <si>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</si>
  <si>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</si>
  <si>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</si>
  <si>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</si>
  <si>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</si>
  <si>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</si>
  <si>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</si>
  <si>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</si>
  <si>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</si>
  <si>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</si>
  <si>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</si>
  <si>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</si>
  <si>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</si>
  <si>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</si>
  <si>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</si>
  <si>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</si>
  <si>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</si>
  <si>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</si>
  <si>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</si>
  <si>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</si>
  <si>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</si>
  <si>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</si>
  <si>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</si>
  <si>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</si>
  <si>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</si>
  <si>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</si>
  <si>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</si>
  <si>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</si>
  <si>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</si>
  <si>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</si>
  <si>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</si>
  <si>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</si>
  <si>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</si>
  <si>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</si>
  <si>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</si>
  <si>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</si>
  <si>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</si>
  <si>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</si>
  <si>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</si>
  <si>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</si>
  <si>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</si>
  <si>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</si>
  <si>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</si>
  <si>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</si>
  <si>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</si>
  <si>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</si>
  <si>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</si>
  <si>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</si>
  <si>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</si>
  <si>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</si>
  <si>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</si>
  <si>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</si>
  <si>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</si>
  <si>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</si>
  <si>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</si>
  <si>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</si>
  <si>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</si>
  <si>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</si>
  <si>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</si>
  <si>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</si>
  <si>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</si>
  <si>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</si>
  <si>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</si>
  <si>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</si>
  <si>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</si>
  <si>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</si>
  <si>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</si>
  <si>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</si>
  <si>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</si>
  <si>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</si>
  <si>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</si>
  <si>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</si>
  <si>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</si>
  <si>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</si>
  <si>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</si>
  <si>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</si>
  <si>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</si>
  <si>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</si>
  <si>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</si>
  <si>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</si>
  <si>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</si>
  <si>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</si>
  <si>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</si>
  <si>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</si>
  <si>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</si>
  <si>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</si>
  <si>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</si>
  <si>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</si>
  <si>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</si>
  <si>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</si>
  <si>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</si>
  <si>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</si>
  <si>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</si>
  <si>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</si>
  <si>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</si>
  <si>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</si>
  <si>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</si>
  <si>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</si>
  <si>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</si>
  <si>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</si>
  <si>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</si>
  <si>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</si>
  <si>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</si>
  <si>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</si>
  <si>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</si>
  <si>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</si>
  <si>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</si>
  <si>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</si>
  <si>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</si>
  <si>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</si>
  <si>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</si>
  <si>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</si>
  <si>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</si>
  <si>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</si>
  <si>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</si>
  <si>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</si>
  <si>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</si>
  <si>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</si>
  <si>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</si>
  <si>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</si>
  <si>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</si>
  <si>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</si>
  <si>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</si>
  <si>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</si>
  <si>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</si>
  <si>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</si>
  <si>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</si>
  <si>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</si>
  <si>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</si>
  <si>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</si>
  <si>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</si>
  <si>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</si>
  <si>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</si>
  <si>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</si>
  <si>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</si>
  <si>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</si>
  <si>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</si>
  <si>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</si>
  <si>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</si>
  <si>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</si>
  <si>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</si>
  <si>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</si>
  <si>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</si>
  <si>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</si>
  <si>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</si>
  <si>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</si>
  <si>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</si>
  <si>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</si>
  <si>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</si>
  <si>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</si>
  <si>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</si>
  <si>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</si>
  <si>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</si>
  <si>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</si>
  <si>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</si>
  <si>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</si>
  <si>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</si>
  <si>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</si>
  <si>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</si>
  <si>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Q326</t>
  </si>
  <si>
    <t>FQ226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</si>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</sst>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5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52" fillId="0" borderId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4" applyNumberFormat="0" applyFill="0" applyAlignment="0" applyProtection="0"/>
    <xf numFmtId="0" fontId="37" fillId="0" borderId="5" applyNumberFormat="0" applyFill="0" applyAlignment="0" applyProtection="0"/>
    <xf numFmtId="0" fontId="38" fillId="0" borderId="6" applyNumberFormat="0" applyFill="0" applyAlignment="0" applyProtection="0"/>
    <xf numFmtId="0" fontId="38" fillId="0" borderId="0" applyNumberFormat="0" applyFill="0" applyBorder="0" applyAlignment="0" applyProtection="0"/>
    <xf numFmtId="0" fontId="39" fillId="3" borderId="0" applyNumberFormat="0" applyBorder="0" applyAlignment="0" applyProtection="0"/>
    <xf numFmtId="0" fontId="40" fillId="4" borderId="0" applyNumberFormat="0" applyBorder="0" applyAlignment="0" applyProtection="0"/>
    <xf numFmtId="0" fontId="41" fillId="5" borderId="0" applyNumberFormat="0" applyBorder="0" applyAlignment="0" applyProtection="0"/>
    <xf numFmtId="0" fontId="42" fillId="6" borderId="7" applyNumberFormat="0" applyAlignment="0" applyProtection="0"/>
    <xf numFmtId="0" fontId="43" fillId="7" borderId="8" applyNumberFormat="0" applyAlignment="0" applyProtection="0"/>
    <xf numFmtId="0" fontId="44" fillId="7" borderId="7" applyNumberFormat="0" applyAlignment="0" applyProtection="0"/>
    <xf numFmtId="0" fontId="45" fillId="0" borderId="9" applyNumberFormat="0" applyFill="0" applyAlignment="0" applyProtection="0"/>
    <xf numFmtId="0" fontId="46" fillId="8" borderId="10" applyNumberFormat="0" applyAlignment="0" applyProtection="0"/>
    <xf numFmtId="0" fontId="47" fillId="0" borderId="0" applyNumberFormat="0" applyFill="0" applyBorder="0" applyAlignment="0" applyProtection="0"/>
    <xf numFmtId="0" fontId="34" fillId="9" borderId="11" applyNumberFormat="0" applyFont="0" applyAlignment="0" applyProtection="0"/>
    <xf numFmtId="0" fontId="48" fillId="0" borderId="0" applyNumberFormat="0" applyFill="0" applyBorder="0" applyAlignment="0" applyProtection="0"/>
    <xf numFmtId="0" fontId="30" fillId="0" borderId="12" applyNumberFormat="0" applyFill="0" applyAlignment="0" applyProtection="0"/>
    <xf numFmtId="0" fontId="49" fillId="10" borderId="0" applyNumberFormat="0" applyBorder="0" applyAlignment="0" applyProtection="0"/>
    <xf numFmtId="0" fontId="34" fillId="11" borderId="0" applyNumberFormat="0" applyBorder="0" applyAlignment="0" applyProtection="0"/>
    <xf numFmtId="0" fontId="34" fillId="12" borderId="0" applyNumberFormat="0" applyBorder="0" applyAlignment="0" applyProtection="0"/>
    <xf numFmtId="0" fontId="34" fillId="13" borderId="0" applyNumberFormat="0" applyBorder="0" applyAlignment="0" applyProtection="0"/>
    <xf numFmtId="0" fontId="49" fillId="14" borderId="0" applyNumberFormat="0" applyBorder="0" applyAlignment="0" applyProtection="0"/>
    <xf numFmtId="0" fontId="34" fillId="15" borderId="0" applyNumberFormat="0" applyBorder="0" applyAlignment="0" applyProtection="0"/>
    <xf numFmtId="0" fontId="34" fillId="16" borderId="0" applyNumberFormat="0" applyBorder="0" applyAlignment="0" applyProtection="0"/>
    <xf numFmtId="0" fontId="34" fillId="17" borderId="0" applyNumberFormat="0" applyBorder="0" applyAlignment="0" applyProtection="0"/>
    <xf numFmtId="0" fontId="49" fillId="18" borderId="0" applyNumberFormat="0" applyBorder="0" applyAlignment="0" applyProtection="0"/>
    <xf numFmtId="0" fontId="34" fillId="19" borderId="0" applyNumberFormat="0" applyBorder="0" applyAlignment="0" applyProtection="0"/>
    <xf numFmtId="0" fontId="34" fillId="20" borderId="0" applyNumberFormat="0" applyBorder="0" applyAlignment="0" applyProtection="0"/>
    <xf numFmtId="0" fontId="34" fillId="21" borderId="0" applyNumberFormat="0" applyBorder="0" applyAlignment="0" applyProtection="0"/>
    <xf numFmtId="0" fontId="49" fillId="22" borderId="0" applyNumberFormat="0" applyBorder="0" applyAlignment="0" applyProtection="0"/>
    <xf numFmtId="0" fontId="34" fillId="23" borderId="0" applyNumberFormat="0" applyBorder="0" applyAlignment="0" applyProtection="0"/>
    <xf numFmtId="0" fontId="34" fillId="24" borderId="0" applyNumberFormat="0" applyBorder="0" applyAlignment="0" applyProtection="0"/>
    <xf numFmtId="0" fontId="34" fillId="25" borderId="0" applyNumberFormat="0" applyBorder="0" applyAlignment="0" applyProtection="0"/>
    <xf numFmtId="0" fontId="49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29" borderId="0" applyNumberFormat="0" applyBorder="0" applyAlignment="0" applyProtection="0"/>
    <xf numFmtId="0" fontId="49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3" borderId="0" applyNumberFormat="0" applyBorder="0" applyAlignment="0" applyProtection="0"/>
  </cellStyleXfs>
  <cellXfs count="53">
    <xf numFmtId="0" fontId="0" fillId="0" borderId="0" xfId="0"/>
    <xf numFmtId="0" fontId="31" fillId="0" borderId="0" xfId="0" applyFont="1"/>
    <xf numFmtId="0" fontId="32" fillId="0" borderId="0" xfId="0" applyFont="1"/>
    <xf numFmtId="0" fontId="33" fillId="0" borderId="0" xfId="0" applyFont="1"/>
    <xf numFmtId="0" fontId="50" fillId="0" borderId="0" xfId="0" applyFont="1"/>
    <xf numFmtId="0" fontId="29" fillId="0" borderId="0" xfId="0" applyFont="1"/>
    <xf numFmtId="0" fontId="29" fillId="0" borderId="0" xfId="0" applyFont="1" applyAlignment="1">
      <alignment horizontal="right"/>
    </xf>
    <xf numFmtId="0" fontId="51" fillId="0" borderId="0" xfId="0" applyFont="1"/>
    <xf numFmtId="0" fontId="32" fillId="2" borderId="1" xfId="0" applyFont="1" applyFill="1" applyBorder="1" applyAlignment="1">
      <alignment horizontal="center"/>
    </xf>
    <xf numFmtId="0" fontId="32" fillId="2" borderId="2" xfId="0" applyFont="1" applyFill="1" applyBorder="1"/>
    <xf numFmtId="0" fontId="32" fillId="2" borderId="2" xfId="0" applyFont="1" applyFill="1" applyBorder="1" applyAlignment="1">
      <alignment horizontal="center"/>
    </xf>
    <xf numFmtId="0" fontId="32" fillId="2" borderId="2" xfId="0" applyFont="1" applyFill="1" applyBorder="1" applyAlignment="1">
      <alignment horizontal="right"/>
    </xf>
    <xf numFmtId="0" fontId="29" fillId="2" borderId="3" xfId="0" applyFont="1" applyFill="1" applyBorder="1"/>
    <xf numFmtId="0" fontId="29" fillId="0" borderId="0" xfId="0" applyFont="1" applyAlignment="1">
      <alignment horizontal="center"/>
    </xf>
    <xf numFmtId="0" fontId="52" fillId="0" borderId="0" xfId="1"/>
    <xf numFmtId="164" fontId="29" fillId="0" borderId="0" xfId="0" applyNumberFormat="1" applyFont="1"/>
    <xf numFmtId="16" fontId="29" fillId="0" borderId="0" xfId="0" applyNumberFormat="1" applyFont="1"/>
    <xf numFmtId="0" fontId="53" fillId="0" borderId="0" xfId="0" applyFont="1"/>
    <xf numFmtId="0" fontId="29" fillId="0" borderId="0" xfId="0" quotePrefix="1" applyFont="1"/>
    <xf numFmtId="0" fontId="51" fillId="0" borderId="0" xfId="0" applyFont="1" applyAlignment="1">
      <alignment horizontal="right"/>
    </xf>
    <xf numFmtId="0" fontId="29" fillId="2" borderId="2" xfId="0" applyFont="1" applyFill="1" applyBorder="1"/>
    <xf numFmtId="0" fontId="32" fillId="2" borderId="3" xfId="0" applyFont="1" applyFill="1" applyBorder="1"/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/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164" fontId="19" fillId="0" borderId="0" xfId="0" applyNumberFormat="1" applyFont="1"/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179.37</v>
          </cell>
        </row>
        <row r="4">
          <cell r="I4">
            <v>4358691</v>
          </cell>
        </row>
        <row r="5">
          <cell r="I5">
            <v>60608</v>
          </cell>
        </row>
        <row r="6">
          <cell r="I6">
            <v>8467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432.32</v>
          </cell>
        </row>
        <row r="4">
          <cell r="H4">
            <v>3210247.9621363198</v>
          </cell>
        </row>
        <row r="5">
          <cell r="H5">
            <v>89462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255</v>
          </cell>
        </row>
        <row r="5">
          <cell r="H5">
            <v>3743690.6999999997</v>
          </cell>
        </row>
        <row r="6">
          <cell r="H6">
            <v>66907</v>
          </cell>
        </row>
        <row r="7">
          <cell r="H7">
            <v>78682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319.2</v>
          </cell>
        </row>
        <row r="4">
          <cell r="I4">
            <v>3861362.4</v>
          </cell>
        </row>
        <row r="5">
          <cell r="I5">
            <v>126843</v>
          </cell>
        </row>
        <row r="6">
          <cell r="I6">
            <v>46547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204</v>
          </cell>
        </row>
        <row r="5">
          <cell r="I5">
            <v>2184636</v>
          </cell>
        </row>
        <row r="6">
          <cell r="I6">
            <v>123029</v>
          </cell>
        </row>
        <row r="7">
          <cell r="I7">
            <v>65648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694.88</v>
          </cell>
        </row>
        <row r="4">
          <cell r="I4">
            <v>1757737.5008243199</v>
          </cell>
        </row>
        <row r="5">
          <cell r="I5">
            <v>81592</v>
          </cell>
        </row>
        <row r="6">
          <cell r="I6">
            <v>58744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419.17</v>
          </cell>
        </row>
        <row r="4">
          <cell r="K4">
            <v>1351823.25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317.44</v>
          </cell>
        </row>
        <row r="5">
          <cell r="G5">
            <v>1505069.9547545598</v>
          </cell>
        </row>
        <row r="6">
          <cell r="G6">
            <v>16178</v>
          </cell>
        </row>
        <row r="7">
          <cell r="G7">
            <v>65136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1740</v>
          </cell>
        </row>
        <row r="4">
          <cell r="H4">
            <v>45119940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86.07</v>
          </cell>
        </row>
        <row r="5">
          <cell r="I5">
            <v>363401.49625049997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169.27</v>
          </cell>
        </row>
        <row r="5">
          <cell r="G5">
            <v>403444.26893326</v>
          </cell>
        </row>
        <row r="6">
          <cell r="G6">
            <v>6437.8170000000009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226.55</v>
          </cell>
        </row>
        <row r="4">
          <cell r="H4">
            <v>368832.810887</v>
          </cell>
        </row>
        <row r="5">
          <cell r="H5">
            <v>7243</v>
          </cell>
        </row>
        <row r="6">
          <cell r="H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42</v>
          </cell>
        </row>
        <row r="4">
          <cell r="I4">
            <v>39102</v>
          </cell>
        </row>
        <row r="5">
          <cell r="I5">
            <v>10422</v>
          </cell>
        </row>
        <row r="6">
          <cell r="I6">
            <v>9987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25" activePane="bottomRight" state="frozen"/>
      <selection pane="topRight" activeCell="C1" sqref="C1"/>
      <selection pane="bottomLeft" activeCell="A3" sqref="A3"/>
      <selection pane="bottomRight" activeCell="B38" sqref="B38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179.37</v>
      </c>
      <c r="F4" s="15">
        <f>+[1]Main!$I$4</f>
        <v>4358691</v>
      </c>
      <c r="G4" s="15">
        <f>+[1]Main!$I$6-[1]Main!$I$5</f>
        <v>-52141</v>
      </c>
      <c r="H4" s="15">
        <f>F4+G4</f>
        <v>4306550</v>
      </c>
      <c r="I4" s="45" t="s">
        <v>3152</v>
      </c>
      <c r="J4" s="16">
        <v>46079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432.32</v>
      </c>
      <c r="F5" s="15">
        <f>+[2]Main!$H$4</f>
        <v>3210247.9621363198</v>
      </c>
      <c r="G5" s="15">
        <f>+[2]Main!$H$6-[2]Main!$H$5</f>
        <v>-49200</v>
      </c>
      <c r="H5" s="15">
        <f>F5+G5</f>
        <v>3161047.9621363198</v>
      </c>
      <c r="I5" s="48" t="s">
        <v>3154</v>
      </c>
      <c r="J5" s="16">
        <v>46141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255</v>
      </c>
      <c r="F6" s="15">
        <f>+[3]Main!$H$5</f>
        <v>3743690.6999999997</v>
      </c>
      <c r="G6" s="15">
        <f>+[3]Main!$H$6-[3]Main!$H$7</f>
        <v>-11775</v>
      </c>
      <c r="H6" s="15">
        <f t="shared" ref="H6:H14" si="0">F6+G6</f>
        <v>3731915.6999999997</v>
      </c>
      <c r="I6" s="48" t="s">
        <v>3145</v>
      </c>
      <c r="J6" s="16">
        <v>46142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319.2</v>
      </c>
      <c r="F7" s="15">
        <f>+[4]Main!$I$4</f>
        <v>3861362.4</v>
      </c>
      <c r="G7" s="15">
        <f>+[4]Main!$I$6-[4]Main!$I$5</f>
        <v>-80296</v>
      </c>
      <c r="H7" s="15">
        <f t="shared" si="0"/>
        <v>3781066.4</v>
      </c>
      <c r="I7" s="51" t="s">
        <v>3148</v>
      </c>
      <c r="J7" s="16">
        <v>46135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204</v>
      </c>
      <c r="F8" s="15">
        <f>+[5]Main!$I$5</f>
        <v>2184636</v>
      </c>
      <c r="G8" s="15">
        <f>+[5]Main!$I$7-[5]Main!$I$6</f>
        <v>-57381</v>
      </c>
      <c r="H8" s="15">
        <f t="shared" si="0"/>
        <v>2127255</v>
      </c>
      <c r="I8" s="52" t="s">
        <v>3148</v>
      </c>
      <c r="J8" s="16">
        <v>46142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694.88</v>
      </c>
      <c r="F9" s="15">
        <f>+[6]Main!$I$4</f>
        <v>1757737.5008243199</v>
      </c>
      <c r="G9" s="15">
        <f>+[6]Main!$I$6-[6]Main!$I$5</f>
        <v>-22848</v>
      </c>
      <c r="H9" s="15">
        <f t="shared" si="0"/>
        <v>1734889.5008243199</v>
      </c>
      <c r="I9" s="49" t="s">
        <v>3148</v>
      </c>
      <c r="J9" s="16">
        <v>46141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419.17</v>
      </c>
      <c r="F10" s="15">
        <f>+[7]Main!$K$4</f>
        <v>1351823.25</v>
      </c>
      <c r="G10" s="15">
        <f>+[7]Main!$K$6-[7]Main!$K$5</f>
        <v>-33945</v>
      </c>
      <c r="H10" s="15">
        <f t="shared" si="0"/>
        <v>1317878.25</v>
      </c>
      <c r="I10" s="50" t="s">
        <v>3148</v>
      </c>
      <c r="J10" s="16">
        <v>46133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317.44</v>
      </c>
      <c r="F11" s="15">
        <f>+[8]Main!$G$5</f>
        <v>1505069.9547545598</v>
      </c>
      <c r="G11" s="15">
        <f>+[8]Main!$G$7-[8]Main!$G$6</f>
        <v>48958</v>
      </c>
      <c r="H11" s="15">
        <f t="shared" si="0"/>
        <v>1554027.9547545598</v>
      </c>
      <c r="I11" s="50" t="s">
        <v>3148</v>
      </c>
      <c r="J11" s="16">
        <v>46085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7" t="s">
        <v>3153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1740</v>
      </c>
      <c r="F13" s="15">
        <f>+[10]Main!$H$4*FX!C2</f>
        <v>1353598.2</v>
      </c>
      <c r="G13" s="15">
        <f>+([10]Main!$H$6-[10]Main!$H$5)*FX!C2</f>
        <v>-62263.199999999997</v>
      </c>
      <c r="H13" s="15">
        <f t="shared" si="0"/>
        <v>1291335</v>
      </c>
      <c r="I13" s="46" t="s">
        <v>2709</v>
      </c>
      <c r="J13" s="16">
        <v>46128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86.07</v>
      </c>
      <c r="F17" s="15">
        <f>+[14]Main!$I$5</f>
        <v>363401.49625049997</v>
      </c>
      <c r="G17" s="15">
        <f>+[14]Main!$I$7-[14]Main!$I$6</f>
        <v>5400.476999999999</v>
      </c>
      <c r="H17" s="15">
        <f t="shared" si="3"/>
        <v>368801.97325049998</v>
      </c>
      <c r="I17" s="41" t="s">
        <v>2709</v>
      </c>
      <c r="J17" s="16">
        <v>46129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169.27</v>
      </c>
      <c r="F18" s="15">
        <f>+[15]Main!$G$5</f>
        <v>403444.26893326</v>
      </c>
      <c r="G18" s="15">
        <f>+[15]Main!$G$7-[15]Main!$G$6</f>
        <v>-6437.8170000000009</v>
      </c>
      <c r="H18" s="15">
        <f t="shared" si="3"/>
        <v>397006.45193326002</v>
      </c>
      <c r="I18" s="23" t="s">
        <v>2584</v>
      </c>
      <c r="J18" s="16">
        <v>46055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8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226.55</v>
      </c>
      <c r="F22" s="15">
        <f>+[19]Main!$H$4</f>
        <v>368832.810887</v>
      </c>
      <c r="G22" s="15">
        <f>+[19]Main!$H$6-[19]Main!$H$5</f>
        <v>-4023</v>
      </c>
      <c r="H22" s="15">
        <f t="shared" si="4"/>
        <v>364809.810887</v>
      </c>
      <c r="I22" s="42" t="s">
        <v>2709</v>
      </c>
      <c r="J22" s="16">
        <v>46055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9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5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0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1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5" t="s">
        <v>3146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4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4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9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9" t="s">
        <v>3148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9" t="s">
        <v>3146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9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0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4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1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4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42</v>
      </c>
      <c r="F58" s="15">
        <f>+[49]Main!$I$4</f>
        <v>39102</v>
      </c>
      <c r="G58" s="15">
        <f>+[49]Main!$I$6-[49]Main!$I$5</f>
        <v>-435</v>
      </c>
      <c r="H58" s="15">
        <f t="shared" si="6"/>
        <v>38667</v>
      </c>
      <c r="I58" s="49" t="s">
        <v>3148</v>
      </c>
      <c r="J58" s="16">
        <v>46140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1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8" t="s">
        <v>3147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92.17</v>
      </c>
      <c r="F107" s="15">
        <f>+[67]Main!$H$4</f>
        <v>42121.69</v>
      </c>
      <c r="G107" s="15">
        <f>+[67]Main!$H$6-[67]Main!$H$5</f>
        <v>2998</v>
      </c>
      <c r="H107" s="15">
        <f>+F107+G107</f>
        <v>45119.69</v>
      </c>
      <c r="I107" s="6" t="s">
        <v>2584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6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7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7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7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6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3150</v>
      </c>
      <c r="C1101" s="43" t="s">
        <v>3149</v>
      </c>
      <c r="D1101" s="43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4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42</v>
      </c>
      <c r="F13" s="15">
        <f>+[49]Main!$I$4</f>
        <v>39102</v>
      </c>
      <c r="G13" s="15">
        <f>+[49]Main!$I$6-[49]Main!$I$5</f>
        <v>-435</v>
      </c>
      <c r="H13" s="15">
        <f t="shared" si="0"/>
        <v>38667</v>
      </c>
      <c r="I13" s="49" t="s">
        <v>3148</v>
      </c>
      <c r="J13" s="16">
        <v>46140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3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3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3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3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3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3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3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3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3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3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3">
        <f>+F14+G14</f>
        <v>12316.145337450002</v>
      </c>
      <c r="I14" s="32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3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3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3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3">
        <f>+F18+G18</f>
        <v>3218.92225168</v>
      </c>
      <c r="I18" s="32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3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3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3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3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3" t="s">
        <v>3150</v>
      </c>
      <c r="C23" s="43" t="s">
        <v>3149</v>
      </c>
      <c r="D23" s="43" t="s">
        <v>3151</v>
      </c>
      <c r="E23" s="5"/>
      <c r="F23" s="15"/>
      <c r="G23" s="15"/>
      <c r="H23" s="33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3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3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3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3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3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3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3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3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3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3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3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3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2026-02-15T15:16:36Z</dcterms:modified>
</cp:coreProperties>
</file>