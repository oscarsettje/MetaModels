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C3D2436E-0404-460D-AA99-25A83647B9F5}" xr6:coauthVersionLast="47" xr6:coauthVersionMax="47" xr10:uidLastSave="{00000000-0000-0000-0000-000000000000}"/>
  <bookViews>
    <workbookView xWindow="225" yWindow="351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1" l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G4" i="9" l="1"/>
  <c r="F4" i="9"/>
  <c r="H4" i="9" s="1"/>
  <c r="E4" i="9"/>
  <c r="A76" i="9" l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59" i="1" l="1"/>
  <c r="A5" i="1" l="1"/>
  <c r="A6" i="1" l="1"/>
  <c r="A7" i="1" s="1"/>
  <c r="A8" i="1" s="1"/>
  <c r="G75" i="1"/>
  <c r="F75" i="1"/>
  <c r="E75" i="1"/>
  <c r="G120" i="1"/>
  <c r="F120" i="1"/>
  <c r="E120" i="1"/>
  <c r="H75" i="1" l="1"/>
  <c r="H120" i="1"/>
  <c r="G131" i="1"/>
  <c r="F131" i="1"/>
  <c r="E131" i="1"/>
  <c r="G91" i="1"/>
  <c r="F91" i="1"/>
  <c r="E91" i="1"/>
  <c r="G77" i="1"/>
  <c r="F77" i="1"/>
  <c r="E77" i="1"/>
  <c r="G23" i="3"/>
  <c r="F23" i="3"/>
  <c r="H23" i="3" s="1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0" i="1"/>
  <c r="F50" i="1"/>
  <c r="E50" i="1"/>
  <c r="H91" i="1" l="1"/>
  <c r="H131" i="1"/>
  <c r="H6" i="3"/>
  <c r="H9" i="3"/>
  <c r="H77" i="1"/>
  <c r="H16" i="3"/>
  <c r="H50" i="1"/>
  <c r="H7" i="3"/>
  <c r="H10" i="3"/>
  <c r="H14" i="3"/>
  <c r="H11" i="3"/>
  <c r="H54" i="3"/>
  <c r="A7" i="8"/>
  <c r="A6" i="8"/>
  <c r="A5" i="8"/>
  <c r="G145" i="1"/>
  <c r="F145" i="1"/>
  <c r="E145" i="1"/>
  <c r="G12" i="3"/>
  <c r="F12" i="3"/>
  <c r="E12" i="3"/>
  <c r="H145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0" i="1"/>
  <c r="F60" i="1"/>
  <c r="E60" i="1"/>
  <c r="G15" i="3"/>
  <c r="F15" i="3"/>
  <c r="G35" i="1"/>
  <c r="F35" i="1"/>
  <c r="H35" i="1" s="1"/>
  <c r="E35" i="1"/>
  <c r="G33" i="1"/>
  <c r="F33" i="1"/>
  <c r="E33" i="1"/>
  <c r="E15" i="3"/>
  <c r="H67" i="1" l="1"/>
  <c r="H33" i="1"/>
  <c r="H20" i="3"/>
  <c r="H15" i="3"/>
  <c r="H60" i="1"/>
  <c r="H50" i="3"/>
  <c r="H52" i="3"/>
  <c r="G58" i="1"/>
  <c r="F58" i="1"/>
  <c r="E58" i="1"/>
  <c r="H58" i="1" l="1"/>
  <c r="G247" i="1" l="1"/>
  <c r="F247" i="1"/>
  <c r="E247" i="1"/>
  <c r="H247" i="1" l="1"/>
  <c r="G54" i="1" l="1"/>
  <c r="F54" i="1"/>
  <c r="E54" i="1"/>
  <c r="G41" i="1"/>
  <c r="F41" i="1"/>
  <c r="E41" i="1"/>
  <c r="G43" i="1"/>
  <c r="F43" i="1"/>
  <c r="E43" i="1"/>
  <c r="G5" i="3"/>
  <c r="F5" i="3"/>
  <c r="E5" i="3"/>
  <c r="G321" i="1"/>
  <c r="F321" i="1"/>
  <c r="E321" i="1"/>
  <c r="G320" i="1"/>
  <c r="F320" i="1"/>
  <c r="E320" i="1"/>
  <c r="H54" i="1" l="1"/>
  <c r="H41" i="1"/>
  <c r="H43" i="1"/>
  <c r="H5" i="3"/>
  <c r="H320" i="1"/>
  <c r="H321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2" i="1" l="1"/>
  <c r="F102" i="1"/>
  <c r="E102" i="1"/>
  <c r="G83" i="1"/>
  <c r="F83" i="1"/>
  <c r="E83" i="1"/>
  <c r="G10" i="1"/>
  <c r="F10" i="1"/>
  <c r="E10" i="1"/>
  <c r="H102" i="1" l="1"/>
  <c r="H83" i="1"/>
  <c r="G81" i="1"/>
  <c r="F81" i="1"/>
  <c r="E81" i="1"/>
  <c r="H81" i="1" l="1"/>
  <c r="G46" i="1"/>
  <c r="F46" i="1"/>
  <c r="E46" i="1"/>
  <c r="G42" i="1"/>
  <c r="F42" i="1"/>
  <c r="E42" i="1"/>
  <c r="G204" i="1"/>
  <c r="F204" i="1"/>
  <c r="E204" i="1"/>
  <c r="G74" i="1"/>
  <c r="F74" i="1"/>
  <c r="E74" i="1"/>
  <c r="G203" i="1"/>
  <c r="F203" i="1"/>
  <c r="E203" i="1"/>
  <c r="G19" i="1"/>
  <c r="E19" i="1"/>
  <c r="F19" i="1"/>
  <c r="G62" i="1"/>
  <c r="F62" i="1"/>
  <c r="E62" i="1"/>
  <c r="H203" i="1" l="1"/>
  <c r="H46" i="1"/>
  <c r="H204" i="1"/>
  <c r="H42" i="1"/>
  <c r="H74" i="1"/>
  <c r="H19" i="1"/>
  <c r="H62" i="1"/>
  <c r="G16" i="1"/>
  <c r="F16" i="1"/>
  <c r="E16" i="1"/>
  <c r="G146" i="1"/>
  <c r="F146" i="1"/>
  <c r="E146" i="1"/>
  <c r="G65" i="1"/>
  <c r="E65" i="1"/>
  <c r="F65" i="1"/>
  <c r="G44" i="1"/>
  <c r="F44" i="1"/>
  <c r="E44" i="1"/>
  <c r="G38" i="1"/>
  <c r="F38" i="1"/>
  <c r="E38" i="1"/>
  <c r="G90" i="1"/>
  <c r="F90" i="1"/>
  <c r="E90" i="1"/>
  <c r="G48" i="1"/>
  <c r="F48" i="1"/>
  <c r="E48" i="1"/>
  <c r="G153" i="1"/>
  <c r="F153" i="1"/>
  <c r="E153" i="1"/>
  <c r="H38" i="1" l="1"/>
  <c r="H44" i="1"/>
  <c r="H90" i="1"/>
  <c r="H16" i="1"/>
  <c r="H146" i="1"/>
  <c r="H65" i="1"/>
  <c r="H48" i="1"/>
  <c r="H153" i="1"/>
  <c r="G154" i="1"/>
  <c r="F154" i="1"/>
  <c r="E154" i="1"/>
  <c r="G87" i="1"/>
  <c r="F87" i="1"/>
  <c r="E87" i="1"/>
  <c r="H154" i="1" l="1"/>
  <c r="H87" i="1"/>
  <c r="G49" i="1"/>
  <c r="F49" i="1"/>
  <c r="E49" i="1"/>
  <c r="G59" i="1"/>
  <c r="F59" i="1"/>
  <c r="H59" i="1" l="1"/>
  <c r="H49" i="1"/>
  <c r="G39" i="1"/>
  <c r="F39" i="1"/>
  <c r="E39" i="1"/>
  <c r="G31" i="1"/>
  <c r="F31" i="1"/>
  <c r="E31" i="1"/>
  <c r="H31" i="1" l="1"/>
  <c r="H39" i="1"/>
  <c r="F25" i="1"/>
  <c r="G26" i="1"/>
  <c r="G25" i="1"/>
  <c r="E25" i="1"/>
  <c r="G17" i="1"/>
  <c r="F17" i="1"/>
  <c r="E17" i="1"/>
  <c r="H25" i="1" l="1"/>
  <c r="G30" i="1"/>
  <c r="F30" i="1"/>
  <c r="E30" i="1"/>
  <c r="G37" i="1"/>
  <c r="F37" i="1"/>
  <c r="E37" i="1"/>
  <c r="G57" i="1"/>
  <c r="F57" i="1"/>
  <c r="E57" i="1"/>
  <c r="G56" i="1"/>
  <c r="F56" i="1"/>
  <c r="E56" i="1"/>
  <c r="G27" i="1"/>
  <c r="F27" i="1"/>
  <c r="E27" i="1"/>
  <c r="F26" i="1"/>
  <c r="H26" i="1" s="1"/>
  <c r="E26" i="1"/>
  <c r="G47" i="1"/>
  <c r="F47" i="1"/>
  <c r="E47" i="1"/>
  <c r="G24" i="1"/>
  <c r="F24" i="1"/>
  <c r="E24" i="1"/>
  <c r="G22" i="1"/>
  <c r="F22" i="1"/>
  <c r="E22" i="1"/>
  <c r="G23" i="1"/>
  <c r="F23" i="1"/>
  <c r="E23" i="1"/>
  <c r="G20" i="1"/>
  <c r="F20" i="1"/>
  <c r="E20" i="1"/>
  <c r="G13" i="1"/>
  <c r="F13" i="1"/>
  <c r="E13" i="1"/>
  <c r="E5" i="1"/>
  <c r="F5" i="1"/>
  <c r="G5" i="1"/>
  <c r="H22" i="1" l="1"/>
  <c r="H56" i="1"/>
  <c r="H30" i="1"/>
  <c r="H57" i="1"/>
  <c r="H47" i="1"/>
  <c r="H37" i="1"/>
  <c r="H27" i="1"/>
  <c r="H24" i="1"/>
  <c r="H23" i="1"/>
  <c r="H20" i="1"/>
  <c r="H5" i="1"/>
  <c r="H13" i="1"/>
  <c r="F12" i="1"/>
  <c r="G12" i="1" l="1"/>
  <c r="H12" i="1" s="1"/>
  <c r="E12" i="1"/>
  <c r="G121" i="1" l="1"/>
  <c r="F121" i="1"/>
  <c r="E121" i="1"/>
  <c r="H121" i="1" l="1"/>
  <c r="G106" i="1"/>
  <c r="F106" i="1"/>
  <c r="E106" i="1"/>
  <c r="G96" i="1" l="1"/>
  <c r="F96" i="1"/>
  <c r="E96" i="1"/>
  <c r="H96" i="1" l="1"/>
  <c r="G72" i="1"/>
  <c r="F72" i="1"/>
  <c r="E72" i="1"/>
  <c r="G55" i="1"/>
  <c r="F55" i="1"/>
  <c r="E55" i="1"/>
  <c r="G18" i="1"/>
  <c r="F18" i="1"/>
  <c r="E18" i="1"/>
  <c r="G45" i="1" l="1"/>
  <c r="F45" i="1"/>
  <c r="E45" i="1"/>
  <c r="G32" i="1" l="1"/>
  <c r="F32" i="1"/>
  <c r="E32" i="1"/>
  <c r="G29" i="1" l="1"/>
  <c r="F29" i="1"/>
  <c r="E29" i="1"/>
  <c r="G28" i="1"/>
  <c r="F28" i="1"/>
  <c r="E28" i="1"/>
  <c r="G21" i="1"/>
  <c r="F21" i="1"/>
  <c r="E21" i="1"/>
  <c r="G14" i="1"/>
  <c r="F14" i="1"/>
  <c r="E14" i="1"/>
  <c r="H21" i="1" l="1"/>
  <c r="G9" i="1" l="1"/>
  <c r="F9" i="1"/>
  <c r="E9" i="1"/>
  <c r="G11" i="1" l="1"/>
  <c r="F11" i="1"/>
  <c r="E11" i="1"/>
  <c r="F6" i="1"/>
  <c r="G6" i="1" l="1"/>
  <c r="E6" i="1"/>
  <c r="H55" i="1" l="1"/>
  <c r="H32" i="1" l="1"/>
  <c r="H106" i="1"/>
  <c r="H14" i="1"/>
  <c r="H15" i="1"/>
  <c r="H29" i="1" l="1"/>
  <c r="H28" i="1"/>
  <c r="H10" i="1"/>
  <c r="H72" i="1"/>
  <c r="H45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</calcChain>
</file>

<file path=xl/sharedStrings.xml><?xml version="1.0" encoding="utf-8"?>
<sst xmlns="http://schemas.openxmlformats.org/spreadsheetml/2006/main" count="5038" uniqueCount="3148">
  <si>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</si>
  <si>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</si>
  <si>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</si>
  <si>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</si>
  <si>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</si>
  <si>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</si>
  <si>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</si>
  <si>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</si>
  <si>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</si>
  <si>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</si>
  <si>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</si>
  <si>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</si>
  <si>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</si>
  <si>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</si>
  <si>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</si>
  <si>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</si>
  <si>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</si>
  <si>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</si>
  <si>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</si>
  <si>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</si>
  <si>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</si>
  <si>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</si>
  <si>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</si>
  <si>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</si>
  <si>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</si>
  <si>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</si>
  <si>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</si>
  <si>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</si>
  <si>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</si>
  <si>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</si>
  <si>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</si>
  <si>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</si>
  <si>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</si>
  <si>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</si>
  <si>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</si>
  <si>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</si>
  <si>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</si>
  <si>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</si>
  <si>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</si>
  <si>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</si>
  <si>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</si>
  <si>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</si>
  <si>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</si>
  <si>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</si>
  <si>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</si>
  <si>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</si>
  <si>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</si>
  <si>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</si>
  <si>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</si>
  <si>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</si>
  <si>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</si>
  <si>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</si>
  <si>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</si>
  <si>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</si>
  <si>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</si>
  <si>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</si>
  <si>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</si>
  <si>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</si>
  <si>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</si>
  <si>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</si>
  <si>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</si>
  <si>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</si>
  <si>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</si>
  <si>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</si>
  <si>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</si>
  <si>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</si>
  <si>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</si>
  <si>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</si>
  <si>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</si>
  <si>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</si>
  <si>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</si>
  <si>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</si>
  <si>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</si>
  <si>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</si>
  <si>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</si>
  <si>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</si>
  <si>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</si>
  <si>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</si>
  <si>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</si>
  <si>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</si>
  <si>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</si>
  <si>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</si>
  <si>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</si>
  <si>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</si>
  <si>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</si>
  <si>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</si>
  <si>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</si>
  <si>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</si>
  <si>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</si>
  <si>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</si>
  <si>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</si>
  <si>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</si>
  <si>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</si>
  <si>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</si>
  <si>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</si>
  <si>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</si>
  <si>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</si>
  <si>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</si>
  <si>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</si>
  <si>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</si>
  <si>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</si>
  <si>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</si>
  <si>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</si>
  <si>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</si>
  <si>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</si>
  <si>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</si>
  <si>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</si>
  <si>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</si>
  <si>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</si>
  <si>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</si>
  <si>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</si>
  <si>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</si>
  <si>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</si>
  <si>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</si>
  <si>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</si>
  <si>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</si>
  <si>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</si>
  <si>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</si>
  <si>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</si>
  <si>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</si>
  <si>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</si>
  <si>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</si>
  <si>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</si>
  <si>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</si>
  <si>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</si>
  <si>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</si>
  <si>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</si>
  <si>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</si>
  <si>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</si>
  <si>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</si>
  <si>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</si>
  <si>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</si>
  <si>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</si>
  <si>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</si>
  <si>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</si>
  <si>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</si>
  <si>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</si>
  <si>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</si>
  <si>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</si>
  <si>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</si>
  <si>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</si>
  <si>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</si>
  <si>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</si>
  <si>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</si>
  <si>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</si>
  <si>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</si>
  <si>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</si>
  <si>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</si>
  <si>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</si>
  <si>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</si>
  <si>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</si>
  <si>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</si>
  <si>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</si>
  <si>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</si>
  <si>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</si>
  <si>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</si>
  <si>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</si>
  <si>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</si>
  <si>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</si>
  <si>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</si>
  <si>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</si>
  <si>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</si>
  <si>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</si>
  <si>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</si>
  <si>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</si>
  <si>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</si>
  <si>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</si>
  <si>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</si>
  <si>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</si>
  <si>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</si>
  <si>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</si>
  <si>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</si>
  <si>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</si>
  <si>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</si>
  <si>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</si>
  <si>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</si>
  <si>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</si>
  <si>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</si>
  <si>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</si>
  <si>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</si>
  <si>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</si>
  <si>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</si>
  <si>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</si>
  <si>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</si>
  <si>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</si>
  <si>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</si>
  <si>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</si>
  <si>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</si>
  <si>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</si>
  <si>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</si>
  <si>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</si>
  <si>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</si>
  <si>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</si>
  <si>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</si>
  <si>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</si>
  <si>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</si>
  <si>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</si>
  <si>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</si>
  <si>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</si>
  <si>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</si>
  <si>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</si>
  <si>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</si>
  <si>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</si>
  <si>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</si>
  <si>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</si>
  <si>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</si>
  <si>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</si>
  <si>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</si>
  <si>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</si>
  <si>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</si>
  <si>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</si>
  <si>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</si>
  <si>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</si>
  <si>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</si>
  <si>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</si>
  <si>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</si>
  <si>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</si>
  <si>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</si>
  <si>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</si>
  <si>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</si>
  <si>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</si>
  <si>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</si>
  <si>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</si>
  <si>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</si>
  <si>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</si>
  <si>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</si>
  <si>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</si>
  <si>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</si>
  <si>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</si>
  <si>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</si>
  <si>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</si>
  <si>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</si>
  <si>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</si>
  <si>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</si>
  <si>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</si>
  <si>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</si>
  <si>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</si>
  <si>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</si>
  <si>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</si>
  <si>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</si>
  <si>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</si>
  <si>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</si>
  <si>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</si>
  <si>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</si>
  <si>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</si>
  <si>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</si>
  <si>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</si>
  <si>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</si>
  <si>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</si>
  <si>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</si>
  <si>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</si>
  <si>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</si>
  <si>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</si>
  <si>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</si>
  <si>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</si>
  <si>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</si>
  <si>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</si>
  <si>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</si>
  <si>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</si>
  <si>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</si>
  <si>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</si>
  <si>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</si>
  <si>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</si>
  <si>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</si>
  <si>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</si>
  <si>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</si>
  <si>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</si>
  <si>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</si>
  <si>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</si>
  <si>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</si>
  <si>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</si>
  <si>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</si>
  <si>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</si>
  <si>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</si>
  <si>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</si>
  <si>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</si>
  <si>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</si>
  <si>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</si>
  <si>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</si>
  <si>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</si>
  <si>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</si>
  <si>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</si>
  <si>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</si>
  <si>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</si>
  <si>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</si>
  <si>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</si>
  <si>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</si>
  <si>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</si>
  <si>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</si>
  <si>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</si>
  <si>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</si>
  <si>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</si>
  <si>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</si>
  <si>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</si>
  <si>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</si>
  <si>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</si>
  <si>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</si>
  <si>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</si>
  <si>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</si>
  <si>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</si>
  <si>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</si>
  <si>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</si>
  <si>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</si>
  <si>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</si>
  <si>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</si>
  <si>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</si>
  <si>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</si>
  <si>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</si>
  <si>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</si>
  <si>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</si>
  <si>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</si>
  <si>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</si>
  <si>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</si>
  <si>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</si>
  <si>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</si>
  <si>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</si>
  <si>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</si>
  <si>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</si>
  <si>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</si>
  <si>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</si>
  <si>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</si>
  <si>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</si>
  <si>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</si>
  <si>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</si>
  <si>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</si>
  <si>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</si>
  <si>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</si>
  <si>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</si>
  <si>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</si>
  <si>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</si>
  <si>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</si>
  <si>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</si>
  <si>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</si>
  <si>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</si>
  <si>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</si>
  <si>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</si>
  <si>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</si>
  <si>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</si>
  <si>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</si>
  <si>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</si>
  <si>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</si>
  <si>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</si>
  <si>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</si>
  <si>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</si>
  <si>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</si>
  <si>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</si>
  <si>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</si>
  <si>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</si>
  <si>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</si>
  <si>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</si>
  <si>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</si>
  <si>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</si>
  <si>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</si>
  <si>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</si>
  <si>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</si>
  <si>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</si>
  <si>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</si>
  <si>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</si>
  <si>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</si>
  <si>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</si>
  <si>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</si>
  <si>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</si>
  <si>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</si>
  <si>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</si>
  <si>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</si>
  <si>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</si>
  <si>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</si>
  <si>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</si>
  <si>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</si>
  <si>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</si>
  <si>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</si>
  <si>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</si>
  <si>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</si>
  <si>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</si>
  <si>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</si>
  <si>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</si>
  <si>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</si>
  <si>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</si>
  <si>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</si>
  <si>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</si>
  <si>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</si>
  <si>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</si>
  <si>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</si>
  <si>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</si>
  <si>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</si>
  <si>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</si>
  <si>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</si>
  <si>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</si>
  <si>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</si>
  <si>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</si>
  <si>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</si>
  <si>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</si>
  <si>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</si>
  <si>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</si>
  <si>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</si>
  <si>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</si>
  <si>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</si>
  <si>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</si>
  <si>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</si>
  <si>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</si>
  <si>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</si>
  <si>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</si>
  <si>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</si>
  <si>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</si>
  <si>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</si>
  <si>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</si>
  <si>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</si>
  <si>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</si>
  <si>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</si>
  <si>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</si>
  <si>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</si>
  <si>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</si>
  <si>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</si>
  <si>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</si>
  <si>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</si>
  <si>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</si>
  <si>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</si>
  <si>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</si>
  <si>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</si>
  <si>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</si>
  <si>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</si>
  <si>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</si>
  <si>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</si>
  <si>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</si>
  <si>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</si>
  <si>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</si>
  <si>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</si>
  <si>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</si>
  <si>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</si>
  <si>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</si>
  <si>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</si>
  <si>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</si>
  <si>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</si>
  <si>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</si>
  <si>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</si>
  <si>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</si>
  <si>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</si>
  <si>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</si>
  <si>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</si>
  <si>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FQ424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</si>
  <si>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</si>
  <si>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</si>
  <si>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</si>
  <si>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</si>
  <si>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</si>
  <si>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</si>
  <si>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</si>
  <si>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</si>
  <si>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</si>
  <si>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</si>
  <si>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</si>
  <si>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</si>
  <si>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</si>
  <si>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</si>
  <si>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</si>
  <si>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</si>
  <si>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</si>
  <si>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</si>
  <si>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</si>
  <si>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</si>
  <si>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</si>
  <si>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</si>
  <si>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FQ234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</si>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</sst>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3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8" fillId="0" borderId="0" applyNumberForma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4" applyNumberFormat="0" applyFill="0" applyAlignment="0" applyProtection="0"/>
    <xf numFmtId="0" fontId="15" fillId="0" borderId="5" applyNumberFormat="0" applyFill="0" applyAlignment="0" applyProtection="0"/>
    <xf numFmtId="0" fontId="16" fillId="0" borderId="6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9" fillId="5" borderId="0" applyNumberFormat="0" applyBorder="0" applyAlignment="0" applyProtection="0"/>
    <xf numFmtId="0" fontId="20" fillId="6" borderId="7" applyNumberFormat="0" applyAlignment="0" applyProtection="0"/>
    <xf numFmtId="0" fontId="21" fillId="7" borderId="8" applyNumberFormat="0" applyAlignment="0" applyProtection="0"/>
    <xf numFmtId="0" fontId="22" fillId="7" borderId="7" applyNumberFormat="0" applyAlignment="0" applyProtection="0"/>
    <xf numFmtId="0" fontId="23" fillId="0" borderId="9" applyNumberFormat="0" applyFill="0" applyAlignment="0" applyProtection="0"/>
    <xf numFmtId="0" fontId="24" fillId="8" borderId="10" applyNumberFormat="0" applyAlignment="0" applyProtection="0"/>
    <xf numFmtId="0" fontId="25" fillId="0" borderId="0" applyNumberFormat="0" applyFill="0" applyBorder="0" applyAlignment="0" applyProtection="0"/>
    <xf numFmtId="0" fontId="12" fillId="9" borderId="11" applyNumberFormat="0" applyFont="0" applyAlignment="0" applyProtection="0"/>
    <xf numFmtId="0" fontId="26" fillId="0" borderId="0" applyNumberFormat="0" applyFill="0" applyBorder="0" applyAlignment="0" applyProtection="0"/>
    <xf numFmtId="0" fontId="7" fillId="0" borderId="12" applyNumberFormat="0" applyFill="0" applyAlignment="0" applyProtection="0"/>
    <xf numFmtId="0" fontId="27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13" borderId="0" applyNumberFormat="0" applyBorder="0" applyAlignment="0" applyProtection="0"/>
    <xf numFmtId="0" fontId="27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27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2" fillId="21" borderId="0" applyNumberFormat="0" applyBorder="0" applyAlignment="0" applyProtection="0"/>
    <xf numFmtId="0" fontId="27" fillId="22" borderId="0" applyNumberFormat="0" applyBorder="0" applyAlignment="0" applyProtection="0"/>
    <xf numFmtId="0" fontId="12" fillId="23" borderId="0" applyNumberFormat="0" applyBorder="0" applyAlignment="0" applyProtection="0"/>
    <xf numFmtId="0" fontId="12" fillId="24" borderId="0" applyNumberFormat="0" applyBorder="0" applyAlignment="0" applyProtection="0"/>
    <xf numFmtId="0" fontId="12" fillId="25" borderId="0" applyNumberFormat="0" applyBorder="0" applyAlignment="0" applyProtection="0"/>
    <xf numFmtId="0" fontId="27" fillId="26" borderId="0" applyNumberFormat="0" applyBorder="0" applyAlignment="0" applyProtection="0"/>
    <xf numFmtId="0" fontId="12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9" borderId="0" applyNumberFormat="0" applyBorder="0" applyAlignment="0" applyProtection="0"/>
    <xf numFmtId="0" fontId="27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33" borderId="0" applyNumberFormat="0" applyBorder="0" applyAlignment="0" applyProtection="0"/>
  </cellStyleXfs>
  <cellXfs count="27">
    <xf numFmtId="0" fontId="0" fillId="0" borderId="0" xfId="0"/>
    <xf numFmtId="0" fontId="9" fillId="0" borderId="0" xfId="0" applyFont="1"/>
    <xf numFmtId="0" fontId="10" fillId="0" borderId="0" xfId="0" applyFont="1"/>
    <xf numFmtId="0" fontId="11" fillId="0" borderId="0" xfId="0" applyFont="1"/>
    <xf numFmtId="0" fontId="28" fillId="0" borderId="0" xfId="0" applyFont="1"/>
    <xf numFmtId="0" fontId="6" fillId="0" borderId="0" xfId="0" applyFont="1"/>
    <xf numFmtId="0" fontId="6" fillId="0" borderId="0" xfId="0" applyFont="1" applyAlignment="1">
      <alignment horizontal="right"/>
    </xf>
    <xf numFmtId="0" fontId="29" fillId="0" borderId="0" xfId="0" applyFont="1"/>
    <xf numFmtId="0" fontId="10" fillId="2" borderId="1" xfId="0" applyFont="1" applyFill="1" applyBorder="1" applyAlignment="1">
      <alignment horizontal="center"/>
    </xf>
    <xf numFmtId="0" fontId="10" fillId="2" borderId="2" xfId="0" applyFont="1" applyFill="1" applyBorder="1"/>
    <xf numFmtId="0" fontId="10" fillId="2" borderId="2" xfId="0" applyFont="1" applyFill="1" applyBorder="1" applyAlignment="1">
      <alignment horizontal="center"/>
    </xf>
    <xf numFmtId="0" fontId="10" fillId="2" borderId="2" xfId="0" applyFont="1" applyFill="1" applyBorder="1" applyAlignment="1">
      <alignment horizontal="right"/>
    </xf>
    <xf numFmtId="0" fontId="6" fillId="2" borderId="3" xfId="0" applyFont="1" applyFill="1" applyBorder="1"/>
    <xf numFmtId="0" fontId="6" fillId="0" borderId="0" xfId="0" applyFont="1" applyAlignment="1">
      <alignment horizontal="center"/>
    </xf>
    <xf numFmtId="0" fontId="30" fillId="0" borderId="0" xfId="1" applyFont="1"/>
    <xf numFmtId="164" fontId="6" fillId="0" borderId="0" xfId="0" applyNumberFormat="1" applyFont="1"/>
    <xf numFmtId="16" fontId="6" fillId="0" borderId="0" xfId="0" applyNumberFormat="1" applyFont="1"/>
    <xf numFmtId="0" fontId="31" fillId="0" borderId="0" xfId="0" applyFont="1"/>
    <xf numFmtId="0" fontId="6" fillId="0" borderId="0" xfId="0" quotePrefix="1" applyFont="1"/>
    <xf numFmtId="0" fontId="29" fillId="0" borderId="0" xfId="0" applyFont="1" applyAlignment="1">
      <alignment horizontal="right"/>
    </xf>
    <xf numFmtId="0" fontId="6" fillId="2" borderId="2" xfId="0" applyFont="1" applyFill="1" applyBorder="1"/>
    <xf numFmtId="0" fontId="10" fillId="2" borderId="3" xfId="0" applyFont="1" applyFill="1" applyBorder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0.xml"/><Relationship Id="rId67" Type="http://schemas.openxmlformats.org/officeDocument/2006/relationships/externalLink" Target="externalLinks/externalLink58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179.56</v>
          </cell>
        </row>
        <row r="4">
          <cell r="I4">
            <v>4375158.96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203.75</v>
          </cell>
        </row>
        <row r="5">
          <cell r="H5">
            <v>3023729.4624999999</v>
          </cell>
        </row>
        <row r="6">
          <cell r="H6">
            <v>132986</v>
          </cell>
        </row>
        <row r="7">
          <cell r="H7">
            <v>91775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191.51</v>
          </cell>
        </row>
        <row r="4">
          <cell r="I4">
            <v>2321484.2199999997</v>
          </cell>
        </row>
        <row r="5">
          <cell r="I5">
            <v>95148</v>
          </cell>
        </row>
        <row r="6">
          <cell r="I6">
            <v>23607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216.1</v>
          </cell>
        </row>
        <row r="5">
          <cell r="I5">
            <v>2304687.5041617001</v>
          </cell>
        </row>
        <row r="6">
          <cell r="I6">
            <v>93180</v>
          </cell>
        </row>
        <row r="7">
          <cell r="I7">
            <v>50718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755.41</v>
          </cell>
        </row>
        <row r="4">
          <cell r="I4">
            <v>1899347.9471670899</v>
          </cell>
        </row>
        <row r="5">
          <cell r="I5">
            <v>47011</v>
          </cell>
        </row>
        <row r="6">
          <cell r="I6">
            <v>28832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1590337.6074194799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1130</v>
          </cell>
        </row>
        <row r="4">
          <cell r="H4">
            <v>29299770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226.05</v>
          </cell>
        </row>
        <row r="5">
          <cell r="H5">
            <v>634936.69965000008</v>
          </cell>
        </row>
        <row r="6">
          <cell r="H6">
            <v>11203</v>
          </cell>
        </row>
        <row r="7">
          <cell r="H7">
            <v>92568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154.47</v>
          </cell>
        </row>
        <row r="5">
          <cell r="G5">
            <v>366455.73377187003</v>
          </cell>
        </row>
        <row r="6">
          <cell r="G6">
            <v>6000.4220000000005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134.1</v>
          </cell>
        </row>
        <row r="5">
          <cell r="J5">
            <v>2340822.7799999998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230.45</v>
          </cell>
        </row>
        <row r="4">
          <cell r="H4">
            <v>268704.7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326.79000000000002</v>
          </cell>
        </row>
        <row r="5">
          <cell r="F5">
            <v>312411.24</v>
          </cell>
        </row>
        <row r="6">
          <cell r="F6">
            <v>12636</v>
          </cell>
        </row>
        <row r="7">
          <cell r="F7">
            <v>8430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115.27</v>
          </cell>
        </row>
        <row r="4">
          <cell r="H4">
            <v>187061.00277342001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407.92</v>
          </cell>
        </row>
        <row r="4">
          <cell r="G4">
            <v>179566.38399999999</v>
          </cell>
        </row>
        <row r="5">
          <cell r="G5">
            <v>7515</v>
          </cell>
        </row>
        <row r="6">
          <cell r="G6">
            <v>5627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58.74</v>
          </cell>
        </row>
        <row r="4">
          <cell r="G4">
            <v>233947.22019240001</v>
          </cell>
        </row>
        <row r="5">
          <cell r="G5">
            <v>18671</v>
          </cell>
        </row>
        <row r="6">
          <cell r="G6">
            <v>31987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111.91</v>
          </cell>
        </row>
        <row r="5">
          <cell r="I5">
            <v>1107835.6589821428</v>
          </cell>
        </row>
        <row r="6">
          <cell r="I6">
            <v>217209.83399999997</v>
          </cell>
        </row>
        <row r="7">
          <cell r="I7">
            <v>5880.0929999999998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219.2</v>
          </cell>
        </row>
        <row r="4">
          <cell r="H4">
            <v>202682.21731840001</v>
          </cell>
        </row>
        <row r="5">
          <cell r="H5">
            <v>13702</v>
          </cell>
        </row>
        <row r="6">
          <cell r="H6">
            <v>56579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159.83000000000001</v>
          </cell>
        </row>
        <row r="4">
          <cell r="H4">
            <v>177571.13</v>
          </cell>
        </row>
        <row r="5">
          <cell r="H5">
            <v>13300</v>
          </cell>
        </row>
        <row r="6">
          <cell r="H6">
            <v>14634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190.61</v>
          </cell>
        </row>
        <row r="5">
          <cell r="G5">
            <v>173877.60879454002</v>
          </cell>
        </row>
        <row r="6">
          <cell r="G6">
            <v>8752</v>
          </cell>
        </row>
        <row r="7">
          <cell r="G7">
            <v>13893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1045.1199999999999</v>
          </cell>
        </row>
        <row r="5">
          <cell r="G5">
            <v>215294.71999999997</v>
          </cell>
        </row>
        <row r="6">
          <cell r="G6">
            <v>5413</v>
          </cell>
        </row>
        <row r="7">
          <cell r="G7">
            <v>1488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619.42999999999995</v>
          </cell>
        </row>
        <row r="4">
          <cell r="I4">
            <v>173462.08004999999</v>
          </cell>
        </row>
        <row r="5">
          <cell r="I5">
            <v>3358</v>
          </cell>
        </row>
        <row r="6">
          <cell r="I6">
            <v>9118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179.53</v>
          </cell>
        </row>
        <row r="4">
          <cell r="I4">
            <v>148005.26591864001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53.1</v>
          </cell>
        </row>
        <row r="5">
          <cell r="I5">
            <v>1219467.4637760001</v>
          </cell>
        </row>
        <row r="6">
          <cell r="I6">
            <v>135552.16899999999</v>
          </cell>
        </row>
        <row r="7">
          <cell r="I7">
            <v>30944.685000000001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5668.04</v>
          </cell>
        </row>
        <row r="4">
          <cell r="I4">
            <v>184439.93739752</v>
          </cell>
        </row>
        <row r="5">
          <cell r="I5">
            <v>15578</v>
          </cell>
        </row>
        <row r="6">
          <cell r="I6">
            <v>16024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1737.97</v>
          </cell>
        </row>
        <row r="5">
          <cell r="H5">
            <v>88110.626320859999</v>
          </cell>
        </row>
        <row r="6">
          <cell r="H6">
            <v>7896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117.26</v>
          </cell>
        </row>
        <row r="4">
          <cell r="I4">
            <v>151334.04705276003</v>
          </cell>
        </row>
        <row r="5">
          <cell r="I5">
            <v>4895</v>
          </cell>
        </row>
        <row r="6">
          <cell r="I6">
            <v>917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128.30000000000001</v>
          </cell>
        </row>
        <row r="4">
          <cell r="H4">
            <v>81338.561412000025</v>
          </cell>
        </row>
        <row r="5">
          <cell r="H5">
            <v>11253</v>
          </cell>
        </row>
        <row r="6">
          <cell r="H6">
            <v>1991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76.400000000000006</v>
          </cell>
        </row>
        <row r="4">
          <cell r="I4">
            <v>74031.600000000006</v>
          </cell>
        </row>
        <row r="5">
          <cell r="I5">
            <v>10008</v>
          </cell>
        </row>
        <row r="6">
          <cell r="I6">
            <v>11296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421.65</v>
          </cell>
        </row>
        <row r="4">
          <cell r="I4">
            <v>103857.20686979999</v>
          </cell>
        </row>
        <row r="5">
          <cell r="I5">
            <v>4260.3239999999996</v>
          </cell>
        </row>
        <row r="6">
          <cell r="I6">
            <v>743.61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10935</v>
          </cell>
        </row>
        <row r="4">
          <cell r="I4">
            <v>14201175.15</v>
          </cell>
        </row>
        <row r="5">
          <cell r="I5">
            <v>1484350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172.39</v>
          </cell>
        </row>
        <row r="5">
          <cell r="G5">
            <v>71610.157641209997</v>
          </cell>
        </row>
        <row r="6">
          <cell r="G6">
            <v>4078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173.3</v>
          </cell>
        </row>
        <row r="4">
          <cell r="I4">
            <v>43360.925609900005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93.14</v>
          </cell>
        </row>
        <row r="4">
          <cell r="H4">
            <v>42564.98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462.43</v>
          </cell>
        </row>
        <row r="4">
          <cell r="I4">
            <v>17586.234171780001</v>
          </cell>
        </row>
        <row r="5">
          <cell r="I5">
            <v>358.791</v>
          </cell>
        </row>
        <row r="6">
          <cell r="I6">
            <v>1359.1030000000001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7.44</v>
          </cell>
        </row>
        <row r="4">
          <cell r="I4">
            <v>12572.354291040001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12.26</v>
          </cell>
        </row>
        <row r="5">
          <cell r="I5">
            <v>2157.6645436399999</v>
          </cell>
        </row>
        <row r="6">
          <cell r="I6">
            <v>16.95</v>
          </cell>
        </row>
        <row r="7">
          <cell r="I7">
            <v>297.69099999999997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41.35</v>
          </cell>
        </row>
        <row r="4">
          <cell r="H4">
            <v>6320.9364066999997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GRND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9" activePane="bottomRight" state="frozen"/>
      <selection pane="topRight" activeCell="C1" sqref="C1"/>
      <selection pane="bottomLeft" activeCell="A3" sqref="A3"/>
      <selection pane="bottomRight" activeCell="B22" sqref="B22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2583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179.56</v>
      </c>
      <c r="F4" s="15">
        <f>+[1]Main!$I$4</f>
        <v>4375158.96</v>
      </c>
      <c r="G4" s="15">
        <f>+[1]Main!$I$6-[1]Main!$I$5</f>
        <v>-48325</v>
      </c>
      <c r="H4" s="15">
        <f>F4+G4</f>
        <v>4326833.96</v>
      </c>
      <c r="I4" s="6" t="s">
        <v>2586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559.02</v>
      </c>
      <c r="F5" s="15">
        <f>+[2]Main!$H$4</f>
        <v>4155288.66918858</v>
      </c>
      <c r="G5" s="15">
        <f>+[2]Main!$H$6-[2]Main!$H$5</f>
        <v>-54413</v>
      </c>
      <c r="H5" s="15">
        <f>F5+G5</f>
        <v>4100875.66918858</v>
      </c>
      <c r="I5" s="6" t="s">
        <v>2710</v>
      </c>
      <c r="J5" s="16">
        <v>45959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203.75</v>
      </c>
      <c r="F6" s="15">
        <f>+[3]Main!$H$5</f>
        <v>3023729.4624999999</v>
      </c>
      <c r="G6" s="15">
        <f>+[3]Main!$H$6-[3]Main!$H$7</f>
        <v>41211</v>
      </c>
      <c r="H6" s="15">
        <f t="shared" ref="H6:H13" si="0">F6+G6</f>
        <v>3064940.4624999999</v>
      </c>
      <c r="I6" s="6" t="s">
        <v>2711</v>
      </c>
      <c r="J6" s="16">
        <v>45960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191.51</v>
      </c>
      <c r="F7" s="15">
        <f>+[4]Main!$I$4</f>
        <v>2321484.2199999997</v>
      </c>
      <c r="G7" s="15">
        <f>+[4]Main!$I$6-[4]Main!$I$5</f>
        <v>-71541</v>
      </c>
      <c r="H7" s="15">
        <f t="shared" si="0"/>
        <v>2249943.2199999997</v>
      </c>
      <c r="I7" s="6" t="s">
        <v>2586</v>
      </c>
      <c r="J7" s="16">
        <v>45958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216.1</v>
      </c>
      <c r="F8" s="15">
        <f>+[5]Main!$I$5</f>
        <v>2304687.5041617001</v>
      </c>
      <c r="G8" s="15">
        <f>+[5]Main!$I$7-[5]Main!$I$6</f>
        <v>-42462</v>
      </c>
      <c r="H8" s="15">
        <f t="shared" si="0"/>
        <v>2262225.5041617001</v>
      </c>
      <c r="I8" s="6" t="s">
        <v>2586</v>
      </c>
      <c r="J8" s="16">
        <v>45960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755.41</v>
      </c>
      <c r="F9" s="15">
        <f>+[6]Main!$I$4</f>
        <v>1899347.9471670899</v>
      </c>
      <c r="G9" s="15">
        <f>+[6]Main!$I$6-[6]Main!$I$5</f>
        <v>-18179</v>
      </c>
      <c r="H9" s="15">
        <f t="shared" si="0"/>
        <v>1881168.9471670899</v>
      </c>
      <c r="I9" s="6" t="s">
        <v>2586</v>
      </c>
      <c r="J9" s="16">
        <v>45959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312.19</v>
      </c>
      <c r="F10" s="15">
        <f>+[7]Main!$K$4</f>
        <v>1006952.8886569099</v>
      </c>
      <c r="G10" s="15">
        <f>+[7]Main!$K$6-[7]Main!$K$5</f>
        <v>-29562</v>
      </c>
      <c r="H10" s="15">
        <f t="shared" si="0"/>
        <v>977390.88865690993</v>
      </c>
      <c r="I10" s="6" t="s">
        <v>2586</v>
      </c>
      <c r="J10" s="16">
        <v>45952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1590337.6074194799</v>
      </c>
      <c r="G11" s="15">
        <f>+[8]Main!$G$7-[8]Main!$G$6</f>
        <v>57810</v>
      </c>
      <c r="H11" s="15">
        <f t="shared" si="0"/>
        <v>1648147.6074194799</v>
      </c>
      <c r="I11" s="6" t="s">
        <v>710</v>
      </c>
      <c r="J11" s="16">
        <v>45819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13</v>
      </c>
      <c r="C12" s="5" t="s">
        <v>53</v>
      </c>
      <c r="D12" s="5" t="s">
        <v>1129</v>
      </c>
      <c r="E12" s="15">
        <f>+[9]Main!$H$2</f>
        <v>1130</v>
      </c>
      <c r="F12" s="15">
        <f>+[9]Main!$H$4*FX!C2</f>
        <v>878993.1</v>
      </c>
      <c r="G12" s="15">
        <f>+([9]Main!$H$6-[9]Main!$H$5)*FX!C2</f>
        <v>-50750.400000000001</v>
      </c>
      <c r="H12" s="15">
        <f t="shared" si="0"/>
        <v>828242.7</v>
      </c>
      <c r="I12" s="6" t="s">
        <v>49</v>
      </c>
      <c r="J12" s="16">
        <v>45764</v>
      </c>
      <c r="K12" s="5"/>
      <c r="L12" s="5"/>
      <c r="M12" s="5"/>
      <c r="N12" s="5"/>
      <c r="O12" s="5"/>
      <c r="P12" s="5"/>
      <c r="Q12" s="5"/>
      <c r="R12" s="5">
        <v>1987</v>
      </c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55</v>
      </c>
      <c r="C13" s="5" t="s">
        <v>56</v>
      </c>
      <c r="D13" s="5" t="s">
        <v>770</v>
      </c>
      <c r="E13" s="15">
        <f>+[10]Main!$G$2</f>
        <v>617.5</v>
      </c>
      <c r="F13" s="15">
        <f>+[10]Main!$G$5*FX!C3</f>
        <v>723520.79800000007</v>
      </c>
      <c r="G13" s="15">
        <f>+([10]Main!$G$7-[10]Main!$G$6)*FX!C3</f>
        <v>-12582.220000000001</v>
      </c>
      <c r="H13" s="15">
        <f t="shared" si="0"/>
        <v>710938.5780000001</v>
      </c>
      <c r="I13" s="25" t="s">
        <v>2586</v>
      </c>
      <c r="J13" s="16">
        <v>45973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15</v>
      </c>
      <c r="C14" s="5" t="s">
        <v>57</v>
      </c>
      <c r="D14" s="5" t="s">
        <v>45</v>
      </c>
      <c r="E14" s="15">
        <f>+[11]Main!$H$3</f>
        <v>226.05</v>
      </c>
      <c r="F14" s="15">
        <f>+[11]Main!$H$5</f>
        <v>634936.69965000008</v>
      </c>
      <c r="G14" s="15">
        <f>+[11]Main!$H$7-[11]Main!$H$6</f>
        <v>81365</v>
      </c>
      <c r="H14" s="15">
        <f t="shared" ref="H14:H19" si="3">F14+G14</f>
        <v>716301.69965000008</v>
      </c>
      <c r="I14" s="24" t="s">
        <v>2710</v>
      </c>
      <c r="J14" s="16">
        <v>45909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si="3"/>
        <v>255448.8204</v>
      </c>
      <c r="I15" s="6" t="s">
        <v>2586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6" t="s">
        <v>2586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1253.22</v>
      </c>
      <c r="F17" s="15">
        <f>+[14]Main!$I$5</f>
        <v>532882.92942000006</v>
      </c>
      <c r="G17" s="15">
        <f>+[14]Main!$I$7-[14]Main!$I$6</f>
        <v>6062.6859999999997</v>
      </c>
      <c r="H17" s="15">
        <f t="shared" si="3"/>
        <v>538945.61542000005</v>
      </c>
      <c r="I17" s="6" t="s">
        <v>2586</v>
      </c>
      <c r="J17" s="16">
        <v>45946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154.47</v>
      </c>
      <c r="F18" s="15">
        <f>+[15]Main!$G$5</f>
        <v>366455.73377187003</v>
      </c>
      <c r="G18" s="15">
        <f>+[15]Main!$G$7-[15]Main!$G$6</f>
        <v>-6000.4220000000005</v>
      </c>
      <c r="H18" s="15">
        <f t="shared" si="3"/>
        <v>360455.31177187001</v>
      </c>
      <c r="I18" s="23" t="s">
        <v>2586</v>
      </c>
      <c r="J18" s="16">
        <v>45964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454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770</v>
      </c>
      <c r="E19" s="15">
        <f>+[16]Main!$J$2</f>
        <v>134.1</v>
      </c>
      <c r="F19" s="15">
        <f>+[16]Main!$J$5*FX!C3</f>
        <v>327715.18920000002</v>
      </c>
      <c r="G19" s="15">
        <f>+([16]Main!$J$7-[16]Main!$J$6)*FX!C3</f>
        <v>-41909.560000000005</v>
      </c>
      <c r="H19" s="15">
        <f t="shared" si="3"/>
        <v>285805.62920000002</v>
      </c>
      <c r="I19" s="23" t="s">
        <v>3147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230.45</v>
      </c>
      <c r="F20" s="15">
        <f>+[17]Main!$H$4*FX!C4</f>
        <v>274078.79399999999</v>
      </c>
      <c r="G20" s="15">
        <f>(+[17]Main!$H$6-[17]Main!$H$5)*FX!C4</f>
        <v>-812.94</v>
      </c>
      <c r="H20" s="15">
        <f t="shared" ref="H20:H31" si="4">F20+G20</f>
        <v>273265.85399999999</v>
      </c>
      <c r="I20" s="26" t="s">
        <v>2586</v>
      </c>
      <c r="J20" s="5"/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326.79000000000002</v>
      </c>
      <c r="F21" s="15">
        <f>+[18]Main!$F$5</f>
        <v>312411.24</v>
      </c>
      <c r="G21" s="15">
        <f>+[18]Main!$F$7-[18]Main!$F$6</f>
        <v>-4206</v>
      </c>
      <c r="H21" s="15">
        <f t="shared" si="4"/>
        <v>308205.24</v>
      </c>
      <c r="I21" s="6" t="s">
        <v>48</v>
      </c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115.27</v>
      </c>
      <c r="F22" s="15">
        <f>+[19]Main!$H$4</f>
        <v>187061.00277342001</v>
      </c>
      <c r="G22" s="15">
        <f>+[19]Main!$H$6-[19]Main!$H$5</f>
        <v>-2824</v>
      </c>
      <c r="H22" s="15">
        <f t="shared" si="4"/>
        <v>184237.00277342001</v>
      </c>
      <c r="I22" s="6" t="s">
        <v>49</v>
      </c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407.92</v>
      </c>
      <c r="F23" s="15">
        <f>+[20]Main!$G$4</f>
        <v>179566.38399999999</v>
      </c>
      <c r="G23" s="15">
        <f>+[20]Main!$G$6-[20]Main!$G$5</f>
        <v>-1888</v>
      </c>
      <c r="H23" s="15">
        <f t="shared" si="4"/>
        <v>177678.38399999999</v>
      </c>
      <c r="I23" s="6" t="s">
        <v>49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58.74</v>
      </c>
      <c r="F24" s="15">
        <f>+[21]Main!$G$4</f>
        <v>233947.22019240001</v>
      </c>
      <c r="G24" s="15">
        <f>+[21]Main!$G$6-[21]Main!$G$5</f>
        <v>13316</v>
      </c>
      <c r="H24" s="15">
        <f t="shared" si="4"/>
        <v>247263.22019240001</v>
      </c>
      <c r="I24" s="6" t="s">
        <v>49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770</v>
      </c>
      <c r="E25" s="15">
        <f>+[22]Main!$I$2</f>
        <v>111.91</v>
      </c>
      <c r="F25" s="15">
        <f>+[22]Main!$I$5*FX!C3</f>
        <v>155096.99225750001</v>
      </c>
      <c r="G25" s="15">
        <f>+([22]Main!$I$7-[22]Main!$I$6)*FX!C3</f>
        <v>-29586.16374</v>
      </c>
      <c r="H25" s="15">
        <f t="shared" si="4"/>
        <v>125510.82851750001</v>
      </c>
      <c r="I25" s="6" t="s">
        <v>49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219.2</v>
      </c>
      <c r="F26" s="15">
        <f>+[23]Main!$H$4</f>
        <v>202682.21731840001</v>
      </c>
      <c r="G26" s="15">
        <f>+[23]Main!$H$6-[23]Main!$H$5</f>
        <v>42877</v>
      </c>
      <c r="H26" s="15">
        <f t="shared" si="4"/>
        <v>245559.21731840001</v>
      </c>
      <c r="I26" s="6" t="s">
        <v>49</v>
      </c>
      <c r="J26" s="5"/>
      <c r="K26" s="5"/>
      <c r="L26" s="5"/>
      <c r="M26" s="5"/>
      <c r="N26" s="5"/>
      <c r="O26" s="5"/>
      <c r="P26" s="5"/>
      <c r="Q26" s="5"/>
      <c r="R26" s="5"/>
      <c r="S26" s="5" t="s">
        <v>461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159.83000000000001</v>
      </c>
      <c r="F27" s="15">
        <f>+[24]Main!$H$4</f>
        <v>177571.13</v>
      </c>
      <c r="G27" s="15">
        <f>+[24]Main!$H$6-[24]Main!$H$5</f>
        <v>1334</v>
      </c>
      <c r="H27" s="15">
        <f t="shared" si="4"/>
        <v>178905.13</v>
      </c>
      <c r="I27" s="6" t="s">
        <v>439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460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23</v>
      </c>
      <c r="C28" s="5" t="s">
        <v>166</v>
      </c>
      <c r="D28" s="5" t="s">
        <v>45</v>
      </c>
      <c r="E28" s="15">
        <f>+[25]Main!$G$3</f>
        <v>190.61</v>
      </c>
      <c r="F28" s="15">
        <f>+[25]Main!$G$5</f>
        <v>173877.60879454002</v>
      </c>
      <c r="G28" s="15">
        <f>+[25]Main!$G$7-[25]Main!$G$6</f>
        <v>5141</v>
      </c>
      <c r="H28" s="15">
        <f t="shared" si="4"/>
        <v>179018.60879454002</v>
      </c>
      <c r="I28" s="6" t="s">
        <v>49</v>
      </c>
      <c r="J28" s="5"/>
      <c r="K28" s="5"/>
      <c r="L28" s="5"/>
      <c r="M28" s="5"/>
      <c r="N28" s="5"/>
      <c r="O28" s="5"/>
      <c r="P28" s="5"/>
      <c r="Q28" s="5"/>
      <c r="R28" s="5">
        <v>2004</v>
      </c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26</v>
      </c>
      <c r="C29" s="5" t="s">
        <v>70</v>
      </c>
      <c r="D29" s="5" t="s">
        <v>45</v>
      </c>
      <c r="E29" s="15">
        <f>+[26]Main!$G$3</f>
        <v>1045.1199999999999</v>
      </c>
      <c r="F29" s="15">
        <f>+[26]Main!$G$5</f>
        <v>215294.71999999997</v>
      </c>
      <c r="G29" s="15">
        <f>+[26]Main!$G$7-[26]Main!$G$6</f>
        <v>-3925</v>
      </c>
      <c r="H29" s="15">
        <f t="shared" si="4"/>
        <v>211369.71999999997</v>
      </c>
      <c r="I29" s="6" t="s">
        <v>48</v>
      </c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24</v>
      </c>
      <c r="C30" s="5" t="s">
        <v>71</v>
      </c>
      <c r="D30" s="5" t="s">
        <v>45</v>
      </c>
      <c r="E30" s="15">
        <f>+[27]Main!$I$2</f>
        <v>619.42999999999995</v>
      </c>
      <c r="F30" s="15">
        <f>+[27]Main!$I$4</f>
        <v>173462.08004999999</v>
      </c>
      <c r="G30" s="15">
        <f>+[27]Main!$I$6-[27]Main!$I$5</f>
        <v>5760</v>
      </c>
      <c r="H30" s="15">
        <f t="shared" si="4"/>
        <v>179222.08004999999</v>
      </c>
      <c r="I30" s="6" t="s">
        <v>49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72</v>
      </c>
      <c r="C31" s="5" t="s">
        <v>73</v>
      </c>
      <c r="D31" s="5" t="s">
        <v>45</v>
      </c>
      <c r="E31" s="15">
        <f>+[28]Main!$I$2</f>
        <v>179.53</v>
      </c>
      <c r="F31" s="15">
        <f>+[28]Main!$I$4</f>
        <v>148005.26591864001</v>
      </c>
      <c r="G31" s="15">
        <f>+[28]Main!$I$6-[28]Main!$I$5</f>
        <v>-2846</v>
      </c>
      <c r="H31" s="15">
        <f t="shared" si="4"/>
        <v>145159.26591864001</v>
      </c>
      <c r="I31" s="6" t="s">
        <v>49</v>
      </c>
      <c r="J31" s="5"/>
      <c r="K31" s="5"/>
      <c r="L31" s="5"/>
      <c r="M31" s="5"/>
      <c r="N31" s="5"/>
      <c r="O31" s="5"/>
      <c r="P31" s="5"/>
      <c r="Q31" s="5"/>
      <c r="R31" s="5">
        <v>2009</v>
      </c>
      <c r="S31" s="5" t="s">
        <v>457</v>
      </c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74</v>
      </c>
      <c r="C32" s="5" t="s">
        <v>74</v>
      </c>
      <c r="D32" s="5" t="s">
        <v>45</v>
      </c>
      <c r="E32" s="15">
        <f>+[29]Main!$H$2</f>
        <v>90.18</v>
      </c>
      <c r="F32" s="15">
        <f>+[29]Main!$H$4</f>
        <v>188063.05620167998</v>
      </c>
      <c r="G32" s="15">
        <f>+[29]Main!$H$6-[29]Main!$H$5</f>
        <v>1370</v>
      </c>
      <c r="H32" s="15">
        <f>F32+G32</f>
        <v>189433.05620167998</v>
      </c>
      <c r="I32" s="6" t="s">
        <v>2586</v>
      </c>
      <c r="J32" s="16">
        <v>45784</v>
      </c>
      <c r="K32" s="5"/>
      <c r="L32" s="5"/>
      <c r="M32" s="5"/>
      <c r="N32" s="5"/>
      <c r="O32" s="5"/>
      <c r="P32" s="5"/>
      <c r="Q32" s="5"/>
      <c r="R32" s="5"/>
      <c r="S32" s="5" t="s">
        <v>459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130</v>
      </c>
      <c r="C33" s="5" t="s">
        <v>2591</v>
      </c>
      <c r="D33" s="5" t="s">
        <v>770</v>
      </c>
      <c r="E33" s="15">
        <f>+[30]Main!$I$2</f>
        <v>53.1</v>
      </c>
      <c r="F33" s="15">
        <f>+[30]Main!$I$5*FX!C3</f>
        <v>170725.44492864003</v>
      </c>
      <c r="G33" s="15">
        <f>+([30]Main!$I$7-[30]Main!$I$6)*FX!C3</f>
        <v>-14645.047760000001</v>
      </c>
      <c r="H33" s="15">
        <f>+F33+G33</f>
        <v>156080.39716864005</v>
      </c>
      <c r="I33" s="6" t="s">
        <v>710</v>
      </c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5" t="s">
        <v>75</v>
      </c>
      <c r="C34" s="5" t="s">
        <v>76</v>
      </c>
      <c r="D34" s="5" t="s">
        <v>770</v>
      </c>
      <c r="E34" s="1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14" t="s">
        <v>77</v>
      </c>
      <c r="C35" s="5" t="s">
        <v>78</v>
      </c>
      <c r="D35" s="5" t="s">
        <v>79</v>
      </c>
      <c r="E35" s="15">
        <f>+[31]Main!$J$2</f>
        <v>227.65</v>
      </c>
      <c r="F35" s="15">
        <f>+[31]Main!$J$4*FX!C4</f>
        <v>133014.210772452</v>
      </c>
      <c r="G35" s="15">
        <f>+([31]Main!$J$6-[31]Main!$J$5)*FX!C4</f>
        <v>8102.88</v>
      </c>
      <c r="H35" s="15">
        <f>+F35+G35</f>
        <v>141117.09077245201</v>
      </c>
      <c r="I35" s="6" t="s">
        <v>430</v>
      </c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5" t="s">
        <v>80</v>
      </c>
      <c r="C36" s="5" t="s">
        <v>81</v>
      </c>
      <c r="D36" s="5" t="s">
        <v>84</v>
      </c>
      <c r="E36" s="1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14" t="s">
        <v>82</v>
      </c>
      <c r="C37" s="5" t="s">
        <v>83</v>
      </c>
      <c r="D37" s="5" t="s">
        <v>45</v>
      </c>
      <c r="E37" s="15">
        <f>+[32]Main!$I$2</f>
        <v>5668.04</v>
      </c>
      <c r="F37" s="15">
        <f>+[32]Main!$I$4</f>
        <v>184439.93739752</v>
      </c>
      <c r="G37" s="15">
        <f>+[32]Main!$I$6-[32]Main!$I$5</f>
        <v>446</v>
      </c>
      <c r="H37" s="15">
        <f>F37+G37</f>
        <v>184885.93739752</v>
      </c>
      <c r="I37" s="6" t="s">
        <v>49</v>
      </c>
      <c r="J37" s="5"/>
      <c r="K37" s="5"/>
      <c r="L37" s="5"/>
      <c r="M37" s="5"/>
      <c r="N37" s="5"/>
      <c r="O37" s="5"/>
      <c r="P37" s="5"/>
      <c r="Q37" s="5"/>
      <c r="R37" s="5"/>
      <c r="S37" s="5" t="s">
        <v>453</v>
      </c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962</v>
      </c>
      <c r="C38" s="5" t="s">
        <v>85</v>
      </c>
      <c r="D38" s="5" t="s">
        <v>45</v>
      </c>
      <c r="E38" s="15">
        <f>+[33]Main!$I$2</f>
        <v>119.69</v>
      </c>
      <c r="F38" s="15">
        <f>+[33]Main!$I$4</f>
        <v>113085.46378881</v>
      </c>
      <c r="G38" s="15">
        <f>+[33]Main!$I$6-[33]Main!$I$5</f>
        <v>-7428.3879999999999</v>
      </c>
      <c r="H38" s="15">
        <f>F38+G38</f>
        <v>105657.07578880999</v>
      </c>
      <c r="I38" s="6" t="s">
        <v>49</v>
      </c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86</v>
      </c>
      <c r="C39" s="5" t="s">
        <v>88</v>
      </c>
      <c r="D39" s="5" t="s">
        <v>87</v>
      </c>
      <c r="E39" s="15">
        <f>+[34]Main!$H$2</f>
        <v>3214</v>
      </c>
      <c r="F39" s="15">
        <f>+[34]Main!$H$4*FX!C6</f>
        <v>126918.76080161199</v>
      </c>
      <c r="G39" s="15">
        <f>+([34]Main!$H$6-[34]Main!$H$5)*FX!C6</f>
        <v>12746.721</v>
      </c>
      <c r="H39" s="15">
        <f>F39+G39</f>
        <v>139665.48180161198</v>
      </c>
      <c r="I39" s="6" t="s">
        <v>441</v>
      </c>
      <c r="J39" s="5"/>
      <c r="K39" s="5"/>
      <c r="L39" s="5"/>
      <c r="M39" s="5"/>
      <c r="N39" s="5"/>
      <c r="O39" s="5"/>
      <c r="P39" s="5"/>
      <c r="Q39" s="5"/>
      <c r="R39" s="5"/>
      <c r="S39" s="5" t="s">
        <v>458</v>
      </c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5" t="s">
        <v>89</v>
      </c>
      <c r="C40" s="5" t="s">
        <v>90</v>
      </c>
      <c r="D40" s="5" t="s">
        <v>87</v>
      </c>
      <c r="E40" s="1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91</v>
      </c>
      <c r="C41" s="5" t="s">
        <v>92</v>
      </c>
      <c r="D41" s="5" t="s">
        <v>45</v>
      </c>
      <c r="E41" s="15">
        <f>+[35]Main!$I$2</f>
        <v>284.85000000000002</v>
      </c>
      <c r="F41" s="15">
        <f>+[35]Main!$I$4</f>
        <v>115897.17387105002</v>
      </c>
      <c r="G41" s="15">
        <f>+[35]Main!$I$6-[35]Main!$I$5</f>
        <v>1766.1</v>
      </c>
      <c r="H41" s="15">
        <f>+F41+G41</f>
        <v>117663.27387105003</v>
      </c>
      <c r="I41" s="6" t="s">
        <v>431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14" t="s">
        <v>93</v>
      </c>
      <c r="C42" s="5" t="s">
        <v>94</v>
      </c>
      <c r="D42" s="5" t="s">
        <v>45</v>
      </c>
      <c r="E42" s="15">
        <f>+[36]Main!$H$2</f>
        <v>97.8</v>
      </c>
      <c r="F42" s="15">
        <f>+[36]Main!$H$4</f>
        <v>108966.01494959999</v>
      </c>
      <c r="G42" s="15">
        <f>+[36]Main!$H$6-[36]Main!$H$5</f>
        <v>5041</v>
      </c>
      <c r="H42" s="15">
        <f>+F42+G42</f>
        <v>114007.01494959999</v>
      </c>
      <c r="I42" s="6" t="s">
        <v>49</v>
      </c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95</v>
      </c>
      <c r="C43" s="5" t="s">
        <v>96</v>
      </c>
      <c r="D43" s="5" t="s">
        <v>45</v>
      </c>
      <c r="E43" s="15">
        <f>+[37]Main!$J$2</f>
        <v>176.33</v>
      </c>
      <c r="F43" s="15">
        <f>+[37]Main!$J$4</f>
        <v>105088.53324739002</v>
      </c>
      <c r="G43" s="15">
        <f>+[37]Main!$J$6-[37]Main!$J$5</f>
        <v>4296.9570000000003</v>
      </c>
      <c r="H43" s="15">
        <f>+F43+G43</f>
        <v>109385.49024739001</v>
      </c>
      <c r="I43" s="6" t="s">
        <v>710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97</v>
      </c>
      <c r="C44" s="5" t="s">
        <v>98</v>
      </c>
      <c r="D44" s="5" t="s">
        <v>45</v>
      </c>
      <c r="E44" s="15">
        <f>+[38]Main!$H$3</f>
        <v>171.05</v>
      </c>
      <c r="F44" s="15">
        <f>+[38]Main!$H$5</f>
        <v>56121.505000000005</v>
      </c>
      <c r="G44" s="15">
        <f>+[38]Main!$H$7-[38]Main!$H$6</f>
        <v>-2745.2</v>
      </c>
      <c r="H44" s="15">
        <f t="shared" ref="H44:H50" si="5">+F44+G44</f>
        <v>53376.305000000008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 t="s">
        <v>457</v>
      </c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99</v>
      </c>
      <c r="C45" s="5" t="s">
        <v>100</v>
      </c>
      <c r="D45" s="5" t="s">
        <v>101</v>
      </c>
      <c r="E45" s="15">
        <f>+[39]Main!$H$3</f>
        <v>1737.97</v>
      </c>
      <c r="F45" s="15">
        <f>+[39]Main!$H$5</f>
        <v>88110.626320859999</v>
      </c>
      <c r="G45" s="15">
        <f>+[39]Main!$H$7-[39]Main!$H$6</f>
        <v>-7896</v>
      </c>
      <c r="H45" s="15">
        <f t="shared" si="5"/>
        <v>80214.626320859999</v>
      </c>
      <c r="I45" s="6" t="s">
        <v>48</v>
      </c>
      <c r="J45" s="5"/>
      <c r="K45" s="5"/>
      <c r="L45" s="5"/>
      <c r="M45" s="5"/>
      <c r="N45" s="5"/>
      <c r="O45" s="5"/>
      <c r="P45" s="5"/>
      <c r="Q45" s="5"/>
      <c r="R45" s="5">
        <v>1999</v>
      </c>
      <c r="S45" s="5" t="s">
        <v>456</v>
      </c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102</v>
      </c>
      <c r="C46" s="5" t="s">
        <v>103</v>
      </c>
      <c r="D46" s="5" t="s">
        <v>45</v>
      </c>
      <c r="E46" s="15">
        <f>+[40]Main!$I$2</f>
        <v>208</v>
      </c>
      <c r="F46" s="15">
        <f>+[40]Main!$I$4</f>
        <v>116748.10035200001</v>
      </c>
      <c r="G46" s="15">
        <f>+[40]Main!$I$6-[40]Main!$I$5</f>
        <v>23604</v>
      </c>
      <c r="H46" s="15">
        <f t="shared" si="5"/>
        <v>140352.10035200001</v>
      </c>
      <c r="I46" s="6" t="s">
        <v>430</v>
      </c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104</v>
      </c>
      <c r="C47" s="5" t="s">
        <v>105</v>
      </c>
      <c r="D47" s="5" t="s">
        <v>45</v>
      </c>
      <c r="E47" s="15">
        <f>+[41]Main!$H$2</f>
        <v>73.2</v>
      </c>
      <c r="F47" s="15">
        <f>+[41]Main!$H$4</f>
        <v>94185.342000000004</v>
      </c>
      <c r="G47" s="15">
        <f>+[41]Main!$H$6-[41]Main!$H$5</f>
        <v>-1083.7019999999993</v>
      </c>
      <c r="H47" s="15">
        <f t="shared" si="5"/>
        <v>93101.64</v>
      </c>
      <c r="I47" s="6" t="s">
        <v>429</v>
      </c>
      <c r="J47" s="5"/>
      <c r="K47" s="5"/>
      <c r="L47" s="5"/>
      <c r="M47" s="5"/>
      <c r="N47" s="5"/>
      <c r="O47" s="5"/>
      <c r="P47" s="5"/>
      <c r="Q47" s="5"/>
      <c r="R47" s="5"/>
      <c r="S47" s="5" t="s">
        <v>438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29</v>
      </c>
      <c r="C48" s="5" t="s">
        <v>106</v>
      </c>
      <c r="D48" s="5" t="s">
        <v>107</v>
      </c>
      <c r="E48" s="15">
        <f>+[42]Main!$I$2</f>
        <v>117.26</v>
      </c>
      <c r="F48" s="15">
        <f>+[42]Main!$I$4</f>
        <v>151334.04705276003</v>
      </c>
      <c r="G48" s="15">
        <f>+[42]Main!$I$6-[42]Main!$I$5</f>
        <v>-3978</v>
      </c>
      <c r="H48" s="15">
        <f t="shared" si="5"/>
        <v>147356.04705276003</v>
      </c>
      <c r="I48" s="6" t="s">
        <v>462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109</v>
      </c>
      <c r="C49" s="5" t="s">
        <v>108</v>
      </c>
      <c r="D49" s="5" t="s">
        <v>45</v>
      </c>
      <c r="E49" s="15">
        <f>+[43]Main!$I$2</f>
        <v>739.7</v>
      </c>
      <c r="F49" s="15">
        <f>+[43]Main!$I$4</f>
        <v>98296.326016199993</v>
      </c>
      <c r="G49" s="15">
        <f>+[43]Main!$I$6-[43]Main!$I$5</f>
        <v>2101.982</v>
      </c>
      <c r="H49" s="15">
        <f t="shared" si="5"/>
        <v>100398.3080162</v>
      </c>
      <c r="I49" s="6" t="s">
        <v>431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27</v>
      </c>
      <c r="C50" s="5" t="s">
        <v>110</v>
      </c>
      <c r="D50" s="5" t="s">
        <v>45</v>
      </c>
      <c r="E50" s="15">
        <f>+[44]Main!$K$2</f>
        <v>20</v>
      </c>
      <c r="F50" s="15">
        <f>+[44]Main!$K$4</f>
        <v>85340</v>
      </c>
      <c r="G50" s="15">
        <f>+[44]Main!$K$6-[44]Main!$K$5</f>
        <v>17932</v>
      </c>
      <c r="H50" s="15">
        <f t="shared" si="5"/>
        <v>103272</v>
      </c>
      <c r="I50" s="6" t="s">
        <v>48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455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5" t="s">
        <v>111</v>
      </c>
      <c r="C51" s="18" t="s">
        <v>112</v>
      </c>
      <c r="D51" s="5" t="s">
        <v>59</v>
      </c>
      <c r="E51" s="1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113</v>
      </c>
      <c r="C52" s="5" t="s">
        <v>114</v>
      </c>
      <c r="D52" s="5" t="s">
        <v>45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117</v>
      </c>
      <c r="C53" s="5" t="s">
        <v>118</v>
      </c>
      <c r="D53" s="5" t="s">
        <v>87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14" t="s">
        <v>2585</v>
      </c>
      <c r="C54" s="5" t="s">
        <v>119</v>
      </c>
      <c r="D54" s="5" t="s">
        <v>1129</v>
      </c>
      <c r="E54" s="15">
        <f>+[45]Main!$J$2</f>
        <v>142.5</v>
      </c>
      <c r="F54" s="15">
        <f>+[45]Main!$J$4*FX!C2</f>
        <v>59264.286524999996</v>
      </c>
      <c r="G54" s="15">
        <f>+([45]Main!$J$6-[45]Main!$J$5)*FX!C2</f>
        <v>-8207.3572199999999</v>
      </c>
      <c r="H54" s="15">
        <f t="shared" ref="H54:H60" si="6">+F54+G54</f>
        <v>51056.929304999998</v>
      </c>
      <c r="I54" s="6" t="s">
        <v>49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28</v>
      </c>
      <c r="C55" s="5" t="s">
        <v>120</v>
      </c>
      <c r="D55" s="5" t="s">
        <v>45</v>
      </c>
      <c r="E55" s="15">
        <f>+[46]Main!$H$2</f>
        <v>119.01</v>
      </c>
      <c r="F55" s="15">
        <f>+[46]Main!$H$4</f>
        <v>83361.643560510012</v>
      </c>
      <c r="G55" s="15">
        <f>+[46]Main!$H$6-[46]Main!$H$5</f>
        <v>19797</v>
      </c>
      <c r="H55" s="15">
        <f t="shared" si="6"/>
        <v>103158.64356051001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 t="s">
        <v>442</v>
      </c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121</v>
      </c>
      <c r="C56" s="5" t="s">
        <v>122</v>
      </c>
      <c r="D56" s="5" t="s">
        <v>45</v>
      </c>
      <c r="E56" s="15">
        <f>+[47]Main!$H$2</f>
        <v>128.30000000000001</v>
      </c>
      <c r="F56" s="15">
        <f>+[47]Main!$H$4</f>
        <v>81338.561412000025</v>
      </c>
      <c r="G56" s="15">
        <f>+[47]Main!$H$6-[47]Main!$H$5</f>
        <v>-9262</v>
      </c>
      <c r="H56" s="15">
        <f t="shared" si="6"/>
        <v>72076.561412000025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453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123</v>
      </c>
      <c r="C57" s="5" t="s">
        <v>124</v>
      </c>
      <c r="D57" s="5" t="s">
        <v>45</v>
      </c>
      <c r="E57" s="15">
        <f>+[48]Main!$I$2</f>
        <v>76.400000000000006</v>
      </c>
      <c r="F57" s="15">
        <f>+[48]Main!$I$4</f>
        <v>74031.600000000006</v>
      </c>
      <c r="G57" s="15">
        <f>+[48]Main!$I$6-[48]Main!$I$5</f>
        <v>1288</v>
      </c>
      <c r="H57" s="15">
        <f t="shared" si="6"/>
        <v>75319.600000000006</v>
      </c>
      <c r="I57" s="6" t="s">
        <v>2586</v>
      </c>
      <c r="J57" s="16">
        <v>45958</v>
      </c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125</v>
      </c>
      <c r="C58" s="5" t="s">
        <v>126</v>
      </c>
      <c r="D58" s="5" t="s">
        <v>45</v>
      </c>
      <c r="E58" s="15">
        <f>+[49]Main!$I$2</f>
        <v>512.14</v>
      </c>
      <c r="F58" s="15">
        <f>+[49]Main!$I$4</f>
        <v>79187.125722640005</v>
      </c>
      <c r="G58" s="15">
        <f>+[49]Main!$I$6-[49]Main!$I$5</f>
        <v>-3795.1490000000003</v>
      </c>
      <c r="H58" s="15">
        <f t="shared" si="6"/>
        <v>75391.97672264</v>
      </c>
      <c r="I58" s="6" t="s">
        <v>710</v>
      </c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127</v>
      </c>
      <c r="C59" s="5" t="s">
        <v>129</v>
      </c>
      <c r="D59" s="5" t="s">
        <v>128</v>
      </c>
      <c r="E59" s="15">
        <f>+[50]Main!$H$2</f>
        <v>627.5</v>
      </c>
      <c r="F59" s="15">
        <f>+[50]Main!$H$5*FX!C4</f>
        <v>131483.55070995001</v>
      </c>
      <c r="G59" s="15">
        <f>+([50]Main!$H$7-[50]Main!$H$6)*FX!C4</f>
        <v>-8510.880000000001</v>
      </c>
      <c r="H59" s="15">
        <f t="shared" si="6"/>
        <v>122972.67070995001</v>
      </c>
      <c r="I59" s="6" t="s">
        <v>2586</v>
      </c>
      <c r="J59" s="16"/>
      <c r="K59" s="5"/>
      <c r="L59" s="5"/>
      <c r="M59" s="5"/>
      <c r="N59" s="5"/>
      <c r="O59" s="5"/>
      <c r="P59" s="5"/>
      <c r="Q59" s="5"/>
      <c r="R59" s="5"/>
      <c r="S59" s="5" t="s">
        <v>451</v>
      </c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131</v>
      </c>
      <c r="C60" s="5" t="s">
        <v>132</v>
      </c>
      <c r="D60" s="5" t="s">
        <v>45</v>
      </c>
      <c r="E60" s="15">
        <f>+[51]Main!$J$2</f>
        <v>304.60000000000002</v>
      </c>
      <c r="F60" s="15">
        <f>+[51]Main!$J$4</f>
        <v>83168.593200000003</v>
      </c>
      <c r="G60" s="15">
        <f>+[51]Main!$J$6-[51]Main!$J$5</f>
        <v>-300.51499999999987</v>
      </c>
      <c r="H60" s="15">
        <f t="shared" si="6"/>
        <v>82868.078200000004</v>
      </c>
      <c r="I60" s="6" t="s">
        <v>710</v>
      </c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5" t="s">
        <v>133</v>
      </c>
      <c r="C61" s="5" t="s">
        <v>134</v>
      </c>
      <c r="D61" s="5" t="s">
        <v>107</v>
      </c>
      <c r="E61" s="15"/>
      <c r="F61" s="15"/>
      <c r="G61" s="15"/>
      <c r="H61" s="1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14" t="s">
        <v>135</v>
      </c>
      <c r="C62" s="5" t="s">
        <v>136</v>
      </c>
      <c r="D62" s="5" t="s">
        <v>45</v>
      </c>
      <c r="E62" s="15">
        <f>+[52]Main!$I$2</f>
        <v>421.65</v>
      </c>
      <c r="F62" s="15">
        <f>+[52]Main!$I$4</f>
        <v>103857.20686979999</v>
      </c>
      <c r="G62" s="15">
        <f>+[52]Main!$I$6-[52]Main!$I$5</f>
        <v>-3516.7139999999995</v>
      </c>
      <c r="H62" s="15">
        <f>+F62+G62</f>
        <v>100340.4928698</v>
      </c>
      <c r="I62" s="6" t="s">
        <v>49</v>
      </c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770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10935</v>
      </c>
      <c r="F65" s="15">
        <f>+[53]Main!$I$4*FX!C6</f>
        <v>92307.638475</v>
      </c>
      <c r="G65" s="15">
        <f>+([53]Main!$I$6-[53]Main!$I$5)*FX!C6</f>
        <v>-9648.2749999999996</v>
      </c>
      <c r="H65" s="15">
        <f>+F65+G65</f>
        <v>82659.363475000006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770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710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1129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172.39</v>
      </c>
      <c r="F72" s="15">
        <f>+[55]Main!$G$5</f>
        <v>71610.157641209997</v>
      </c>
      <c r="G72" s="15">
        <f>+[55]Main!$G$7-[55]Main!$G$6</f>
        <v>-4078</v>
      </c>
      <c r="H72" s="15">
        <f>F72+G72</f>
        <v>67532.157641209997</v>
      </c>
      <c r="I72" s="6" t="s">
        <v>49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450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710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5" t="s">
        <v>185</v>
      </c>
      <c r="C86" s="5" t="s">
        <v>187</v>
      </c>
      <c r="D86" s="5" t="s">
        <v>186</v>
      </c>
      <c r="E86" s="15"/>
      <c r="F86" s="15"/>
      <c r="G86" s="15"/>
      <c r="H86" s="15"/>
      <c r="I86" s="6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14" t="s">
        <v>443</v>
      </c>
      <c r="C87" s="5" t="s">
        <v>222</v>
      </c>
      <c r="D87" s="5" t="s">
        <v>45</v>
      </c>
      <c r="E87" s="15">
        <f>+[61]Main!$I$2</f>
        <v>337.5</v>
      </c>
      <c r="F87" s="15">
        <f>+[61]Main!$I$4</f>
        <v>78536.25</v>
      </c>
      <c r="G87" s="15">
        <f>+[61]Main!$I$6-[61]Main!$I$5</f>
        <v>-42129.569890000006</v>
      </c>
      <c r="H87" s="15">
        <f>+F87+G87</f>
        <v>36406.680109999994</v>
      </c>
      <c r="I87" s="6" t="s">
        <v>430</v>
      </c>
      <c r="J87" s="5"/>
      <c r="K87" s="5"/>
      <c r="L87" s="5"/>
      <c r="M87" s="5"/>
      <c r="N87" s="5"/>
      <c r="O87" s="5"/>
      <c r="P87" s="5"/>
      <c r="Q87" s="5"/>
      <c r="R87" s="5"/>
      <c r="S87" s="5" t="s">
        <v>449</v>
      </c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5" t="s">
        <v>188</v>
      </c>
      <c r="C88" s="5" t="s">
        <v>189</v>
      </c>
      <c r="D88" s="5" t="s">
        <v>45</v>
      </c>
      <c r="E88" s="15"/>
      <c r="F88" s="15"/>
      <c r="G88" s="15"/>
      <c r="H88" s="15"/>
      <c r="I88" s="6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190</v>
      </c>
      <c r="C89" s="5" t="s">
        <v>191</v>
      </c>
      <c r="D89" s="5" t="s">
        <v>770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14" t="s">
        <v>192</v>
      </c>
      <c r="C90" s="5" t="s">
        <v>193</v>
      </c>
      <c r="D90" s="5" t="s">
        <v>45</v>
      </c>
      <c r="E90" s="15">
        <f>+[62]Main!$H$2</f>
        <v>276.01</v>
      </c>
      <c r="F90" s="15">
        <f>+[62]Main!$H$4</f>
        <v>69099.22577243</v>
      </c>
      <c r="G90" s="15">
        <f>+[62]Main!$H$6-[62]Main!$H$5</f>
        <v>-3259.3870999999999</v>
      </c>
      <c r="H90" s="15">
        <f>+F90+G90</f>
        <v>65839.838672429993</v>
      </c>
      <c r="I90" s="6" t="s">
        <v>49</v>
      </c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194</v>
      </c>
      <c r="C91" s="5" t="s">
        <v>709</v>
      </c>
      <c r="D91" s="5" t="s">
        <v>45</v>
      </c>
      <c r="E91" s="15">
        <f>+[63]Main!$J$2</f>
        <v>53.86</v>
      </c>
      <c r="F91" s="15">
        <f>+[63]Main!$J$4</f>
        <v>33365.192799999997</v>
      </c>
      <c r="G91" s="15">
        <f>+[63]Main!$J$6-[63]Main!$J$5</f>
        <v>-2373.2370000000001</v>
      </c>
      <c r="H91" s="15">
        <f>+F91+G91</f>
        <v>30991.955799999996</v>
      </c>
      <c r="I91" s="6" t="s">
        <v>430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5" t="s">
        <v>195</v>
      </c>
      <c r="C92" s="5" t="s">
        <v>197</v>
      </c>
      <c r="D92" s="5" t="s">
        <v>196</v>
      </c>
      <c r="E92" s="15"/>
      <c r="F92" s="15"/>
      <c r="G92" s="15"/>
      <c r="H92" s="15"/>
      <c r="I92" s="6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198</v>
      </c>
      <c r="C93" s="5" t="s">
        <v>199</v>
      </c>
      <c r="D93" s="5" t="s">
        <v>46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200</v>
      </c>
      <c r="C94" s="5" t="s">
        <v>201</v>
      </c>
      <c r="D94" s="5" t="s">
        <v>45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202</v>
      </c>
      <c r="C95" s="5" t="s">
        <v>203</v>
      </c>
      <c r="D95" s="5" t="s">
        <v>770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14" t="s">
        <v>204</v>
      </c>
      <c r="C96" s="5" t="s">
        <v>205</v>
      </c>
      <c r="D96" s="5" t="s">
        <v>45</v>
      </c>
      <c r="E96" s="15">
        <f>+[64]Main!$I$2</f>
        <v>173.3</v>
      </c>
      <c r="F96" s="15">
        <f>+[64]Main!$I$4</f>
        <v>43360.925609900005</v>
      </c>
      <c r="G96" s="15">
        <f>+[64]Main!$I$6-[64]Main!$I$5</f>
        <v>-1230</v>
      </c>
      <c r="H96" s="15">
        <f>+F96+G96</f>
        <v>42130.925609900005</v>
      </c>
      <c r="I96" s="6" t="s">
        <v>431</v>
      </c>
      <c r="J96" s="5"/>
      <c r="K96" s="5"/>
      <c r="L96" s="5"/>
      <c r="M96" s="5"/>
      <c r="N96" s="5"/>
      <c r="O96" s="5"/>
      <c r="P96" s="5"/>
      <c r="Q96" s="5"/>
      <c r="R96" s="5"/>
      <c r="S96" s="5" t="s">
        <v>447</v>
      </c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5" t="s">
        <v>206</v>
      </c>
      <c r="C97" s="5" t="s">
        <v>207</v>
      </c>
      <c r="D97" s="5" t="s">
        <v>45</v>
      </c>
      <c r="E97" s="15"/>
      <c r="F97" s="15"/>
      <c r="G97" s="15"/>
      <c r="H97" s="15"/>
      <c r="I97" s="6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208</v>
      </c>
      <c r="C98" s="5" t="s">
        <v>209</v>
      </c>
      <c r="D98" s="5" t="s">
        <v>87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210</v>
      </c>
      <c r="C99" s="18" t="s">
        <v>211</v>
      </c>
      <c r="D99" s="5" t="s">
        <v>770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212</v>
      </c>
      <c r="C100" s="5" t="s">
        <v>213</v>
      </c>
      <c r="D100" s="5" t="s">
        <v>87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214</v>
      </c>
      <c r="C101" s="5" t="s">
        <v>215</v>
      </c>
      <c r="D101" s="5" t="s">
        <v>45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14" t="s">
        <v>216</v>
      </c>
      <c r="C102" s="5" t="s">
        <v>217</v>
      </c>
      <c r="D102" s="5" t="s">
        <v>45</v>
      </c>
      <c r="E102" s="15">
        <f>+[65]Main!$I$2</f>
        <v>28.82</v>
      </c>
      <c r="F102" s="15">
        <f>+[65]Main!$I$4</f>
        <v>27027.330751519999</v>
      </c>
      <c r="G102" s="15">
        <f>+[65]Main!$I$6-[65]Main!$I$5</f>
        <v>6416</v>
      </c>
      <c r="H102" s="15">
        <f>+F102+G102</f>
        <v>33443.330751519999</v>
      </c>
      <c r="I102" s="6" t="s">
        <v>430</v>
      </c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5" t="s">
        <v>218</v>
      </c>
      <c r="C103" s="5" t="s">
        <v>219</v>
      </c>
      <c r="D103" s="5" t="s">
        <v>173</v>
      </c>
      <c r="E103" s="15"/>
      <c r="F103" s="15"/>
      <c r="G103" s="15"/>
      <c r="H103" s="15"/>
      <c r="I103" s="6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220</v>
      </c>
      <c r="C104" s="5" t="s">
        <v>221</v>
      </c>
      <c r="D104" s="5" t="s">
        <v>770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223</v>
      </c>
      <c r="C105" s="5" t="s">
        <v>224</v>
      </c>
      <c r="D105" s="5" t="s">
        <v>1129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14" t="s">
        <v>225</v>
      </c>
      <c r="C106" s="5" t="s">
        <v>226</v>
      </c>
      <c r="D106" s="5" t="s">
        <v>45</v>
      </c>
      <c r="E106" s="15">
        <f>+[66]Main!$H$2</f>
        <v>93.14</v>
      </c>
      <c r="F106" s="15">
        <f>+[66]Main!$H$4</f>
        <v>42564.98</v>
      </c>
      <c r="G106" s="15">
        <f>+[66]Main!$H$6-[66]Main!$H$5</f>
        <v>2998</v>
      </c>
      <c r="H106" s="15">
        <f>+F106+G106</f>
        <v>45562.98</v>
      </c>
      <c r="I106" s="6" t="s">
        <v>2586</v>
      </c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5" t="s">
        <v>227</v>
      </c>
      <c r="C107" s="5" t="s">
        <v>228</v>
      </c>
      <c r="D107" s="5" t="s">
        <v>46</v>
      </c>
      <c r="E107" s="15"/>
      <c r="F107" s="15"/>
      <c r="G107" s="15"/>
      <c r="H107" s="15"/>
      <c r="I107" s="6"/>
      <c r="J107" s="5"/>
      <c r="K107" s="5"/>
      <c r="L107" s="5"/>
      <c r="M107" s="5"/>
      <c r="N107" s="5"/>
      <c r="O107" s="5"/>
      <c r="P107" s="5"/>
      <c r="Q107" s="5"/>
      <c r="R107" s="5"/>
      <c r="S107" s="5" t="s">
        <v>448</v>
      </c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229</v>
      </c>
      <c r="C108" s="5" t="s">
        <v>230</v>
      </c>
      <c r="D108" s="5" t="s">
        <v>87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195</v>
      </c>
      <c r="C109" s="5" t="s">
        <v>231</v>
      </c>
      <c r="D109" s="5" t="s">
        <v>1129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232</v>
      </c>
      <c r="C110" s="5" t="s">
        <v>234</v>
      </c>
      <c r="D110" s="5" t="s">
        <v>233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235</v>
      </c>
      <c r="C111" s="5" t="s">
        <v>236</v>
      </c>
      <c r="D111" s="5" t="s">
        <v>186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237</v>
      </c>
      <c r="C112" s="5" t="s">
        <v>238</v>
      </c>
      <c r="D112" s="5" t="s">
        <v>45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239</v>
      </c>
      <c r="C113" s="5" t="s">
        <v>240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241</v>
      </c>
      <c r="C114" s="5" t="s">
        <v>242</v>
      </c>
      <c r="D114" s="5" t="s">
        <v>87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243</v>
      </c>
      <c r="C115" s="5" t="s">
        <v>244</v>
      </c>
      <c r="D115" s="5" t="s">
        <v>245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246</v>
      </c>
      <c r="C116" s="5" t="s">
        <v>247</v>
      </c>
      <c r="D116" s="5" t="s">
        <v>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248</v>
      </c>
      <c r="C117" s="5" t="s">
        <v>249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250</v>
      </c>
      <c r="C118" s="5" t="s">
        <v>251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252</v>
      </c>
      <c r="C119" s="5" t="s">
        <v>253</v>
      </c>
      <c r="D119" s="5" t="s">
        <v>173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14" t="s">
        <v>257</v>
      </c>
      <c r="C120" s="5" t="s">
        <v>254</v>
      </c>
      <c r="D120" s="5" t="s">
        <v>45</v>
      </c>
      <c r="E120" s="15">
        <f>+[67]Main!$I$2</f>
        <v>194.53</v>
      </c>
      <c r="F120" s="15">
        <f>+[67]Main!$I$4</f>
        <v>67601.194415930004</v>
      </c>
      <c r="G120" s="15">
        <f>+[67]Main!$I$6-[67]Main!$I$5</f>
        <v>-204.459</v>
      </c>
      <c r="H120" s="15">
        <f>+F120+G120</f>
        <v>67396.735415930001</v>
      </c>
      <c r="I120" s="6" t="s">
        <v>710</v>
      </c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255</v>
      </c>
      <c r="C121" s="5" t="s">
        <v>256</v>
      </c>
      <c r="D121" s="5" t="s">
        <v>45</v>
      </c>
      <c r="E121" s="15">
        <f>+[68]Main!$L$3</f>
        <v>228.01</v>
      </c>
      <c r="F121" s="15">
        <f>+[68]Main!$L$5</f>
        <v>42061.053038120001</v>
      </c>
      <c r="G121" s="15">
        <f>+[68]Main!$L$7-[68]Main!$L$6</f>
        <v>1030</v>
      </c>
      <c r="H121" s="15">
        <f>+F121+G121</f>
        <v>43091.053038120001</v>
      </c>
      <c r="I121" s="6" t="s">
        <v>429</v>
      </c>
      <c r="J121" s="5"/>
      <c r="K121" s="5"/>
      <c r="L121" s="5"/>
      <c r="M121" s="5"/>
      <c r="N121" s="5"/>
      <c r="O121" s="5"/>
      <c r="P121" s="5"/>
      <c r="Q121" s="5"/>
      <c r="R121" s="5"/>
      <c r="S121" s="5" t="s">
        <v>447</v>
      </c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5" t="s">
        <v>258</v>
      </c>
      <c r="C122" s="5" t="s">
        <v>259</v>
      </c>
      <c r="D122" s="5" t="s">
        <v>87</v>
      </c>
      <c r="E122" s="15"/>
      <c r="F122" s="15"/>
      <c r="G122" s="15"/>
      <c r="H122" s="15"/>
      <c r="I122" s="6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260</v>
      </c>
      <c r="C123" s="5" t="s">
        <v>261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262</v>
      </c>
      <c r="C124" s="5" t="s">
        <v>263</v>
      </c>
      <c r="D124" s="5" t="s">
        <v>45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264</v>
      </c>
      <c r="C125" s="5" t="s">
        <v>265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266</v>
      </c>
      <c r="C126" s="5" t="s">
        <v>267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268</v>
      </c>
      <c r="C127" s="5" t="s">
        <v>269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271</v>
      </c>
      <c r="C128" s="5" t="s">
        <v>270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272</v>
      </c>
      <c r="C129" s="5" t="s">
        <v>273</v>
      </c>
      <c r="D129" s="5" t="s">
        <v>128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5" t="s">
        <v>274</v>
      </c>
      <c r="C130" s="5" t="s">
        <v>275</v>
      </c>
      <c r="D130" s="5" t="s">
        <v>45</v>
      </c>
      <c r="E130" s="15"/>
      <c r="F130" s="15"/>
      <c r="G130" s="15"/>
      <c r="H130" s="15"/>
      <c r="I130" s="6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14" t="s">
        <v>276</v>
      </c>
      <c r="C131" s="5" t="s">
        <v>277</v>
      </c>
      <c r="D131" s="5" t="s">
        <v>278</v>
      </c>
      <c r="E131" s="15">
        <f>+[69]Main!$J$2</f>
        <v>4.42</v>
      </c>
      <c r="F131" s="15">
        <f>+[69]Main!$J$4*FX!C4</f>
        <v>25273.325527398003</v>
      </c>
      <c r="G131" s="15">
        <f>+([69]Main!$J$6-[69]Main!$J$5)*FX!C4</f>
        <v>-2129.7600000000002</v>
      </c>
      <c r="H131" s="15">
        <f>+F131+G131</f>
        <v>23143.565527398001</v>
      </c>
      <c r="I131" s="6" t="s">
        <v>710</v>
      </c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279</v>
      </c>
      <c r="C132" s="5" t="s">
        <v>280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5" t="s">
        <v>281</v>
      </c>
      <c r="C133" s="5" t="s">
        <v>283</v>
      </c>
      <c r="D133" s="5" t="s">
        <v>282</v>
      </c>
      <c r="E133" s="15"/>
      <c r="F133" s="15"/>
      <c r="G133" s="15"/>
      <c r="H133" s="15"/>
      <c r="I133" s="6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285</v>
      </c>
      <c r="C134" s="5" t="s">
        <v>284</v>
      </c>
      <c r="D134" s="5" t="s">
        <v>770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286</v>
      </c>
      <c r="C135" s="5" t="s">
        <v>287</v>
      </c>
      <c r="D135" s="5" t="s">
        <v>45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288</v>
      </c>
      <c r="C136" s="5" t="s">
        <v>289</v>
      </c>
      <c r="D136" s="5" t="s">
        <v>45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290</v>
      </c>
      <c r="C137" s="5" t="s">
        <v>291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292</v>
      </c>
      <c r="C138" s="5" t="s">
        <v>293</v>
      </c>
      <c r="D138" s="5" t="s">
        <v>1129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295</v>
      </c>
      <c r="C139" s="5" t="s">
        <v>296</v>
      </c>
      <c r="D139" s="5" t="s">
        <v>294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299</v>
      </c>
      <c r="C140" s="5" t="s">
        <v>299</v>
      </c>
      <c r="D140" s="5" t="s">
        <v>45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297</v>
      </c>
      <c r="C141" s="5" t="s">
        <v>298</v>
      </c>
      <c r="D141" s="5" t="s">
        <v>45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300</v>
      </c>
      <c r="C142" s="5" t="s">
        <v>302</v>
      </c>
      <c r="D142" s="5" t="s">
        <v>301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303</v>
      </c>
      <c r="C143" s="5" t="s">
        <v>304</v>
      </c>
      <c r="D143" s="5" t="s">
        <v>1129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305</v>
      </c>
      <c r="C144" s="5" t="s">
        <v>306</v>
      </c>
      <c r="D144" s="5" t="s">
        <v>87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14" t="s">
        <v>307</v>
      </c>
      <c r="C145" s="5" t="s">
        <v>308</v>
      </c>
      <c r="D145" s="5" t="s">
        <v>45</v>
      </c>
      <c r="E145" s="15">
        <f>+[70]Main!$J$2</f>
        <v>117.07</v>
      </c>
      <c r="F145" s="15">
        <f>+[70]Main!$J$4</f>
        <v>104037.19313750998</v>
      </c>
      <c r="G145" s="15">
        <f>+[70]Main!$J$6-[70]Main!$J$5</f>
        <v>-4332</v>
      </c>
      <c r="H145" s="15">
        <f>+F145+G145</f>
        <v>99705.193137509981</v>
      </c>
      <c r="I145" s="6" t="s">
        <v>2586</v>
      </c>
      <c r="J145" s="5"/>
      <c r="K145" s="5"/>
      <c r="L145" s="5"/>
      <c r="M145" s="5"/>
      <c r="N145" s="5"/>
      <c r="O145" s="5"/>
      <c r="P145" s="5"/>
      <c r="Q145" s="5"/>
      <c r="R145" s="5"/>
      <c r="S145" s="5" t="s">
        <v>446</v>
      </c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14" t="s">
        <v>309</v>
      </c>
      <c r="C146" s="5" t="s">
        <v>310</v>
      </c>
      <c r="D146" s="5" t="s">
        <v>45</v>
      </c>
      <c r="E146" s="15">
        <f>+[71]Main!$I$2</f>
        <v>195.81</v>
      </c>
      <c r="F146" s="15">
        <f>+[71]Main!$I$4</f>
        <v>25231.503659940001</v>
      </c>
      <c r="G146" s="15">
        <f>+[71]Main!$I$6-[71]Main!$I$5</f>
        <v>392</v>
      </c>
      <c r="H146" s="15">
        <f>+F146+G146</f>
        <v>25623.503659940001</v>
      </c>
      <c r="I146" s="6" t="s">
        <v>430</v>
      </c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5" t="s">
        <v>311</v>
      </c>
      <c r="C147" s="5" t="s">
        <v>312</v>
      </c>
      <c r="D147" s="5" t="s">
        <v>45</v>
      </c>
      <c r="E147" s="15"/>
      <c r="F147" s="15"/>
      <c r="G147" s="15"/>
      <c r="H147" s="15"/>
      <c r="I147" s="6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313</v>
      </c>
      <c r="C148" s="18" t="s">
        <v>314</v>
      </c>
      <c r="D148" s="5" t="s">
        <v>59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315</v>
      </c>
      <c r="C149" s="5" t="s">
        <v>316</v>
      </c>
      <c r="D149" s="5" t="s">
        <v>45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317</v>
      </c>
      <c r="C150" s="5" t="s">
        <v>318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320</v>
      </c>
      <c r="C151" s="5" t="s">
        <v>319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14" t="s">
        <v>321</v>
      </c>
      <c r="C152" s="18" t="s">
        <v>323</v>
      </c>
      <c r="D152" s="5" t="s">
        <v>322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324</v>
      </c>
      <c r="C153" s="5" t="s">
        <v>325</v>
      </c>
      <c r="D153" s="5" t="s">
        <v>45</v>
      </c>
      <c r="E153" s="15">
        <f>+[72]Main!$I$2</f>
        <v>462.43</v>
      </c>
      <c r="F153" s="15">
        <f>+[72]Main!$I$4</f>
        <v>17586.234171780001</v>
      </c>
      <c r="G153" s="15">
        <f>+[72]Main!$I$6-[72]Main!$I$5</f>
        <v>1000.3120000000001</v>
      </c>
      <c r="H153" s="15">
        <f>+F153+G153</f>
        <v>18586.546171780003</v>
      </c>
      <c r="I153" s="6" t="s">
        <v>429</v>
      </c>
      <c r="J153" s="5"/>
      <c r="K153" s="5"/>
      <c r="L153" s="5"/>
      <c r="M153" s="5"/>
      <c r="N153" s="5"/>
      <c r="O153" s="5"/>
      <c r="P153" s="5"/>
      <c r="Q153" s="5"/>
      <c r="R153" s="5"/>
      <c r="S153" s="5" t="s">
        <v>444</v>
      </c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327</v>
      </c>
      <c r="C154" s="5" t="s">
        <v>326</v>
      </c>
      <c r="D154" s="5" t="s">
        <v>45</v>
      </c>
      <c r="E154" s="15">
        <f>+[73]Main!$I$2</f>
        <v>7.44</v>
      </c>
      <c r="F154" s="15">
        <f>+[73]Main!$I$4</f>
        <v>12572.354291040001</v>
      </c>
      <c r="G154" s="15">
        <f>+[73]Main!$I$6-[73]Main!$I$5</f>
        <v>682.92700000000013</v>
      </c>
      <c r="H154" s="15">
        <f>+F154+G154</f>
        <v>13255.281291040001</v>
      </c>
      <c r="I154" s="6" t="s">
        <v>2586</v>
      </c>
      <c r="J154" s="16">
        <v>45958</v>
      </c>
      <c r="K154" s="5"/>
      <c r="L154" s="5"/>
      <c r="M154" s="5"/>
      <c r="N154" s="5"/>
      <c r="O154" s="5"/>
      <c r="P154" s="5"/>
      <c r="Q154" s="5"/>
      <c r="R154" s="5"/>
      <c r="S154" s="5" t="s">
        <v>445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5" t="s">
        <v>329</v>
      </c>
      <c r="C155" s="5" t="s">
        <v>328</v>
      </c>
      <c r="D155" s="5" t="s">
        <v>45</v>
      </c>
      <c r="E155" s="15"/>
      <c r="F155" s="15"/>
      <c r="G155" s="15"/>
      <c r="H155" s="15"/>
      <c r="I155" s="6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330</v>
      </c>
      <c r="C156" s="5" t="s">
        <v>331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332</v>
      </c>
      <c r="C157" s="5" t="s">
        <v>333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334</v>
      </c>
      <c r="C158" s="5" t="s">
        <v>335</v>
      </c>
      <c r="D158" s="5" t="s">
        <v>87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336</v>
      </c>
      <c r="C159" s="5" t="s">
        <v>337</v>
      </c>
      <c r="D159" s="5" t="s">
        <v>45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338</v>
      </c>
      <c r="C160" s="5" t="s">
        <v>339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340</v>
      </c>
      <c r="C161" s="5" t="s">
        <v>341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342</v>
      </c>
      <c r="C162" s="5" t="s">
        <v>343</v>
      </c>
      <c r="D162" s="5" t="s">
        <v>186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344</v>
      </c>
      <c r="C163" s="5" t="s">
        <v>345</v>
      </c>
      <c r="D163" s="5" t="s">
        <v>45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346</v>
      </c>
      <c r="C164" s="5" t="s">
        <v>347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348</v>
      </c>
      <c r="C165" s="5" t="s">
        <v>349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350</v>
      </c>
      <c r="C166" s="5" t="s">
        <v>351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353</v>
      </c>
      <c r="C167" s="5" t="s">
        <v>352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354</v>
      </c>
      <c r="C168" s="5" t="s">
        <v>355</v>
      </c>
      <c r="D168" s="5" t="s">
        <v>161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356</v>
      </c>
      <c r="C169" s="5" t="s">
        <v>357</v>
      </c>
      <c r="D169" s="5" t="s">
        <v>45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358</v>
      </c>
      <c r="C170" s="5" t="s">
        <v>359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360</v>
      </c>
      <c r="C171" s="5" t="s">
        <v>361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362</v>
      </c>
      <c r="C172" s="5" t="s">
        <v>363</v>
      </c>
      <c r="D172" s="5" t="s">
        <v>322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364</v>
      </c>
      <c r="C173" s="5" t="s">
        <v>365</v>
      </c>
      <c r="D173" s="5" t="s">
        <v>45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366</v>
      </c>
      <c r="C174" s="5" t="s">
        <v>367</v>
      </c>
      <c r="D174" s="5" t="s">
        <v>770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368</v>
      </c>
      <c r="C175" s="5" t="s">
        <v>369</v>
      </c>
      <c r="D175" s="5" t="s">
        <v>87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14" t="s">
        <v>371</v>
      </c>
      <c r="C176" s="5" t="s">
        <v>370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5" t="s">
        <v>372</v>
      </c>
      <c r="C177" s="5" t="s">
        <v>373</v>
      </c>
      <c r="D177" s="5" t="s">
        <v>770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374</v>
      </c>
      <c r="C178" s="5" t="s">
        <v>375</v>
      </c>
      <c r="D178" s="5" t="s">
        <v>45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376</v>
      </c>
      <c r="C179" s="5" t="s">
        <v>377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378</v>
      </c>
      <c r="C180" s="5" t="s">
        <v>379</v>
      </c>
      <c r="D180" s="5" t="s">
        <v>87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380</v>
      </c>
      <c r="C181" s="5" t="s">
        <v>381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433</v>
      </c>
      <c r="C182" s="5" t="s">
        <v>382</v>
      </c>
      <c r="D182" s="5" t="s">
        <v>301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383</v>
      </c>
      <c r="C183" s="5" t="s">
        <v>384</v>
      </c>
      <c r="D183" s="5" t="s">
        <v>1129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385</v>
      </c>
      <c r="C184" s="5" t="s">
        <v>386</v>
      </c>
      <c r="D184" s="5" t="s">
        <v>173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387</v>
      </c>
      <c r="C185" s="18" t="s">
        <v>388</v>
      </c>
      <c r="D185" s="5" t="s">
        <v>59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389</v>
      </c>
      <c r="C186" s="5" t="s">
        <v>390</v>
      </c>
      <c r="D186" s="5" t="s">
        <v>84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391</v>
      </c>
      <c r="C187" s="5" t="s">
        <v>392</v>
      </c>
      <c r="D187" s="5" t="s">
        <v>45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393</v>
      </c>
      <c r="C188" s="5" t="s">
        <v>394</v>
      </c>
      <c r="D188" s="5" t="s">
        <v>87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395</v>
      </c>
      <c r="C189" s="5" t="s">
        <v>396</v>
      </c>
      <c r="D189" s="5" t="s">
        <v>45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397</v>
      </c>
      <c r="C190" s="5" t="s">
        <v>399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400</v>
      </c>
      <c r="C191" s="5" t="s">
        <v>401</v>
      </c>
      <c r="D191" s="5" t="s">
        <v>398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402</v>
      </c>
      <c r="C192" s="18" t="s">
        <v>403</v>
      </c>
      <c r="D192" s="5" t="s">
        <v>322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404</v>
      </c>
      <c r="C193" s="5" t="s">
        <v>405</v>
      </c>
      <c r="D193" s="5" t="s">
        <v>186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406</v>
      </c>
      <c r="C194" s="5" t="s">
        <v>407</v>
      </c>
      <c r="D194" s="5" t="s">
        <v>45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408</v>
      </c>
      <c r="C195" s="5" t="s">
        <v>409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410</v>
      </c>
      <c r="C196" s="5" t="s">
        <v>411</v>
      </c>
      <c r="D196" s="5" t="s">
        <v>301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412</v>
      </c>
      <c r="C197" s="5" t="s">
        <v>413</v>
      </c>
      <c r="D197" s="5" t="s">
        <v>45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416</v>
      </c>
      <c r="C198" s="5" t="s">
        <v>415</v>
      </c>
      <c r="D198" s="5" t="s">
        <v>47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417</v>
      </c>
      <c r="C199" s="18" t="s">
        <v>418</v>
      </c>
      <c r="D199" s="5" t="s">
        <v>59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419</v>
      </c>
      <c r="C200" s="5" t="s">
        <v>420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414</v>
      </c>
      <c r="C201" s="5" t="s">
        <v>421</v>
      </c>
      <c r="D201" s="5" t="s">
        <v>47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422</v>
      </c>
      <c r="C202" s="5" t="s">
        <v>423</v>
      </c>
      <c r="D202" s="5" t="s">
        <v>45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14" t="s">
        <v>424</v>
      </c>
      <c r="C203" s="5" t="s">
        <v>425</v>
      </c>
      <c r="D203" s="5" t="s">
        <v>45</v>
      </c>
      <c r="E203" s="15">
        <f>+[74]Main!$I$2</f>
        <v>215</v>
      </c>
      <c r="F203" s="15">
        <f>+[74]Main!$I$4</f>
        <v>40238.578914999998</v>
      </c>
      <c r="G203" s="15">
        <f>+[74]Main!$I$6-[74]Main!$I$5</f>
        <v>-2059.9409999999998</v>
      </c>
      <c r="H203" s="15">
        <f>+F203+G203</f>
        <v>38178.637914999999</v>
      </c>
      <c r="I203" s="6" t="s">
        <v>2586</v>
      </c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463</v>
      </c>
      <c r="C204" s="5" t="s">
        <v>464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2586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465</v>
      </c>
      <c r="C205" s="5" t="s">
        <v>466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467</v>
      </c>
      <c r="C206" s="5" t="s">
        <v>468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469</v>
      </c>
      <c r="C207" s="5" t="s">
        <v>470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5" t="s">
        <v>471</v>
      </c>
      <c r="C208" s="5" t="s">
        <v>472</v>
      </c>
      <c r="D208" s="5" t="s">
        <v>1129</v>
      </c>
      <c r="E208" s="15"/>
      <c r="F208" s="15"/>
      <c r="G208" s="15"/>
      <c r="H208" s="15"/>
      <c r="I208" s="6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473</v>
      </c>
      <c r="C209" s="5" t="s">
        <v>474</v>
      </c>
      <c r="D209" s="5" t="s">
        <v>45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475</v>
      </c>
      <c r="C210" s="5" t="s">
        <v>476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477</v>
      </c>
      <c r="C211" s="5" t="s">
        <v>478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480</v>
      </c>
      <c r="C212" s="5" t="s">
        <v>479</v>
      </c>
      <c r="D212" s="5" t="s">
        <v>1129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481</v>
      </c>
      <c r="C213" s="5" t="s">
        <v>482</v>
      </c>
      <c r="D213" s="5" t="s">
        <v>45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483</v>
      </c>
      <c r="C214" s="5" t="s">
        <v>484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485</v>
      </c>
      <c r="C215" s="5" t="s">
        <v>486</v>
      </c>
      <c r="D215" s="5" t="s">
        <v>245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487</v>
      </c>
      <c r="C216" s="5" t="s">
        <v>488</v>
      </c>
      <c r="D216" s="5" t="s">
        <v>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489</v>
      </c>
      <c r="C217" s="5" t="s">
        <v>490</v>
      </c>
      <c r="D217" s="5" t="s">
        <v>770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491</v>
      </c>
      <c r="C218" s="5" t="s">
        <v>492</v>
      </c>
      <c r="D218" s="5" t="s">
        <v>45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493</v>
      </c>
      <c r="C219" s="5" t="s">
        <v>494</v>
      </c>
      <c r="D219" s="5" t="s">
        <v>301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495</v>
      </c>
      <c r="C220" s="5" t="s">
        <v>496</v>
      </c>
      <c r="D220" s="5" t="s">
        <v>45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497</v>
      </c>
      <c r="C221" s="5" t="s">
        <v>498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499</v>
      </c>
      <c r="C222" s="5" t="s">
        <v>500</v>
      </c>
      <c r="D222" s="5" t="s">
        <v>46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501</v>
      </c>
      <c r="C223" s="5" t="s">
        <v>501</v>
      </c>
      <c r="D223" s="5" t="s">
        <v>301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502</v>
      </c>
      <c r="C224" s="5" t="s">
        <v>503</v>
      </c>
      <c r="D224" s="5" t="s">
        <v>87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504</v>
      </c>
      <c r="C225" s="5" t="s">
        <v>505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506</v>
      </c>
      <c r="C226" s="5" t="s">
        <v>507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508</v>
      </c>
      <c r="C227" s="5" t="s">
        <v>509</v>
      </c>
      <c r="D227" s="5" t="s">
        <v>510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511</v>
      </c>
      <c r="C228" s="5" t="s">
        <v>512</v>
      </c>
      <c r="D228" s="5" t="s">
        <v>513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514</v>
      </c>
      <c r="C229" s="5" t="s">
        <v>515</v>
      </c>
      <c r="D229" s="5" t="s">
        <v>1129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516</v>
      </c>
      <c r="C230" s="5" t="s">
        <v>517</v>
      </c>
      <c r="D230" s="5" t="s">
        <v>45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518</v>
      </c>
      <c r="C231" s="5" t="s">
        <v>519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520</v>
      </c>
      <c r="C232" s="5" t="s">
        <v>521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522</v>
      </c>
      <c r="C233" s="5" t="s">
        <v>523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524</v>
      </c>
      <c r="C234" s="5" t="s">
        <v>525</v>
      </c>
      <c r="D234" s="5" t="s">
        <v>770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526</v>
      </c>
      <c r="C235" s="5" t="s">
        <v>527</v>
      </c>
      <c r="D235" s="5" t="s">
        <v>107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528</v>
      </c>
      <c r="C236" s="5" t="s">
        <v>529</v>
      </c>
      <c r="D236" s="5" t="s">
        <v>770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530</v>
      </c>
      <c r="C237" s="5" t="s">
        <v>531</v>
      </c>
      <c r="D237" s="5" t="s">
        <v>186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532</v>
      </c>
      <c r="C238" s="5" t="s">
        <v>533</v>
      </c>
      <c r="D238" s="5" t="s">
        <v>45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534</v>
      </c>
      <c r="C239" s="5" t="s">
        <v>535</v>
      </c>
      <c r="D239" s="5" t="s">
        <v>107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536</v>
      </c>
      <c r="C240" s="5" t="s">
        <v>537</v>
      </c>
      <c r="D240" s="5" t="s">
        <v>538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539</v>
      </c>
      <c r="C241" s="5" t="s">
        <v>540</v>
      </c>
      <c r="D241" s="5" t="s">
        <v>45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541</v>
      </c>
      <c r="C242" s="5" t="s">
        <v>542</v>
      </c>
      <c r="D242" s="5" t="s">
        <v>87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543</v>
      </c>
      <c r="C243" s="5" t="s">
        <v>544</v>
      </c>
      <c r="D243" s="5" t="s">
        <v>45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545</v>
      </c>
      <c r="C244" s="5" t="s">
        <v>546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547</v>
      </c>
      <c r="C245" s="5" t="s">
        <v>548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549</v>
      </c>
      <c r="C246" s="5" t="s">
        <v>550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14" t="s">
        <v>2587</v>
      </c>
      <c r="C247" s="5" t="s">
        <v>2588</v>
      </c>
      <c r="D247" s="5" t="s">
        <v>301</v>
      </c>
      <c r="E247" s="15">
        <f>+[76]Main!$I$2</f>
        <v>65.7</v>
      </c>
      <c r="F247" s="15">
        <f>+[76]Main!$I$4</f>
        <v>7075.3846356000004</v>
      </c>
      <c r="G247" s="15">
        <f>+[76]Main!$I$6-[76]Main!$I$5</f>
        <v>-640.70899999999995</v>
      </c>
      <c r="H247" s="15">
        <f>+F247+G247</f>
        <v>6434.6756356000005</v>
      </c>
      <c r="I247" s="6" t="s">
        <v>430</v>
      </c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5" t="s">
        <v>551</v>
      </c>
      <c r="C248" s="5" t="s">
        <v>552</v>
      </c>
      <c r="D248" s="5" t="s">
        <v>45</v>
      </c>
      <c r="E248" s="15"/>
      <c r="F248" s="15"/>
      <c r="G248" s="15"/>
      <c r="H248" s="15"/>
      <c r="I248" s="6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553</v>
      </c>
      <c r="C249" s="5" t="s">
        <v>554</v>
      </c>
      <c r="D249" s="5" t="s">
        <v>1129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555</v>
      </c>
      <c r="C250" s="5" t="s">
        <v>556</v>
      </c>
      <c r="D250" s="5" t="s">
        <v>45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557</v>
      </c>
      <c r="C251" s="5" t="s">
        <v>558</v>
      </c>
      <c r="D251" s="5" t="s">
        <v>245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559</v>
      </c>
      <c r="C252" s="5" t="s">
        <v>560</v>
      </c>
      <c r="D252" s="5" t="s">
        <v>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561</v>
      </c>
      <c r="C253" s="5" t="s">
        <v>562</v>
      </c>
      <c r="D253" s="5" t="s">
        <v>107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563</v>
      </c>
      <c r="C254" s="5" t="s">
        <v>564</v>
      </c>
      <c r="D254" s="5" t="s">
        <v>770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565</v>
      </c>
      <c r="C255" s="5" t="s">
        <v>566</v>
      </c>
      <c r="D255" s="5" t="s">
        <v>45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567</v>
      </c>
      <c r="C256" s="5" t="s">
        <v>568</v>
      </c>
      <c r="D256" s="5" t="s">
        <v>1129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569</v>
      </c>
      <c r="C257" s="5" t="s">
        <v>570</v>
      </c>
      <c r="D257" s="5" t="s">
        <v>45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571</v>
      </c>
      <c r="C258" s="5" t="s">
        <v>572</v>
      </c>
      <c r="D258" s="5" t="s">
        <v>107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573</v>
      </c>
      <c r="C259" s="5" t="s">
        <v>574</v>
      </c>
      <c r="D259" s="5" t="s">
        <v>45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575</v>
      </c>
      <c r="C260" s="5" t="s">
        <v>576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577</v>
      </c>
      <c r="C261" s="5" t="s">
        <v>578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579</v>
      </c>
      <c r="C262" s="5" t="s">
        <v>580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581</v>
      </c>
      <c r="C263" s="5" t="s">
        <v>582</v>
      </c>
      <c r="D263" s="5" t="s">
        <v>770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583</v>
      </c>
      <c r="C264" s="5" t="s">
        <v>584</v>
      </c>
      <c r="D264" s="5" t="s">
        <v>301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585</v>
      </c>
      <c r="C265" s="5" t="s">
        <v>586</v>
      </c>
      <c r="D265" s="5" t="s">
        <v>45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587</v>
      </c>
      <c r="C266" s="5" t="s">
        <v>588</v>
      </c>
      <c r="D266" s="5" t="s">
        <v>301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589</v>
      </c>
      <c r="C267" s="5" t="s">
        <v>590</v>
      </c>
      <c r="D267" s="5" t="s">
        <v>45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591</v>
      </c>
      <c r="C268" s="5" t="s">
        <v>592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593</v>
      </c>
      <c r="C269" s="5" t="s">
        <v>594</v>
      </c>
      <c r="D269" s="5" t="s">
        <v>46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595</v>
      </c>
      <c r="C270" s="5" t="s">
        <v>596</v>
      </c>
      <c r="D270" s="5" t="s">
        <v>45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597</v>
      </c>
      <c r="C271" s="5" t="s">
        <v>598</v>
      </c>
      <c r="D271" s="5" t="s">
        <v>398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599</v>
      </c>
      <c r="C272" s="5" t="s">
        <v>600</v>
      </c>
      <c r="D272" s="5" t="s">
        <v>1129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601</v>
      </c>
      <c r="C273" s="5" t="s">
        <v>602</v>
      </c>
      <c r="D273" s="5" t="s">
        <v>603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604</v>
      </c>
      <c r="C274" s="5" t="s">
        <v>605</v>
      </c>
      <c r="D274" s="5" t="s">
        <v>1129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606</v>
      </c>
      <c r="C275" s="5" t="s">
        <v>607</v>
      </c>
      <c r="D275" s="5" t="s">
        <v>173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608</v>
      </c>
      <c r="C276" s="5" t="s">
        <v>609</v>
      </c>
      <c r="D276" s="5" t="s">
        <v>1129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610</v>
      </c>
      <c r="C277" s="5" t="s">
        <v>611</v>
      </c>
      <c r="D277" s="5" t="s">
        <v>612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613</v>
      </c>
      <c r="C278" s="5" t="s">
        <v>614</v>
      </c>
      <c r="D278" s="5" t="s">
        <v>186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615</v>
      </c>
      <c r="C279" s="5" t="s">
        <v>616</v>
      </c>
      <c r="D279" s="5" t="s">
        <v>45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617</v>
      </c>
      <c r="C280" s="5" t="s">
        <v>618</v>
      </c>
      <c r="D280" s="5" t="s">
        <v>538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619</v>
      </c>
      <c r="C281" s="5" t="s">
        <v>620</v>
      </c>
      <c r="D281" s="5" t="s">
        <v>45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622</v>
      </c>
      <c r="C282" s="5" t="s">
        <v>621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623</v>
      </c>
      <c r="C283" s="5" t="s">
        <v>624</v>
      </c>
      <c r="D283" s="5" t="s">
        <v>625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626</v>
      </c>
      <c r="C284" s="5" t="s">
        <v>627</v>
      </c>
      <c r="D284" s="5" t="s">
        <v>45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629</v>
      </c>
      <c r="C285" s="5" t="s">
        <v>628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630</v>
      </c>
      <c r="C286" s="5" t="s">
        <v>631</v>
      </c>
      <c r="D286" s="5" t="s">
        <v>245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632</v>
      </c>
      <c r="C287" s="5" t="s">
        <v>633</v>
      </c>
      <c r="D287" s="5" t="s">
        <v>1129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634</v>
      </c>
      <c r="C288" s="5" t="s">
        <v>635</v>
      </c>
      <c r="D288" s="5" t="s">
        <v>245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636</v>
      </c>
      <c r="C289" s="5" t="s">
        <v>637</v>
      </c>
      <c r="D289" s="5" t="s">
        <v>186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638</v>
      </c>
      <c r="C290" s="5" t="s">
        <v>639</v>
      </c>
      <c r="D290" s="5" t="s">
        <v>45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640</v>
      </c>
      <c r="C291" s="5" t="s">
        <v>641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5" t="s">
        <v>642</v>
      </c>
      <c r="C292" s="5" t="s">
        <v>643</v>
      </c>
      <c r="D292" s="5" t="s">
        <v>45</v>
      </c>
      <c r="E292" s="15"/>
      <c r="F292" s="15"/>
      <c r="G292" s="15"/>
      <c r="H292" s="15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644</v>
      </c>
      <c r="C293" s="5" t="s">
        <v>645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646</v>
      </c>
      <c r="C294" s="5" t="s">
        <v>647</v>
      </c>
      <c r="D294" s="5" t="s">
        <v>770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648</v>
      </c>
      <c r="C295" s="5" t="s">
        <v>649</v>
      </c>
      <c r="D295" s="5" t="s">
        <v>1129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650</v>
      </c>
      <c r="C296" s="5" t="s">
        <v>651</v>
      </c>
      <c r="D296" s="5" t="s">
        <v>45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652</v>
      </c>
      <c r="C297" s="5" t="s">
        <v>653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655</v>
      </c>
      <c r="C298" s="5" t="s">
        <v>654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656</v>
      </c>
      <c r="C299" s="5" t="s">
        <v>657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659</v>
      </c>
      <c r="C300" s="5" t="s">
        <v>658</v>
      </c>
      <c r="D300" s="5" t="s">
        <v>770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660</v>
      </c>
      <c r="C301" s="5" t="s">
        <v>661</v>
      </c>
      <c r="D301" s="5" t="s">
        <v>45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662</v>
      </c>
      <c r="C302" s="5" t="s">
        <v>663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664</v>
      </c>
      <c r="C303" s="5" t="s">
        <v>665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666</v>
      </c>
      <c r="C304" s="5" t="s">
        <v>667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668</v>
      </c>
      <c r="C305" s="5" t="s">
        <v>669</v>
      </c>
      <c r="D305" s="5" t="s">
        <v>245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670</v>
      </c>
      <c r="C306" s="5" t="s">
        <v>671</v>
      </c>
      <c r="D306" s="5" t="s">
        <v>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672</v>
      </c>
      <c r="C307" s="5" t="s">
        <v>672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673</v>
      </c>
      <c r="C308" s="5" t="s">
        <v>674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675</v>
      </c>
      <c r="C309" s="5" t="s">
        <v>676</v>
      </c>
      <c r="D309" s="5" t="s">
        <v>770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677</v>
      </c>
      <c r="C310" s="5" t="s">
        <v>678</v>
      </c>
      <c r="D310" s="5" t="s">
        <v>45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679</v>
      </c>
      <c r="C311" s="5" t="s">
        <v>680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683</v>
      </c>
      <c r="C312" s="5" t="s">
        <v>684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685</v>
      </c>
      <c r="C313" s="5" t="s">
        <v>686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687</v>
      </c>
      <c r="C314" s="5" t="s">
        <v>688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689</v>
      </c>
      <c r="C315" s="5" t="s">
        <v>690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691</v>
      </c>
      <c r="C316" s="5" t="s">
        <v>692</v>
      </c>
      <c r="D316" s="5" t="s">
        <v>46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693</v>
      </c>
      <c r="C317" s="5" t="s">
        <v>694</v>
      </c>
      <c r="D317" s="5" t="s">
        <v>87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695</v>
      </c>
      <c r="C318" s="5" t="s">
        <v>696</v>
      </c>
      <c r="D318" s="5" t="s">
        <v>510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697</v>
      </c>
      <c r="C319" s="5" t="s">
        <v>698</v>
      </c>
      <c r="D319" s="5" t="s">
        <v>1129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14" t="s">
        <v>699</v>
      </c>
      <c r="C320" s="5" t="s">
        <v>700</v>
      </c>
      <c r="D320" s="5" t="s">
        <v>45</v>
      </c>
      <c r="E320" s="15">
        <f>+[77]Main!$I$3</f>
        <v>12.26</v>
      </c>
      <c r="F320" s="15">
        <f>+[77]Main!$I$5</f>
        <v>2157.6645436399999</v>
      </c>
      <c r="G320" s="15">
        <f>+[77]Main!$I$7-[77]Main!$I$6</f>
        <v>280.74099999999999</v>
      </c>
      <c r="H320" s="15">
        <f>+F320+G320</f>
        <v>2438.4055436399999</v>
      </c>
      <c r="I320" s="6" t="s">
        <v>48</v>
      </c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701</v>
      </c>
      <c r="C321" s="5" t="s">
        <v>702</v>
      </c>
      <c r="D321" s="5" t="s">
        <v>45</v>
      </c>
      <c r="E321" s="15">
        <f>+[78]Main!$I$2</f>
        <v>7.36</v>
      </c>
      <c r="F321" s="15">
        <f>+[78]Main!$I$4</f>
        <v>1581.06035488</v>
      </c>
      <c r="G321" s="15">
        <f>+[78]Main!$I$6-[78]Main!$I$5</f>
        <v>-73.627598000000006</v>
      </c>
      <c r="H321" s="15">
        <f>+F321+G321</f>
        <v>1507.4327568799999</v>
      </c>
      <c r="I321" s="6" t="s">
        <v>430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5" t="s">
        <v>703</v>
      </c>
      <c r="C322" s="5" t="s">
        <v>704</v>
      </c>
      <c r="D322" s="5" t="s">
        <v>45</v>
      </c>
      <c r="E322" s="15"/>
      <c r="F322" s="15"/>
      <c r="G322" s="15"/>
      <c r="H322" s="15"/>
      <c r="I322" s="6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705</v>
      </c>
      <c r="C323" s="5" t="s">
        <v>706</v>
      </c>
      <c r="D323" s="5" t="s">
        <v>510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14" t="s">
        <v>707</v>
      </c>
      <c r="C324" s="5" t="s">
        <v>708</v>
      </c>
      <c r="D324" s="5" t="s">
        <v>45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681</v>
      </c>
      <c r="C325" s="5" t="s">
        <v>682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1135</v>
      </c>
      <c r="C326" s="5" t="s">
        <v>1136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1137</v>
      </c>
      <c r="C327" s="5" t="s">
        <v>1138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1139</v>
      </c>
      <c r="C328" s="5" t="s">
        <v>1140</v>
      </c>
      <c r="D328" s="5" t="s">
        <v>1128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862</v>
      </c>
      <c r="C329" s="5" t="s">
        <v>863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1141</v>
      </c>
      <c r="C330" s="5" t="s">
        <v>1142</v>
      </c>
      <c r="D330" s="5" t="s">
        <v>510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1143</v>
      </c>
      <c r="C331" s="5" t="s">
        <v>1144</v>
      </c>
      <c r="D331" s="5" t="s">
        <v>770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1145</v>
      </c>
      <c r="C332" s="5" t="s">
        <v>1146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1147</v>
      </c>
      <c r="C333" s="5" t="s">
        <v>1148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1149</v>
      </c>
      <c r="C334" s="5" t="s">
        <v>1150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1151</v>
      </c>
      <c r="C335" s="5" t="s">
        <v>1152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1153</v>
      </c>
      <c r="C336" s="5" t="s">
        <v>1154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1155</v>
      </c>
      <c r="C337" s="5" t="s">
        <v>1156</v>
      </c>
      <c r="D337" s="5" t="s">
        <v>2572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1157</v>
      </c>
      <c r="C338" s="5" t="s">
        <v>1158</v>
      </c>
      <c r="D338" s="5" t="s">
        <v>1128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855</v>
      </c>
      <c r="C339" s="5" t="s">
        <v>856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1159</v>
      </c>
      <c r="C340" s="5" t="s">
        <v>1160</v>
      </c>
      <c r="D340" s="5" t="s">
        <v>1133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1161</v>
      </c>
      <c r="C341" s="5" t="s">
        <v>1162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1163</v>
      </c>
      <c r="C342" s="5" t="s">
        <v>1164</v>
      </c>
      <c r="D342" s="5" t="s">
        <v>772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1165</v>
      </c>
      <c r="C343" s="5" t="s">
        <v>1166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1167</v>
      </c>
      <c r="C344" s="5" t="s">
        <v>869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1168</v>
      </c>
      <c r="C345" s="5" t="s">
        <v>1169</v>
      </c>
      <c r="D345" s="5" t="s">
        <v>772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1170</v>
      </c>
      <c r="C346" s="5" t="s">
        <v>1171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1172</v>
      </c>
      <c r="C347" s="5" t="s">
        <v>1173</v>
      </c>
      <c r="D347" s="5" t="s">
        <v>2575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1174</v>
      </c>
      <c r="C348" s="5" t="s">
        <v>1175</v>
      </c>
      <c r="D348" s="5" t="s">
        <v>1133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1176</v>
      </c>
      <c r="C349" s="5" t="s">
        <v>1177</v>
      </c>
      <c r="D349" s="5" t="s">
        <v>1126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1178</v>
      </c>
      <c r="C350" s="5" t="s">
        <v>875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1179</v>
      </c>
      <c r="C351" s="5" t="s">
        <v>1180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1181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844</v>
      </c>
      <c r="C353" s="5" t="s">
        <v>845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1182</v>
      </c>
      <c r="C354" s="5" t="s">
        <v>1183</v>
      </c>
      <c r="D354" s="5" t="s">
        <v>1129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977</v>
      </c>
      <c r="C355" s="5" t="s">
        <v>978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1184</v>
      </c>
      <c r="C356" s="5" t="s">
        <v>1185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1186</v>
      </c>
      <c r="C357" s="5" t="s">
        <v>1187</v>
      </c>
      <c r="D357" s="5" t="s">
        <v>770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1188</v>
      </c>
      <c r="C358" s="5" t="s">
        <v>1189</v>
      </c>
      <c r="D358" s="5" t="s">
        <v>770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1190</v>
      </c>
      <c r="C359" s="5" t="s">
        <v>1191</v>
      </c>
      <c r="D359" s="5" t="s">
        <v>770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878</v>
      </c>
      <c r="C360" s="5" t="s">
        <v>879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1192</v>
      </c>
      <c r="C361" s="5" t="s">
        <v>1193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1194</v>
      </c>
      <c r="C362" s="5" t="s">
        <v>1195</v>
      </c>
      <c r="D362" s="5" t="s">
        <v>612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1196</v>
      </c>
      <c r="C363" s="5" t="s">
        <v>1197</v>
      </c>
      <c r="D363" s="5" t="s">
        <v>2574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1198</v>
      </c>
      <c r="C364" s="5" t="s">
        <v>1199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1200</v>
      </c>
      <c r="C365" s="5" t="s">
        <v>1201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872</v>
      </c>
      <c r="C366" s="5" t="s">
        <v>873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1202</v>
      </c>
      <c r="C367" s="5" t="s">
        <v>1203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1204</v>
      </c>
      <c r="C368" s="5" t="s">
        <v>1205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1206</v>
      </c>
      <c r="C369" s="5" t="s">
        <v>759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1207</v>
      </c>
      <c r="C370" s="5" t="s">
        <v>1208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1209</v>
      </c>
      <c r="C371" s="5" t="s">
        <v>1210</v>
      </c>
      <c r="D371" s="5" t="s">
        <v>958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1211</v>
      </c>
      <c r="C372" s="5" t="s">
        <v>1212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1213</v>
      </c>
      <c r="C373" s="5" t="s">
        <v>1214</v>
      </c>
      <c r="D373" s="5" t="s">
        <v>1127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1215</v>
      </c>
      <c r="C374" s="5" t="s">
        <v>1216</v>
      </c>
      <c r="D374" s="5" t="s">
        <v>538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1217</v>
      </c>
      <c r="C375" s="5" t="s">
        <v>1218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1219</v>
      </c>
      <c r="C376" s="5" t="s">
        <v>1220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981</v>
      </c>
      <c r="C377" s="5" t="s">
        <v>982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936</v>
      </c>
      <c r="C378" s="5" t="s">
        <v>1221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983</v>
      </c>
      <c r="C379" s="5" t="s">
        <v>984</v>
      </c>
      <c r="D379" s="5" t="s">
        <v>1129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1222</v>
      </c>
      <c r="C380" s="5" t="s">
        <v>1223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1224</v>
      </c>
      <c r="C381" s="5" t="s">
        <v>1225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1226</v>
      </c>
      <c r="C382" s="5" t="s">
        <v>754</v>
      </c>
      <c r="D382" s="5" t="s">
        <v>1227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1228</v>
      </c>
      <c r="C383" s="5" t="s">
        <v>1229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1230</v>
      </c>
      <c r="C384" s="5" t="s">
        <v>1231</v>
      </c>
      <c r="D384" s="5" t="s">
        <v>770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1232</v>
      </c>
      <c r="C385" s="5" t="s">
        <v>1233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1234</v>
      </c>
      <c r="C386" s="5" t="s">
        <v>1235</v>
      </c>
      <c r="D386" s="5" t="s">
        <v>1127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1236</v>
      </c>
      <c r="C387" s="5" t="s">
        <v>1237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1238</v>
      </c>
      <c r="C388" s="5" t="s">
        <v>1239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1240</v>
      </c>
      <c r="C389" s="5" t="s">
        <v>1241</v>
      </c>
      <c r="D389" s="5" t="s">
        <v>1128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1242</v>
      </c>
      <c r="C390" s="5" t="s">
        <v>1243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1244</v>
      </c>
      <c r="C391" s="5" t="s">
        <v>1245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1246</v>
      </c>
      <c r="C392" s="5" t="s">
        <v>1247</v>
      </c>
      <c r="D392" s="5" t="s">
        <v>510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1248</v>
      </c>
      <c r="C393" s="5" t="s">
        <v>1249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1250</v>
      </c>
      <c r="C394" s="5" t="s">
        <v>1251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1252</v>
      </c>
      <c r="C395" s="5" t="s">
        <v>1253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1254</v>
      </c>
      <c r="C396" s="5" t="s">
        <v>1255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1256</v>
      </c>
      <c r="C397" s="5" t="s">
        <v>1257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1258</v>
      </c>
      <c r="C398" s="5" t="s">
        <v>1259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1260</v>
      </c>
      <c r="C399" s="5" t="s">
        <v>1261</v>
      </c>
      <c r="D399" s="5" t="s">
        <v>770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1262</v>
      </c>
      <c r="C400" s="5" t="s">
        <v>1263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1264</v>
      </c>
      <c r="C401" s="5" t="s">
        <v>1265</v>
      </c>
      <c r="D401" s="5" t="s">
        <v>1126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1266</v>
      </c>
      <c r="C402" s="5" t="s">
        <v>1267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1268</v>
      </c>
      <c r="C403" s="5" t="s">
        <v>1269</v>
      </c>
      <c r="D403" s="5" t="s">
        <v>2579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860</v>
      </c>
      <c r="C404" s="5" t="s">
        <v>1270</v>
      </c>
      <c r="D404" s="5" t="s">
        <v>510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1271</v>
      </c>
      <c r="C405" s="5" t="s">
        <v>1272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1273</v>
      </c>
      <c r="C406" s="5" t="s">
        <v>1274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1275</v>
      </c>
      <c r="C407" s="5" t="s">
        <v>1276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1277</v>
      </c>
      <c r="C408" s="5" t="s">
        <v>1278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1279</v>
      </c>
      <c r="C409" s="5" t="s">
        <v>1280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1281</v>
      </c>
      <c r="C410" s="5" t="s">
        <v>1282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1283</v>
      </c>
      <c r="C411" s="5" t="s">
        <v>1284</v>
      </c>
      <c r="D411" s="5" t="s">
        <v>772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1285</v>
      </c>
      <c r="C412" s="5" t="s">
        <v>1286</v>
      </c>
      <c r="D412" s="5" t="s">
        <v>958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880</v>
      </c>
      <c r="C413" s="5" t="s">
        <v>881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1287</v>
      </c>
      <c r="C414" s="5" t="s">
        <v>1288</v>
      </c>
      <c r="D414" s="5" t="s">
        <v>1128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1289</v>
      </c>
      <c r="C415" s="5" t="s">
        <v>1290</v>
      </c>
      <c r="D415" s="5" t="s">
        <v>1129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1291</v>
      </c>
      <c r="C416" s="5" t="s">
        <v>1292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1293</v>
      </c>
      <c r="C417" s="5" t="s">
        <v>1294</v>
      </c>
      <c r="D417" s="5" t="s">
        <v>1133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824</v>
      </c>
      <c r="C418" s="5" t="s">
        <v>825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1295</v>
      </c>
      <c r="C419" s="5" t="s">
        <v>1296</v>
      </c>
      <c r="D419" s="5" t="s">
        <v>1130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1297</v>
      </c>
      <c r="C420" s="5" t="s">
        <v>1298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1299</v>
      </c>
      <c r="C421" s="5" t="s">
        <v>1300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1301</v>
      </c>
      <c r="C422" s="5" t="s">
        <v>1302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904</v>
      </c>
      <c r="C423" s="5" t="s">
        <v>905</v>
      </c>
      <c r="D423" s="5" t="s">
        <v>770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1303</v>
      </c>
      <c r="C424" s="5" t="s">
        <v>1304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1305</v>
      </c>
      <c r="C425" s="5" t="s">
        <v>1306</v>
      </c>
      <c r="D425" s="5" t="s">
        <v>1133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1307</v>
      </c>
      <c r="C426" s="5" t="s">
        <v>1308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1309</v>
      </c>
      <c r="C427" s="5" t="s">
        <v>1310</v>
      </c>
      <c r="D427" s="5" t="s">
        <v>1126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1311</v>
      </c>
      <c r="C428" s="5" t="s">
        <v>1312</v>
      </c>
      <c r="D428" s="5" t="s">
        <v>1127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1313</v>
      </c>
      <c r="C429" s="5" t="s">
        <v>1314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1315</v>
      </c>
      <c r="C430" s="5" t="s">
        <v>1316</v>
      </c>
      <c r="D430" s="5" t="s">
        <v>1128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1317</v>
      </c>
      <c r="C431" s="5" t="s">
        <v>1318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1319</v>
      </c>
      <c r="C432" s="5" t="s">
        <v>1320</v>
      </c>
      <c r="D432" s="5" t="s">
        <v>1129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1321</v>
      </c>
      <c r="C433" s="5" t="s">
        <v>1322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1323</v>
      </c>
      <c r="C434" s="5" t="s">
        <v>1324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1325</v>
      </c>
      <c r="C435" s="5" t="s">
        <v>1326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1327</v>
      </c>
      <c r="C436" s="5" t="s">
        <v>1328</v>
      </c>
      <c r="D436" s="5" t="s">
        <v>1133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1329</v>
      </c>
      <c r="C437" s="5" t="s">
        <v>1330</v>
      </c>
      <c r="D437" s="5" t="s">
        <v>1129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847</v>
      </c>
      <c r="C438" s="5" t="s">
        <v>848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1331</v>
      </c>
      <c r="C439" s="5" t="s">
        <v>1332</v>
      </c>
      <c r="D439" s="5" t="s">
        <v>1133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1333</v>
      </c>
      <c r="C440" s="5" t="s">
        <v>1334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1335</v>
      </c>
      <c r="C441" s="5" t="s">
        <v>1336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1337</v>
      </c>
      <c r="C442" s="5" t="s">
        <v>1338</v>
      </c>
      <c r="D442" s="5" t="s">
        <v>1133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1339</v>
      </c>
      <c r="C443" s="5" t="s">
        <v>1340</v>
      </c>
      <c r="D443" s="5" t="s">
        <v>510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1341</v>
      </c>
      <c r="C444" s="5" t="s">
        <v>1342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1343</v>
      </c>
      <c r="C445" s="5" t="s">
        <v>1344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1345</v>
      </c>
      <c r="C446" s="5" t="s">
        <v>1346</v>
      </c>
      <c r="D446" s="5" t="s">
        <v>1129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1347</v>
      </c>
      <c r="C447" s="5" t="s">
        <v>1348</v>
      </c>
      <c r="D447" s="5" t="s">
        <v>770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1349</v>
      </c>
      <c r="C448" s="5" t="s">
        <v>1350</v>
      </c>
      <c r="D448" s="5" t="s">
        <v>2574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1351</v>
      </c>
      <c r="C449" s="5" t="s">
        <v>1352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1353</v>
      </c>
      <c r="C450" s="5" t="s">
        <v>1354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1355</v>
      </c>
      <c r="C451" s="5" t="s">
        <v>1356</v>
      </c>
      <c r="D451" s="5" t="s">
        <v>2580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1357</v>
      </c>
      <c r="C452" s="5" t="s">
        <v>1358</v>
      </c>
      <c r="D452" s="5" t="s">
        <v>770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1359</v>
      </c>
      <c r="C453" s="5" t="s">
        <v>1360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1361</v>
      </c>
      <c r="C454" s="5" t="s">
        <v>1362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1363</v>
      </c>
      <c r="C455" s="5" t="s">
        <v>1364</v>
      </c>
      <c r="D455" s="5" t="s">
        <v>1132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1365</v>
      </c>
      <c r="C456" s="5" t="s">
        <v>1366</v>
      </c>
      <c r="D456" s="5" t="s">
        <v>1133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1367</v>
      </c>
      <c r="C457" s="5" t="s">
        <v>1368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1369</v>
      </c>
      <c r="C458" s="5" t="s">
        <v>1370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1371</v>
      </c>
      <c r="C459" s="5" t="s">
        <v>1372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1373</v>
      </c>
      <c r="C460" s="5" t="s">
        <v>1374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1375</v>
      </c>
      <c r="C461" s="5" t="s">
        <v>1376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1377</v>
      </c>
      <c r="C462" s="5" t="s">
        <v>1378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1379</v>
      </c>
      <c r="C463" s="5" t="s">
        <v>1380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1381</v>
      </c>
      <c r="C464" s="5" t="s">
        <v>1382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1383</v>
      </c>
      <c r="C465" s="5" t="s">
        <v>1384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1385</v>
      </c>
      <c r="C466" s="5" t="s">
        <v>1386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1387</v>
      </c>
      <c r="C467" s="5" t="s">
        <v>1388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1389</v>
      </c>
      <c r="C468" s="5" t="s">
        <v>1390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1391</v>
      </c>
      <c r="C469" s="5" t="s">
        <v>1392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1393</v>
      </c>
      <c r="C470" s="5" t="s">
        <v>1394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1395</v>
      </c>
      <c r="C471" s="5" t="s">
        <v>1396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985</v>
      </c>
      <c r="C472" s="5" t="s">
        <v>986</v>
      </c>
      <c r="D472" s="5" t="s">
        <v>772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1397</v>
      </c>
      <c r="C473" s="5" t="s">
        <v>1398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1399</v>
      </c>
      <c r="C474" s="5" t="s">
        <v>1400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1401</v>
      </c>
      <c r="C475" s="5" t="s">
        <v>1402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1403</v>
      </c>
      <c r="C476" s="5" t="s">
        <v>1404</v>
      </c>
      <c r="D476" s="5" t="s">
        <v>1128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1405</v>
      </c>
      <c r="C477" s="5" t="s">
        <v>1406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1407</v>
      </c>
      <c r="C478" s="5" t="s">
        <v>1408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987</v>
      </c>
      <c r="C479" s="5" t="s">
        <v>988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1409</v>
      </c>
      <c r="C480" s="5" t="s">
        <v>1410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1411</v>
      </c>
      <c r="C481" s="5" t="s">
        <v>1412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1413</v>
      </c>
      <c r="C482" s="5" t="s">
        <v>1414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1415</v>
      </c>
      <c r="C483" s="5" t="s">
        <v>1416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1417</v>
      </c>
      <c r="C484" s="5" t="s">
        <v>1418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1419</v>
      </c>
      <c r="C485" s="5" t="s">
        <v>1420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1421</v>
      </c>
      <c r="C486" s="5" t="s">
        <v>1422</v>
      </c>
      <c r="D486" s="5" t="s">
        <v>1133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1423</v>
      </c>
      <c r="C487" s="5" t="s">
        <v>1424</v>
      </c>
      <c r="D487" s="5" t="s">
        <v>510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1425</v>
      </c>
      <c r="C488" s="5" t="s">
        <v>1426</v>
      </c>
      <c r="D488" s="5" t="s">
        <v>958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1427</v>
      </c>
      <c r="C489" s="5" t="s">
        <v>1428</v>
      </c>
      <c r="D489" s="5" t="s">
        <v>770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1429</v>
      </c>
      <c r="C490" s="5" t="s">
        <v>1430</v>
      </c>
      <c r="D490" s="5" t="s">
        <v>1127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1431</v>
      </c>
      <c r="C491" s="5" t="s">
        <v>1432</v>
      </c>
      <c r="D491" s="5" t="s">
        <v>1128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1433</v>
      </c>
      <c r="C492" s="5" t="s">
        <v>1434</v>
      </c>
      <c r="D492" s="5" t="s">
        <v>510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1435</v>
      </c>
      <c r="C493" s="5" t="s">
        <v>1436</v>
      </c>
      <c r="D493" s="5" t="s">
        <v>510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1437</v>
      </c>
      <c r="C494" s="5" t="s">
        <v>1438</v>
      </c>
      <c r="D494" s="5" t="s">
        <v>510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1439</v>
      </c>
      <c r="C495" s="5" t="s">
        <v>1440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1441</v>
      </c>
      <c r="C496" s="5" t="s">
        <v>1442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991</v>
      </c>
      <c r="C497" s="5" t="s">
        <v>992</v>
      </c>
      <c r="D497" s="5" t="s">
        <v>1126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1443</v>
      </c>
      <c r="C498" s="5" t="s">
        <v>1444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1445</v>
      </c>
      <c r="C499" s="5" t="s">
        <v>1446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1447</v>
      </c>
      <c r="C500" s="5" t="s">
        <v>1448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1449</v>
      </c>
      <c r="C501" s="5" t="s">
        <v>1450</v>
      </c>
      <c r="D501" s="5" t="s">
        <v>1132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1451</v>
      </c>
      <c r="C502" s="5" t="s">
        <v>1452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1453</v>
      </c>
      <c r="C503" s="5" t="s">
        <v>1454</v>
      </c>
      <c r="D503" s="5" t="s">
        <v>510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1455</v>
      </c>
      <c r="C504" s="5" t="s">
        <v>1456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1457</v>
      </c>
      <c r="C505" s="5" t="s">
        <v>1458</v>
      </c>
      <c r="D505" s="5" t="s">
        <v>2574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1459</v>
      </c>
      <c r="C506" s="5" t="s">
        <v>1460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1461</v>
      </c>
      <c r="C507" s="5" t="s">
        <v>1462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1463</v>
      </c>
      <c r="C508" s="5" t="s">
        <v>1464</v>
      </c>
      <c r="D508" s="5" t="s">
        <v>510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1465</v>
      </c>
      <c r="C509" s="5" t="s">
        <v>1466</v>
      </c>
      <c r="D509" s="5" t="s">
        <v>1132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1467</v>
      </c>
      <c r="C510" s="5" t="s">
        <v>1468</v>
      </c>
      <c r="D510" s="5" t="s">
        <v>1126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1469</v>
      </c>
      <c r="C511" s="5" t="s">
        <v>1470</v>
      </c>
      <c r="D511" s="5" t="s">
        <v>1132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1471</v>
      </c>
      <c r="C512" s="5" t="s">
        <v>1472</v>
      </c>
      <c r="D512" s="5" t="s">
        <v>770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1473</v>
      </c>
      <c r="C513" s="5" t="s">
        <v>1474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1475</v>
      </c>
      <c r="C514" s="5" t="s">
        <v>1476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1477</v>
      </c>
      <c r="C515" s="5" t="s">
        <v>1478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1479</v>
      </c>
      <c r="C516" s="5" t="s">
        <v>1480</v>
      </c>
      <c r="D516" s="5" t="s">
        <v>510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1481</v>
      </c>
      <c r="C517" s="5" t="s">
        <v>1482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1483</v>
      </c>
      <c r="C518" s="5" t="s">
        <v>1484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1485</v>
      </c>
      <c r="C519" s="5" t="s">
        <v>1486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1487</v>
      </c>
      <c r="C520" s="5" t="s">
        <v>1488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4" si="14">+A520+1</f>
        <v>518</v>
      </c>
      <c r="B521" s="5" t="s">
        <v>1489</v>
      </c>
      <c r="C521" s="5" t="s">
        <v>1490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1491</v>
      </c>
      <c r="C522" s="5" t="s">
        <v>1492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1493</v>
      </c>
      <c r="C523" s="5" t="s">
        <v>1494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1495</v>
      </c>
      <c r="C524" s="5" t="s">
        <v>1496</v>
      </c>
      <c r="D524" s="5" t="s">
        <v>1133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1497</v>
      </c>
      <c r="C525" s="5" t="s">
        <v>1498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1499</v>
      </c>
      <c r="C526" s="5" t="s">
        <v>763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1500</v>
      </c>
      <c r="C527" s="5" t="s">
        <v>1501</v>
      </c>
      <c r="D527" s="5" t="s">
        <v>1129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1502</v>
      </c>
      <c r="C528" s="5" t="s">
        <v>1503</v>
      </c>
      <c r="D528" s="5" t="s">
        <v>772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1504</v>
      </c>
      <c r="C529" s="5" t="s">
        <v>1505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993</v>
      </c>
      <c r="C530" s="5" t="s">
        <v>994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1506</v>
      </c>
      <c r="C531" s="5" t="s">
        <v>1507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1508</v>
      </c>
      <c r="C532" s="5" t="s">
        <v>1509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1510</v>
      </c>
      <c r="C533" s="5" t="s">
        <v>1511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1512</v>
      </c>
      <c r="C534" s="5" t="s">
        <v>1513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1514</v>
      </c>
      <c r="C535" s="5" t="s">
        <v>1515</v>
      </c>
      <c r="D535" s="5" t="s">
        <v>510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1516</v>
      </c>
      <c r="C536" s="5" t="s">
        <v>1517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1518</v>
      </c>
      <c r="C537" s="5" t="s">
        <v>1519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1520</v>
      </c>
      <c r="C538" s="5" t="s">
        <v>1521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1522</v>
      </c>
      <c r="C539" s="5" t="s">
        <v>1523</v>
      </c>
      <c r="D539" s="5" t="s">
        <v>1129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1524</v>
      </c>
      <c r="C540" s="5" t="s">
        <v>1525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1526</v>
      </c>
      <c r="C541" s="5" t="s">
        <v>1527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1528</v>
      </c>
      <c r="C542" s="5" t="s">
        <v>1529</v>
      </c>
      <c r="D542" s="5" t="s">
        <v>510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1530</v>
      </c>
      <c r="C543" s="5" t="s">
        <v>1531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1532</v>
      </c>
      <c r="C544" s="5" t="s">
        <v>1533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1534</v>
      </c>
      <c r="C545" s="5" t="s">
        <v>1535</v>
      </c>
      <c r="D545" s="5" t="s">
        <v>1132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1536</v>
      </c>
      <c r="C546" s="5" t="s">
        <v>1537</v>
      </c>
      <c r="D546" s="5" t="s">
        <v>1132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1538</v>
      </c>
      <c r="C547" s="5" t="s">
        <v>1539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1540</v>
      </c>
      <c r="C548" s="5" t="s">
        <v>1541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1542</v>
      </c>
      <c r="C549" s="5" t="s">
        <v>1543</v>
      </c>
      <c r="D549" s="5" t="s">
        <v>510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995</v>
      </c>
      <c r="C550" s="5" t="s">
        <v>996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1544</v>
      </c>
      <c r="C551" s="5" t="s">
        <v>1545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1546</v>
      </c>
      <c r="C552" s="5" t="s">
        <v>1547</v>
      </c>
      <c r="D552" s="5" t="s">
        <v>1126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1548</v>
      </c>
      <c r="C553" s="5" t="s">
        <v>1549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1550</v>
      </c>
      <c r="C554" s="5" t="s">
        <v>1551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997</v>
      </c>
      <c r="C555" s="5" t="s">
        <v>998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1552</v>
      </c>
      <c r="C556" s="5" t="s">
        <v>1553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1554</v>
      </c>
      <c r="C557" s="5" t="s">
        <v>1555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1556</v>
      </c>
      <c r="C558" s="5" t="s">
        <v>1557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1558</v>
      </c>
      <c r="C559" s="5" t="s">
        <v>1559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1560</v>
      </c>
      <c r="C560" s="5" t="s">
        <v>1561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1562</v>
      </c>
      <c r="C561" s="5" t="s">
        <v>1563</v>
      </c>
      <c r="D561" s="5" t="s">
        <v>1126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1564</v>
      </c>
      <c r="C562" s="5" t="s">
        <v>1565</v>
      </c>
      <c r="D562" s="5" t="s">
        <v>1130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1566</v>
      </c>
      <c r="C563" s="5" t="s">
        <v>1567</v>
      </c>
      <c r="D563" s="5" t="s">
        <v>1132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1568</v>
      </c>
      <c r="C564" s="5" t="s">
        <v>1569</v>
      </c>
      <c r="D564" s="5" t="s">
        <v>1128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1570</v>
      </c>
      <c r="C565" s="5" t="s">
        <v>1571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1572</v>
      </c>
      <c r="C566" s="5" t="s">
        <v>1573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999</v>
      </c>
      <c r="C567" s="5" t="s">
        <v>999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1574</v>
      </c>
      <c r="C568" s="5" t="s">
        <v>1575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1576</v>
      </c>
      <c r="C569" s="5" t="s">
        <v>1577</v>
      </c>
      <c r="D569" s="5" t="s">
        <v>1129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1578</v>
      </c>
      <c r="C570" s="5" t="s">
        <v>1579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1580</v>
      </c>
      <c r="C571" s="5" t="s">
        <v>1581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1582</v>
      </c>
      <c r="C572" s="5" t="s">
        <v>916</v>
      </c>
      <c r="D572" s="5" t="s">
        <v>2574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1583</v>
      </c>
      <c r="C573" s="5" t="s">
        <v>1584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1585</v>
      </c>
      <c r="C574" s="5" t="s">
        <v>1586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1587</v>
      </c>
      <c r="C575" s="5" t="s">
        <v>1588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1589</v>
      </c>
      <c r="C576" s="5" t="s">
        <v>1590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1591</v>
      </c>
      <c r="C577" s="5" t="s">
        <v>1592</v>
      </c>
      <c r="D577" s="5" t="s">
        <v>772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1593</v>
      </c>
      <c r="C578" s="5" t="s">
        <v>1594</v>
      </c>
      <c r="D578" s="5" t="s">
        <v>770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1595</v>
      </c>
      <c r="C579" s="5" t="s">
        <v>1596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1597</v>
      </c>
      <c r="C580" s="5" t="s">
        <v>1598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1599</v>
      </c>
      <c r="C581" s="5" t="s">
        <v>1600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1601</v>
      </c>
      <c r="C582" s="5" t="s">
        <v>1602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1000</v>
      </c>
      <c r="C583" s="5" t="s">
        <v>1001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1603</v>
      </c>
      <c r="C584" s="5" t="s">
        <v>1604</v>
      </c>
      <c r="D584" s="5" t="s">
        <v>1133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ref="A585:A648" si="15">+A584+1</f>
        <v>582</v>
      </c>
      <c r="B585" s="5" t="s">
        <v>1605</v>
      </c>
      <c r="C585" s="5" t="s">
        <v>1606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1607</v>
      </c>
      <c r="C586" s="5" t="s">
        <v>1608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1609</v>
      </c>
      <c r="C587" s="5" t="s">
        <v>1610</v>
      </c>
      <c r="D587" s="5" t="s">
        <v>772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1611</v>
      </c>
      <c r="C588" s="5" t="s">
        <v>1612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1613</v>
      </c>
      <c r="C589" s="5" t="s">
        <v>1614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849</v>
      </c>
      <c r="C590" s="5" t="s">
        <v>850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1615</v>
      </c>
      <c r="C591" s="5" t="s">
        <v>1616</v>
      </c>
      <c r="D591" s="5" t="s">
        <v>772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1617</v>
      </c>
      <c r="C592" s="5" t="s">
        <v>1618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1619</v>
      </c>
      <c r="C593" s="5" t="s">
        <v>1620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1621</v>
      </c>
      <c r="C594" s="5" t="s">
        <v>1622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1004</v>
      </c>
      <c r="C595" s="5" t="s">
        <v>1005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1623</v>
      </c>
      <c r="C596" s="5" t="s">
        <v>1624</v>
      </c>
      <c r="D596" s="5" t="s">
        <v>1128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1625</v>
      </c>
      <c r="C597" s="5" t="s">
        <v>1626</v>
      </c>
      <c r="D597" s="5" t="s">
        <v>958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1627</v>
      </c>
      <c r="C598" s="5" t="s">
        <v>1628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1629</v>
      </c>
      <c r="C599" s="5" t="s">
        <v>1630</v>
      </c>
      <c r="D599" s="5" t="s">
        <v>1128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1631</v>
      </c>
      <c r="C600" s="5" t="s">
        <v>1632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1006</v>
      </c>
      <c r="C601" s="5" t="s">
        <v>1007</v>
      </c>
      <c r="D601" s="5" t="s">
        <v>538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1633</v>
      </c>
      <c r="C602" s="5" t="s">
        <v>1634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1635</v>
      </c>
      <c r="C603" s="5" t="s">
        <v>1636</v>
      </c>
      <c r="D603" s="5" t="s">
        <v>770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1637</v>
      </c>
      <c r="C604" s="5" t="s">
        <v>1638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1639</v>
      </c>
      <c r="C605" s="5" t="s">
        <v>1640</v>
      </c>
      <c r="D605" s="5" t="s">
        <v>1641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1642</v>
      </c>
      <c r="C606" s="5" t="s">
        <v>1643</v>
      </c>
      <c r="D606" s="5" t="s">
        <v>1126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1644</v>
      </c>
      <c r="C607" s="5" t="s">
        <v>1645</v>
      </c>
      <c r="D607" s="5" t="s">
        <v>1126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1008</v>
      </c>
      <c r="C608" s="5" t="s">
        <v>1009</v>
      </c>
      <c r="D608" s="5" t="s">
        <v>510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1646</v>
      </c>
      <c r="C609" s="5" t="s">
        <v>1647</v>
      </c>
      <c r="D609" s="5" t="s">
        <v>1128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1648</v>
      </c>
      <c r="C610" s="5" t="s">
        <v>1649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1650</v>
      </c>
      <c r="C611" s="5" t="s">
        <v>1651</v>
      </c>
      <c r="D611" s="5" t="s">
        <v>510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1652</v>
      </c>
      <c r="C612" s="5" t="s">
        <v>1653</v>
      </c>
      <c r="D612" s="5" t="s">
        <v>2578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1654</v>
      </c>
      <c r="C613" s="5" t="s">
        <v>1655</v>
      </c>
      <c r="D613" s="5" t="s">
        <v>1128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1656</v>
      </c>
      <c r="C614" s="5" t="s">
        <v>1657</v>
      </c>
      <c r="D614" s="5" t="s">
        <v>1132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1658</v>
      </c>
      <c r="C615" s="5" t="s">
        <v>1659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1660</v>
      </c>
      <c r="C616" s="5" t="s">
        <v>1661</v>
      </c>
      <c r="D616" s="5" t="s">
        <v>1128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1662</v>
      </c>
      <c r="C617" s="5" t="s">
        <v>1663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1664</v>
      </c>
      <c r="C618" s="5" t="s">
        <v>1665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1666</v>
      </c>
      <c r="C619" s="5" t="s">
        <v>1667</v>
      </c>
      <c r="D619" s="5" t="s">
        <v>1126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1668</v>
      </c>
      <c r="C620" s="5" t="s">
        <v>1669</v>
      </c>
      <c r="D620" s="5" t="s">
        <v>510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1670</v>
      </c>
      <c r="C621" s="5" t="s">
        <v>1671</v>
      </c>
      <c r="D621" s="5" t="s">
        <v>2575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1672</v>
      </c>
      <c r="C622" s="5" t="s">
        <v>1673</v>
      </c>
      <c r="D622" s="5" t="s">
        <v>1128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1674</v>
      </c>
      <c r="C623" s="5" t="s">
        <v>1675</v>
      </c>
      <c r="D623" s="5" t="s">
        <v>1132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1676</v>
      </c>
      <c r="C624" s="5" t="s">
        <v>1677</v>
      </c>
      <c r="D624" s="5" t="s">
        <v>772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1678</v>
      </c>
      <c r="C625" s="5" t="s">
        <v>1679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1680</v>
      </c>
      <c r="C626" s="5" t="s">
        <v>1681</v>
      </c>
      <c r="D626" s="5" t="s">
        <v>538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1682</v>
      </c>
      <c r="C627" s="5" t="s">
        <v>1683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1684</v>
      </c>
      <c r="C628" s="5" t="s">
        <v>1685</v>
      </c>
      <c r="D628" s="5" t="s">
        <v>958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1686</v>
      </c>
      <c r="C629" s="5" t="s">
        <v>1687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1688</v>
      </c>
      <c r="C630" s="5" t="s">
        <v>1689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1690</v>
      </c>
      <c r="C631" s="5" t="s">
        <v>1691</v>
      </c>
      <c r="D631" s="5" t="s">
        <v>1133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1692</v>
      </c>
      <c r="C632" s="5" t="s">
        <v>1693</v>
      </c>
      <c r="D632" s="5" t="s">
        <v>1130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1694</v>
      </c>
      <c r="C633" s="5" t="s">
        <v>1695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1696</v>
      </c>
      <c r="C634" s="5" t="s">
        <v>1697</v>
      </c>
      <c r="D634" s="5" t="s">
        <v>1133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1698</v>
      </c>
      <c r="C635" s="5" t="s">
        <v>1699</v>
      </c>
      <c r="D635" s="5" t="s">
        <v>1132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909</v>
      </c>
      <c r="C636" s="5" t="s">
        <v>910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1700</v>
      </c>
      <c r="C637" s="5" t="s">
        <v>1701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1702</v>
      </c>
      <c r="C638" s="5" t="s">
        <v>1703</v>
      </c>
      <c r="D638" s="5" t="s">
        <v>1132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1704</v>
      </c>
      <c r="C639" s="5" t="s">
        <v>1705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1706</v>
      </c>
      <c r="C640" s="5" t="s">
        <v>1707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1012</v>
      </c>
      <c r="C641" s="5" t="s">
        <v>1013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1708</v>
      </c>
      <c r="C642" s="5" t="s">
        <v>1709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1710</v>
      </c>
      <c r="C643" s="5" t="s">
        <v>1711</v>
      </c>
      <c r="D643" s="5" t="s">
        <v>1128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1712</v>
      </c>
      <c r="C644" s="5" t="s">
        <v>1713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1714</v>
      </c>
      <c r="C645" s="5" t="s">
        <v>1715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1716</v>
      </c>
      <c r="C646" s="5" t="s">
        <v>1717</v>
      </c>
      <c r="D646" s="5" t="s">
        <v>1127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1718</v>
      </c>
      <c r="C647" s="5" t="s">
        <v>1719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1720</v>
      </c>
      <c r="C648" s="5" t="s">
        <v>1721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ref="A649:A712" si="16">+A648+1</f>
        <v>646</v>
      </c>
      <c r="B649" s="5" t="s">
        <v>1722</v>
      </c>
      <c r="C649" s="5" t="s">
        <v>1723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1724</v>
      </c>
      <c r="C650" s="5" t="s">
        <v>1724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1725</v>
      </c>
      <c r="C651" s="5" t="s">
        <v>1726</v>
      </c>
      <c r="D651" s="5" t="s">
        <v>2579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1727</v>
      </c>
      <c r="C652" s="5" t="s">
        <v>1728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1729</v>
      </c>
      <c r="C653" s="5" t="s">
        <v>1730</v>
      </c>
      <c r="D653" s="5" t="s">
        <v>772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1731</v>
      </c>
      <c r="C654" s="5" t="s">
        <v>1732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1016</v>
      </c>
      <c r="C655" s="5" t="s">
        <v>1017</v>
      </c>
      <c r="D655" s="5" t="s">
        <v>772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1733</v>
      </c>
      <c r="C656" s="5" t="s">
        <v>1734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1735</v>
      </c>
      <c r="C657" s="5" t="s">
        <v>1736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1737</v>
      </c>
      <c r="C658" s="5" t="s">
        <v>1738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1739</v>
      </c>
      <c r="C659" s="5" t="s">
        <v>1740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1741</v>
      </c>
      <c r="C660" s="5" t="s">
        <v>1742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1743</v>
      </c>
      <c r="C661" s="5" t="s">
        <v>1744</v>
      </c>
      <c r="D661" s="5" t="s">
        <v>1129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1745</v>
      </c>
      <c r="C662" s="5" t="s">
        <v>1746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1747</v>
      </c>
      <c r="C663" s="5" t="s">
        <v>1748</v>
      </c>
      <c r="D663" s="5" t="s">
        <v>1127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1749</v>
      </c>
      <c r="C664" s="5" t="s">
        <v>1750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1751</v>
      </c>
      <c r="C665" s="5" t="s">
        <v>1752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1753</v>
      </c>
      <c r="C666" s="5" t="s">
        <v>1754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1755</v>
      </c>
      <c r="C667" s="5" t="s">
        <v>1756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1757</v>
      </c>
      <c r="C668" s="5" t="s">
        <v>1758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1759</v>
      </c>
      <c r="C669" s="5" t="s">
        <v>1760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1761</v>
      </c>
      <c r="C670" s="5" t="s">
        <v>1762</v>
      </c>
      <c r="D670" s="5" t="s">
        <v>538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1763</v>
      </c>
      <c r="C671" s="5" t="s">
        <v>1764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1765</v>
      </c>
      <c r="C672" s="5" t="s">
        <v>1766</v>
      </c>
      <c r="D672" s="5" t="s">
        <v>1126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1767</v>
      </c>
      <c r="C673" s="5" t="s">
        <v>1768</v>
      </c>
      <c r="D673" s="5" t="s">
        <v>1132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1769</v>
      </c>
      <c r="C674" s="5" t="s">
        <v>1770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1022</v>
      </c>
      <c r="C675" s="5" t="s">
        <v>1023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1771</v>
      </c>
      <c r="C676" s="5" t="s">
        <v>1772</v>
      </c>
      <c r="D676" s="5" t="s">
        <v>2578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1773</v>
      </c>
      <c r="C677" s="5" t="s">
        <v>1774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1775</v>
      </c>
      <c r="C678" s="5" t="s">
        <v>1776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1777</v>
      </c>
      <c r="C679" s="5" t="s">
        <v>889</v>
      </c>
      <c r="D679" s="5" t="s">
        <v>770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1778</v>
      </c>
      <c r="C680" s="5" t="s">
        <v>1779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1780</v>
      </c>
      <c r="C681" s="5" t="s">
        <v>1781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1782</v>
      </c>
      <c r="C682" s="5" t="s">
        <v>1783</v>
      </c>
      <c r="D682" s="5" t="s">
        <v>770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1784</v>
      </c>
      <c r="C683" s="5" t="s">
        <v>1785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1786</v>
      </c>
      <c r="C684" s="5" t="s">
        <v>1787</v>
      </c>
      <c r="D684" s="5" t="s">
        <v>510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1788</v>
      </c>
      <c r="C685" s="5" t="s">
        <v>1789</v>
      </c>
      <c r="D685" s="5" t="s">
        <v>1126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1790</v>
      </c>
      <c r="C686" s="5" t="s">
        <v>1791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1030</v>
      </c>
      <c r="C687" s="5" t="s">
        <v>1031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1792</v>
      </c>
      <c r="C688" s="5" t="s">
        <v>1793</v>
      </c>
      <c r="D688" s="5" t="s">
        <v>2572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1794</v>
      </c>
      <c r="C689" s="5" t="s">
        <v>1795</v>
      </c>
      <c r="D689" s="5" t="s">
        <v>958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1796</v>
      </c>
      <c r="C690" s="5" t="s">
        <v>1797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1798</v>
      </c>
      <c r="C691" s="5" t="s">
        <v>1799</v>
      </c>
      <c r="D691" s="5" t="s">
        <v>1126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1032</v>
      </c>
      <c r="C692" s="5" t="s">
        <v>1033</v>
      </c>
      <c r="D692" s="5" t="s">
        <v>772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1800</v>
      </c>
      <c r="C693" s="5" t="s">
        <v>1801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1802</v>
      </c>
      <c r="C694" s="5" t="s">
        <v>1803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1804</v>
      </c>
      <c r="C695" s="5" t="s">
        <v>1805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1806</v>
      </c>
      <c r="C696" s="5" t="s">
        <v>1807</v>
      </c>
      <c r="D696" s="5" t="s">
        <v>1126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1808</v>
      </c>
      <c r="C697" s="5" t="s">
        <v>1809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1810</v>
      </c>
      <c r="C698" s="5" t="s">
        <v>1811</v>
      </c>
      <c r="D698" s="5" t="s">
        <v>1133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1034</v>
      </c>
      <c r="C699" s="5" t="s">
        <v>1035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1812</v>
      </c>
      <c r="C700" s="5" t="s">
        <v>1813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1814</v>
      </c>
      <c r="C701" s="5" t="s">
        <v>1815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1816</v>
      </c>
      <c r="C702" s="5" t="s">
        <v>1817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1818</v>
      </c>
      <c r="C703" s="5" t="s">
        <v>1819</v>
      </c>
      <c r="D703" s="5" t="s">
        <v>1133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1820</v>
      </c>
      <c r="C704" s="5" t="s">
        <v>1821</v>
      </c>
      <c r="D704" s="5" t="s">
        <v>772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1822</v>
      </c>
      <c r="C705" s="5" t="s">
        <v>1823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1824</v>
      </c>
      <c r="C706" s="5" t="s">
        <v>1825</v>
      </c>
      <c r="D706" s="5" t="s">
        <v>1126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1826</v>
      </c>
      <c r="C707" s="5" t="s">
        <v>1827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1828</v>
      </c>
      <c r="C708" s="5" t="s">
        <v>1829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1830</v>
      </c>
      <c r="C709" s="5" t="s">
        <v>1831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1832</v>
      </c>
      <c r="C710" s="5" t="s">
        <v>1833</v>
      </c>
      <c r="D710" s="5" t="s">
        <v>2582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1834</v>
      </c>
      <c r="C711" s="5" t="s">
        <v>1835</v>
      </c>
      <c r="D711" s="5" t="s">
        <v>1132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1836</v>
      </c>
      <c r="C712" s="5" t="s">
        <v>1837</v>
      </c>
      <c r="D712" s="5" t="s">
        <v>1128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ref="A713:A776" si="17">+A712+1</f>
        <v>710</v>
      </c>
      <c r="B713" s="5" t="s">
        <v>1838</v>
      </c>
      <c r="C713" s="5" t="s">
        <v>1839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1840</v>
      </c>
      <c r="C714" s="5" t="s">
        <v>1841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1842</v>
      </c>
      <c r="C715" s="5" t="s">
        <v>1843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1844</v>
      </c>
      <c r="C716" s="5" t="s">
        <v>1845</v>
      </c>
      <c r="D716" s="5" t="s">
        <v>538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1846</v>
      </c>
      <c r="C717" s="5" t="s">
        <v>1847</v>
      </c>
      <c r="D717" s="5" t="s">
        <v>770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1848</v>
      </c>
      <c r="C718" s="5" t="s">
        <v>1849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1850</v>
      </c>
      <c r="C719" s="5" t="s">
        <v>1851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1852</v>
      </c>
      <c r="C720" s="5" t="s">
        <v>1853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1854</v>
      </c>
      <c r="C721" s="5" t="s">
        <v>1855</v>
      </c>
      <c r="D721" s="5" t="s">
        <v>1133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1856</v>
      </c>
      <c r="C722" s="5" t="s">
        <v>1857</v>
      </c>
      <c r="D722" s="5" t="s">
        <v>510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1858</v>
      </c>
      <c r="C723" s="5" t="s">
        <v>1859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1860</v>
      </c>
      <c r="C724" s="5" t="s">
        <v>1861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1862</v>
      </c>
      <c r="C725" s="5" t="s">
        <v>1863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1864</v>
      </c>
      <c r="C726" s="5" t="s">
        <v>1865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1866</v>
      </c>
      <c r="C727" s="5" t="s">
        <v>1867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1868</v>
      </c>
      <c r="C728" s="5" t="s">
        <v>1869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1870</v>
      </c>
      <c r="C729" s="5" t="s">
        <v>1871</v>
      </c>
      <c r="D729" s="5" t="s">
        <v>1132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1872</v>
      </c>
      <c r="C730" s="5" t="s">
        <v>1873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1874</v>
      </c>
      <c r="C731" s="5" t="s">
        <v>1875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1038</v>
      </c>
      <c r="C732" s="5" t="s">
        <v>1039</v>
      </c>
      <c r="D732" s="5" t="s">
        <v>538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1876</v>
      </c>
      <c r="C733" s="5" t="s">
        <v>1877</v>
      </c>
      <c r="D733" s="5" t="s">
        <v>958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1878</v>
      </c>
      <c r="C734" s="5" t="s">
        <v>1879</v>
      </c>
      <c r="D734" s="5" t="s">
        <v>1129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1880</v>
      </c>
      <c r="C735" s="5" t="s">
        <v>1881</v>
      </c>
      <c r="D735" s="5" t="s">
        <v>958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1882</v>
      </c>
      <c r="C736" s="5" t="s">
        <v>1883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1884</v>
      </c>
      <c r="C737" s="5" t="s">
        <v>1885</v>
      </c>
      <c r="D737" s="5" t="s">
        <v>770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1886</v>
      </c>
      <c r="C738" s="5" t="s">
        <v>1887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1888</v>
      </c>
      <c r="C739" s="5" t="s">
        <v>1889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1890</v>
      </c>
      <c r="C740" s="5" t="s">
        <v>1891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1892</v>
      </c>
      <c r="C741" s="5" t="s">
        <v>1893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1894</v>
      </c>
      <c r="C742" s="5" t="s">
        <v>1895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1896</v>
      </c>
      <c r="C743" s="5" t="s">
        <v>1897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1898</v>
      </c>
      <c r="C744" s="5" t="s">
        <v>1899</v>
      </c>
      <c r="D744" s="5" t="s">
        <v>770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1900</v>
      </c>
      <c r="C745" s="5" t="s">
        <v>1901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1902</v>
      </c>
      <c r="C746" s="5" t="s">
        <v>1903</v>
      </c>
      <c r="D746" s="5" t="s">
        <v>1130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1904</v>
      </c>
      <c r="C747" s="5" t="s">
        <v>1905</v>
      </c>
      <c r="D747" s="5" t="s">
        <v>1132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1906</v>
      </c>
      <c r="C748" s="5" t="s">
        <v>1907</v>
      </c>
      <c r="D748" s="5" t="s">
        <v>1126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1908</v>
      </c>
      <c r="C749" s="5" t="s">
        <v>1909</v>
      </c>
      <c r="D749" s="5" t="s">
        <v>2575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1910</v>
      </c>
      <c r="C750" s="5" t="s">
        <v>1911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1912</v>
      </c>
      <c r="C751" s="5" t="s">
        <v>1913</v>
      </c>
      <c r="D751" s="5" t="s">
        <v>2572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1914</v>
      </c>
      <c r="C752" s="5" t="s">
        <v>1915</v>
      </c>
      <c r="D752" s="5" t="s">
        <v>770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1916</v>
      </c>
      <c r="C753" s="5" t="s">
        <v>1917</v>
      </c>
      <c r="D753" s="5" t="s">
        <v>1132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1918</v>
      </c>
      <c r="C754" s="5" t="s">
        <v>1919</v>
      </c>
      <c r="D754" s="5" t="s">
        <v>958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1920</v>
      </c>
      <c r="C755" s="5" t="s">
        <v>1921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1922</v>
      </c>
      <c r="C756" s="5" t="s">
        <v>1923</v>
      </c>
      <c r="D756" s="5" t="s">
        <v>1130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1924</v>
      </c>
      <c r="C757" s="5" t="s">
        <v>1925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1926</v>
      </c>
      <c r="C758" s="5" t="s">
        <v>1927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1928</v>
      </c>
      <c r="C759" s="5" t="s">
        <v>1929</v>
      </c>
      <c r="D759" s="5" t="s">
        <v>1132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1930</v>
      </c>
      <c r="C760" s="5" t="s">
        <v>1931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1932</v>
      </c>
      <c r="C761" s="5" t="s">
        <v>1933</v>
      </c>
      <c r="D761" s="5" t="s">
        <v>1132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1934</v>
      </c>
      <c r="C762" s="5" t="s">
        <v>1935</v>
      </c>
      <c r="D762" s="5" t="s">
        <v>1128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1936</v>
      </c>
      <c r="C763" s="5" t="s">
        <v>1937</v>
      </c>
      <c r="D763" s="5" t="s">
        <v>2579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1938</v>
      </c>
      <c r="C764" s="5" t="s">
        <v>1939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1940</v>
      </c>
      <c r="C765" s="5" t="s">
        <v>1941</v>
      </c>
      <c r="D765" s="5" t="s">
        <v>510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1942</v>
      </c>
      <c r="C766" s="5" t="s">
        <v>1943</v>
      </c>
      <c r="D766" s="5" t="s">
        <v>1133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1944</v>
      </c>
      <c r="C767" s="5" t="s">
        <v>1945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1946</v>
      </c>
      <c r="C768" s="5" t="s">
        <v>1947</v>
      </c>
      <c r="D768" s="5" t="s">
        <v>2578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1948</v>
      </c>
      <c r="C769" s="5" t="s">
        <v>1949</v>
      </c>
      <c r="D769" s="5" t="s">
        <v>772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1950</v>
      </c>
      <c r="C770" s="5" t="s">
        <v>1951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1952</v>
      </c>
      <c r="C771" s="5" t="s">
        <v>1953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1954</v>
      </c>
      <c r="C772" s="5" t="s">
        <v>1955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1956</v>
      </c>
      <c r="C773" s="5" t="s">
        <v>1957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1958</v>
      </c>
      <c r="C774" s="5" t="s">
        <v>107</v>
      </c>
      <c r="D774" s="5" t="s">
        <v>770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1959</v>
      </c>
      <c r="C775" s="5" t="s">
        <v>1960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1044</v>
      </c>
      <c r="C776" s="5" t="s">
        <v>1045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ref="A777:A840" si="18">+A776+1</f>
        <v>774</v>
      </c>
      <c r="B777" s="5" t="s">
        <v>1046</v>
      </c>
      <c r="C777" s="5" t="s">
        <v>1047</v>
      </c>
      <c r="D777" s="5" t="s">
        <v>510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1961</v>
      </c>
      <c r="C778" s="5" t="s">
        <v>1962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1963</v>
      </c>
      <c r="C779" s="5" t="s">
        <v>1964</v>
      </c>
      <c r="D779" s="5" t="s">
        <v>1128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1965</v>
      </c>
      <c r="C780" s="5" t="s">
        <v>1966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1967</v>
      </c>
      <c r="C781" s="5" t="s">
        <v>1968</v>
      </c>
      <c r="D781" s="5" t="s">
        <v>770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1969</v>
      </c>
      <c r="C782" s="5" t="s">
        <v>1970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1971</v>
      </c>
      <c r="C783" s="5" t="s">
        <v>1972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1973</v>
      </c>
      <c r="C784" s="5" t="s">
        <v>1974</v>
      </c>
      <c r="D784" s="5" t="s">
        <v>1126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1975</v>
      </c>
      <c r="C785" s="5" t="s">
        <v>1976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1977</v>
      </c>
      <c r="C786" s="5" t="s">
        <v>1978</v>
      </c>
      <c r="D786" s="5" t="s">
        <v>772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1979</v>
      </c>
      <c r="C787" s="5" t="s">
        <v>1980</v>
      </c>
      <c r="D787" s="5" t="s">
        <v>1128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1981</v>
      </c>
      <c r="C788" s="5" t="s">
        <v>1982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1983</v>
      </c>
      <c r="C789" s="5" t="s">
        <v>1984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1985</v>
      </c>
      <c r="C790" s="5" t="s">
        <v>1986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1987</v>
      </c>
      <c r="C791" s="5" t="s">
        <v>1988</v>
      </c>
      <c r="D791" s="5" t="s">
        <v>1128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1989</v>
      </c>
      <c r="C792" s="5" t="s">
        <v>1990</v>
      </c>
      <c r="D792" s="5" t="s">
        <v>1132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1991</v>
      </c>
      <c r="C793" s="5" t="s">
        <v>1992</v>
      </c>
      <c r="D793" s="5" t="s">
        <v>1132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1993</v>
      </c>
      <c r="C794" s="5" t="s">
        <v>1994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1995</v>
      </c>
      <c r="C795" s="5" t="s">
        <v>1996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1997</v>
      </c>
      <c r="C796" s="5" t="s">
        <v>1998</v>
      </c>
      <c r="D796" s="5" t="s">
        <v>510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1999</v>
      </c>
      <c r="C797" s="5" t="s">
        <v>2000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2001</v>
      </c>
      <c r="C798" s="5" t="s">
        <v>2002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2003</v>
      </c>
      <c r="C799" s="5" t="s">
        <v>2004</v>
      </c>
      <c r="D799" s="5" t="s">
        <v>2572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2005</v>
      </c>
      <c r="C800" s="5" t="s">
        <v>2006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2007</v>
      </c>
      <c r="C801" s="5" t="s">
        <v>2008</v>
      </c>
      <c r="D801" s="5" t="s">
        <v>1132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2009</v>
      </c>
      <c r="C802" s="5" t="s">
        <v>2010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2011</v>
      </c>
      <c r="C803" s="5" t="s">
        <v>2012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2013</v>
      </c>
      <c r="C804" s="5" t="s">
        <v>2014</v>
      </c>
      <c r="D804" s="5" t="s">
        <v>770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2015</v>
      </c>
      <c r="C805" s="5" t="s">
        <v>2016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2017</v>
      </c>
      <c r="C806" s="5" t="s">
        <v>2018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2019</v>
      </c>
      <c r="C807" s="5" t="s">
        <v>2020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2021</v>
      </c>
      <c r="C808" s="5" t="s">
        <v>2022</v>
      </c>
      <c r="D808" s="5" t="s">
        <v>1130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2023</v>
      </c>
      <c r="C809" s="5" t="s">
        <v>2024</v>
      </c>
      <c r="D809" s="5" t="s">
        <v>1133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2025</v>
      </c>
      <c r="C810" s="5" t="s">
        <v>2026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2027</v>
      </c>
      <c r="C811" s="5" t="s">
        <v>2028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2029</v>
      </c>
      <c r="C812" s="5" t="s">
        <v>2030</v>
      </c>
      <c r="D812" s="5" t="s">
        <v>1128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2031</v>
      </c>
      <c r="C813" s="5" t="s">
        <v>2032</v>
      </c>
      <c r="D813" s="5" t="s">
        <v>1133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2033</v>
      </c>
      <c r="C814" s="5" t="s">
        <v>2034</v>
      </c>
      <c r="D814" s="5" t="s">
        <v>2581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2035</v>
      </c>
      <c r="C815" s="5" t="s">
        <v>2036</v>
      </c>
      <c r="D815" s="5" t="s">
        <v>1132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2037</v>
      </c>
      <c r="C816" s="5" t="s">
        <v>2038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2039</v>
      </c>
      <c r="C817" s="5" t="s">
        <v>2040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2041</v>
      </c>
      <c r="C818" s="5" t="s">
        <v>2042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2043</v>
      </c>
      <c r="C819" s="5" t="s">
        <v>2044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2045</v>
      </c>
      <c r="C820" s="5" t="s">
        <v>2046</v>
      </c>
      <c r="D820" s="5" t="s">
        <v>772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2047</v>
      </c>
      <c r="C821" s="5" t="s">
        <v>2048</v>
      </c>
      <c r="D821" s="5" t="s">
        <v>1128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2049</v>
      </c>
      <c r="C822" s="5" t="s">
        <v>2050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2051</v>
      </c>
      <c r="C823" s="5" t="s">
        <v>2052</v>
      </c>
      <c r="D823" s="5" t="s">
        <v>2573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2053</v>
      </c>
      <c r="C824" s="5" t="s">
        <v>2054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2055</v>
      </c>
      <c r="C825" s="5" t="s">
        <v>2056</v>
      </c>
      <c r="D825" s="5" t="s">
        <v>510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2057</v>
      </c>
      <c r="C826" s="5" t="s">
        <v>2058</v>
      </c>
      <c r="D826" s="5" t="s">
        <v>1129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2059</v>
      </c>
      <c r="C827" s="5" t="s">
        <v>2060</v>
      </c>
      <c r="D827" s="5" t="s">
        <v>1126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2061</v>
      </c>
      <c r="C828" s="5" t="s">
        <v>2062</v>
      </c>
      <c r="D828" s="5" t="s">
        <v>1126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2063</v>
      </c>
      <c r="C829" s="5" t="s">
        <v>2064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2065</v>
      </c>
      <c r="C830" s="5" t="s">
        <v>2066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2067</v>
      </c>
      <c r="C831" s="5" t="s">
        <v>2068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2069</v>
      </c>
      <c r="C832" s="5" t="s">
        <v>2070</v>
      </c>
      <c r="D832" s="5" t="s">
        <v>1132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2071</v>
      </c>
      <c r="C833" s="5" t="s">
        <v>2072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2073</v>
      </c>
      <c r="C834" s="5" t="s">
        <v>2074</v>
      </c>
      <c r="D834" s="5" t="s">
        <v>2580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2075</v>
      </c>
      <c r="C835" s="5" t="s">
        <v>2076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2077</v>
      </c>
      <c r="C836" s="5" t="s">
        <v>2078</v>
      </c>
      <c r="D836" s="5" t="s">
        <v>1132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2079</v>
      </c>
      <c r="C837" s="5" t="s">
        <v>2080</v>
      </c>
      <c r="D837" s="5" t="s">
        <v>2572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2081</v>
      </c>
      <c r="C838" s="5" t="s">
        <v>2082</v>
      </c>
      <c r="D838" s="5" t="s">
        <v>2579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2083</v>
      </c>
      <c r="C839" s="5" t="s">
        <v>2084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2085</v>
      </c>
      <c r="C840" s="5" t="s">
        <v>2086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ref="A841:A904" si="19">+A840+1</f>
        <v>838</v>
      </c>
      <c r="B841" s="5" t="s">
        <v>2087</v>
      </c>
      <c r="C841" s="5" t="s">
        <v>2088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2089</v>
      </c>
      <c r="C842" s="5" t="s">
        <v>2090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2091</v>
      </c>
      <c r="C843" s="5" t="s">
        <v>2092</v>
      </c>
      <c r="D843" s="5" t="s">
        <v>1133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2093</v>
      </c>
      <c r="C844" s="5" t="s">
        <v>2094</v>
      </c>
      <c r="D844" s="5" t="s">
        <v>538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2095</v>
      </c>
      <c r="C845" s="5" t="s">
        <v>2096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2097</v>
      </c>
      <c r="C846" s="5" t="s">
        <v>2098</v>
      </c>
      <c r="D846" s="5" t="s">
        <v>1126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2099</v>
      </c>
      <c r="C847" s="5" t="s">
        <v>2100</v>
      </c>
      <c r="D847" s="5" t="s">
        <v>1129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2101</v>
      </c>
      <c r="C848" s="5" t="s">
        <v>2102</v>
      </c>
      <c r="D848" s="5" t="s">
        <v>1126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1058</v>
      </c>
      <c r="C849" s="5" t="s">
        <v>1059</v>
      </c>
      <c r="D849" s="5" t="s">
        <v>770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2103</v>
      </c>
      <c r="C850" s="5" t="s">
        <v>2104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2105</v>
      </c>
      <c r="C851" s="5" t="s">
        <v>2106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2107</v>
      </c>
      <c r="C852" s="5" t="s">
        <v>2108</v>
      </c>
      <c r="D852" s="5" t="s">
        <v>510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2109</v>
      </c>
      <c r="C853" s="5" t="s">
        <v>2110</v>
      </c>
      <c r="D853" s="5" t="s">
        <v>1132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2111</v>
      </c>
      <c r="C854" s="5" t="s">
        <v>2112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2113</v>
      </c>
      <c r="C855" s="5" t="s">
        <v>2114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2115</v>
      </c>
      <c r="C856" s="5" t="s">
        <v>2116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2117</v>
      </c>
      <c r="C857" s="5" t="s">
        <v>2118</v>
      </c>
      <c r="D857" s="5" t="s">
        <v>538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2119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2120</v>
      </c>
      <c r="C859" s="5" t="s">
        <v>2121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2122</v>
      </c>
      <c r="C860" s="5" t="s">
        <v>2123</v>
      </c>
      <c r="D860" s="5" t="s">
        <v>510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2124</v>
      </c>
      <c r="C861" s="5" t="s">
        <v>2125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2126</v>
      </c>
      <c r="C862" s="5" t="s">
        <v>2127</v>
      </c>
      <c r="D862" s="5" t="s">
        <v>1126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2128</v>
      </c>
      <c r="C863" s="5" t="s">
        <v>2129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2130</v>
      </c>
      <c r="C864" s="5" t="s">
        <v>2131</v>
      </c>
      <c r="D864" s="5" t="s">
        <v>510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2132</v>
      </c>
      <c r="C865" s="5" t="s">
        <v>2133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2134</v>
      </c>
      <c r="C866" s="5" t="s">
        <v>2135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2136</v>
      </c>
      <c r="C867" s="5" t="s">
        <v>2137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2138</v>
      </c>
      <c r="C868" s="5" t="s">
        <v>2139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2140</v>
      </c>
      <c r="C869" s="5" t="s">
        <v>2141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2142</v>
      </c>
      <c r="C870" s="5" t="s">
        <v>2143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2144</v>
      </c>
      <c r="C871" s="5" t="s">
        <v>2145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2146</v>
      </c>
      <c r="C872" s="5" t="s">
        <v>2147</v>
      </c>
      <c r="D872" s="5" t="s">
        <v>1128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2148</v>
      </c>
      <c r="C873" s="5" t="s">
        <v>2149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2150</v>
      </c>
      <c r="C874" s="5" t="s">
        <v>2151</v>
      </c>
      <c r="D874" s="5" t="s">
        <v>510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2152</v>
      </c>
      <c r="C875" s="5" t="s">
        <v>2153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2154</v>
      </c>
      <c r="C876" s="5" t="s">
        <v>2155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2156</v>
      </c>
      <c r="C877" s="5" t="s">
        <v>2157</v>
      </c>
      <c r="D877" s="5" t="s">
        <v>2572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2158</v>
      </c>
      <c r="C878" s="5" t="s">
        <v>2159</v>
      </c>
      <c r="D878" s="5" t="s">
        <v>2577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2160</v>
      </c>
      <c r="C879" s="5" t="s">
        <v>2161</v>
      </c>
      <c r="D879" s="5" t="s">
        <v>1132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2162</v>
      </c>
      <c r="C880" s="5" t="s">
        <v>2163</v>
      </c>
      <c r="D880" s="5" t="s">
        <v>1128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2164</v>
      </c>
      <c r="C881" s="5" t="s">
        <v>2165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2166</v>
      </c>
      <c r="C882" s="5" t="s">
        <v>2167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2168</v>
      </c>
      <c r="C883" s="5" t="s">
        <v>2169</v>
      </c>
      <c r="D883" s="5" t="s">
        <v>1128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2170</v>
      </c>
      <c r="C884" s="5" t="s">
        <v>2171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2172</v>
      </c>
      <c r="C885" s="5" t="s">
        <v>2173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2174</v>
      </c>
      <c r="C886" s="5" t="s">
        <v>2175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2176</v>
      </c>
      <c r="C887" s="5" t="s">
        <v>2177</v>
      </c>
      <c r="D887" s="5" t="s">
        <v>2572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1064</v>
      </c>
      <c r="C888" s="5" t="s">
        <v>1065</v>
      </c>
      <c r="D888" s="5" t="s">
        <v>2575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2178</v>
      </c>
      <c r="C889" s="5" t="s">
        <v>2179</v>
      </c>
      <c r="D889" s="5" t="s">
        <v>770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2180</v>
      </c>
      <c r="C890" s="5" t="s">
        <v>2181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2182</v>
      </c>
      <c r="C891" s="5" t="s">
        <v>2183</v>
      </c>
      <c r="D891" s="5" t="s">
        <v>1133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2184</v>
      </c>
      <c r="C892" s="5" t="s">
        <v>2185</v>
      </c>
      <c r="D892" s="5" t="s">
        <v>603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2186</v>
      </c>
      <c r="C893" s="5" t="s">
        <v>2187</v>
      </c>
      <c r="D893" s="5" t="s">
        <v>770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2188</v>
      </c>
      <c r="C894" s="5" t="s">
        <v>2189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2190</v>
      </c>
      <c r="C895" s="5" t="s">
        <v>2191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2192</v>
      </c>
      <c r="C896" s="5" t="s">
        <v>2193</v>
      </c>
      <c r="D896" s="5" t="s">
        <v>770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2194</v>
      </c>
      <c r="C897" s="5" t="s">
        <v>2195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2196</v>
      </c>
      <c r="C898" s="5" t="s">
        <v>2197</v>
      </c>
      <c r="D898" s="5" t="s">
        <v>1128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2198</v>
      </c>
      <c r="C899" s="5" t="s">
        <v>2199</v>
      </c>
      <c r="D899" s="5" t="s">
        <v>1133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2200</v>
      </c>
      <c r="C900" s="5" t="s">
        <v>2201</v>
      </c>
      <c r="D900" s="5" t="s">
        <v>770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2202</v>
      </c>
      <c r="C901" s="5" t="s">
        <v>2203</v>
      </c>
      <c r="D901" s="5" t="s">
        <v>2578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2204</v>
      </c>
      <c r="C902" s="5" t="s">
        <v>2205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2206</v>
      </c>
      <c r="C903" s="5" t="s">
        <v>2207</v>
      </c>
      <c r="D903" s="5" t="s">
        <v>538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2208</v>
      </c>
      <c r="C904" s="5" t="s">
        <v>2209</v>
      </c>
      <c r="D904" s="5" t="s">
        <v>770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ref="A905:A968" si="20">+A904+1</f>
        <v>902</v>
      </c>
      <c r="B905" s="5" t="s">
        <v>2210</v>
      </c>
      <c r="C905" s="5" t="s">
        <v>2211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2212</v>
      </c>
      <c r="C906" s="5" t="s">
        <v>2213</v>
      </c>
      <c r="D906" s="5" t="s">
        <v>1128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2214</v>
      </c>
      <c r="C907" s="5" t="s">
        <v>2215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2216</v>
      </c>
      <c r="C908" s="5" t="s">
        <v>2217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2218</v>
      </c>
      <c r="C909" s="5" t="s">
        <v>2219</v>
      </c>
      <c r="D909" s="5" t="s">
        <v>1133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2220</v>
      </c>
      <c r="C910" s="5" t="s">
        <v>2221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2222</v>
      </c>
      <c r="C911" s="5" t="s">
        <v>2223</v>
      </c>
      <c r="D911" s="5" t="s">
        <v>510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2224</v>
      </c>
      <c r="C912" s="5" t="s">
        <v>2225</v>
      </c>
      <c r="D912" s="5" t="s">
        <v>1133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2226</v>
      </c>
      <c r="C913" s="5" t="s">
        <v>2227</v>
      </c>
      <c r="D913" s="5" t="s">
        <v>538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2228</v>
      </c>
      <c r="C914" s="5" t="s">
        <v>2229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2230</v>
      </c>
      <c r="C915" s="5" t="s">
        <v>2231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2232</v>
      </c>
      <c r="C916" s="5" t="s">
        <v>2233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2234</v>
      </c>
      <c r="C917" s="5" t="s">
        <v>2235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2236</v>
      </c>
      <c r="C918" s="5" t="s">
        <v>2237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2238</v>
      </c>
      <c r="C919" s="5" t="s">
        <v>2239</v>
      </c>
      <c r="D919" s="5" t="s">
        <v>2577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2240</v>
      </c>
      <c r="C920" s="5" t="s">
        <v>2241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2242</v>
      </c>
      <c r="C921" s="5" t="s">
        <v>2243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2244</v>
      </c>
      <c r="C922" s="5" t="s">
        <v>2245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2246</v>
      </c>
      <c r="C923" s="5" t="s">
        <v>2247</v>
      </c>
      <c r="D923" s="5" t="s">
        <v>1132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2248</v>
      </c>
      <c r="C924" s="5" t="s">
        <v>2249</v>
      </c>
      <c r="D924" s="5" t="s">
        <v>1128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2250</v>
      </c>
      <c r="C925" s="5" t="s">
        <v>2251</v>
      </c>
      <c r="D925" s="5" t="s">
        <v>510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2252</v>
      </c>
      <c r="C926" s="5" t="s">
        <v>2253</v>
      </c>
      <c r="D926" s="5" t="s">
        <v>1132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2254</v>
      </c>
      <c r="C927" s="5" t="s">
        <v>2255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2256</v>
      </c>
      <c r="C928" s="5" t="s">
        <v>2257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2258</v>
      </c>
      <c r="C929" s="5" t="s">
        <v>2259</v>
      </c>
      <c r="D929" s="5" t="s">
        <v>2575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2260</v>
      </c>
      <c r="C930" s="5" t="s">
        <v>2261</v>
      </c>
      <c r="D930" s="5" t="s">
        <v>510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2262</v>
      </c>
      <c r="C931" s="5" t="s">
        <v>2263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2264</v>
      </c>
      <c r="C932" s="5" t="s">
        <v>2265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2266</v>
      </c>
      <c r="C933" s="5" t="s">
        <v>2267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2268</v>
      </c>
      <c r="C934" s="5" t="s">
        <v>2269</v>
      </c>
      <c r="D934" s="5" t="s">
        <v>2577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2270</v>
      </c>
      <c r="C935" s="5" t="s">
        <v>2271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2272</v>
      </c>
      <c r="C936" s="5" t="s">
        <v>2273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1076</v>
      </c>
      <c r="C937" s="5" t="s">
        <v>1077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2274</v>
      </c>
      <c r="C938" s="5" t="s">
        <v>2275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2276</v>
      </c>
      <c r="C939" s="5" t="s">
        <v>2277</v>
      </c>
      <c r="D939" s="5" t="s">
        <v>770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2278</v>
      </c>
      <c r="C940" s="5" t="s">
        <v>2279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2280</v>
      </c>
      <c r="C941" s="5" t="s">
        <v>2281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2282</v>
      </c>
      <c r="C942" s="5" t="s">
        <v>2283</v>
      </c>
      <c r="D942" s="5" t="s">
        <v>1133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2284</v>
      </c>
      <c r="C943" s="5" t="s">
        <v>2285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2286</v>
      </c>
      <c r="C944" s="5" t="s">
        <v>2287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2288</v>
      </c>
      <c r="C945" s="5" t="s">
        <v>2289</v>
      </c>
      <c r="D945" s="5" t="s">
        <v>510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2290</v>
      </c>
      <c r="C946" s="5" t="s">
        <v>2291</v>
      </c>
      <c r="D946" s="5" t="s">
        <v>1127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2292</v>
      </c>
      <c r="C947" s="5" t="s">
        <v>2293</v>
      </c>
      <c r="D947" s="5" t="s">
        <v>1133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2294</v>
      </c>
      <c r="C948" s="5" t="s">
        <v>2295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2296</v>
      </c>
      <c r="C949" s="5" t="s">
        <v>2297</v>
      </c>
      <c r="D949" s="5" t="s">
        <v>1132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2298</v>
      </c>
      <c r="C950" s="5" t="s">
        <v>2299</v>
      </c>
      <c r="D950" s="5" t="s">
        <v>1133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2300</v>
      </c>
      <c r="C951" s="5" t="s">
        <v>2301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1080</v>
      </c>
      <c r="C952" s="5" t="s">
        <v>1081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2302</v>
      </c>
      <c r="C953" s="5" t="s">
        <v>2303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2304</v>
      </c>
      <c r="C954" s="5" t="s">
        <v>2305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2306</v>
      </c>
      <c r="C955" s="5" t="s">
        <v>2307</v>
      </c>
      <c r="D955" s="5" t="s">
        <v>770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2308</v>
      </c>
      <c r="C956" s="5" t="s">
        <v>2309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2310</v>
      </c>
      <c r="C957" s="5" t="s">
        <v>2311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2312</v>
      </c>
      <c r="C958" s="5" t="s">
        <v>2313</v>
      </c>
      <c r="D958" s="5" t="s">
        <v>1133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2314</v>
      </c>
      <c r="C959" s="5" t="s">
        <v>2315</v>
      </c>
      <c r="D959" s="5" t="s">
        <v>1133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2316</v>
      </c>
      <c r="C960" s="5" t="s">
        <v>2317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2318</v>
      </c>
      <c r="C961" s="5" t="s">
        <v>2319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2320</v>
      </c>
      <c r="C962" s="5" t="s">
        <v>2321</v>
      </c>
      <c r="D962" s="5" t="s">
        <v>1129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1084</v>
      </c>
      <c r="C963" s="5" t="s">
        <v>1085</v>
      </c>
      <c r="D963" s="5" t="s">
        <v>510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1086</v>
      </c>
      <c r="C964" s="5" t="s">
        <v>1087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2322</v>
      </c>
      <c r="C965" s="5" t="s">
        <v>2323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2324</v>
      </c>
      <c r="C966" s="5" t="s">
        <v>2325</v>
      </c>
      <c r="D966" s="5" t="s">
        <v>1133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2326</v>
      </c>
      <c r="C967" s="5" t="s">
        <v>2327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2328</v>
      </c>
      <c r="C968" s="5" t="s">
        <v>2329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ref="A969:A1032" si="21">+A968+1</f>
        <v>966</v>
      </c>
      <c r="B969" s="5" t="s">
        <v>2330</v>
      </c>
      <c r="C969" s="5" t="s">
        <v>2331</v>
      </c>
      <c r="D969" s="5" t="s">
        <v>2576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2332</v>
      </c>
      <c r="C970" s="5" t="s">
        <v>2333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2334</v>
      </c>
      <c r="C971" s="5" t="s">
        <v>2335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2336</v>
      </c>
      <c r="C972" s="5" t="s">
        <v>2337</v>
      </c>
      <c r="D972" s="5" t="s">
        <v>2575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2338</v>
      </c>
      <c r="C973" s="5" t="s">
        <v>2339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2340</v>
      </c>
      <c r="C974" s="5" t="s">
        <v>2341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2342</v>
      </c>
      <c r="C975" s="5" t="s">
        <v>2343</v>
      </c>
      <c r="D975" s="5" t="s">
        <v>1128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2344</v>
      </c>
      <c r="C976" s="5" t="s">
        <v>2345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2346</v>
      </c>
      <c r="C977" s="5" t="s">
        <v>2347</v>
      </c>
      <c r="D977" s="5" t="s">
        <v>1130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2348</v>
      </c>
      <c r="C978" s="5" t="s">
        <v>2349</v>
      </c>
      <c r="D978" s="5" t="s">
        <v>772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2350</v>
      </c>
      <c r="C979" s="5" t="s">
        <v>2351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2352</v>
      </c>
      <c r="C980" s="5" t="s">
        <v>2352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2353</v>
      </c>
      <c r="C981" s="5" t="s">
        <v>2354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2355</v>
      </c>
      <c r="C982" s="5" t="s">
        <v>2356</v>
      </c>
      <c r="D982" s="5" t="s">
        <v>1128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1094</v>
      </c>
      <c r="C983" s="5" t="s">
        <v>1095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2357</v>
      </c>
      <c r="C984" s="5" t="s">
        <v>2358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2359</v>
      </c>
      <c r="C985" s="5" t="s">
        <v>2360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2361</v>
      </c>
      <c r="C986" s="5" t="s">
        <v>2362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2363</v>
      </c>
      <c r="C987" s="5" t="s">
        <v>2364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2365</v>
      </c>
      <c r="C988" s="5" t="s">
        <v>2366</v>
      </c>
      <c r="D988" s="5" t="s">
        <v>770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2367</v>
      </c>
      <c r="C989" s="5" t="s">
        <v>2368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2369</v>
      </c>
      <c r="C990" s="5" t="s">
        <v>2370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2371</v>
      </c>
      <c r="C991" s="5" t="s">
        <v>2372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2373</v>
      </c>
      <c r="C992" s="5" t="s">
        <v>2374</v>
      </c>
      <c r="D992" s="5" t="s">
        <v>1126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2375</v>
      </c>
      <c r="C993" s="5" t="s">
        <v>2376</v>
      </c>
      <c r="D993" s="5" t="s">
        <v>1128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1100</v>
      </c>
      <c r="C994" s="5" t="s">
        <v>1101</v>
      </c>
      <c r="D994" s="5" t="s">
        <v>510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2377</v>
      </c>
      <c r="C995" s="5" t="s">
        <v>2378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2379</v>
      </c>
      <c r="C996" s="5" t="s">
        <v>2380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2381</v>
      </c>
      <c r="C997" s="5" t="s">
        <v>2382</v>
      </c>
      <c r="D997" s="5" t="s">
        <v>2574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2383</v>
      </c>
      <c r="C998" s="5" t="s">
        <v>2384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2385</v>
      </c>
      <c r="C999" s="5" t="s">
        <v>2386</v>
      </c>
      <c r="D999" s="5" t="s">
        <v>770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2387</v>
      </c>
      <c r="C1000" s="5" t="s">
        <v>2388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2389</v>
      </c>
      <c r="C1001" s="5" t="s">
        <v>2390</v>
      </c>
      <c r="D1001" s="5" t="s">
        <v>1133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2391</v>
      </c>
      <c r="C1002" s="5" t="s">
        <v>2392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2393</v>
      </c>
      <c r="C1003" s="5" t="s">
        <v>2394</v>
      </c>
      <c r="D1003" s="5" t="s">
        <v>1133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2395</v>
      </c>
      <c r="C1004" s="5" t="s">
        <v>2396</v>
      </c>
      <c r="D1004" s="5" t="s">
        <v>770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2397</v>
      </c>
      <c r="C1005" s="5" t="s">
        <v>2398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2399</v>
      </c>
      <c r="C1006" s="5" t="s">
        <v>2400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2401</v>
      </c>
      <c r="C1007" s="5" t="s">
        <v>2402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2403</v>
      </c>
      <c r="C1008" s="5" t="s">
        <v>2404</v>
      </c>
      <c r="D1008" s="5" t="s">
        <v>1128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2405</v>
      </c>
      <c r="C1009" s="5" t="s">
        <v>2406</v>
      </c>
      <c r="D1009" s="5" t="s">
        <v>770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2407</v>
      </c>
      <c r="C1010" s="5" t="s">
        <v>2408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2409</v>
      </c>
      <c r="C1011" s="5" t="s">
        <v>2410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2411</v>
      </c>
      <c r="C1012" s="5" t="s">
        <v>2412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2413</v>
      </c>
      <c r="C1013" s="5" t="s">
        <v>2414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2415</v>
      </c>
      <c r="C1014" s="5" t="s">
        <v>2416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2417</v>
      </c>
      <c r="C1015" s="5" t="s">
        <v>2418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2419</v>
      </c>
      <c r="C1016" s="5" t="s">
        <v>2420</v>
      </c>
      <c r="D1016" s="5" t="s">
        <v>510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2421</v>
      </c>
      <c r="C1017" s="5" t="s">
        <v>2422</v>
      </c>
      <c r="D1017" s="5" t="s">
        <v>958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2423</v>
      </c>
      <c r="C1018" s="5" t="s">
        <v>2424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2425</v>
      </c>
      <c r="C1019" s="5" t="s">
        <v>2426</v>
      </c>
      <c r="D1019" s="5" t="s">
        <v>770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2427</v>
      </c>
      <c r="C1020" s="5" t="s">
        <v>2428</v>
      </c>
      <c r="D1020" s="5" t="s">
        <v>1128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2429</v>
      </c>
      <c r="C1021" s="5" t="s">
        <v>2430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2431</v>
      </c>
      <c r="C1022" s="5" t="s">
        <v>2432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2433</v>
      </c>
      <c r="C1023" s="5" t="s">
        <v>2434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2435</v>
      </c>
      <c r="C1024" s="5" t="s">
        <v>2436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2437</v>
      </c>
      <c r="C1025" s="5" t="s">
        <v>2438</v>
      </c>
      <c r="D1025" s="5" t="s">
        <v>770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2439</v>
      </c>
      <c r="C1026" s="5" t="s">
        <v>2440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2441</v>
      </c>
      <c r="C1027" s="5" t="s">
        <v>2442</v>
      </c>
      <c r="D1027" s="5" t="s">
        <v>1132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2443</v>
      </c>
      <c r="C1028" s="5" t="s">
        <v>2444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2445</v>
      </c>
      <c r="C1029" s="5" t="s">
        <v>2446</v>
      </c>
      <c r="D1029" s="5" t="s">
        <v>770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2447</v>
      </c>
      <c r="C1030" s="5" t="s">
        <v>2448</v>
      </c>
      <c r="D1030" s="5" t="s">
        <v>1128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2449</v>
      </c>
      <c r="C1031" s="5" t="s">
        <v>2450</v>
      </c>
      <c r="D1031" s="5" t="s">
        <v>1132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2451</v>
      </c>
      <c r="C1032" s="5" t="s">
        <v>2452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ref="A1033:A1096" si="22">+A1032+1</f>
        <v>1030</v>
      </c>
      <c r="B1033" s="5" t="s">
        <v>2453</v>
      </c>
      <c r="C1033" s="5" t="s">
        <v>2454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2455</v>
      </c>
      <c r="C1034" s="5" t="s">
        <v>2456</v>
      </c>
      <c r="D1034" s="5" t="s">
        <v>772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2457</v>
      </c>
      <c r="C1035" s="5" t="s">
        <v>2458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2459</v>
      </c>
      <c r="C1036" s="5" t="s">
        <v>2460</v>
      </c>
      <c r="D1036" s="5" t="s">
        <v>1126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2461</v>
      </c>
      <c r="C1037" s="5" t="s">
        <v>2462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2463</v>
      </c>
      <c r="C1038" s="5" t="s">
        <v>2464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2465</v>
      </c>
      <c r="C1039" s="5" t="s">
        <v>2466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2467</v>
      </c>
      <c r="C1040" s="5" t="s">
        <v>2468</v>
      </c>
      <c r="D1040" s="5" t="s">
        <v>1126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2469</v>
      </c>
      <c r="C1041" s="5" t="s">
        <v>2470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2471</v>
      </c>
      <c r="C1042" s="5" t="s">
        <v>2472</v>
      </c>
      <c r="D1042" s="5" t="s">
        <v>1133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2473</v>
      </c>
      <c r="C1043" s="5" t="s">
        <v>2474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2475</v>
      </c>
      <c r="C1044" s="5" t="s">
        <v>2476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2477</v>
      </c>
      <c r="C1045" s="5" t="s">
        <v>2478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2479</v>
      </c>
      <c r="C1046" s="5" t="s">
        <v>2480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1108</v>
      </c>
      <c r="C1047" s="5" t="s">
        <v>1109</v>
      </c>
      <c r="D1047" s="5" t="s">
        <v>770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1110</v>
      </c>
      <c r="C1048" s="5" t="s">
        <v>1111</v>
      </c>
      <c r="D1048" s="5" t="s">
        <v>770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2481</v>
      </c>
      <c r="C1049" s="5" t="s">
        <v>2482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2483</v>
      </c>
      <c r="C1050" s="5" t="s">
        <v>2484</v>
      </c>
      <c r="D1050" s="5" t="s">
        <v>1133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2485</v>
      </c>
      <c r="C1051" s="5" t="s">
        <v>2486</v>
      </c>
      <c r="D1051" s="5" t="s">
        <v>510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2487</v>
      </c>
      <c r="C1052" s="5" t="s">
        <v>2488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2489</v>
      </c>
      <c r="C1053" s="5" t="s">
        <v>2490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2491</v>
      </c>
      <c r="C1054" s="5" t="s">
        <v>2492</v>
      </c>
      <c r="D1054" s="5" t="s">
        <v>1128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2493</v>
      </c>
      <c r="C1055" s="5" t="s">
        <v>2494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2495</v>
      </c>
      <c r="C1056" s="5" t="s">
        <v>2496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2497</v>
      </c>
      <c r="C1057" s="5" t="s">
        <v>2498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2499</v>
      </c>
      <c r="C1058" s="5" t="s">
        <v>2500</v>
      </c>
      <c r="D1058" s="5" t="s">
        <v>770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2501</v>
      </c>
      <c r="C1059" s="5" t="s">
        <v>2502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2503</v>
      </c>
      <c r="C1060" s="5" t="s">
        <v>2504</v>
      </c>
      <c r="D1060" s="5" t="s">
        <v>1132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2505</v>
      </c>
      <c r="C1061" s="5" t="s">
        <v>2505</v>
      </c>
      <c r="D1061" s="5" t="s">
        <v>1132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1112</v>
      </c>
      <c r="C1062" s="5" t="s">
        <v>1113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1114</v>
      </c>
      <c r="C1063" s="5" t="s">
        <v>1115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2506</v>
      </c>
      <c r="C1064" s="5" t="s">
        <v>2507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2508</v>
      </c>
      <c r="C1065" s="5" t="s">
        <v>2509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2510</v>
      </c>
      <c r="C1066" s="5" t="s">
        <v>2511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2512</v>
      </c>
      <c r="C1067" s="5" t="s">
        <v>2513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2514</v>
      </c>
      <c r="C1068" s="5" t="s">
        <v>2515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2516</v>
      </c>
      <c r="C1069" s="5" t="s">
        <v>2517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2518</v>
      </c>
      <c r="C1070" s="5" t="s">
        <v>2519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1116</v>
      </c>
      <c r="C1071" s="5" t="s">
        <v>1117</v>
      </c>
      <c r="D1071" s="5" t="s">
        <v>1134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2520</v>
      </c>
      <c r="C1072" s="5" t="s">
        <v>2521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2522</v>
      </c>
      <c r="C1073" s="5" t="s">
        <v>2523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2524</v>
      </c>
      <c r="C1074" s="5" t="s">
        <v>2525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2526</v>
      </c>
      <c r="C1075" s="5" t="s">
        <v>2527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2528</v>
      </c>
      <c r="C1076" s="5" t="s">
        <v>2529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2530</v>
      </c>
      <c r="C1077" s="5" t="s">
        <v>2531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2532</v>
      </c>
      <c r="C1078" s="5" t="s">
        <v>2533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2534</v>
      </c>
      <c r="C1079" s="5" t="s">
        <v>2535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2536</v>
      </c>
      <c r="C1080" s="5" t="s">
        <v>2537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2538</v>
      </c>
      <c r="C1081" s="5" t="s">
        <v>2539</v>
      </c>
      <c r="D1081" s="5" t="s">
        <v>1128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2540</v>
      </c>
      <c r="C1082" s="5" t="s">
        <v>2541</v>
      </c>
      <c r="D1082" s="5" t="s">
        <v>1128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2542</v>
      </c>
      <c r="C1083" s="5" t="s">
        <v>2543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2544</v>
      </c>
      <c r="C1084" s="5" t="s">
        <v>2545</v>
      </c>
      <c r="D1084" s="5" t="s">
        <v>1134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2546</v>
      </c>
      <c r="C1085" s="5" t="s">
        <v>2547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2548</v>
      </c>
      <c r="C1086" s="5" t="s">
        <v>2549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2550</v>
      </c>
      <c r="C1087" s="5" t="s">
        <v>2551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2552</v>
      </c>
      <c r="C1088" s="5" t="s">
        <v>2553</v>
      </c>
      <c r="D1088" s="5" t="s">
        <v>770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2554</v>
      </c>
      <c r="C1089" s="5" t="s">
        <v>2555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2556</v>
      </c>
      <c r="C1090" s="5" t="s">
        <v>2557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2558</v>
      </c>
      <c r="C1091" s="5" t="s">
        <v>2559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2560</v>
      </c>
      <c r="C1092" s="5" t="s">
        <v>2561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2562</v>
      </c>
      <c r="C1093" s="5" t="s">
        <v>2563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2564</v>
      </c>
      <c r="C1094" s="5" t="s">
        <v>2565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2566</v>
      </c>
      <c r="C1095" s="5" t="s">
        <v>2567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2568</v>
      </c>
      <c r="C1096" s="5" t="s">
        <v>2569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ref="A1097:A1101" si="23">+A1096+1</f>
        <v>1094</v>
      </c>
      <c r="B1097" s="5" t="s">
        <v>2570</v>
      </c>
      <c r="C1097" s="5" t="s">
        <v>2571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5" t="s">
        <v>1124</v>
      </c>
      <c r="C1098" s="5" t="s">
        <v>1125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5" t="s">
        <v>2596</v>
      </c>
      <c r="C1099" s="5" t="s">
        <v>2597</v>
      </c>
      <c r="D1099" s="5" t="s">
        <v>45</v>
      </c>
      <c r="E1099" s="5"/>
      <c r="F1099" s="5"/>
      <c r="G1099" s="5"/>
      <c r="H1099" s="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2708</v>
      </c>
      <c r="C1100" s="5" t="s">
        <v>2709</v>
      </c>
      <c r="D1100" s="5" t="s">
        <v>45</v>
      </c>
      <c r="E1100" s="5"/>
      <c r="F1100" s="5"/>
      <c r="G1100" s="5"/>
      <c r="H1100" s="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5" t="s">
        <v>1506</v>
      </c>
      <c r="C1101" s="5" t="s">
        <v>1507</v>
      </c>
      <c r="D1101" s="5" t="s">
        <v>45</v>
      </c>
      <c r="E1101" s="5"/>
      <c r="F1101" s="5"/>
      <c r="G1101" s="5"/>
      <c r="H1101" s="5"/>
      <c r="I1101" s="6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5"/>
      <c r="G1102" s="5"/>
      <c r="H1102" s="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5"/>
      <c r="G1103" s="5"/>
      <c r="H1103" s="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5"/>
      <c r="G1104" s="5"/>
      <c r="H1104" s="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5"/>
      <c r="G1105" s="5"/>
      <c r="H1105" s="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5"/>
      <c r="G1106" s="5"/>
      <c r="H1106" s="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5"/>
      <c r="G1107" s="5"/>
      <c r="H1107" s="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5"/>
      <c r="G1108" s="5"/>
      <c r="H1108" s="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5"/>
      <c r="G1109" s="5"/>
      <c r="H1109" s="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5"/>
      <c r="G1110" s="5"/>
      <c r="H1110" s="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5"/>
      <c r="G1111" s="5"/>
      <c r="H1111" s="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5"/>
      <c r="G1112" s="5"/>
      <c r="H1112" s="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5"/>
      <c r="G1113" s="5"/>
      <c r="H1113" s="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5"/>
      <c r="G1114" s="5"/>
      <c r="H1114" s="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5"/>
      <c r="G1115" s="5"/>
      <c r="H1115" s="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5"/>
      <c r="G1116" s="5"/>
      <c r="H1116" s="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5"/>
      <c r="G1117" s="5"/>
      <c r="H1117" s="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5"/>
      <c r="G1118" s="5"/>
      <c r="H1118" s="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5"/>
      <c r="G1119" s="5"/>
      <c r="H1119" s="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5"/>
      <c r="G1120" s="5"/>
      <c r="H1120" s="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5"/>
      <c r="G1121" s="5"/>
      <c r="H1121" s="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5"/>
      <c r="G1122" s="5"/>
      <c r="H1122" s="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5"/>
      <c r="G1123" s="5"/>
      <c r="H1123" s="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5"/>
      <c r="G1124" s="5"/>
      <c r="H1124" s="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5"/>
      <c r="G1125" s="5"/>
      <c r="H1125" s="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5"/>
      <c r="G1126" s="5"/>
      <c r="H1126" s="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5"/>
      <c r="G1127" s="5"/>
      <c r="H1127" s="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5"/>
      <c r="G1128" s="5"/>
      <c r="H1128" s="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5"/>
      <c r="G1129" s="5"/>
      <c r="H1129" s="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5"/>
      <c r="G1130" s="5"/>
      <c r="H1130" s="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5"/>
      <c r="G1131" s="5"/>
      <c r="H1131" s="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5"/>
      <c r="G1132" s="5"/>
      <c r="H1132" s="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5"/>
      <c r="G1133" s="5"/>
      <c r="H1133" s="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5"/>
      <c r="G1134" s="5"/>
      <c r="H1134" s="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5"/>
      <c r="G1135" s="5"/>
      <c r="H1135" s="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5"/>
      <c r="G1136" s="5"/>
      <c r="H1136" s="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5"/>
      <c r="G1137" s="5"/>
      <c r="H1137" s="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5"/>
      <c r="G1138" s="5"/>
      <c r="H1138" s="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5"/>
      <c r="G1139" s="5"/>
      <c r="H1139" s="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5"/>
      <c r="G1140" s="5"/>
      <c r="H1140" s="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5"/>
      <c r="G1141" s="5"/>
      <c r="H1141" s="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5"/>
      <c r="G1142" s="5"/>
      <c r="H1142" s="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5"/>
      <c r="G1143" s="5"/>
      <c r="H1143" s="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5"/>
      <c r="G1144" s="5"/>
      <c r="H1144" s="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5"/>
      <c r="G1145" s="5"/>
      <c r="H1145" s="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5"/>
      <c r="G1146" s="5"/>
      <c r="H1146" s="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5"/>
      <c r="G1147" s="5"/>
      <c r="H1147" s="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5"/>
      <c r="G1148" s="5"/>
      <c r="H1148" s="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5"/>
      <c r="G1149" s="5"/>
      <c r="H1149" s="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5"/>
      <c r="G1150" s="5"/>
      <c r="H1150" s="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5"/>
      <c r="G1151" s="5"/>
      <c r="H1151" s="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5"/>
      <c r="G1152" s="5"/>
      <c r="H1152" s="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5"/>
      <c r="G1153" s="5"/>
      <c r="H1153" s="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5"/>
      <c r="G1154" s="5"/>
      <c r="H1154" s="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5"/>
      <c r="G1155" s="5"/>
      <c r="H1155" s="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5"/>
      <c r="G1156" s="5"/>
      <c r="H1156" s="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5"/>
      <c r="G1157" s="5"/>
      <c r="H1157" s="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5"/>
      <c r="G1158" s="5"/>
      <c r="H1158" s="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5"/>
      <c r="G1159" s="5"/>
      <c r="H1159" s="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5"/>
      <c r="G1160" s="5"/>
      <c r="H1160" s="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5"/>
      <c r="G1161" s="5"/>
      <c r="H1161" s="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5"/>
      <c r="G1162" s="5"/>
      <c r="H1162" s="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5"/>
      <c r="G1163" s="5"/>
      <c r="H1163" s="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5"/>
      <c r="G1164" s="5"/>
      <c r="H1164" s="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5"/>
      <c r="G1165" s="5"/>
      <c r="H1165" s="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5"/>
      <c r="G1166" s="5"/>
      <c r="H1166" s="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5"/>
      <c r="G1167" s="5"/>
      <c r="H1167" s="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5"/>
      <c r="G1168" s="5"/>
      <c r="H1168" s="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5"/>
      <c r="G1169" s="5"/>
      <c r="H1169" s="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5"/>
      <c r="G1170" s="5"/>
      <c r="H1170" s="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5"/>
      <c r="G1171" s="5"/>
      <c r="H1171" s="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5"/>
      <c r="G1172" s="5"/>
      <c r="H1172" s="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5"/>
      <c r="G1173" s="5"/>
      <c r="H1173" s="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5"/>
      <c r="G1174" s="5"/>
      <c r="H1174" s="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5"/>
      <c r="G1175" s="5"/>
      <c r="H1175" s="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5"/>
      <c r="G1176" s="5"/>
      <c r="H1176" s="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5"/>
      <c r="G1177" s="5"/>
      <c r="H1177" s="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5"/>
      <c r="G1178" s="5"/>
      <c r="H1178" s="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5"/>
      <c r="G1179" s="5"/>
      <c r="H1179" s="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5"/>
      <c r="G1180" s="5"/>
      <c r="H1180" s="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5"/>
      <c r="G1181" s="5"/>
      <c r="H1181" s="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5"/>
      <c r="G1182" s="5"/>
      <c r="H1182" s="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5"/>
      <c r="G1183" s="5"/>
      <c r="H1183" s="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5"/>
      <c r="G1184" s="5"/>
      <c r="H1184" s="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5"/>
      <c r="G1185" s="5"/>
      <c r="H1185" s="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5"/>
      <c r="G1186" s="5"/>
      <c r="H1186" s="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5"/>
      <c r="G1187" s="5"/>
      <c r="H1187" s="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5"/>
      <c r="G1188" s="5"/>
      <c r="H1188" s="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5"/>
      <c r="G1189" s="5"/>
      <c r="H1189" s="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5"/>
      <c r="G1190" s="5"/>
      <c r="H1190" s="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5"/>
      <c r="G1191" s="5"/>
      <c r="H1191" s="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5"/>
      <c r="G1192" s="5"/>
      <c r="H1192" s="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5"/>
      <c r="G1193" s="5"/>
      <c r="H1193" s="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5"/>
      <c r="G1194" s="5"/>
      <c r="H1194" s="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5"/>
      <c r="G1195" s="5"/>
      <c r="H1195" s="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5"/>
      <c r="G1196" s="5"/>
      <c r="H1196" s="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5"/>
      <c r="G1197" s="5"/>
      <c r="H1197" s="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5"/>
      <c r="G1198" s="5"/>
      <c r="H1198" s="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5"/>
      <c r="G1199" s="5"/>
      <c r="H1199" s="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5"/>
      <c r="G1200" s="5"/>
      <c r="H1200" s="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5"/>
      <c r="G1201" s="5"/>
      <c r="H1201" s="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5"/>
      <c r="G1202" s="5"/>
      <c r="H1202" s="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5"/>
      <c r="G1203" s="5"/>
      <c r="H1203" s="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5"/>
      <c r="G1204" s="5"/>
      <c r="H1204" s="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5"/>
      <c r="G1205" s="5"/>
      <c r="H1205" s="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5"/>
      <c r="G1206" s="5"/>
      <c r="H1206" s="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5"/>
      <c r="G1207" s="5"/>
      <c r="H1207" s="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5"/>
      <c r="G1208" s="5"/>
      <c r="H1208" s="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5"/>
      <c r="G1209" s="5"/>
      <c r="H1209" s="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5"/>
      <c r="G1210" s="5"/>
      <c r="H1210" s="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5"/>
      <c r="G1211" s="5"/>
      <c r="H1211" s="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5"/>
      <c r="G1212" s="5"/>
      <c r="H1212" s="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5"/>
      <c r="G1213" s="5"/>
      <c r="H1213" s="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5"/>
      <c r="G1214" s="5"/>
      <c r="H1214" s="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5"/>
      <c r="G1215" s="5"/>
      <c r="H1215" s="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5"/>
      <c r="G1216" s="5"/>
      <c r="H1216" s="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5"/>
      <c r="G1217" s="5"/>
      <c r="H1217" s="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5"/>
      <c r="G1218" s="5"/>
      <c r="H1218" s="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5"/>
      <c r="G1219" s="5"/>
      <c r="H1219" s="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5"/>
      <c r="G1220" s="5"/>
      <c r="H1220" s="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5"/>
      <c r="G1221" s="5"/>
      <c r="H1221" s="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5"/>
      <c r="G1222" s="5"/>
      <c r="H1222" s="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5"/>
      <c r="G1223" s="5"/>
      <c r="H1223" s="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5"/>
      <c r="G1224" s="5"/>
      <c r="H1224" s="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5"/>
      <c r="G1225" s="5"/>
      <c r="H1225" s="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5"/>
      <c r="G1226" s="5"/>
      <c r="H1226" s="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5"/>
      <c r="G1227" s="5"/>
      <c r="H1227" s="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5"/>
      <c r="G1228" s="5"/>
      <c r="H1228" s="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5"/>
      <c r="G1229" s="5"/>
      <c r="H1229" s="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5"/>
      <c r="G1230" s="5"/>
      <c r="H1230" s="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5"/>
      <c r="G1231" s="5"/>
      <c r="H1231" s="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5"/>
      <c r="G1232" s="5"/>
      <c r="H1232" s="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6" r:id="rId9" xr:uid="{79586EC1-F21B-4073-BA24-BCB8D7768073}"/>
    <hyperlink ref="B121" r:id="rId10" xr:uid="{1691DF9F-80EE-40F0-98FB-85DD567180FC}"/>
    <hyperlink ref="B145" r:id="rId11" xr:uid="{64F849D1-F450-4555-80C6-CED6178FD111}"/>
    <hyperlink ref="B28" r:id="rId12" xr:uid="{63C8BBD0-BBF5-4728-B63F-8778ACFA73CD}"/>
    <hyperlink ref="B29" r:id="rId13" xr:uid="{C5A87BC8-E354-423F-B92C-B011D75ECCCF}"/>
    <hyperlink ref="B18" r:id="rId14" xr:uid="{6ABBC8AF-1788-4F66-83E4-735DE38C0666}"/>
    <hyperlink ref="B45" r:id="rId15" xr:uid="{0BC635AE-4F95-4E10-A94F-2732C9C0ACF1}"/>
    <hyperlink ref="B72" r:id="rId16" xr:uid="{57F98D26-B165-4AB9-8C32-F2C275C9856F}"/>
    <hyperlink ref="B15" r:id="rId17" xr:uid="{F0E412CC-AA9E-433F-8B58-0ADD79B99C59}"/>
    <hyperlink ref="B32" r:id="rId18" xr:uid="{230AD7FC-F6A7-47D6-9C2D-0B01018AAD14}"/>
    <hyperlink ref="B14" r:id="rId19" xr:uid="{ADC65BE2-5B3F-4EB3-89B1-58E7D9C5B4C1}"/>
    <hyperlink ref="B106" r:id="rId20" xr:uid="{42D9B4C2-49DB-4976-8CCA-C4017A3941C0}"/>
    <hyperlink ref="B55" r:id="rId21" xr:uid="{86E91B6F-F7FB-481D-B8D1-FEE07E94759F}"/>
    <hyperlink ref="B21" r:id="rId22" xr:uid="{3B29A2B2-ACEC-4631-9D2B-137FB4FD8485}"/>
    <hyperlink ref="B12" r:id="rId23" xr:uid="{59B51422-4A12-4402-88DB-27D64A7EE5EC}"/>
    <hyperlink ref="B5" r:id="rId24" xr:uid="{A958CCC7-0F6A-4E85-B00A-C650FD6A1173}"/>
    <hyperlink ref="B13" r:id="rId25" xr:uid="{0C051AFE-4486-4BFC-AB84-764B7F49FF92}"/>
    <hyperlink ref="B20" r:id="rId26" xr:uid="{34FF06C9-667C-4E52-8F71-7CA624B5B13B}"/>
    <hyperlink ref="B19" r:id="rId27" xr:uid="{912F90E8-A4B5-4A8F-A5AE-C3A000A1F07B}"/>
    <hyperlink ref="B50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4" r:id="rId32" xr:uid="{B14F56C4-0269-430C-B784-857F30E85725}"/>
    <hyperlink ref="B26" r:id="rId33" xr:uid="{DDD3A7BD-556F-44BA-AE30-F939360FC127}"/>
    <hyperlink ref="B27" r:id="rId34" xr:uid="{2C831D96-B4B9-491E-831B-5894D585E8C8}"/>
    <hyperlink ref="B47" r:id="rId35" xr:uid="{5B06212A-3594-4A82-A65F-019D409C886F}"/>
    <hyperlink ref="B56" r:id="rId36" xr:uid="{AC9CA120-06B3-450A-8BD8-3F4B6FD6CA81}"/>
    <hyperlink ref="B57" r:id="rId37" xr:uid="{F18E5EE9-0C6D-4617-AC11-EC59FD45803C}"/>
    <hyperlink ref="B37" r:id="rId38" xr:uid="{8EA1C049-EA77-423B-8550-C70B9E5854CF}"/>
    <hyperlink ref="B30" r:id="rId39" xr:uid="{B84EC302-2735-4656-8952-595D8500CFD6}"/>
    <hyperlink ref="B25" r:id="rId40" xr:uid="{6B787C62-59B7-46FE-9933-77EE574BE474}"/>
    <hyperlink ref="B31" r:id="rId41" xr:uid="{D3FA63AD-BF24-425B-98A5-2CE3BF3D1EEA}"/>
    <hyperlink ref="B39" r:id="rId42" xr:uid="{0861642F-9E36-4921-A816-2FAEB50142F3}"/>
    <hyperlink ref="B59" r:id="rId43" xr:uid="{CE35F8AF-4D81-4514-AAE3-A0B6A1DFAF53}"/>
    <hyperlink ref="B49" r:id="rId44" xr:uid="{36869399-1692-4FD6-930E-D7887A95E3DC}"/>
    <hyperlink ref="B87" r:id="rId45" xr:uid="{36250E3E-3E1A-4D5F-BF38-AF1827922505}"/>
    <hyperlink ref="B154" r:id="rId46" xr:uid="{6BE6B375-FE8F-41D2-9638-C08176153FC9}"/>
    <hyperlink ref="B153" r:id="rId47" xr:uid="{83D93FC6-E047-4DB4-9086-8432ADFFE781}"/>
    <hyperlink ref="B48" r:id="rId48" xr:uid="{135277CF-6DC3-47F7-8FC6-007EBD401D21}"/>
    <hyperlink ref="B90" r:id="rId49" xr:uid="{B5BADCA7-FA1F-4469-8A4E-6DBF15BC2D45}"/>
    <hyperlink ref="B38" r:id="rId50" xr:uid="{DBE7D97F-741F-4800-8404-1F451AE4011C}"/>
    <hyperlink ref="B65" r:id="rId51" xr:uid="{0E9D99A8-629A-40C5-9D3C-7194C13A22B7}"/>
    <hyperlink ref="B146" r:id="rId52" xr:uid="{F85335ED-F5E2-4F84-9E57-1E2C1D595DC8}"/>
    <hyperlink ref="B16" r:id="rId53" xr:uid="{D135A82C-11BB-4EAD-A0B7-FCC5F0615625}"/>
    <hyperlink ref="B62" r:id="rId54" xr:uid="{094B8790-8C71-4E0F-8C2B-530826ADB19A}"/>
    <hyperlink ref="B203" r:id="rId55" xr:uid="{0E3C612F-A0F5-453F-BC38-C02F2D2FA502}"/>
    <hyperlink ref="B74" r:id="rId56" xr:uid="{3F9849AA-4262-44B1-BA9B-685CC173DF66}"/>
    <hyperlink ref="B204" r:id="rId57" xr:uid="{D1EBA843-70C5-4428-A072-81B6E708F014}"/>
    <hyperlink ref="B321" r:id="rId58" xr:uid="{A7EA8EE8-AC20-400C-A0E2-D86C34E0AC9B}"/>
    <hyperlink ref="B42" r:id="rId59" xr:uid="{E9F4DA1F-D069-4239-B886-BC201C31B81D}"/>
    <hyperlink ref="B46" r:id="rId60" xr:uid="{F38B3DB2-1F85-47E7-95A8-73CD5818464B}"/>
    <hyperlink ref="B81" r:id="rId61" xr:uid="{DA0B8C0C-33D7-41F2-88B7-6BDB934C3545}"/>
    <hyperlink ref="B324" r:id="rId62" xr:uid="{4F30C6D9-CD3F-4669-A3E7-171F621E2514}"/>
    <hyperlink ref="B83" r:id="rId63" xr:uid="{53669B02-34BA-4B85-AA51-86A4CC1BFCD4}"/>
    <hyperlink ref="B102" r:id="rId64" xr:uid="{74C3A2E7-0C03-48E3-B42F-9BC0BC403D8B}"/>
    <hyperlink ref="B320" r:id="rId65" xr:uid="{2EF44218-0FFB-4AD2-AA85-724FAB9B6964}"/>
    <hyperlink ref="B43" r:id="rId66" xr:uid="{A67C8237-A0F1-4A17-A742-D6FE9552A04A}"/>
    <hyperlink ref="B41" r:id="rId67" xr:uid="{26ECE735-DD01-4AC2-A7BF-B58A0C21AC4C}"/>
    <hyperlink ref="B54" r:id="rId68" xr:uid="{6718A887-05B5-4711-BDAC-F73D7E4BCA46}"/>
    <hyperlink ref="B247" r:id="rId69" xr:uid="{B18B5185-F69E-4727-B9A5-9536254CB591}"/>
    <hyperlink ref="B58" r:id="rId70" xr:uid="{727AB356-39CF-4BB2-99B5-9FB8245AFDE6}"/>
    <hyperlink ref="B33" r:id="rId71" xr:uid="{A7954308-0310-4A3F-A898-8AA2046ABEF3}"/>
    <hyperlink ref="B35" r:id="rId72" xr:uid="{CD207CF6-4C45-4FA4-9692-EAC880B06FBC}"/>
    <hyperlink ref="B60" r:id="rId73" xr:uid="{63B6BA87-ED53-4EDA-AA5E-C182D12A623D}"/>
    <hyperlink ref="B67" r:id="rId74" xr:uid="{B7B70500-171D-4A40-BAED-5F900D3C4524}"/>
    <hyperlink ref="B77" r:id="rId75" xr:uid="{FEB4F40A-21A1-4154-9B05-F59B8A06263C}"/>
    <hyperlink ref="B91" r:id="rId76" xr:uid="{0053453D-700B-44AA-BC1B-981AD992E1CC}"/>
    <hyperlink ref="B131" r:id="rId77" xr:uid="{646239C4-1DE0-47B0-8A7F-6EDCD4A7379E}"/>
    <hyperlink ref="B152" r:id="rId78" xr:uid="{0C4F2B8B-E9BD-400F-85EB-B74291F1866B}"/>
    <hyperlink ref="B176" r:id="rId79" xr:uid="{EE957A18-C1D3-4C3C-A662-B9CA7DC06F8D}"/>
    <hyperlink ref="B120" r:id="rId80" xr:uid="{955F7B47-6997-4737-A3CE-BAEA5B36D5C3}"/>
    <hyperlink ref="B75" r:id="rId81" xr:uid="{77B560CC-6503-4732-BA03-EBD96AB1C1E8}"/>
    <hyperlink ref="B1100" r:id="rId82" xr:uid="{CC7AF7EF-FD58-40F3-9751-C19C471B53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961</v>
      </c>
      <c r="B1" s="5"/>
      <c r="C1" s="5" t="s">
        <v>3146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2714</v>
      </c>
      <c r="C4" s="5" t="s">
        <v>2715</v>
      </c>
      <c r="D4" s="5" t="s">
        <v>3097</v>
      </c>
      <c r="E4" s="5">
        <f>+[79]Main!$I$2</f>
        <v>251.74</v>
      </c>
      <c r="F4" s="15">
        <f>+[79]Main!$I$4</f>
        <v>283312.98862612003</v>
      </c>
      <c r="G4" s="15">
        <f>+[79]Main!$I$6-[79]Main!$I$5</f>
        <v>71167</v>
      </c>
      <c r="H4" s="15">
        <f>+F4+G4</f>
        <v>354479.98862612003</v>
      </c>
      <c r="I4" s="6" t="s">
        <v>2586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2716</v>
      </c>
      <c r="C5" s="5" t="s">
        <v>2717</v>
      </c>
      <c r="D5" s="5" t="s">
        <v>3098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2718</v>
      </c>
      <c r="C6" s="5" t="s">
        <v>2719</v>
      </c>
      <c r="D6" s="5" t="s">
        <v>3097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2720</v>
      </c>
      <c r="C7" s="5" t="s">
        <v>2721</v>
      </c>
      <c r="D7" s="5" t="s">
        <v>3097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2722</v>
      </c>
      <c r="C8" s="5" t="s">
        <v>2723</v>
      </c>
      <c r="D8" s="5" t="s">
        <v>3099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2724</v>
      </c>
      <c r="C9" s="5" t="s">
        <v>2725</v>
      </c>
      <c r="D9" s="5" t="s">
        <v>3100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2726</v>
      </c>
      <c r="C10" s="5" t="s">
        <v>2727</v>
      </c>
      <c r="D10" s="5" t="s">
        <v>3101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2728</v>
      </c>
      <c r="C11" s="5" t="s">
        <v>2729</v>
      </c>
      <c r="D11" s="5" t="s">
        <v>3097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2730</v>
      </c>
      <c r="C12" s="5" t="s">
        <v>2731</v>
      </c>
      <c r="D12" s="5" t="s">
        <v>3097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2732</v>
      </c>
      <c r="C13" s="5" t="s">
        <v>2733</v>
      </c>
      <c r="D13" s="5" t="s">
        <v>3098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3144</v>
      </c>
      <c r="C14" s="5" t="s">
        <v>3145</v>
      </c>
      <c r="D14" s="5" t="s">
        <v>3100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2734</v>
      </c>
      <c r="C15" s="5" t="s">
        <v>2735</v>
      </c>
      <c r="D15" s="5" t="s">
        <v>3100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2736</v>
      </c>
      <c r="C16" s="5" t="s">
        <v>2737</v>
      </c>
      <c r="D16" s="5" t="s">
        <v>3102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2738</v>
      </c>
      <c r="C17" s="5" t="s">
        <v>2739</v>
      </c>
      <c r="D17" s="5" t="s">
        <v>3103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2740</v>
      </c>
      <c r="C18" s="5" t="s">
        <v>2741</v>
      </c>
      <c r="D18" s="5" t="s">
        <v>3104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2742</v>
      </c>
      <c r="C19" s="5" t="s">
        <v>2743</v>
      </c>
      <c r="D19" s="5" t="s">
        <v>3097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2744</v>
      </c>
      <c r="C20" s="5" t="s">
        <v>2745</v>
      </c>
      <c r="D20" s="5" t="s">
        <v>3105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2746</v>
      </c>
      <c r="C21" s="5" t="s">
        <v>2747</v>
      </c>
      <c r="D21" s="5" t="s">
        <v>3106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2748</v>
      </c>
      <c r="C22" s="5" t="s">
        <v>2749</v>
      </c>
      <c r="D22" s="5" t="s">
        <v>3107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2750</v>
      </c>
      <c r="C23" s="5" t="s">
        <v>2751</v>
      </c>
      <c r="D23" s="5" t="s">
        <v>3097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2752</v>
      </c>
      <c r="C24" s="5" t="s">
        <v>2753</v>
      </c>
      <c r="D24" s="5" t="s">
        <v>3108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2754</v>
      </c>
      <c r="C25" s="5" t="s">
        <v>2755</v>
      </c>
      <c r="D25" s="5" t="s">
        <v>3109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2756</v>
      </c>
      <c r="C26" s="5" t="s">
        <v>2757</v>
      </c>
      <c r="D26" s="5" t="s">
        <v>3110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2758</v>
      </c>
      <c r="C27" s="5" t="s">
        <v>2759</v>
      </c>
      <c r="D27" s="5" t="s">
        <v>3111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2760</v>
      </c>
      <c r="C28" s="5" t="s">
        <v>2761</v>
      </c>
      <c r="D28" s="5" t="s">
        <v>3098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2762</v>
      </c>
      <c r="C29" s="5" t="s">
        <v>2763</v>
      </c>
      <c r="D29" s="5" t="s">
        <v>3112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2764</v>
      </c>
      <c r="C30" s="5" t="s">
        <v>2765</v>
      </c>
      <c r="D30" s="5" t="s">
        <v>3112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2766</v>
      </c>
      <c r="C31" s="5" t="s">
        <v>2767</v>
      </c>
      <c r="D31" s="5" t="s">
        <v>3113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2768</v>
      </c>
      <c r="C32" s="5" t="s">
        <v>2769</v>
      </c>
      <c r="D32" s="5" t="s">
        <v>3098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2770</v>
      </c>
      <c r="C33" s="5" t="s">
        <v>2771</v>
      </c>
      <c r="D33" s="5" t="s">
        <v>3107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2772</v>
      </c>
      <c r="C34" s="5" t="s">
        <v>2773</v>
      </c>
      <c r="D34" s="5" t="s">
        <v>3114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2774</v>
      </c>
      <c r="C35" s="5" t="s">
        <v>2775</v>
      </c>
      <c r="D35" s="5" t="s">
        <v>3111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2776</v>
      </c>
      <c r="C36" s="5" t="s">
        <v>2777</v>
      </c>
      <c r="D36" s="5" t="s">
        <v>3097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2778</v>
      </c>
      <c r="C37" s="5" t="s">
        <v>2778</v>
      </c>
      <c r="D37" s="5" t="s">
        <v>3114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2779</v>
      </c>
      <c r="C38" s="5" t="s">
        <v>2780</v>
      </c>
      <c r="D38" s="5" t="s">
        <v>3115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2781</v>
      </c>
      <c r="C39" s="5" t="s">
        <v>2782</v>
      </c>
      <c r="D39" s="5" t="s">
        <v>3116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2783</v>
      </c>
      <c r="C40" s="5" t="s">
        <v>2784</v>
      </c>
      <c r="D40" s="5" t="s">
        <v>3117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2785</v>
      </c>
      <c r="C41" s="5" t="s">
        <v>2786</v>
      </c>
      <c r="D41" s="5" t="s">
        <v>3114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2787</v>
      </c>
      <c r="C42" s="5" t="s">
        <v>2788</v>
      </c>
      <c r="D42" s="5" t="s">
        <v>3118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2789</v>
      </c>
      <c r="C43" s="5" t="s">
        <v>498</v>
      </c>
      <c r="D43" s="5" t="s">
        <v>3097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2790</v>
      </c>
      <c r="C44" s="5" t="s">
        <v>2791</v>
      </c>
      <c r="D44" s="5" t="s">
        <v>3119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2792</v>
      </c>
      <c r="C45" s="5" t="s">
        <v>2793</v>
      </c>
      <c r="D45" s="5" t="s">
        <v>3119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2794</v>
      </c>
      <c r="C46" s="5" t="s">
        <v>2795</v>
      </c>
      <c r="D46" s="5" t="s">
        <v>3120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2796</v>
      </c>
      <c r="C47" s="5" t="s">
        <v>2797</v>
      </c>
      <c r="D47" s="5" t="s">
        <v>3098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2798</v>
      </c>
      <c r="C48" s="5" t="s">
        <v>2799</v>
      </c>
      <c r="D48" s="5" t="s">
        <v>3103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2800</v>
      </c>
      <c r="C49" s="5" t="s">
        <v>2801</v>
      </c>
      <c r="D49" s="5" t="s">
        <v>3106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2802</v>
      </c>
      <c r="C50" s="5" t="s">
        <v>2803</v>
      </c>
      <c r="D50" s="5" t="s">
        <v>3097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2804</v>
      </c>
      <c r="C51" s="5" t="s">
        <v>2805</v>
      </c>
      <c r="D51" s="5" t="s">
        <v>3113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2806</v>
      </c>
      <c r="C52" s="5" t="s">
        <v>2807</v>
      </c>
      <c r="D52" s="5" t="s">
        <v>3120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2808</v>
      </c>
      <c r="C53" s="5" t="s">
        <v>2809</v>
      </c>
      <c r="D53" s="5" t="s">
        <v>3112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2810</v>
      </c>
      <c r="C54" s="5" t="s">
        <v>2811</v>
      </c>
      <c r="D54" s="5" t="s">
        <v>3121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2812</v>
      </c>
      <c r="C55" s="5" t="s">
        <v>2813</v>
      </c>
      <c r="D55" s="5" t="s">
        <v>3122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2814</v>
      </c>
      <c r="C56" s="5" t="s">
        <v>2815</v>
      </c>
      <c r="D56" s="5" t="s">
        <v>3107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2816</v>
      </c>
      <c r="C57" s="5" t="s">
        <v>2817</v>
      </c>
      <c r="D57" s="5" t="s">
        <v>3121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2818</v>
      </c>
      <c r="C58" s="5" t="s">
        <v>2819</v>
      </c>
      <c r="D58" s="5" t="s">
        <v>3112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2820</v>
      </c>
      <c r="C59" s="5" t="s">
        <v>2821</v>
      </c>
      <c r="D59" s="5" t="s">
        <v>3101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2822</v>
      </c>
      <c r="C60" s="5" t="s">
        <v>2823</v>
      </c>
      <c r="D60" s="5" t="s">
        <v>3101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2824</v>
      </c>
      <c r="C61" s="5" t="s">
        <v>2825</v>
      </c>
      <c r="D61" s="5" t="s">
        <v>3110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2826</v>
      </c>
      <c r="C62" s="5" t="s">
        <v>2827</v>
      </c>
      <c r="D62" s="5" t="s">
        <v>3123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2828</v>
      </c>
      <c r="C63" s="5" t="s">
        <v>2829</v>
      </c>
      <c r="D63" s="5" t="s">
        <v>3106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2830</v>
      </c>
      <c r="C64" s="5" t="s">
        <v>2831</v>
      </c>
      <c r="D64" s="5" t="s">
        <v>3116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2832</v>
      </c>
      <c r="C65" s="5" t="s">
        <v>2833</v>
      </c>
      <c r="D65" s="5" t="s">
        <v>3124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2834</v>
      </c>
      <c r="C66" s="5" t="s">
        <v>2835</v>
      </c>
      <c r="D66" s="5" t="s">
        <v>3110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2836</v>
      </c>
      <c r="C67" s="5" t="s">
        <v>2837</v>
      </c>
      <c r="D67" s="5" t="s">
        <v>3097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2838</v>
      </c>
      <c r="C68" s="5" t="s">
        <v>2839</v>
      </c>
      <c r="D68" s="5" t="s">
        <v>3101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2840</v>
      </c>
      <c r="C69" s="5" t="s">
        <v>2841</v>
      </c>
      <c r="D69" s="5" t="s">
        <v>3125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2842</v>
      </c>
      <c r="C70" s="5" t="s">
        <v>2843</v>
      </c>
      <c r="D70" s="5" t="s">
        <v>3124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2844</v>
      </c>
      <c r="C71" s="5" t="s">
        <v>2845</v>
      </c>
      <c r="D71" s="5" t="s">
        <v>3117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2846</v>
      </c>
      <c r="C72" s="5" t="s">
        <v>2847</v>
      </c>
      <c r="D72" s="5" t="s">
        <v>3097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2848</v>
      </c>
      <c r="C73" s="5" t="s">
        <v>2849</v>
      </c>
      <c r="D73" s="5" t="s">
        <v>3097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2850</v>
      </c>
      <c r="C74" s="5" t="s">
        <v>2851</v>
      </c>
      <c r="D74" s="5" t="s">
        <v>3126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2852</v>
      </c>
      <c r="C75" s="5" t="s">
        <v>2853</v>
      </c>
      <c r="D75" s="5" t="s">
        <v>1641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2854</v>
      </c>
      <c r="C76" s="5" t="s">
        <v>2855</v>
      </c>
      <c r="D76" s="5" t="s">
        <v>3127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2856</v>
      </c>
      <c r="C77" s="5" t="s">
        <v>2857</v>
      </c>
      <c r="D77" s="5" t="s">
        <v>3128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2858</v>
      </c>
      <c r="C78" s="5" t="s">
        <v>2859</v>
      </c>
      <c r="D78" s="5" t="s">
        <v>3124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2860</v>
      </c>
      <c r="C79" s="5" t="s">
        <v>620</v>
      </c>
      <c r="D79" s="5" t="s">
        <v>3097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2861</v>
      </c>
      <c r="C80" s="5" t="s">
        <v>2862</v>
      </c>
      <c r="D80" s="5" t="s">
        <v>3123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2863</v>
      </c>
      <c r="C81" s="5" t="s">
        <v>2864</v>
      </c>
      <c r="D81" s="5" t="s">
        <v>3114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2865</v>
      </c>
      <c r="C82" s="5" t="s">
        <v>2866</v>
      </c>
      <c r="D82" s="5" t="s">
        <v>3097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2867</v>
      </c>
      <c r="C83" s="5" t="s">
        <v>2868</v>
      </c>
      <c r="D83" s="5" t="s">
        <v>3123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2869</v>
      </c>
      <c r="C84" s="5" t="s">
        <v>2870</v>
      </c>
      <c r="D84" s="5" t="s">
        <v>3109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2871</v>
      </c>
      <c r="C85" s="5" t="s">
        <v>2872</v>
      </c>
      <c r="D85" s="5" t="s">
        <v>3129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2873</v>
      </c>
      <c r="C86" s="5" t="s">
        <v>2874</v>
      </c>
      <c r="D86" s="5" t="s">
        <v>3123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2875</v>
      </c>
      <c r="C87" s="5" t="s">
        <v>2876</v>
      </c>
      <c r="D87" s="5" t="s">
        <v>3130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695</v>
      </c>
      <c r="C88" s="5" t="s">
        <v>696</v>
      </c>
      <c r="D88" s="5" t="s">
        <v>3099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2877</v>
      </c>
      <c r="C89" s="5" t="s">
        <v>2878</v>
      </c>
      <c r="D89" s="5" t="s">
        <v>3107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2879</v>
      </c>
      <c r="C90" s="5" t="s">
        <v>2880</v>
      </c>
      <c r="D90" s="5" t="s">
        <v>3131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2881</v>
      </c>
      <c r="C91" s="5" t="s">
        <v>2882</v>
      </c>
      <c r="D91" s="5" t="s">
        <v>3101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2883</v>
      </c>
      <c r="C92" s="5" t="s">
        <v>2884</v>
      </c>
      <c r="D92" s="5" t="s">
        <v>3101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2885</v>
      </c>
      <c r="C93" s="5" t="s">
        <v>2886</v>
      </c>
      <c r="D93" s="5" t="s">
        <v>3117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2887</v>
      </c>
      <c r="C94" s="5" t="s">
        <v>2888</v>
      </c>
      <c r="D94" s="5" t="s">
        <v>3131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2889</v>
      </c>
      <c r="C95" s="5" t="s">
        <v>2890</v>
      </c>
      <c r="D95" s="5" t="s">
        <v>3132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2891</v>
      </c>
      <c r="C96" s="5" t="s">
        <v>2892</v>
      </c>
      <c r="D96" s="5" t="s">
        <v>3129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644</v>
      </c>
      <c r="C97" s="5" t="s">
        <v>645</v>
      </c>
      <c r="D97" s="5" t="s">
        <v>3097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2893</v>
      </c>
      <c r="C98" s="5" t="s">
        <v>2894</v>
      </c>
      <c r="D98" s="5" t="s">
        <v>3097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2895</v>
      </c>
      <c r="C99" s="5" t="s">
        <v>2895</v>
      </c>
      <c r="D99" s="5" t="s">
        <v>3118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2896</v>
      </c>
      <c r="C100" s="5" t="s">
        <v>2897</v>
      </c>
      <c r="D100" s="5" t="s">
        <v>3133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2898</v>
      </c>
      <c r="C101" s="5" t="s">
        <v>2899</v>
      </c>
      <c r="D101" s="5" t="s">
        <v>3117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2900</v>
      </c>
      <c r="C102" s="5" t="s">
        <v>2901</v>
      </c>
      <c r="D102" s="5" t="s">
        <v>3108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2902</v>
      </c>
      <c r="C103" s="5" t="s">
        <v>2903</v>
      </c>
      <c r="D103" s="5" t="s">
        <v>3099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2904</v>
      </c>
      <c r="C104" s="5" t="s">
        <v>2905</v>
      </c>
      <c r="D104" s="5" t="s">
        <v>3112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2906</v>
      </c>
      <c r="C105" s="5" t="s">
        <v>2907</v>
      </c>
      <c r="D105" s="5" t="s">
        <v>3099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1252</v>
      </c>
      <c r="C106" s="5" t="s">
        <v>1253</v>
      </c>
      <c r="D106" s="5" t="s">
        <v>3097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2908</v>
      </c>
      <c r="C107" s="5" t="s">
        <v>2909</v>
      </c>
      <c r="D107" s="5" t="s">
        <v>3097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2910</v>
      </c>
      <c r="C108" s="5" t="s">
        <v>2911</v>
      </c>
      <c r="D108" s="5" t="s">
        <v>3097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2912</v>
      </c>
      <c r="C109" s="5" t="s">
        <v>2913</v>
      </c>
      <c r="D109" s="5" t="s">
        <v>3097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2914</v>
      </c>
      <c r="C110" s="5" t="s">
        <v>2915</v>
      </c>
      <c r="D110" s="5" t="s">
        <v>3134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2916</v>
      </c>
      <c r="C111" s="5" t="s">
        <v>2917</v>
      </c>
      <c r="D111" s="5" t="s">
        <v>3117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2918</v>
      </c>
      <c r="C112" s="5" t="s">
        <v>2919</v>
      </c>
      <c r="D112" s="5" t="s">
        <v>3122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2920</v>
      </c>
      <c r="C113" s="5" t="s">
        <v>2921</v>
      </c>
      <c r="D113" s="5" t="s">
        <v>3126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2922</v>
      </c>
      <c r="C114" s="5" t="s">
        <v>2923</v>
      </c>
      <c r="D114" s="5" t="s">
        <v>3135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2924</v>
      </c>
      <c r="C115" s="5" t="s">
        <v>2925</v>
      </c>
      <c r="D115" s="5" t="s">
        <v>3104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2926</v>
      </c>
      <c r="C116" s="5" t="s">
        <v>2927</v>
      </c>
      <c r="D116" s="5" t="s">
        <v>3136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2928</v>
      </c>
      <c r="C117" s="5" t="s">
        <v>2929</v>
      </c>
      <c r="D117" s="5" t="s">
        <v>3109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2930</v>
      </c>
      <c r="C118" s="5" t="s">
        <v>2931</v>
      </c>
      <c r="D118" s="5" t="s">
        <v>3120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2932</v>
      </c>
      <c r="C119" s="5" t="s">
        <v>2933</v>
      </c>
      <c r="D119" s="5" t="s">
        <v>3117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2934</v>
      </c>
      <c r="C120" s="5" t="s">
        <v>2935</v>
      </c>
      <c r="D120" s="5" t="s">
        <v>3097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2936</v>
      </c>
      <c r="C121" s="5" t="s">
        <v>2937</v>
      </c>
      <c r="D121" s="5" t="s">
        <v>3103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2938</v>
      </c>
      <c r="C122" s="5" t="s">
        <v>2939</v>
      </c>
      <c r="D122" s="5" t="s">
        <v>3117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2940</v>
      </c>
      <c r="C123" s="5" t="s">
        <v>2941</v>
      </c>
      <c r="D123" s="5" t="s">
        <v>3136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2942</v>
      </c>
      <c r="C124" s="5" t="s">
        <v>2943</v>
      </c>
      <c r="D124" s="5" t="s">
        <v>3102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2944</v>
      </c>
      <c r="C125" s="5" t="s">
        <v>2945</v>
      </c>
      <c r="D125" s="5" t="s">
        <v>3137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2946</v>
      </c>
      <c r="C126" s="5" t="s">
        <v>2947</v>
      </c>
      <c r="D126" s="5" t="s">
        <v>3112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2948</v>
      </c>
      <c r="C127" s="5" t="s">
        <v>2949</v>
      </c>
      <c r="D127" s="5" t="s">
        <v>3134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2950</v>
      </c>
      <c r="C128" s="5" t="s">
        <v>2951</v>
      </c>
      <c r="D128" s="5" t="s">
        <v>3138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2952</v>
      </c>
      <c r="C129" s="5" t="s">
        <v>2953</v>
      </c>
      <c r="D129" s="5" t="s">
        <v>3112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2954</v>
      </c>
      <c r="C130" s="5" t="s">
        <v>2955</v>
      </c>
      <c r="D130" s="5" t="s">
        <v>3127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2956</v>
      </c>
      <c r="C131" s="5" t="s">
        <v>2957</v>
      </c>
      <c r="D131" s="5" t="s">
        <v>3139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2958</v>
      </c>
      <c r="C132" s="5" t="s">
        <v>2959</v>
      </c>
      <c r="D132" s="5" t="s">
        <v>3114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2960</v>
      </c>
      <c r="C133" s="5" t="s">
        <v>2961</v>
      </c>
      <c r="D133" s="5" t="s">
        <v>3127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2962</v>
      </c>
      <c r="C134" s="5" t="s">
        <v>2963</v>
      </c>
      <c r="D134" s="5" t="s">
        <v>3097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1305</v>
      </c>
      <c r="C135" s="5" t="s">
        <v>1306</v>
      </c>
      <c r="D135" s="5" t="s">
        <v>3105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2964</v>
      </c>
      <c r="C136" s="5" t="s">
        <v>2965</v>
      </c>
      <c r="D136" s="5" t="s">
        <v>3132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2966</v>
      </c>
      <c r="C137" s="5" t="s">
        <v>2967</v>
      </c>
      <c r="D137" s="5" t="s">
        <v>3105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2968</v>
      </c>
      <c r="C138" s="5" t="s">
        <v>2969</v>
      </c>
      <c r="D138" s="5" t="s">
        <v>3097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2970</v>
      </c>
      <c r="C139" s="5" t="s">
        <v>2971</v>
      </c>
      <c r="D139" s="5" t="s">
        <v>3097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2972</v>
      </c>
      <c r="C140" s="5" t="s">
        <v>2973</v>
      </c>
      <c r="D140" s="5" t="s">
        <v>3097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2974</v>
      </c>
      <c r="C141" s="5" t="s">
        <v>2975</v>
      </c>
      <c r="D141" s="5" t="s">
        <v>3132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2976</v>
      </c>
      <c r="C142" s="5" t="s">
        <v>2977</v>
      </c>
      <c r="D142" s="5" t="s">
        <v>3097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2978</v>
      </c>
      <c r="C143" s="5" t="s">
        <v>2979</v>
      </c>
      <c r="D143" s="5" t="s">
        <v>3119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2980</v>
      </c>
      <c r="C144" s="5" t="s">
        <v>2981</v>
      </c>
      <c r="D144" s="5" t="s">
        <v>3106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2982</v>
      </c>
      <c r="C145" s="5" t="s">
        <v>2983</v>
      </c>
      <c r="D145" s="5" t="s">
        <v>3112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2984</v>
      </c>
      <c r="C146" s="5" t="s">
        <v>2985</v>
      </c>
      <c r="D146" s="5" t="s">
        <v>3101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2986</v>
      </c>
      <c r="C147" s="5" t="s">
        <v>2987</v>
      </c>
      <c r="D147" s="5" t="s">
        <v>3099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1365</v>
      </c>
      <c r="C148" s="5" t="s">
        <v>1366</v>
      </c>
      <c r="D148" s="5" t="s">
        <v>3105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2988</v>
      </c>
      <c r="C149" s="5" t="s">
        <v>2989</v>
      </c>
      <c r="D149" s="5" t="s">
        <v>3140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2990</v>
      </c>
      <c r="C150" s="5" t="s">
        <v>2991</v>
      </c>
      <c r="D150" s="5" t="s">
        <v>3141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2992</v>
      </c>
      <c r="C151" s="5" t="s">
        <v>2993</v>
      </c>
      <c r="D151" s="5" t="s">
        <v>3097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2994</v>
      </c>
      <c r="C152" s="5" t="s">
        <v>2995</v>
      </c>
      <c r="D152" s="5" t="s">
        <v>3097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2996</v>
      </c>
      <c r="C153" s="5" t="s">
        <v>2997</v>
      </c>
      <c r="D153" s="5" t="s">
        <v>3109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2998</v>
      </c>
      <c r="C154" s="5" t="s">
        <v>2999</v>
      </c>
      <c r="D154" s="5" t="s">
        <v>3109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3000</v>
      </c>
      <c r="C155" s="5" t="s">
        <v>3001</v>
      </c>
      <c r="D155" s="5" t="s">
        <v>3128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1615</v>
      </c>
      <c r="C156" s="5" t="s">
        <v>1616</v>
      </c>
      <c r="D156" s="5" t="s">
        <v>3101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3002</v>
      </c>
      <c r="C157" s="5" t="s">
        <v>3003</v>
      </c>
      <c r="D157" s="5" t="s">
        <v>3103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3004</v>
      </c>
      <c r="C158" s="5" t="s">
        <v>3005</v>
      </c>
      <c r="D158" s="5" t="s">
        <v>3097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3006</v>
      </c>
      <c r="C159" s="5" t="s">
        <v>3007</v>
      </c>
      <c r="D159" s="5" t="s">
        <v>3115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3008</v>
      </c>
      <c r="C160" s="5" t="s">
        <v>3009</v>
      </c>
      <c r="D160" s="5" t="s">
        <v>3120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3010</v>
      </c>
      <c r="C161" s="5" t="s">
        <v>3011</v>
      </c>
      <c r="D161" s="5" t="s">
        <v>3097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3012</v>
      </c>
      <c r="C162" s="5" t="s">
        <v>3013</v>
      </c>
      <c r="D162" s="5" t="s">
        <v>3097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3014</v>
      </c>
      <c r="C163" s="5" t="s">
        <v>3015</v>
      </c>
      <c r="D163" s="5" t="s">
        <v>3107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3016</v>
      </c>
      <c r="C164" s="5" t="s">
        <v>3017</v>
      </c>
      <c r="D164" s="5" t="s">
        <v>3132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3018</v>
      </c>
      <c r="C165" s="5" t="s">
        <v>3019</v>
      </c>
      <c r="D165" s="5" t="s">
        <v>3107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3020</v>
      </c>
      <c r="C166" s="5" t="s">
        <v>3021</v>
      </c>
      <c r="D166" s="5" t="s">
        <v>3100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3022</v>
      </c>
      <c r="C167" s="5" t="s">
        <v>3023</v>
      </c>
      <c r="D167" s="5" t="s">
        <v>3101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3024</v>
      </c>
      <c r="C168" s="5" t="s">
        <v>3025</v>
      </c>
      <c r="D168" s="5" t="s">
        <v>3108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3026</v>
      </c>
      <c r="C169" s="5" t="s">
        <v>3027</v>
      </c>
      <c r="D169" s="5" t="s">
        <v>3132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3028</v>
      </c>
      <c r="C170" s="5" t="s">
        <v>3029</v>
      </c>
      <c r="D170" s="5" t="s">
        <v>3097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3030</v>
      </c>
      <c r="C171" s="5" t="s">
        <v>3031</v>
      </c>
      <c r="D171" s="5" t="s">
        <v>3097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3032</v>
      </c>
      <c r="C172" s="5" t="s">
        <v>3033</v>
      </c>
      <c r="D172" s="5" t="s">
        <v>3139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3034</v>
      </c>
      <c r="C173" s="5" t="s">
        <v>3035</v>
      </c>
      <c r="D173" s="5" t="s">
        <v>3097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1882</v>
      </c>
      <c r="C174" s="5" t="s">
        <v>1883</v>
      </c>
      <c r="D174" s="5" t="s">
        <v>3097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3036</v>
      </c>
      <c r="C175" s="5" t="s">
        <v>3037</v>
      </c>
      <c r="D175" s="5" t="s">
        <v>1641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3038</v>
      </c>
      <c r="C176" s="5" t="s">
        <v>3039</v>
      </c>
      <c r="D176" s="5" t="s">
        <v>3097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3040</v>
      </c>
      <c r="C177" s="5" t="s">
        <v>3041</v>
      </c>
      <c r="D177" s="5" t="s">
        <v>3101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3042</v>
      </c>
      <c r="C178" s="5" t="s">
        <v>3043</v>
      </c>
      <c r="D178" s="5" t="s">
        <v>3120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3044</v>
      </c>
      <c r="C179" s="5" t="s">
        <v>3045</v>
      </c>
      <c r="D179" s="5" t="s">
        <v>3132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3046</v>
      </c>
      <c r="C180" s="5" t="s">
        <v>3047</v>
      </c>
      <c r="D180" s="5" t="s">
        <v>3101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3048</v>
      </c>
      <c r="C181" s="5" t="s">
        <v>3049</v>
      </c>
      <c r="D181" s="5" t="s">
        <v>3109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3050</v>
      </c>
      <c r="C182" s="5" t="s">
        <v>3051</v>
      </c>
      <c r="D182" s="5" t="s">
        <v>3097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3052</v>
      </c>
      <c r="C183" s="5" t="s">
        <v>3053</v>
      </c>
      <c r="D183" s="5" t="s">
        <v>3142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3054</v>
      </c>
      <c r="C184" s="5" t="s">
        <v>3055</v>
      </c>
      <c r="D184" s="5" t="s">
        <v>3101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3056</v>
      </c>
      <c r="C185" s="5" t="s">
        <v>3057</v>
      </c>
      <c r="D185" s="5" t="s">
        <v>3097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3058</v>
      </c>
      <c r="C186" s="5" t="s">
        <v>3059</v>
      </c>
      <c r="D186" s="5" t="s">
        <v>3101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3060</v>
      </c>
      <c r="C187" s="5" t="s">
        <v>3061</v>
      </c>
      <c r="D187" s="5" t="s">
        <v>3132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3062</v>
      </c>
      <c r="C188" s="5" t="s">
        <v>3063</v>
      </c>
      <c r="D188" s="5" t="s">
        <v>3101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3064</v>
      </c>
      <c r="C189" s="5" t="s">
        <v>3065</v>
      </c>
      <c r="D189" s="5" t="s">
        <v>3108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3066</v>
      </c>
      <c r="C190" s="5" t="s">
        <v>3067</v>
      </c>
      <c r="D190" s="5" t="s">
        <v>3114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2059</v>
      </c>
      <c r="C191" s="5" t="s">
        <v>2060</v>
      </c>
      <c r="D191" s="5" t="s">
        <v>3114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3068</v>
      </c>
      <c r="C192" s="5" t="s">
        <v>3069</v>
      </c>
      <c r="D192" s="5" t="s">
        <v>3118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3070</v>
      </c>
      <c r="C193" s="5" t="s">
        <v>3071</v>
      </c>
      <c r="D193" s="5" t="s">
        <v>3121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3072</v>
      </c>
      <c r="C194" s="5" t="s">
        <v>3073</v>
      </c>
      <c r="D194" s="5" t="s">
        <v>3143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3074</v>
      </c>
      <c r="C195" s="5" t="s">
        <v>3075</v>
      </c>
      <c r="D195" s="5" t="s">
        <v>3115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3076</v>
      </c>
      <c r="C196" s="5" t="s">
        <v>3077</v>
      </c>
      <c r="D196" s="5" t="s">
        <v>3101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3078</v>
      </c>
      <c r="C197" s="5" t="s">
        <v>3079</v>
      </c>
      <c r="D197" s="5" t="s">
        <v>3142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3080</v>
      </c>
      <c r="C198" s="5" t="s">
        <v>3081</v>
      </c>
      <c r="D198" s="5" t="s">
        <v>3099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3082</v>
      </c>
      <c r="C199" s="5" t="s">
        <v>3083</v>
      </c>
      <c r="D199" s="5" t="s">
        <v>3107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2107</v>
      </c>
      <c r="C200" s="5" t="s">
        <v>2108</v>
      </c>
      <c r="D200" s="5" t="s">
        <v>3099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2156</v>
      </c>
      <c r="C201" s="5" t="s">
        <v>2157</v>
      </c>
      <c r="D201" s="5" t="s">
        <v>3121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3084</v>
      </c>
      <c r="C202" s="5" t="s">
        <v>3085</v>
      </c>
      <c r="D202" s="5" t="s">
        <v>3138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2238</v>
      </c>
      <c r="C203" s="5" t="s">
        <v>2239</v>
      </c>
      <c r="D203" s="5" t="s">
        <v>3111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3086</v>
      </c>
      <c r="C204" s="5" t="s">
        <v>3087</v>
      </c>
      <c r="D204" s="5" t="s">
        <v>3121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3088</v>
      </c>
      <c r="C205" s="5" t="s">
        <v>3089</v>
      </c>
      <c r="D205" s="5" t="s">
        <v>3099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3090</v>
      </c>
      <c r="C206" s="5" t="s">
        <v>3091</v>
      </c>
      <c r="D206" s="5" t="s">
        <v>3142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3092</v>
      </c>
      <c r="C207" s="5" t="s">
        <v>3093</v>
      </c>
      <c r="D207" s="5" t="s">
        <v>3101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2355</v>
      </c>
      <c r="C208" s="5" t="s">
        <v>2356</v>
      </c>
      <c r="D208" s="5" t="s">
        <v>3132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2455</v>
      </c>
      <c r="C209" s="5" t="s">
        <v>2456</v>
      </c>
      <c r="D209" s="5" t="s">
        <v>3101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3094</v>
      </c>
      <c r="C210" s="5" t="s">
        <v>3095</v>
      </c>
      <c r="D210" s="5" t="s">
        <v>3097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2485</v>
      </c>
      <c r="C211" s="5" t="s">
        <v>3096</v>
      </c>
      <c r="D211" s="5" t="s">
        <v>3099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I51" sqref="I51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2583</v>
      </c>
      <c r="J3" s="9" t="s">
        <v>2584</v>
      </c>
      <c r="K3" s="20"/>
      <c r="L3" s="20"/>
      <c r="M3" s="20"/>
      <c r="N3" s="20"/>
      <c r="O3" s="20"/>
      <c r="P3" s="11" t="s">
        <v>427</v>
      </c>
      <c r="Q3" s="11" t="s">
        <v>2600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711</v>
      </c>
      <c r="C4" s="5" t="s">
        <v>712</v>
      </c>
      <c r="D4" s="5" t="s">
        <v>45</v>
      </c>
      <c r="E4" s="5">
        <f>+[80]Main!$J$2</f>
        <v>334.9</v>
      </c>
      <c r="F4" s="15">
        <f>+[80]Main!$J$4</f>
        <v>622169.62413309992</v>
      </c>
      <c r="G4" s="15">
        <f>+[80]Main!$J$6-[80]Main!$J$5</f>
        <v>3163</v>
      </c>
      <c r="H4" s="15">
        <f t="shared" ref="H4:H17" si="0">+F4+G4</f>
        <v>625332.62413309992</v>
      </c>
      <c r="I4" s="6" t="s">
        <v>710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713</v>
      </c>
      <c r="C5" s="5" t="s">
        <v>714</v>
      </c>
      <c r="D5" s="5" t="s">
        <v>45</v>
      </c>
      <c r="E5" s="5">
        <f>+[81]Main!$I$2</f>
        <v>519.49</v>
      </c>
      <c r="F5" s="15">
        <f>+[81]Main!$I$4</f>
        <v>473623.45178194001</v>
      </c>
      <c r="G5" s="15">
        <f>+[81]Main!$I$6-[81]Main!$I$5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+[27]Main!$I$2</f>
        <v>619.42999999999995</v>
      </c>
      <c r="F6" s="15">
        <f>+[27]Main!$I$4</f>
        <v>173462.08004999999</v>
      </c>
      <c r="G6" s="15">
        <f>+[27]Main!$I$6-[27]Main!$I$5</f>
        <v>5760</v>
      </c>
      <c r="H6" s="15">
        <f t="shared" si="0"/>
        <v>179222.08004999999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715</v>
      </c>
      <c r="C7" s="5" t="s">
        <v>716</v>
      </c>
      <c r="D7" s="5" t="s">
        <v>45</v>
      </c>
      <c r="E7" s="5">
        <f>+[82]Main!$J$2</f>
        <v>494.32</v>
      </c>
      <c r="F7" s="15">
        <f>+[82]Main!$J$4</f>
        <v>151607.94399999999</v>
      </c>
      <c r="G7" s="15">
        <f>+[82]Main!$J$6-[82]Main!$J$5</f>
        <v>9922</v>
      </c>
      <c r="H7" s="15">
        <f t="shared" si="0"/>
        <v>161529.94399999999</v>
      </c>
      <c r="I7" s="6" t="s">
        <v>710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+[40]Main!$I$2</f>
        <v>208</v>
      </c>
      <c r="F8" s="15">
        <f>+[40]Main!$I$4</f>
        <v>116748.10035200001</v>
      </c>
      <c r="G8" s="15">
        <f>+[40]Main!$I$6-[40]Main!$I$5</f>
        <v>23604</v>
      </c>
      <c r="H8" s="15">
        <f t="shared" si="0"/>
        <v>140352.10035200001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+[35]Main!$I$2</f>
        <v>284.85000000000002</v>
      </c>
      <c r="F9" s="15">
        <f>+[35]Main!$I$4</f>
        <v>115897.17387105002</v>
      </c>
      <c r="G9" s="15">
        <f>+[35]Main!$I$6-[35]Main!$I$5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717</v>
      </c>
      <c r="C10" s="5" t="s">
        <v>718</v>
      </c>
      <c r="D10" s="5" t="s">
        <v>45</v>
      </c>
      <c r="E10" s="5">
        <f>+[83]Main!$I$2</f>
        <v>185.7</v>
      </c>
      <c r="F10" s="15">
        <f>+[83]Main!$I$4</f>
        <v>106522.39852469999</v>
      </c>
      <c r="G10" s="15">
        <f>+[83]Main!$I$6-[83]Main!$I$5</f>
        <v>18881</v>
      </c>
      <c r="H10" s="15">
        <f t="shared" si="0"/>
        <v>125403.39852469999</v>
      </c>
      <c r="I10" s="6" t="s">
        <v>710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+[62]Main!$H$2</f>
        <v>276.01</v>
      </c>
      <c r="F11" s="15">
        <f>+[62]Main!$H$4</f>
        <v>69099.22577243</v>
      </c>
      <c r="G11" s="15">
        <f>+[62]Main!$H$6-[62]Main!$H$5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+[70]Main!$J$2</f>
        <v>117.07</v>
      </c>
      <c r="F12" s="15">
        <f>+[70]Main!$J$4</f>
        <v>104037.19313750998</v>
      </c>
      <c r="G12" s="15">
        <f>+[70]Main!$J$6-[70]Main!$J$5</f>
        <v>-4332</v>
      </c>
      <c r="H12" s="15">
        <f t="shared" si="0"/>
        <v>99705.193137509981</v>
      </c>
      <c r="I12" s="6" t="s">
        <v>710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+[48]Main!$I$2</f>
        <v>76.400000000000006</v>
      </c>
      <c r="F13" s="15">
        <f>+[48]Main!$I$4</f>
        <v>74031.600000000006</v>
      </c>
      <c r="G13" s="15">
        <f>+[48]Main!$I$6-[48]Main!$I$5</f>
        <v>1288</v>
      </c>
      <c r="H13" s="15">
        <f t="shared" si="0"/>
        <v>75319.600000000006</v>
      </c>
      <c r="I13" s="6" t="s">
        <v>2586</v>
      </c>
      <c r="J13" s="16">
        <v>45958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735</v>
      </c>
      <c r="C14" s="5" t="s">
        <v>736</v>
      </c>
      <c r="D14" s="5" t="s">
        <v>45</v>
      </c>
      <c r="E14" s="5">
        <f>+[84]Main!$I$2</f>
        <v>86.25</v>
      </c>
      <c r="F14" s="15">
        <f>+[84]Main!$I$4</f>
        <v>49517.989724999999</v>
      </c>
      <c r="G14" s="15">
        <f>+[84]Main!$I$6-[84]Main!$I$5</f>
        <v>8435</v>
      </c>
      <c r="H14" s="15">
        <f t="shared" si="0"/>
        <v>57952.989724999999</v>
      </c>
      <c r="I14" s="6" t="s">
        <v>710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2589</v>
      </c>
      <c r="C15" s="5" t="s">
        <v>2590</v>
      </c>
      <c r="D15" s="5" t="s">
        <v>45</v>
      </c>
      <c r="E15" s="5">
        <f>+[85]Main!$I$2</f>
        <v>220.4</v>
      </c>
      <c r="F15" s="15">
        <f>+[85]Main!$I$4</f>
        <v>45785.921346000003</v>
      </c>
      <c r="G15" s="15">
        <f>+[85]Main!$I$6-[85]Main!$I$5</f>
        <v>-1083.731</v>
      </c>
      <c r="H15" s="15">
        <f t="shared" si="0"/>
        <v>44702.190346000003</v>
      </c>
      <c r="I15" s="6" t="s">
        <v>710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722</v>
      </c>
      <c r="C16" s="5" t="s">
        <v>722</v>
      </c>
      <c r="D16" s="5" t="s">
        <v>45</v>
      </c>
      <c r="E16" s="5">
        <f>+[86]Main!$J$2</f>
        <v>544.77</v>
      </c>
      <c r="F16" s="15">
        <f>+[86]Main!$J$4</f>
        <v>42149.669331149998</v>
      </c>
      <c r="G16" s="15">
        <f>+[86]Main!$J$6-[86]Main!$J$5</f>
        <v>4186.1880000000001</v>
      </c>
      <c r="H16" s="15">
        <f t="shared" si="0"/>
        <v>46335.85733115</v>
      </c>
      <c r="I16" s="6" t="s">
        <v>710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709</v>
      </c>
      <c r="D17" s="5" t="s">
        <v>45</v>
      </c>
      <c r="E17" s="5">
        <f>+[63]Main!$J$2</f>
        <v>53.86</v>
      </c>
      <c r="F17" s="15">
        <f>+[63]Main!$J$4</f>
        <v>33365.192799999997</v>
      </c>
      <c r="G17" s="15">
        <f>+[63]Main!$J$6-[63]Main!$J$5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719</v>
      </c>
      <c r="C18" s="5" t="s">
        <v>720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721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2605</v>
      </c>
      <c r="C20" s="5" t="s">
        <v>2606</v>
      </c>
      <c r="D20" s="5" t="s">
        <v>45</v>
      </c>
      <c r="E20" s="5">
        <f>+[87]Main!$J$2</f>
        <v>208.42</v>
      </c>
      <c r="F20" s="15">
        <f>+[87]Main!$J$4</f>
        <v>22709.220190600001</v>
      </c>
      <c r="G20" s="15">
        <f>+[87]Main!$J$6-[87]Main!$J$5</f>
        <v>-3488</v>
      </c>
      <c r="H20" s="15">
        <f>+F20+G20</f>
        <v>19221.220190600001</v>
      </c>
      <c r="I20" s="6" t="s">
        <v>710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723</v>
      </c>
      <c r="C21" s="5" t="s">
        <v>724</v>
      </c>
      <c r="D21" s="5" t="s">
        <v>770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725</v>
      </c>
      <c r="C22" s="5" t="s">
        <v>726</v>
      </c>
      <c r="D22" s="5" t="s">
        <v>770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727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728</v>
      </c>
      <c r="C25" s="5" t="s">
        <v>729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730</v>
      </c>
      <c r="C26" s="5" t="s">
        <v>731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732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733</v>
      </c>
      <c r="C28" s="5" t="s">
        <v>734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737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738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469</v>
      </c>
      <c r="C31" s="5" t="s">
        <v>470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739</v>
      </c>
      <c r="C32" s="5" t="s">
        <v>740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741</v>
      </c>
      <c r="C33" s="5" t="s">
        <v>742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743</v>
      </c>
      <c r="C34" s="5" t="s">
        <v>744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745</v>
      </c>
      <c r="C35" s="5" t="s">
        <v>746</v>
      </c>
      <c r="D35" s="5" t="s">
        <v>771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747</v>
      </c>
      <c r="C36" s="5" t="s">
        <v>748</v>
      </c>
      <c r="D36" s="5" t="s">
        <v>770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749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750</v>
      </c>
      <c r="C38" s="5" t="s">
        <v>751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557</v>
      </c>
      <c r="C39" s="5" t="s">
        <v>752</v>
      </c>
      <c r="D39" s="5" t="s">
        <v>772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638</v>
      </c>
      <c r="C40" s="5" t="s">
        <v>639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753</v>
      </c>
      <c r="C41" s="5" t="s">
        <v>754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755</v>
      </c>
      <c r="C42" s="5" t="s">
        <v>756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757</v>
      </c>
      <c r="C43" s="5" t="s">
        <v>570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758</v>
      </c>
      <c r="C44" s="5" t="s">
        <v>759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760</v>
      </c>
      <c r="C45" s="5" t="s">
        <v>761</v>
      </c>
      <c r="D45" s="5" t="s">
        <v>770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762</v>
      </c>
      <c r="C46" s="5" t="s">
        <v>763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764</v>
      </c>
      <c r="C47" s="5" t="s">
        <v>765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766</v>
      </c>
      <c r="C48" s="5" t="s">
        <v>767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768</v>
      </c>
      <c r="C49" s="5" t="s">
        <v>1136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2593</v>
      </c>
      <c r="C50" s="5" t="s">
        <v>2594</v>
      </c>
      <c r="D50" s="5" t="s">
        <v>45</v>
      </c>
      <c r="E50" s="5">
        <f>+[88]Main!$K$2</f>
        <v>39.04</v>
      </c>
      <c r="F50" s="15">
        <f>+[88]Main!$K$4</f>
        <v>14227.016843519999</v>
      </c>
      <c r="G50" s="15">
        <f>+[88]Main!$K$6-[88]Main!$K$5</f>
        <v>-706.58600000000001</v>
      </c>
      <c r="H50" s="15">
        <f>+F50+G50</f>
        <v>13520.43084352</v>
      </c>
      <c r="I50" s="6" t="s">
        <v>710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2592</v>
      </c>
      <c r="C51" s="5" t="s">
        <v>2595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2599</v>
      </c>
      <c r="C52" s="5" t="s">
        <v>2598</v>
      </c>
      <c r="D52" s="5" t="s">
        <v>45</v>
      </c>
      <c r="E52" s="5">
        <f>+[89]Main!$H$2</f>
        <v>41.35</v>
      </c>
      <c r="F52" s="15">
        <f>+[89]Main!$H$4</f>
        <v>6320.9364066999997</v>
      </c>
      <c r="G52" s="15">
        <f>+[89]Main!$H$6-[89]Main!$H$5</f>
        <v>1242.8240000000001</v>
      </c>
      <c r="H52" s="15">
        <f>+F52+G52</f>
        <v>7563.7604066999993</v>
      </c>
      <c r="I52" s="22" t="s">
        <v>2586</v>
      </c>
      <c r="J52" s="5"/>
      <c r="K52" s="5"/>
      <c r="L52" s="5"/>
      <c r="M52" s="5"/>
      <c r="N52" s="5"/>
      <c r="O52" s="5"/>
      <c r="P52" s="5">
        <v>2008</v>
      </c>
      <c r="Q52" s="5" t="s">
        <v>2601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2602</v>
      </c>
      <c r="C53" s="5" t="s">
        <v>2607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2587</v>
      </c>
      <c r="C54" s="5" t="s">
        <v>2588</v>
      </c>
      <c r="D54" s="5" t="s">
        <v>301</v>
      </c>
      <c r="E54" s="5">
        <f>+[76]Main!$I$2</f>
        <v>65.7</v>
      </c>
      <c r="F54" s="15">
        <f>+[76]Main!$I$4</f>
        <v>7075.3846356000004</v>
      </c>
      <c r="G54" s="15">
        <f>+[76]Main!$I$6-[76]Main!$I$5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2713</v>
      </c>
      <c r="C55" s="5" t="s">
        <v>2712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811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2706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2707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2603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2604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769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770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963</v>
      </c>
      <c r="C6" s="5" t="s">
        <v>68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1126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964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965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966</v>
      </c>
      <c r="C11" s="5" t="s">
        <v>967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770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968</v>
      </c>
      <c r="C15" s="5" t="s">
        <v>969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770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970</v>
      </c>
      <c r="C19" s="5" t="s">
        <v>478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502</v>
      </c>
      <c r="C20" s="5" t="s">
        <v>503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971</v>
      </c>
      <c r="C21" s="5" t="s">
        <v>403</v>
      </c>
      <c r="D21" s="5" t="s">
        <v>1127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508</v>
      </c>
      <c r="C22" s="5" t="s">
        <v>509</v>
      </c>
      <c r="D22" s="5" t="s">
        <v>510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536</v>
      </c>
      <c r="C23" s="5" t="s">
        <v>537</v>
      </c>
      <c r="D23" s="5" t="s">
        <v>538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972</v>
      </c>
      <c r="C24" s="5" t="s">
        <v>505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524</v>
      </c>
      <c r="C25" s="5" t="s">
        <v>525</v>
      </c>
      <c r="D25" s="5" t="s">
        <v>770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597</v>
      </c>
      <c r="C26" s="5" t="s">
        <v>973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630</v>
      </c>
      <c r="C27" s="5" t="s">
        <v>974</v>
      </c>
      <c r="D27" s="5" t="s">
        <v>772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975</v>
      </c>
      <c r="C28" s="5" t="s">
        <v>588</v>
      </c>
      <c r="D28" s="5" t="s">
        <v>1128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976</v>
      </c>
      <c r="C29" s="5" t="s">
        <v>624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640</v>
      </c>
      <c r="C30" s="5" t="s">
        <v>641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687</v>
      </c>
      <c r="C31" s="5" t="s">
        <v>688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977</v>
      </c>
      <c r="C32" s="5" t="s">
        <v>978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979</v>
      </c>
      <c r="C33" s="5" t="s">
        <v>980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981</v>
      </c>
      <c r="C34" s="5" t="s">
        <v>982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983</v>
      </c>
      <c r="C35" s="5" t="s">
        <v>984</v>
      </c>
      <c r="D35" s="5" t="s">
        <v>1129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985</v>
      </c>
      <c r="C36" s="5" t="s">
        <v>986</v>
      </c>
      <c r="D36" s="5" t="s">
        <v>772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987</v>
      </c>
      <c r="C37" s="5" t="s">
        <v>988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989</v>
      </c>
      <c r="C38" s="5" t="s">
        <v>990</v>
      </c>
      <c r="D38" s="5" t="s">
        <v>510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991</v>
      </c>
      <c r="C39" s="5" t="s">
        <v>992</v>
      </c>
      <c r="D39" s="5" t="s">
        <v>1126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993</v>
      </c>
      <c r="C40" s="5" t="s">
        <v>994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995</v>
      </c>
      <c r="C41" s="5" t="s">
        <v>996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997</v>
      </c>
      <c r="C42" s="5" t="s">
        <v>998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999</v>
      </c>
      <c r="C43" s="5" t="s">
        <v>999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1000</v>
      </c>
      <c r="C44" s="5" t="s">
        <v>1001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1002</v>
      </c>
      <c r="C45" s="5" t="s">
        <v>1003</v>
      </c>
      <c r="D45" s="5" t="s">
        <v>510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1004</v>
      </c>
      <c r="C46" s="5" t="s">
        <v>1005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1006</v>
      </c>
      <c r="C47" s="5" t="s">
        <v>1007</v>
      </c>
      <c r="D47" s="5" t="s">
        <v>538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1008</v>
      </c>
      <c r="C48" s="5" t="s">
        <v>1009</v>
      </c>
      <c r="D48" s="5" t="s">
        <v>510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1010</v>
      </c>
      <c r="C49" s="5" t="s">
        <v>1011</v>
      </c>
      <c r="D49" s="5" t="s">
        <v>770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1012</v>
      </c>
      <c r="C50" s="5" t="s">
        <v>1013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1014</v>
      </c>
      <c r="C51" s="5" t="s">
        <v>1015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1016</v>
      </c>
      <c r="C52" s="5" t="s">
        <v>1017</v>
      </c>
      <c r="D52" s="5" t="s">
        <v>772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1018</v>
      </c>
      <c r="C53" s="5" t="s">
        <v>1019</v>
      </c>
      <c r="D53" s="5" t="s">
        <v>1130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1020</v>
      </c>
      <c r="C54" s="5" t="s">
        <v>1021</v>
      </c>
      <c r="D54" s="5" t="s">
        <v>770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1022</v>
      </c>
      <c r="C55" s="5" t="s">
        <v>1023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1024</v>
      </c>
      <c r="C56" s="5" t="s">
        <v>1025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1026</v>
      </c>
      <c r="C57" s="5" t="s">
        <v>1027</v>
      </c>
      <c r="D57" s="5" t="s">
        <v>770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1028</v>
      </c>
      <c r="C58" s="5" t="s">
        <v>1029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1030</v>
      </c>
      <c r="C59" s="5" t="s">
        <v>1031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1032</v>
      </c>
      <c r="C60" s="5" t="s">
        <v>1033</v>
      </c>
      <c r="D60" s="5" t="s">
        <v>772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1034</v>
      </c>
      <c r="C61" s="5" t="s">
        <v>1035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1036</v>
      </c>
      <c r="C62" s="5" t="s">
        <v>1037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1038</v>
      </c>
      <c r="C63" s="5" t="s">
        <v>1039</v>
      </c>
      <c r="D63" s="5" t="s">
        <v>538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1040</v>
      </c>
      <c r="C64" s="5" t="s">
        <v>1041</v>
      </c>
      <c r="D64" s="5" t="s">
        <v>510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1042</v>
      </c>
      <c r="C65" s="5" t="s">
        <v>1043</v>
      </c>
      <c r="D65" s="5" t="s">
        <v>1126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1044</v>
      </c>
      <c r="C66" s="5" t="s">
        <v>1045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1046</v>
      </c>
      <c r="C67" s="5" t="s">
        <v>1047</v>
      </c>
      <c r="D67" s="5" t="s">
        <v>510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1048</v>
      </c>
      <c r="C68" s="5" t="s">
        <v>1049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1050</v>
      </c>
      <c r="C69" s="5" t="s">
        <v>1051</v>
      </c>
      <c r="D69" s="5" t="s">
        <v>1131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1052</v>
      </c>
      <c r="C70" s="5" t="s">
        <v>1053</v>
      </c>
      <c r="D70" s="5" t="s">
        <v>1132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1054</v>
      </c>
      <c r="C71" s="5" t="s">
        <v>1055</v>
      </c>
      <c r="D71" s="5" t="s">
        <v>1127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1056</v>
      </c>
      <c r="C72" s="5" t="s">
        <v>1057</v>
      </c>
      <c r="D72" s="5" t="s">
        <v>510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1058</v>
      </c>
      <c r="C73" s="5" t="s">
        <v>1059</v>
      </c>
      <c r="D73" s="5" t="s">
        <v>770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1060</v>
      </c>
      <c r="C74" s="5" t="s">
        <v>1061</v>
      </c>
      <c r="D74" s="5" t="s">
        <v>1133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1062</v>
      </c>
      <c r="C75" s="5" t="s">
        <v>1063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1064</v>
      </c>
      <c r="C76" s="5" t="s">
        <v>1065</v>
      </c>
      <c r="D76" s="5" t="s">
        <v>1131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1066</v>
      </c>
      <c r="C77" s="5" t="s">
        <v>1067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1068</v>
      </c>
      <c r="C78" s="5" t="s">
        <v>1069</v>
      </c>
      <c r="D78" s="5" t="s">
        <v>1133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1070</v>
      </c>
      <c r="C79" s="5" t="s">
        <v>1071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1072</v>
      </c>
      <c r="C80" s="5" t="s">
        <v>1073</v>
      </c>
      <c r="D80" s="5" t="s">
        <v>510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1074</v>
      </c>
      <c r="C81" s="5" t="s">
        <v>1075</v>
      </c>
      <c r="D81" s="5" t="s">
        <v>603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1076</v>
      </c>
      <c r="C82" s="5" t="s">
        <v>1077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1078</v>
      </c>
      <c r="C83" s="5" t="s">
        <v>1079</v>
      </c>
      <c r="D83" s="5" t="s">
        <v>510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1080</v>
      </c>
      <c r="C84" s="5" t="s">
        <v>1081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1082</v>
      </c>
      <c r="C85" s="5" t="s">
        <v>1083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1084</v>
      </c>
      <c r="C86" s="5" t="s">
        <v>1085</v>
      </c>
      <c r="D86" s="5" t="s">
        <v>510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1086</v>
      </c>
      <c r="C87" s="5" t="s">
        <v>1087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1088</v>
      </c>
      <c r="C88" s="5" t="s">
        <v>1089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1090</v>
      </c>
      <c r="C89" s="5" t="s">
        <v>1091</v>
      </c>
      <c r="D89" s="5" t="s">
        <v>1133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1092</v>
      </c>
      <c r="C90" s="5" t="s">
        <v>1093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1094</v>
      </c>
      <c r="C91" s="5" t="s">
        <v>1095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1096</v>
      </c>
      <c r="C92" s="5" t="s">
        <v>1097</v>
      </c>
      <c r="D92" s="5" t="s">
        <v>510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1098</v>
      </c>
      <c r="C93" s="5" t="s">
        <v>1099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1100</v>
      </c>
      <c r="C94" s="5" t="s">
        <v>1101</v>
      </c>
      <c r="D94" s="5" t="s">
        <v>510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1102</v>
      </c>
      <c r="C95" s="5" t="s">
        <v>1103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1104</v>
      </c>
      <c r="C96" s="5" t="s">
        <v>1105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1106</v>
      </c>
      <c r="C97" s="5" t="s">
        <v>1107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1108</v>
      </c>
      <c r="C98" s="5" t="s">
        <v>1109</v>
      </c>
      <c r="D98" s="5" t="s">
        <v>770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1110</v>
      </c>
      <c r="C99" s="5" t="s">
        <v>1111</v>
      </c>
      <c r="D99" s="5" t="s">
        <v>770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1112</v>
      </c>
      <c r="C100" s="5" t="s">
        <v>1113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1114</v>
      </c>
      <c r="C101" s="5" t="s">
        <v>1115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1116</v>
      </c>
      <c r="C102" s="5" t="s">
        <v>1117</v>
      </c>
      <c r="D102" s="5" t="s">
        <v>1134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1118</v>
      </c>
      <c r="C103" s="5" t="s">
        <v>1119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1120</v>
      </c>
      <c r="C104" s="5" t="s">
        <v>1121</v>
      </c>
      <c r="D104" s="5" t="s">
        <v>1128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1122</v>
      </c>
      <c r="C105" s="5" t="s">
        <v>1123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1124</v>
      </c>
      <c r="C106" s="5" t="s">
        <v>1125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774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775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776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777</v>
      </c>
      <c r="C16" s="5" t="s">
        <v>778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779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780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781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782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783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784</v>
      </c>
      <c r="C23" s="5" t="s">
        <v>785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786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787</v>
      </c>
      <c r="C25" s="5" t="s">
        <v>788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789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790</v>
      </c>
      <c r="C27" s="5" t="s">
        <v>791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792</v>
      </c>
      <c r="C28" s="5" t="s">
        <v>793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794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795</v>
      </c>
      <c r="C30" s="5" t="s">
        <v>796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797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798</v>
      </c>
      <c r="C32" s="5" t="s">
        <v>799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800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801</v>
      </c>
      <c r="C34" s="5" t="s">
        <v>802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803</v>
      </c>
      <c r="C35" s="5" t="s">
        <v>804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805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806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807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808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809</v>
      </c>
      <c r="C40" s="5" t="s">
        <v>810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811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812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813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769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682</v>
      </c>
      <c r="C4" s="5" t="s">
        <v>682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2609</v>
      </c>
      <c r="C5" s="5" t="s">
        <v>704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2608</v>
      </c>
      <c r="C6" s="5" t="s">
        <v>1265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2610</v>
      </c>
      <c r="C7" s="5" t="s">
        <v>1545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2611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2612</v>
      </c>
      <c r="C16" s="5" t="s">
        <v>2613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811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2614</v>
      </c>
      <c r="C19" s="5" t="s">
        <v>811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2615</v>
      </c>
      <c r="C20" s="5" t="s">
        <v>811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2616</v>
      </c>
      <c r="C21" s="5" t="s">
        <v>811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2617</v>
      </c>
      <c r="C22" s="5" t="s">
        <v>811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2618</v>
      </c>
      <c r="C23" s="5" t="s">
        <v>811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2619</v>
      </c>
      <c r="C24" s="5" t="s">
        <v>811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2621</v>
      </c>
      <c r="C27" s="5" t="s">
        <v>2622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2623</v>
      </c>
      <c r="C28" s="5" t="s">
        <v>2624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2625</v>
      </c>
      <c r="C29" s="5" t="s">
        <v>2626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2627</v>
      </c>
      <c r="C30" s="5" t="s">
        <v>2628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2629</v>
      </c>
      <c r="C31" s="5" t="s">
        <v>2630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2631</v>
      </c>
      <c r="C32" s="5" t="s">
        <v>2632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2633</v>
      </c>
      <c r="C33" s="5" t="s">
        <v>2634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2635</v>
      </c>
      <c r="C34" s="5" t="s">
        <v>2636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2637</v>
      </c>
      <c r="C35" s="5" t="s">
        <v>2638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2639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2640</v>
      </c>
      <c r="C37" s="5" t="s">
        <v>2641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2642</v>
      </c>
      <c r="C38" s="5" t="s">
        <v>2643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2644</v>
      </c>
      <c r="C39" s="5" t="s">
        <v>2641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2645</v>
      </c>
      <c r="C40" s="5" t="s">
        <v>2646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2647</v>
      </c>
      <c r="C41" s="5" t="s">
        <v>2648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2649</v>
      </c>
      <c r="C42" s="5" t="s">
        <v>2650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2651</v>
      </c>
      <c r="C43" s="5" t="s">
        <v>2643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2652</v>
      </c>
      <c r="C45" s="5" t="s">
        <v>2653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2654</v>
      </c>
      <c r="C46" s="5" t="s">
        <v>2655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2656</v>
      </c>
      <c r="C47" s="5" t="s">
        <v>2657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2658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2659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2660</v>
      </c>
      <c r="C50" s="5" t="s">
        <v>2661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2662</v>
      </c>
      <c r="C51" s="5" t="s">
        <v>2663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2664</v>
      </c>
      <c r="C52" s="5" t="s">
        <v>2665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2666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2667</v>
      </c>
      <c r="C54" s="5" t="s">
        <v>2668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2669</v>
      </c>
      <c r="C55" s="5" t="s">
        <v>2670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2671</v>
      </c>
      <c r="C56" s="5" t="s">
        <v>2672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2673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2674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2675</v>
      </c>
      <c r="C59" s="2" t="s">
        <v>2676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2677</v>
      </c>
      <c r="C60" s="5" t="s">
        <v>2678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2679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2680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2681</v>
      </c>
      <c r="C63" s="5" t="s">
        <v>2682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2683</v>
      </c>
      <c r="C64" s="5" t="s">
        <v>2684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2685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2686</v>
      </c>
      <c r="C66" s="5" t="s">
        <v>2687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2688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2689</v>
      </c>
      <c r="C68" s="2" t="s">
        <v>2690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2691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2692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2693</v>
      </c>
      <c r="C71" s="5" t="s">
        <v>2694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2695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2696</v>
      </c>
      <c r="C73" s="5" t="s">
        <v>2697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2698</v>
      </c>
      <c r="C74" s="5" t="s">
        <v>2699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2700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2701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2702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2703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2704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2705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961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815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816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817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818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819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820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821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822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520</v>
      </c>
      <c r="C22" s="5" t="s">
        <v>521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823</v>
      </c>
      <c r="C23" s="5" t="s">
        <v>566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824</v>
      </c>
      <c r="C24" s="5" t="s">
        <v>825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826</v>
      </c>
      <c r="C25" s="5" t="s">
        <v>827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501</v>
      </c>
      <c r="C27" s="5" t="s">
        <v>501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828</v>
      </c>
      <c r="C28" s="5" t="s">
        <v>572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830</v>
      </c>
      <c r="C30" s="5" t="s">
        <v>831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615</v>
      </c>
      <c r="C32" s="5" t="s">
        <v>616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518</v>
      </c>
      <c r="C33" s="5" t="s">
        <v>519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832</v>
      </c>
      <c r="C34" s="5" t="s">
        <v>833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834</v>
      </c>
      <c r="C35" s="5" t="s">
        <v>835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836</v>
      </c>
      <c r="C36" s="5" t="s">
        <v>837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838</v>
      </c>
      <c r="C37" s="5" t="s">
        <v>839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840</v>
      </c>
      <c r="C38" s="5" t="s">
        <v>841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842</v>
      </c>
      <c r="C39" s="5" t="s">
        <v>476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843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844</v>
      </c>
      <c r="C42" s="5" t="s">
        <v>845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846</v>
      </c>
      <c r="C43" s="5" t="s">
        <v>678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847</v>
      </c>
      <c r="C44" s="5" t="s">
        <v>848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849</v>
      </c>
      <c r="C45" s="5" t="s">
        <v>850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627</v>
      </c>
      <c r="C46" s="5" t="s">
        <v>627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851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852</v>
      </c>
      <c r="C48" s="5" t="s">
        <v>578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853</v>
      </c>
      <c r="C49" s="5" t="s">
        <v>854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855</v>
      </c>
      <c r="C50" s="5" t="s">
        <v>856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857</v>
      </c>
      <c r="C51" s="5" t="s">
        <v>858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555</v>
      </c>
      <c r="C52" s="5" t="s">
        <v>556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526</v>
      </c>
      <c r="C53" s="5" t="s">
        <v>859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860</v>
      </c>
      <c r="C54" s="5" t="s">
        <v>861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495</v>
      </c>
      <c r="C55" s="5" t="s">
        <v>496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862</v>
      </c>
      <c r="C56" s="5" t="s">
        <v>863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864</v>
      </c>
      <c r="C57" s="5" t="s">
        <v>540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865</v>
      </c>
      <c r="C58" s="5" t="s">
        <v>866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867</v>
      </c>
      <c r="C59" s="5" t="s">
        <v>590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868</v>
      </c>
      <c r="C60" s="5" t="s">
        <v>869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655</v>
      </c>
      <c r="C61" s="5" t="s">
        <v>654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573</v>
      </c>
      <c r="C62" s="5" t="s">
        <v>574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870</v>
      </c>
      <c r="C63" s="5" t="s">
        <v>871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872</v>
      </c>
      <c r="C64" s="5" t="s">
        <v>873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874</v>
      </c>
      <c r="C65" s="5" t="s">
        <v>875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876</v>
      </c>
      <c r="C66" s="5" t="s">
        <v>594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877</v>
      </c>
      <c r="C67" s="5" t="s">
        <v>672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878</v>
      </c>
      <c r="C68" s="5" t="s">
        <v>879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880</v>
      </c>
      <c r="C69" s="5" t="s">
        <v>881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882</v>
      </c>
      <c r="C70" s="5" t="s">
        <v>883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884</v>
      </c>
      <c r="C71" s="5" t="s">
        <v>885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886</v>
      </c>
      <c r="C72" s="5" t="s">
        <v>887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888</v>
      </c>
      <c r="C73" s="5" t="s">
        <v>889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890</v>
      </c>
      <c r="C74" s="5" t="s">
        <v>890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811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891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892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893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894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895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zoomScale="200" zoomScaleNormal="200" workbookViewId="0">
      <selection activeCell="F30" sqref="F30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769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896</v>
      </c>
      <c r="C6" s="5" t="s">
        <v>897</v>
      </c>
      <c r="D6" s="5" t="s">
        <v>770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898</v>
      </c>
      <c r="C7" s="5" t="s">
        <v>899</v>
      </c>
      <c r="D7" s="5" t="s">
        <v>770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900</v>
      </c>
      <c r="D8" s="5" t="s">
        <v>958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901</v>
      </c>
      <c r="D9" s="5" t="s">
        <v>958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902</v>
      </c>
      <c r="C11" s="5" t="s">
        <v>903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904</v>
      </c>
      <c r="C12" s="5" t="s">
        <v>905</v>
      </c>
      <c r="D12" s="5" t="s">
        <v>45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906</v>
      </c>
      <c r="C13" s="5" t="s">
        <v>907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5" t="s">
        <v>908</v>
      </c>
      <c r="C14" s="5" t="s">
        <v>544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909</v>
      </c>
      <c r="C16" s="5" t="s">
        <v>910</v>
      </c>
      <c r="D16" s="5" t="s">
        <v>45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911</v>
      </c>
      <c r="C17" s="5" t="s">
        <v>912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5" t="s">
        <v>699</v>
      </c>
      <c r="C18" s="5" t="s">
        <v>700</v>
      </c>
      <c r="D18" s="5" t="s">
        <v>45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913</v>
      </c>
      <c r="C19" s="5" t="s">
        <v>914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915</v>
      </c>
      <c r="C20" s="5" t="s">
        <v>916</v>
      </c>
      <c r="D20" s="5" t="s">
        <v>45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917</v>
      </c>
      <c r="C21" s="5"/>
      <c r="D21" s="5" t="s">
        <v>45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918</v>
      </c>
      <c r="C22" s="5"/>
      <c r="D22" s="5" t="s">
        <v>45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811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919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920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921</v>
      </c>
      <c r="C27" s="5" t="s">
        <v>922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924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925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926</v>
      </c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927</v>
      </c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928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929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930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931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934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936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937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938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939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940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941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942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943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944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945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946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947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948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949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950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951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953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954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955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956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957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440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2025-09-09T12:42:49Z</dcterms:modified>
</cp:coreProperties>
</file>