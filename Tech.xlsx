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CBBA0C48-FFAB-4352-AE26-1532A4D5EC5C}" xr6:coauthVersionLast="47" xr6:coauthVersionMax="47" xr10:uidLastSave="{00000000-0000-0000-0000-000000000000}"/>
  <bookViews>
    <workbookView xWindow="225" yWindow="3855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H1101" i="1" s="1"/>
  <c r="E1101" i="1"/>
  <c r="A531" i="1"/>
  <c r="G292" i="1"/>
  <c r="F292" i="1"/>
  <c r="E292" i="1"/>
  <c r="G1098" i="1"/>
  <c r="F1098" i="1"/>
  <c r="E1098" i="1"/>
  <c r="G1100" i="1"/>
  <c r="F1100" i="1"/>
  <c r="H1100" i="1" s="1"/>
  <c r="E1100" i="1"/>
  <c r="H1098" i="1" l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<sst xmlns="http://schemas.openxmlformats.org/spreadsheetml/2006/main" count="5053" uniqueCount="3154">
  <si>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</si>
  <si>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</si>
  <si>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</si>
  <si>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</si>
  <si>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</si>
  <si>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</si>
  <si>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</si>
  <si>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</si>
  <si>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</si>
  <si>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</si>
  <si>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</si>
  <si>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</si>
  <si>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</si>
  <si>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</si>
  <si>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</si>
  <si>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</si>
  <si>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</si>
  <si>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</si>
  <si>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</si>
  <si>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</si>
  <si>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</si>
  <si>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</si>
  <si>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</si>
  <si>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</si>
  <si>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</si>
  <si>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</si>
  <si>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</si>
  <si>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</si>
  <si>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</si>
  <si>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</si>
  <si>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</si>
  <si>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</si>
  <si>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</si>
  <si>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</si>
  <si>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</si>
  <si>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</si>
  <si>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</si>
  <si>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</si>
  <si>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</si>
  <si>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</si>
  <si>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</si>
  <si>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</si>
  <si>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</si>
  <si>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</si>
  <si>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</si>
  <si>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</si>
  <si>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</si>
  <si>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</si>
  <si>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</si>
  <si>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</si>
  <si>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</si>
  <si>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</si>
  <si>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</si>
  <si>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</si>
  <si>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</si>
  <si>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</si>
  <si>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</si>
  <si>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</si>
  <si>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</si>
  <si>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</si>
  <si>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</si>
  <si>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</si>
  <si>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</si>
  <si>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</si>
  <si>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</si>
  <si>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</si>
  <si>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</si>
  <si>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</si>
  <si>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</si>
  <si>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</si>
  <si>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</si>
  <si>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</si>
  <si>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</si>
  <si>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</si>
  <si>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</si>
  <si>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</si>
  <si>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</si>
  <si>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</si>
  <si>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</si>
  <si>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</si>
  <si>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</si>
  <si>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</si>
  <si>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</si>
  <si>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</si>
  <si>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</si>
  <si>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</si>
  <si>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</si>
  <si>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</si>
  <si>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</si>
  <si>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</si>
  <si>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</si>
  <si>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</si>
  <si>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</si>
  <si>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</si>
  <si>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</si>
  <si>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</si>
  <si>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</si>
  <si>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</si>
  <si>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</si>
  <si>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</si>
  <si>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</si>
  <si>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</si>
  <si>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</si>
  <si>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</si>
  <si>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</si>
  <si>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</si>
  <si>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</si>
  <si>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</si>
  <si>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</si>
  <si>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</si>
  <si>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</si>
  <si>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</si>
  <si>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</si>
  <si>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</si>
  <si>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</si>
  <si>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</si>
  <si>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</si>
  <si>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</si>
  <si>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</si>
  <si>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</si>
  <si>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</si>
  <si>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</si>
  <si>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</si>
  <si>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</si>
  <si>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</si>
  <si>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</si>
  <si>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</si>
  <si>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</si>
  <si>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</si>
  <si>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</si>
  <si>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</si>
  <si>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</si>
  <si>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</si>
  <si>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</si>
  <si>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</si>
  <si>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</si>
  <si>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</si>
  <si>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</si>
  <si>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</si>
  <si>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</si>
  <si>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</si>
  <si>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</si>
  <si>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</si>
  <si>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</si>
  <si>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</si>
  <si>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</si>
  <si>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</si>
  <si>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</si>
  <si>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</si>
  <si>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</si>
  <si>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</si>
  <si>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</si>
  <si>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</si>
  <si>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</si>
  <si>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</si>
  <si>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</si>
  <si>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</si>
  <si>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</si>
  <si>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</si>
  <si>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</si>
  <si>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</si>
  <si>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</si>
  <si>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</si>
  <si>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</si>
  <si>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</si>
  <si>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</si>
  <si>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</si>
  <si>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</si>
  <si>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</si>
  <si>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</si>
  <si>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</si>
  <si>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</si>
  <si>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</si>
  <si>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</si>
  <si>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</si>
  <si>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</si>
  <si>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</si>
  <si>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</si>
  <si>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</si>
  <si>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</si>
  <si>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</si>
  <si>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</si>
  <si>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</si>
  <si>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</si>
  <si>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</si>
  <si>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</si>
  <si>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</si>
  <si>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</si>
  <si>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</si>
  <si>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</si>
  <si>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</si>
  <si>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</si>
  <si>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</si>
  <si>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</si>
  <si>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</si>
  <si>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</si>
  <si>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</si>
  <si>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</si>
  <si>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</si>
  <si>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</si>
  <si>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</si>
  <si>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</si>
  <si>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</si>
  <si>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</si>
  <si>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</si>
  <si>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</si>
  <si>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</si>
  <si>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</si>
  <si>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</si>
  <si>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</si>
  <si>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</si>
  <si>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</si>
  <si>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</si>
  <si>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</si>
  <si>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</si>
  <si>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</si>
  <si>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</si>
  <si>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</si>
  <si>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</si>
  <si>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</si>
  <si>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</si>
  <si>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</si>
  <si>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</si>
  <si>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</si>
  <si>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</si>
  <si>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</si>
  <si>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</si>
  <si>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</si>
  <si>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</si>
  <si>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</si>
  <si>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</si>
  <si>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</si>
  <si>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</si>
  <si>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</si>
  <si>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</si>
  <si>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</si>
  <si>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</si>
  <si>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</si>
  <si>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</si>
  <si>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</si>
  <si>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</si>
  <si>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</si>
  <si>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</si>
  <si>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</si>
  <si>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</si>
  <si>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</si>
  <si>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</si>
  <si>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</si>
  <si>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</si>
  <si>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</si>
  <si>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</si>
  <si>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</si>
  <si>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</si>
  <si>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</si>
  <si>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</si>
  <si>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</si>
  <si>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</si>
  <si>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</si>
  <si>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</si>
  <si>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</si>
  <si>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</si>
  <si>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</si>
  <si>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</si>
  <si>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</si>
  <si>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</si>
  <si>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</si>
  <si>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</si>
  <si>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</si>
  <si>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</si>
  <si>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</si>
  <si>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</si>
  <si>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</si>
  <si>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</si>
  <si>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</si>
  <si>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</si>
  <si>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</si>
  <si>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</si>
  <si>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</si>
  <si>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</si>
  <si>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</si>
  <si>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</si>
  <si>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</si>
  <si>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</si>
  <si>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</si>
  <si>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</si>
  <si>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</si>
  <si>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</si>
  <si>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</si>
  <si>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</si>
  <si>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</si>
  <si>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</si>
  <si>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</si>
  <si>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</si>
  <si>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</si>
  <si>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</si>
  <si>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</si>
  <si>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</si>
  <si>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</si>
  <si>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</si>
  <si>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</si>
  <si>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</si>
  <si>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</si>
  <si>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</si>
  <si>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</si>
  <si>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</si>
  <si>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</si>
  <si>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</si>
  <si>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</si>
  <si>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</si>
  <si>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</si>
  <si>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</si>
  <si>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</si>
  <si>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</si>
  <si>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</si>
  <si>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</si>
  <si>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</si>
  <si>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</si>
  <si>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</si>
  <si>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</si>
  <si>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</si>
  <si>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</si>
  <si>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</si>
  <si>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</si>
  <si>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</si>
  <si>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</si>
  <si>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</si>
  <si>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</si>
  <si>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</si>
  <si>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</si>
  <si>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</si>
  <si>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</si>
  <si>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</si>
  <si>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</si>
  <si>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</si>
  <si>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</si>
  <si>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</si>
  <si>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</si>
  <si>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</si>
  <si>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</si>
  <si>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</si>
  <si>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</si>
  <si>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</si>
  <si>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</si>
  <si>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</si>
  <si>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</si>
  <si>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</si>
  <si>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</si>
  <si>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</si>
  <si>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</si>
  <si>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</si>
  <si>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</si>
  <si>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</si>
  <si>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</si>
  <si>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</si>
  <si>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</si>
  <si>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</si>
  <si>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</si>
  <si>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</si>
  <si>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</si>
  <si>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</si>
  <si>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</si>
  <si>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</si>
  <si>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</si>
  <si>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</si>
  <si>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</si>
  <si>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</si>
  <si>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</si>
  <si>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</si>
  <si>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</si>
  <si>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</si>
  <si>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</si>
  <si>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</si>
  <si>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</si>
  <si>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</si>
  <si>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</si>
  <si>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</si>
  <si>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</si>
  <si>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</si>
  <si>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</si>
  <si>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</si>
  <si>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</si>
  <si>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</si>
  <si>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</si>
  <si>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</si>
  <si>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</si>
  <si>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</si>
  <si>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</si>
  <si>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</si>
  <si>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</si>
  <si>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</si>
  <si>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</si>
  <si>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</si>
  <si>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</si>
  <si>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</si>
  <si>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</si>
  <si>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</si>
  <si>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</si>
  <si>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</si>
  <si>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</si>
  <si>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</si>
  <si>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</si>
  <si>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</si>
  <si>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</si>
  <si>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</si>
  <si>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</si>
  <si>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</si>
  <si>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</si>
  <si>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</si>
  <si>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</si>
  <si>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</si>
  <si>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</si>
  <si>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</si>
  <si>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</si>
  <si>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</si>
  <si>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</si>
  <si>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</si>
  <si>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</si>
  <si>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</si>
  <si>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</si>
  <si>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</si>
  <si>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</si>
  <si>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</si>
  <si>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</si>
  <si>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</si>
  <si>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</si>
  <si>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</si>
  <si>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</si>
  <si>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</si>
  <si>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</si>
  <si>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</si>
  <si>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</si>
  <si>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</si>
  <si>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</si>
  <si>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</si>
  <si>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</si>
  <si>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</si>
  <si>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</si>
  <si>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</si>
  <si>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</si>
  <si>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</si>
  <si>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</si>
  <si>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</si>
  <si>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</si>
  <si>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</si>
  <si>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</si>
  <si>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</si>
  <si>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</si>
  <si>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</si>
  <si>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</si>
  <si>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</si>
  <si>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</si>
  <si>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</si>
  <si>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</si>
  <si>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</si>
  <si>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</si>
  <si>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</si>
  <si>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</si>
  <si>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</si>
  <si>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</si>
  <si>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</si>
  <si>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</si>
  <si>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</si>
  <si>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</si>
  <si>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</si>
  <si>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</si>
  <si>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</si>
  <si>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</si>
  <si>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</si>
  <si>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</si>
  <si>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</si>
  <si>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</si>
  <si>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</si>
  <si>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</si>
  <si>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</si>
  <si>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</si>
  <si>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</si>
  <si>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</si>
  <si>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</si>
  <si>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</si>
  <si>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</si>
  <si>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</si>
  <si>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</si>
  <si>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</si>
  <si>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</si>
  <si>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</si>
  <si>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</si>
  <si>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</si>
  <si>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</si>
  <si>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</si>
  <si>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</si>
  <si>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</si>
  <si>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</si>
  <si>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</si>
  <si>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</si>
  <si>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</si>
  <si>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</si>
  <si>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</si>
  <si>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</si>
  <si>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</si>
  <si>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</si>
  <si>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</si>
  <si>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</si>
  <si>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</si>
  <si>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</si>
  <si>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</si>
  <si>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</si>
  <si>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</si>
  <si>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</si>
  <si>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</si>
  <si>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</si>
  <si>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</si>
  <si>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</si>
  <si>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</si>
  <si>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</si>
  <si>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</si>
  <si>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</si>
  <si>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</si>
  <si>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</si>
  <si>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</si>
  <si>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</si>
  <si>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</si>
  <si>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</si>
  <si>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</si>
  <si>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</si>
  <si>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</si>
  <si>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</si>
  <si>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</si>
  <si>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</si>
  <si>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</si>
  <si>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</si>
  <si>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</si>
  <si>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</si>
  <si>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</si>
  <si>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</si>
  <si>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</si>
  <si>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</si>
  <si>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</si>
  <si>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</si>
  <si>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</si>
  <si>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</si>
  <si>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</si>
  <si>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</si>
  <si>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</si>
  <si>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</si>
  <si>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</si>
  <si>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</si>
  <si>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</si>
  <si>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</si>
  <si>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</si>
  <si>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</si>
  <si>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</si>
  <si>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</si>
  <si>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</si>
  <si>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</si>
  <si>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</si>
  <si>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</si>
  <si>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</si>
  <si>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</si>
  <si>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</si>
  <si>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</si>
  <si>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</si>
  <si>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</si>
  <si>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</si>
  <si>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</si>
  <si>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</si>
  <si>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</si>
  <si>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</si>
  <si>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</si>
  <si>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</si>
  <si>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</si>
  <si>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</si>
  <si>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</si>
  <si>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</si>
  <si>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</si>
  <si>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</si>
  <si>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</si>
  <si>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</si>
  <si>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</si>
  <si>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</si>
  <si>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</si>
  <si>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</si>
  <si>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</si>
  <si>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</si>
  <si>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</si>
  <si>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</si>
  <si>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</si>
  <si>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</si>
  <si>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</si>
  <si>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</si>
  <si>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</si>
  <si>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</si>
  <si>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</si>
  <si>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</si>
  <si>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</si>
  <si>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</si>
  <si>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</si>
  <si>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</si>
  <si>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</si>
  <si>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</si>
  <si>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</si>
  <si>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</si>
  <si>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</si>
  <si>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</si>
  <si>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</si>
  <si>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</si>
  <si>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</si>
  <si>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</si>
  <si>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</si>
  <si>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</si>
  <si>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</si>
  <si>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</si>
  <si>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</si>
  <si>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</si>
  <si>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</si>
  <si>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</si>
  <si>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</si>
  <si>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</si>
  <si>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</si>
  <si>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</si>
  <si>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</si>
  <si>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</si>
  <si>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</si>
  <si>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</si>
  <si>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</si>
  <si>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</si>
  <si>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</si>
  <si>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</si>
  <si>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</si>
  <si>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</si>
  <si>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</si>
  <si>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</si>
  <si>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</si>
  <si>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</si>
  <si>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</si>
  <si>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</si>
  <si>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</si>
  <si>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</si>
  <si>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</si>
  <si>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</si>
  <si>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</si>
  <si>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</si>
  <si>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</si>
  <si>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</si>
  <si>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</si>
  <si>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</si>
  <si>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</si>
  <si>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</si>
  <si>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</si>
  <si>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</si>
  <si>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</si>
  <si>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</si>
  <si>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</si>
  <si>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</si>
  <si>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</si>
  <si>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</si>
  <si>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</si>
  <si>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</si>
  <si>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</si>
  <si>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</si>
  <si>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</si>
  <si>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</si>
  <si>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</si>
  <si>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</si>
  <si>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</si>
  <si>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</si>
  <si>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</si>
  <si>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</si>
  <si>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</si>
  <si>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</si>
  <si>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</si>
  <si>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</si>
  <si>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</si>
  <si>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</si>
  <si>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</si>
  <si>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</si>
  <si>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</si>
  <si>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</si>
  <si>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</si>
  <si>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</si>
  <si>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</si>
  <si>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</si>
  <si>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</si>
  <si>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</si>
  <si>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</si>
  <si>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</si>
  <si>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</si>
  <si>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</si>
  <si>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</si>
  <si>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</si>
  <si>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</si>
  <si>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</si>
  <si>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</si>
  <si>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</si>
  <si>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</si>
  <si>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</si>
  <si>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</si>
  <si>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</si>
  <si>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</si>
  <si>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</si>
  <si>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</si>
  <si>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</si>
  <si>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</si>
  <si>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</si>
  <si>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</si>
  <si>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</si>
  <si>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</si>
  <si>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</si>
  <si>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</si>
  <si>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</si>
  <si>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</si>
  <si>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</si>
  <si>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</si>
  <si>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</si>
  <si>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</si>
  <si>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</si>
  <si>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</si>
  <si>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</si>
  <si>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</si>
  <si>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</si>
  <si>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</si>
  <si>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</si>
  <si>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</si>
  <si>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</si>
  <si>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</si>
  <si>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</si>
  <si>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</si>
  <si>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</si>
  <si>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</si>
  <si>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</si>
  <si>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</si>
  <si>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</si>
  <si>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</si>
  <si>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</si>
  <si>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</si>
  <si>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</si>
  <si>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</si>
  <si>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</si>
  <si>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</si>
  <si>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</si>
  <si>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</si>
  <si>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</si>
  <si>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</si>
  <si>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</si>
  <si>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</si>
  <si>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</si>
  <si>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</si>
  <si>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</si>
  <si>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</si>
  <si>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</si>
  <si>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</si>
  <si>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</si>
  <si>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</si>
  <si>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</si>
  <si>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</si>
  <si>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</si>
  <si>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</si>
  <si>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</si>
  <si>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</si>
  <si>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</si>
  <si>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</si>
  <si>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</si>
  <si>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</si>
  <si>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</si>
  <si>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</si>
  <si>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</si>
  <si>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</si>
  <si>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</si>
  <si>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</si>
  <si>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</si>
  <si>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</si>
  <si>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</si>
  <si>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</si>
  <si>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</si>
  <si>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</si>
  <si>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</si>
  <si>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</si>
  <si>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</si>
  <si>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</si>
  <si>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</si>
  <si>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</si>
  <si>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</si>
  <si>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</si>
  <si>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</si>
  <si>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</si>
  <si>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</si>
  <si>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</si>
  <si>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</si>
  <si>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</si>
  <si>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</si>
  <si>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</si>
  <si>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</si>
  <si>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</si>
  <si>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</si>
  <si>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</si>
  <si>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</si>
  <si>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</si>
  <si>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</si>
  <si>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</si>
  <si>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</si>
  <si>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</si>
  <si>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</si>
  <si>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</si>
  <si>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</si>
  <si>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</si>
  <si>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</si>
  <si>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</si>
  <si>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</si>
  <si>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</si>
  <si>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</si>
  <si>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</si>
  <si>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</si>
  <si>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</si>
  <si>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</si>
  <si>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</si>
  <si>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</si>
  <si>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</si>
  <si>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</si>
  <si>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</si>
  <si>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</si>
  <si>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</si>
  <si>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</si>
  <si>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</si>
  <si>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</si>
  <si>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</si>
  <si>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</si>
  <si>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</si>
  <si>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</si>
  <si>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</si>
  <si>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</si>
  <si>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</si>
  <si>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</si>
  <si>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</si>
  <si>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</si>
  <si>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</si>
  <si>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</si>
  <si>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</si>
  <si>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</si>
  <si>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</si>
  <si>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</si>
  <si>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</si>
  <si>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</si>
  <si>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</si>
  <si>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</si>
  <si>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</si>
  <si>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</si>
  <si>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</si>
  <si>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</si>
  <si>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</si>
  <si>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</si>
  <si>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</si>
  <si>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</si>
  <si>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</si>
  <si>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</si>
  <si>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</si>
  <si>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</si>
  <si>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</si>
  <si>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</si>
  <si>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</si>
  <si>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</si>
  <si>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</si>
  <si>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</si>
  <si>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</si>
  <si>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</si>
  <si>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</si>
  <si>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</si>
  <si>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</si>
  <si>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</si>
  <si>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</si>
  <si>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</si>
  <si>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</si>
  <si>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</si>
  <si>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</si>
  <si>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</si>
  <si>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</si>
  <si>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</si>
  <si>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</si>
  <si>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</si>
  <si>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</si>
  <si>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</si>
  <si>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</si>
  <si>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</si>
  <si>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</si>
  <si>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</si>
  <si>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</si>
  <si>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</si>
  <si>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</si>
  <si>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</si>
  <si>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</si>
  <si>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</si>
  <si>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</si>
  <si>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</si>
  <si>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</si>
  <si>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</si>
  <si>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</si>
  <si>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</si>
  <si>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</si>
  <si>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</si>
  <si>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</si>
  <si>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</si>
  <si>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</si>
  <si>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</si>
  <si>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</si>
  <si>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</si>
  <si>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</si>
  <si>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</si>
  <si>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</si>
  <si>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</si>
  <si>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</si>
  <si>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</si>
  <si>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</si>
  <si>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</si>
  <si>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</si>
  <si>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</si>
  <si>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</si>
  <si>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</si>
  <si>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</si>
  <si>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</si>
  <si>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</si>
  <si>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</si>
  <si>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</si>
  <si>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</si>
  <si>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</si>
  <si>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</si>
  <si>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</si>
  <si>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</si>
  <si>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</si>
  <si>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</si>
  <si>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</si>
  <si>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</si>
  <si>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</si>
  <si>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</si>
  <si>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</si>
  <si>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</si>
  <si>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</si>
  <si>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</si>
  <si>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</si>
  <si>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</si>
  <si>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</si>
  <si>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</si>
  <si>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</si>
  <si>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</si>
  <si>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</si>
  <si>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</si>
  <si>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</si>
  <si>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</si>
  <si>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</si>
  <si>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</si>
  <si>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</si>
  <si>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</si>
  <si>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</si>
  <si>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</si>
  <si>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</si>
  <si>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</si>
  <si>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</si>
  <si>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</si>
  <si>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</si>
  <si>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</si>
  <si>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</si>
  <si>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</si>
  <si>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</si>
  <si>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</si>
  <si>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</si>
  <si>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</si>
  <si>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</si>
  <si>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</si>
  <si>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</si>
  <si>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</si>
  <si>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</si>
  <si>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</si>
  <si>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</si>
  <si>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</si>
  <si>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</si>
  <si>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</si>
  <si>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</si>
  <si>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</si>
  <si>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</si>
  <si>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</si>
  <si>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</si>
  <si>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</si>
  <si>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</si>
  <si>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</si>
  <si>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</si>
  <si>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</si>
  <si>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</si>
  <si>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</si>
  <si>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</si>
  <si>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</si>
  <si>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</si>
  <si>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</si>
  <si>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</si>
  <si>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</si>
  <si>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</si>
  <si>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</si>
  <si>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</si>
  <si>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</si>
  <si>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</si>
  <si>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</si>
  <si>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</si>
  <si>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</si>
  <si>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</si>
  <si>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</si>
  <si>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</si>
  <si>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</si>
  <si>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</si>
  <si>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</si>
  <si>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</si>
  <si>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</si>
  <si>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</si>
  <si>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</si>
  <si>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</si>
  <si>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</si>
  <si>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</si>
  <si>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</si>
  <si>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</si>
  <si>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</si>
  <si>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</si>
  <si>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</si>
  <si>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</si>
  <si>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</si>
  <si>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</si>
  <si>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</si>
  <si>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</si>
  <si>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</si>
  <si>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</si>
  <si>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</si>
  <si>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</si>
  <si>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</si>
  <si>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</si>
  <si>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</si>
  <si>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</si>
  <si>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</si>
  <si>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</si>
  <si>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</si>
  <si>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</si>
  <si>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</si>
  <si>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</si>
  <si>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</si>
  <si>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</si>
  <si>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</si>
  <si>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</si>
  <si>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</si>
  <si>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</si>
  <si>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</si>
  <si>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</si>
  <si>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</si>
  <si>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</si>
  <si>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</si>
  <si>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</si>
  <si>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</si>
  <si>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</si>
  <si>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</si>
  <si>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</si>
  <si>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</si>
  <si>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</si>
  <si>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</si>
  <si>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</si>
  <si>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</si>
  <si>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</si>
  <si>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</si>
  <si>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</si>
  <si>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</si>
  <si>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</si>
  <si>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</si>
  <si>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</si>
  <si>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</si>
  <si>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</si>
  <si>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</si>
  <si>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</si>
  <si>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</si>
  <si>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</si>
  <si>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</si>
  <si>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</si>
  <si>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</si>
  <si>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</si>
  <si>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</si>
  <si>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</si>
  <si>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</si>
  <si>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</si>
  <si>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</si>
  <si>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</si>
  <si>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</si>
  <si>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</si>
  <si>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</si>
  <si>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</si>
  <si>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</si>
  <si>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</si>
  <si>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</si>
  <si>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</si>
  <si>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</si>
  <si>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</si>
  <si>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</si>
  <si>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</si>
  <si>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</si>
  <si>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</si>
  <si>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</si>
  <si>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</si>
  <si>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</si>
  <si>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</si>
  <si>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</si>
  <si>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</si>
  <si>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</si>
  <si>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</si>
  <si>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</si>
  <si>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</si>
  <si>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</si>
  <si>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</si>
  <si>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</si>
  <si>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</si>
  <si>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</si>
  <si>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</si>
  <si>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</si>
  <si>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</si>
  <si>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</si>
  <si>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</si>
  <si>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</si>
  <si>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</si>
  <si>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</si>
  <si>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</si>
  <si>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</si>
  <si>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</si>
  <si>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</si>
  <si>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</si>
  <si>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</si>
  <si>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</si>
  <si>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</si>
  <si>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</si>
  <si>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</si>
  <si>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</si>
  <si>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</si>
  <si>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</si>
  <si>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</si>
  <si>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</si>
  <si>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</si>
  <si>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</si>
  <si>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</si>
  <si>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</si>
  <si>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</si>
  <si>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</si>
  <si>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</si>
  <si>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</si>
  <si>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</si>
  <si>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</si>
  <si>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</si>
  <si>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</si>
  <si>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</si>
  <si>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</si>
  <si>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</si>
  <si>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</si>
  <si>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</si>
  <si>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</si>
  <si>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</si>
  <si>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</si>
  <si>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</si>
  <si>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</si>
  <si>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</si>
  <si>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</si>
  <si>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</si>
  <si>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</si>
  <si>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</si>
  <si>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</si>
  <si>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</si>
  <si>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</si>
  <si>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</si>
  <si>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</si>
  <si>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</si>
  <si>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</si>
  <si>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</si>
  <si>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</si>
  <si>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</si>
  <si>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</si>
  <si>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</si>
  <si>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</si>
  <si>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</si>
  <si>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</si>
  <si>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</si>
  <si>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</si>
  <si>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</si>
  <si>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</si>
  <si>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</si>
  <si>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</si>
  <si>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</si>
  <si>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</si>
  <si>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</si>
  <si>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</si>
  <si>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</si>
  <si>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</si>
  <si>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</si>
  <si>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</si>
  <si>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</si>
  <si>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</si>
  <si>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</si>
  <si>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</si>
  <si>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</si>
  <si>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</si>
  <si>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</si>
  <si>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</si>
  <si>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</si>
  <si>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</si>
  <si>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</si>
  <si>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</si>
  <si>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</si>
  <si>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</si>
  <si>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</si>
  <si>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</si>
  <si>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</si>
  <si>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</si>
  <si>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</si>
  <si>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</si>
  <si>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</si>
  <si>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</si>
  <si>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</si>
  <si>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</si>
  <si>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</si>
  <si>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</si>
  <si>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</si>
  <si>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</si>
  <si>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</si>
  <si>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</si>
  <si>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</si>
  <si>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</si>
  <si>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</si>
  <si>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</si>
  <si>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</si>
  <si>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</si>
  <si>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</si>
  <si>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</si>
  <si>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</si>
  <si>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</si>
  <si>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</si>
  <si>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</si>
  <si>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</si>
  <si>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</si>
  <si>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</si>
  <si>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</si>
  <si>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</si>
  <si>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</si>
  <si>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</si>
  <si>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</si>
  <si>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</si>
  <si>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</si>
  <si>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</si>
  <si>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</si>
  <si>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</si>
  <si>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</si>
  <si>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</si>
  <si>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</si>
  <si>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</si>
  <si>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</si>
  <si>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</si>
  <si>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</si>
  <si>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</si>
  <si>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</si>
  <si>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</si>
  <si>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</si>
  <si>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</si>
  <si>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</si>
  <si>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</si>
  <si>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</si>
  <si>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</si>
  <si>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</si>
  <si>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</si>
  <si>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</si>
  <si>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</si>
  <si>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</si>
  <si>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</si>
  <si>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</si>
  <si>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</si>
  <si>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</si>
  <si>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</si>
  <si>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</si>
  <si>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</si>
  <si>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</si>
  <si>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</si>
  <si>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</si>
  <si>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</si>
  <si>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</si>
  <si>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</si>
  <si>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</si>
  <si>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</si>
  <si>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</si>
  <si>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</si>
  <si>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</si>
  <si>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</si>
  <si>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</si>
  <si>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</si>
  <si>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</si>
  <si>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</si>
  <si>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</si>
  <si>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</si>
  <si>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</si>
  <si>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</si>
  <si>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</si>
  <si>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</si>
  <si>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</si>
  <si>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</si>
  <si>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</si>
  <si>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</si>
  <si>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</si>
  <si>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</si>
  <si>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</si>
  <si>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</si>
  <si>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</si>
  <si>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</si>
  <si>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</si>
  <si>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</si>
  <si>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</si>
  <si>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</si>
  <si>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</si>
  <si>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</si>
  <si>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</si>
  <si>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</si>
  <si>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</si>
  <si>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</si>
  <si>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</si>
  <si>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</si>
  <si>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</si>
  <si>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</si>
  <si>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</si>
  <si>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</si>
  <si>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</si>
  <si>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</si>
  <si>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</si>
  <si>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</si>
  <si>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</si>
  <si>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</si>
  <si>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</si>
  <si>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</si>
  <si>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</si>
  <si>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</si>
  <si>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</si>
  <si>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</si>
  <si>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</si>
  <si>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</si>
  <si>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</si>
  <si>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</si>
  <si>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</si>
  <si>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</si>
  <si>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</si>
  <si>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</si>
  <si>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</si>
  <si>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</si>
  <si>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</si>
  <si>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</si>
  <si>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</si>
  <si>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</si>
  <si>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</si>
  <si>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</si>
  <si>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</si>
  <si>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</si>
  <si>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</si>
  <si>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</si>
  <si>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</si>
  <si>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</si>
  <si>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</si>
  <si>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</si>
  <si>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</si>
  <si>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</si>
  <si>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</si>
  <si>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</si>
  <si>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</si>
  <si>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</si>
  <si>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</si>
  <si>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</si>
  <si>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</si>
  <si>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</si>
  <si>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</si>
  <si>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</si>
  <si>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</si>
  <si>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</si>
  <si>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</si>
  <si>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</si>
  <si>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</si>
  <si>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</si>
  <si>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</si>
  <si>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</si>
  <si>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</si>
  <si>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</si>
  <si>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</si>
  <si>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</si>
  <si>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</si>
  <si>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</si>
  <si>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</si>
  <si>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</si>
  <si>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</si>
  <si>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</si>
  <si>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</si>
  <si>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</si>
  <si>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</si>
  <si>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</si>
  <si>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</si>
  <si>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</si>
  <si>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</si>
  <si>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</si>
  <si>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</si>
  <si>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</si>
  <si>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</si>
  <si>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</si>
  <si>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</si>
  <si>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</si>
  <si>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</si>
  <si>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</si>
  <si>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</si>
  <si>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</si>
  <si>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</si>
  <si>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</si>
  <si>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</si>
  <si>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</si>
  <si>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</si>
  <si>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</si>
  <si>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</si>
  <si>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</si>
  <si>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</si>
  <si>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</si>
  <si>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</si>
  <si>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</si>
  <si>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</si>
  <si>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</si>
  <si>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</si>
  <si>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</si>
  <si>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</si>
  <si>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</si>
  <si>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</si>
  <si>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</si>
  <si>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</si>
  <si>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</si>
  <si>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</si>
  <si>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</si>
  <si>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</si>
  <si>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</si>
  <si>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</si>
  <si>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</si>
  <si>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</si>
  <si>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</si>
  <si>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</si>
  <si>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</si>
  <si>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</si>
  <si>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</si>
  <si>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</si>
  <si>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</si>
  <si>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</si>
  <si>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</si>
  <si>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</si>
  <si>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</si>
  <si>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</si>
  <si>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</si>
  <si>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</si>
  <si>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</si>
  <si>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</si>
  <si>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</si>
  <si>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</si>
  <si>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</si>
  <si>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</si>
  <si>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</si>
  <si>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</si>
  <si>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</si>
  <si>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</si>
  <si>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</si>
  <si>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</si>
  <si>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</si>
  <si>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</si>
  <si>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</si>
  <si>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</si>
  <si>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</si>
  <si>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</si>
  <si>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</si>
  <si>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</si>
  <si>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</si>
  <si>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</si>
  <si>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</si>
  <si>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</si>
  <si>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</si>
  <si>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</si>
  <si>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</si>
  <si>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</si>
  <si>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</si>
  <si>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</si>
  <si>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</si>
  <si>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</si>
  <si>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</si>
  <si>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</si>
  <si>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</si>
  <si>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</si>
  <si>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</si>
  <si>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</si>
  <si>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</si>
  <si>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</si>
  <si>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</si>
  <si>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</si>
  <si>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</si>
  <si>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</si>
  <si>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</si>
  <si>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</si>
  <si>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</si>
  <si>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</si>
  <si>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</si>
  <si>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</si>
  <si>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</si>
  <si>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</si>
  <si>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</si>
  <si>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</si>
  <si>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</si>
  <si>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</si>
  <si>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</si>
  <si>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</si>
  <si>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</si>
  <si>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</si>
  <si>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</si>
  <si>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</si>
  <si>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</si>
  <si>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</si>
  <si>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</si>
  <si>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</si>
  <si>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</si>
  <si>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</si>
  <si>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</si>
  <si>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</si>
  <si>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</si>
  <si>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</si>
  <si>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</si>
  <si>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</si>
  <si>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</si>
  <si>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</si>
  <si>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</si>
  <si>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</si>
  <si>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</si>
  <si>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</si>
  <si>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</si>
  <si>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</si>
  <si>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</si>
  <si>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</si>
  <si>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</si>
  <si>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</si>
  <si>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</si>
  <si>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</si>
  <si>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</si>
  <si>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</si>
  <si>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</si>
  <si>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</si>
  <si>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</si>
  <si>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</si>
  <si>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</si>
  <si>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</si>
  <si>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</si>
  <si>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</si>
  <si>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</si>
  <si>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</si>
  <si>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</si>
  <si>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</si>
  <si>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</si>
  <si>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</si>
  <si>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</si>
  <si>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</si>
  <si>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</si>
  <si>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</si>
  <si>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</si>
  <si>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</si>
  <si>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</si>
  <si>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</si>
  <si>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</si>
  <si>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</si>
  <si>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</si>
  <si>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</si>
  <si>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</si>
  <si>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</si>
  <si>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</si>
  <si>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</si>
  <si>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</si>
  <si>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</si>
  <si>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</si>
  <si>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</si>
  <si>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</si>
  <si>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</si>
  <si>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</si>
  <si>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</si>
  <si>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</si>
  <si>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</si>
  <si>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</si>
  <si>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</si>
  <si>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</si>
  <si>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</si>
  <si>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</si>
  <si>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</si>
  <si>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</si>
  <si>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</si>
  <si>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</si>
  <si>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</si>
  <si>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</si>
  <si>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</si>
  <si>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</si>
  <si>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</si>
  <si>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</si>
  <si>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</si>
  <si>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</si>
  <si>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</si>
  <si>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</si>
  <si>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</si>
  <si>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</si>
  <si>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</si>
  <si>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</si>
  <si>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</si>
  <si>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</si>
  <si>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</si>
  <si>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</si>
  <si>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</si>
  <si>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</si>
  <si>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</si>
  <si>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</si>
  <si>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</si>
  <si>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</si>
  <si>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</si>
  <si>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</si>
  <si>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</si>
  <si>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</si>
  <si>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</si>
  <si>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</si>
  <si>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</si>
  <si>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</si>
  <si>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</si>
  <si>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</si>
  <si>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</si>
  <si>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</si>
  <si>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</si>
  <si>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</si>
  <si>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</si>
  <si>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</si>
  <si>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</si>
  <si>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</si>
  <si>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</si>
  <si>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</si>
  <si>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</si>
  <si>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</si>
  <si>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</si>
  <si>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</si>
  <si>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</si>
  <si>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</si>
  <si>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</si>
  <si>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</si>
  <si>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</si>
  <si>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</si>
  <si>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</si>
  <si>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</si>
  <si>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</si>
  <si>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</si>
  <si>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</si>
  <si>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</si>
  <si>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</si>
  <si>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</si>
  <si>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</si>
  <si>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</si>
  <si>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</si>
  <si>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</si>
  <si>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</si>
  <si>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</si>
  <si>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</si>
  <si>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</si>
  <si>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</si>
  <si>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</si>
  <si>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</si>
  <si>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</si>
  <si>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</si>
  <si>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</si>
  <si>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</si>
  <si>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</si>
  <si>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</si>
  <si>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</si>
  <si>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</si>
  <si>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</si>
  <si>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</si>
  <si>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</si>
  <si>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</si>
  <si>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</si>
  <si>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</si>
  <si>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</si>
  <si>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</si>
  <si>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</si>
  <si>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</si>
  <si>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</si>
  <si>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</si>
  <si>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</si>
  <si>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</si>
  <si>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</si>
  <si>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</si>
  <si>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</si>
  <si>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</si>
  <si>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</si>
  <si>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</si>
  <si>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</si>
  <si>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</si>
  <si>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</si>
  <si>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</si>
  <si>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</si>
  <si>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</si>
  <si>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</si>
  <si>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</si>
  <si>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</si>
  <si>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</si>
  <si>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</si>
  <si>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</si>
  <si>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</si>
  <si>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</si>
  <si>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</si>
  <si>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</si>
  <si>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</si>
  <si>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</si>
  <si>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</si>
  <si>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</si>
  <si>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</si>
  <si>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</si>
  <si>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</si>
  <si>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</si>
  <si>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</si>
  <si>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</si>
  <si>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</si>
  <si>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</si>
  <si>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</si>
  <si>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</si>
  <si>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</si>
  <si>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</si>
  <si>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</si>
  <si>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</si>
  <si>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</si>
  <si>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</si>
  <si>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</si>
  <si>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</si>
  <si>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</si>
  <si>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</si>
  <si>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</si>
  <si>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</si>
  <si>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</si>
  <si>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</si>
  <si>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</si>
  <si>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</si>
  <si>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</si>
  <si>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</si>
  <si>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</si>
  <si>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</si>
  <si>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</si>
  <si>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</si>
  <si>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</si>
  <si>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</si>
  <si>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</si>
  <si>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</si>
  <si>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</si>
  <si>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</si>
  <si>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</si>
  <si>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</si>
  <si>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</si>
  <si>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</si>
  <si>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</si>
  <si>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</si>
  <si>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</si>
  <si>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</si>
  <si>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</si>
  <si>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</si>
  <si>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</si>
  <si>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</si>
  <si>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</si>
  <si>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</si>
  <si>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</si>
  <si>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</si>
  <si>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</si>
  <si>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</si>
  <si>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</si>
  <si>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</si>
  <si>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</si>
  <si>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</si>
  <si>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</si>
  <si>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</si>
  <si>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</si>
  <si>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</si>
  <si>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</si>
  <si>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</si>
  <si>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</si>
  <si>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</si>
  <si>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</si>
  <si>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</si>
  <si>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</si>
  <si>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</si>
  <si>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</si>
  <si>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</si>
  <si>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</si>
  <si>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</si>
  <si>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</si>
  <si>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</si>
  <si>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</si>
  <si>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</si>
  <si>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</si>
  <si>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</si>
  <si>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</si>
  <si>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</si>
  <si>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</si>
  <si>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</si>
  <si>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</si>
  <si>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</si>
  <si>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</si>
  <si>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</si>
  <si>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</si>
  <si>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</si>
  <si>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</si>
  <si>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</si>
  <si>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</si>
  <si>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</si>
  <si>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</si>
  <si>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</si>
  <si>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</si>
  <si>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</si>
  <si>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</si>
  <si>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</si>
  <si>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</si>
  <si>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</si>
  <si>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</si>
  <si>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</si>
  <si>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</si>
  <si>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</si>
  <si>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</si>
  <si>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</si>
  <si>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</si>
  <si>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</si>
  <si>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</si>
  <si>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</si>
  <si>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</si>
  <si>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</si>
  <si>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</si>
  <si>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</si>
  <si>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</si>
  <si>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</si>
  <si>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</si>
  <si>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</si>
  <si>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</si>
  <si>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</si>
  <si>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</si>
  <si>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</si>
  <si>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</si>
  <si>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</si>
  <si>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</si>
  <si>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</si>
  <si>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</si>
  <si>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</si>
  <si>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</si>
  <si>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</si>
  <si>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</si>
  <si>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</si>
  <si>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</si>
  <si>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</si>
  <si>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</si>
  <si>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</si>
  <si>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</si>
  <si>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</si>
  <si>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</si>
  <si>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</si>
  <si>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</si>
  <si>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</si>
  <si>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</si>
  <si>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</si>
  <si>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</si>
  <si>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</si>
  <si>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</si>
  <si>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</si>
  <si>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</si>
  <si>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</si>
  <si>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</si>
  <si>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</si>
  <si>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</si>
  <si>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</si>
  <si>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</si>
  <si>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</si>
  <si>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</si>
  <si>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</si>
  <si>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</si>
  <si>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</si>
  <si>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</si>
  <si>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</si>
  <si>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</si>
  <si>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</si>
  <si>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</si>
  <si>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</si>
  <si>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</si>
  <si>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</si>
  <si>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</si>
  <si>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</si>
  <si>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</si>
  <si>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</si>
  <si>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</si>
  <si>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</si>
  <si>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</si>
  <si>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</si>
  <si>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</si>
  <si>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</si>
  <si>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</si>
  <si>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</si>
  <si>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</si>
  <si>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</si>
  <si>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</si>
  <si>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</si>
  <si>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</si>
  <si>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</si>
  <si>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</si>
  <si>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</si>
  <si>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</si>
  <si>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</si>
  <si>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</si>
  <si>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</si>
  <si>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</si>
  <si>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</si>
  <si>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</si>
  <si>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</si>
  <si>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</si>
  <si>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</si>
  <si>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</si>
  <si>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</si>
  <si>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</si>
  <si>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</si>
  <si>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</si>
  <si>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</si>
  <si>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</si>
  <si>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</si>
  <si>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</si>
  <si>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</si>
  <si>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</si>
  <si>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</si>
  <si>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</si>
  <si>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</si>
  <si>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</si>
  <si>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</si>
  <si>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</si>
  <si>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</si>
  <si>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</si>
  <si>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</si>
  <si>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</si>
  <si>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</si>
  <si>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</si>
  <si>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</si>
  <si>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</si>
  <si>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</si>
  <si>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</si>
  <si>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</si>
  <si>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</si>
  <si>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</si>
  <si>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</si>
  <si>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</si>
  <si>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</si>
  <si>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</si>
  <si>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</si>
  <si>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</si>
  <si>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</si>
  <si>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</si>
  <si>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</si>
  <si>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</si>
  <si>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</si>
  <si>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</si>
  <si>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</si>
  <si>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</si>
  <si>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</si>
  <si>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</si>
  <si>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</si>
  <si>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</si>
  <si>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</si>
  <si>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</si>
  <si>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</si>
  <si>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</si>
  <si>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</si>
  <si>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</si>
  <si>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</si>
  <si>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</si>
  <si>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</si>
  <si>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</si>
  <si>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</si>
  <si>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</si>
  <si>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</si>
  <si>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</si>
  <si>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</si>
  <si>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</si>
  <si>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</si>
  <si>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</si>
  <si>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</si>
  <si>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</si>
  <si>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</si>
  <si>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</si>
  <si>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</si>
  <si>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</si>
  <si>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</si>
  <si>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</si>
  <si>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</si>
  <si>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</si>
  <si>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</si>
  <si>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</si>
  <si>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</si>
  <si>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</si>
  <si>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</si>
  <si>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</si>
  <si>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</si>
  <si>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</si>
  <si>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</si>
  <si>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</si>
  <si>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</si>
  <si>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</si>
  <si>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</si>
  <si>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</si>
  <si>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</si>
  <si>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</si>
  <si>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</si>
  <si>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</si>
  <si>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</si>
  <si>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</si>
  <si>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</si>
  <si>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</si>
  <si>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</si>
  <si>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</si>
  <si>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</si>
  <si>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</si>
  <si>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</si>
  <si>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</si>
  <si>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</si>
  <si>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</si>
  <si>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</si>
  <si>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</si>
  <si>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</si>
  <si>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</si>
  <si>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</si>
  <si>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</si>
  <si>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</si>
  <si>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</si>
  <si>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</si>
  <si>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</si>
  <si>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</si>
  <si>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</si>
  <si>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</si>
  <si>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</si>
  <si>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</si>
  <si>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</si>
  <si>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</si>
  <si>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</si>
  <si>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</si>
  <si>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</si>
  <si>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</si>
  <si>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</si>
  <si>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</si>
  <si>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</si>
  <si>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</si>
  <si>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</si>
  <si>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</si>
  <si>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</si>
  <si>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</si>
  <si>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</si>
  <si>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</si>
  <si>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</si>
  <si>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</si>
  <si>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</si>
  <si>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</si>
  <si>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</si>
  <si>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</si>
  <si>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</si>
  <si>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</si>
  <si>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</si>
  <si>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</si>
  <si>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</si>
  <si>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</si>
  <si>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</si>
  <si>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</si>
  <si>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</si>
  <si>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</si>
  <si>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</si>
  <si>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</si>
  <si>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</si>
  <si>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</si>
  <si>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</si>
  <si>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</si>
  <si>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</si>
  <si>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</si>
  <si>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</si>
  <si>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</si>
  <si>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</si>
  <si>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</si>
  <si>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</si>
  <si>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</si>
  <si>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</si>
  <si>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</si>
  <si>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</si>
  <si>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</si>
  <si>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</si>
  <si>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</si>
  <si>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</si>
  <si>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</si>
  <si>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</si>
  <si>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</si>
  <si>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</si>
  <si>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</si>
  <si>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</si>
  <si>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</si>
  <si>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</si>
  <si>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</si>
  <si>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</si>
  <si>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</si>
  <si>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</si>
  <si>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</si>
  <si>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</si>
  <si>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</si>
  <si>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</si>
  <si>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</si>
  <si>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</si>
  <si>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</si>
  <si>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</si>
  <si>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</si>
  <si>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</si>
  <si>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</si>
  <si>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</si>
  <si>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</si>
  <si>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</si>
  <si>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</si>
  <si>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</si>
  <si>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</si>
  <si>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</si>
  <si>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</si>
  <si>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</si>
  <si>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</si>
  <si>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</si>
  <si>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</si>
  <si>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</si>
  <si>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</si>
  <si>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</si>
  <si>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</si>
  <si>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</si>
  <si>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</si>
  <si>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</si>
  <si>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</si>
  <si>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</si>
  <si>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</si>
  <si>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</si>
  <si>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</si>
  <si>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</si>
  <si>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</si>
  <si>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</si>
  <si>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</si>
  <si>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</si>
  <si>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</si>
  <si>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</si>
  <si>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</si>
  <si>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</si>
  <si>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</si>
  <si>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</si>
  <si>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</si>
  <si>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</si>
  <si>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</si>
  <si>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</si>
  <si>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</si>
  <si>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</si>
  <si>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</si>
  <si>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</si>
  <si>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</si>
  <si>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</si>
  <si>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</si>
  <si>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</si>
  <si>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</si>
  <si>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</si>
  <si>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</si>
  <si>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</si>
  <si>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</si>
  <si>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</si>
  <si>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</si>
  <si>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</si>
  <si>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</si>
  <si>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</si>
  <si>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</si>
  <si>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</si>
  <si>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</si>
  <si>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</si>
  <si>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</si>
  <si>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</si>
  <si>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</si>
  <si>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</si>
  <si>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</si>
  <si>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</si>
  <si>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</si>
  <si>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</si>
  <si>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</si>
  <si>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</si>
  <si>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</si>
  <si>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</si>
  <si>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</si>
  <si>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</si>
  <si>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</si>
  <si>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</si>
  <si>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</si>
  <si>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</si>
  <si>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</si>
  <si>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</si>
  <si>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</si>
  <si>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</si>
  <si>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</si>
  <si>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</si>
  <si>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</si>
  <si>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</si>
  <si>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</si>
  <si>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</si>
  <si>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</si>
  <si>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</si>
  <si>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</si>
  <si>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</si>
  <si>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</si>
  <si>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</si>
  <si>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</si>
  <si>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</si>
  <si>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</si>
  <si>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</si>
  <si>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</si>
  <si>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</si>
  <si>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</si>
  <si>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</si>
  <si>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</si>
  <si>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</si>
  <si>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</si>
  <si>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</si>
  <si>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</si>
  <si>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</si>
  <si>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</si>
  <si>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</si>
  <si>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</si>
  <si>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</si>
  <si>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</si>
  <si>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</si>
  <si>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</si>
  <si>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</si>
  <si>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</si>
  <si>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</si>
  <si>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</si>
  <si>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</si>
  <si>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</si>
  <si>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</si>
  <si>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</si>
  <si>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</si>
  <si>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</si>
  <si>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</si>
  <si>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</si>
  <si>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</si>
  <si>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</si>
  <si>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</si>
  <si>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</si>
  <si>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</si>
  <si>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</si>
  <si>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</si>
  <si>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</si>
  <si>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</si>
  <si>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</si>
  <si>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</si>
  <si>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</si>
  <si>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</si>
  <si>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</si>
  <si>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</si>
  <si>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</si>
  <si>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</si>
  <si>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</si>
  <si>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</si>
  <si>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</si>
  <si>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</si>
  <si>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</si>
  <si>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</si>
  <si>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</si>
  <si>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</si>
  <si>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</si>
  <si>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</si>
  <si>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</si>
  <si>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</si>
  <si>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</si>
  <si>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</si>
  <si>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</si>
  <si>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</si>
  <si>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</si>
  <si>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</si>
  <si>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</si>
  <si>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</si>
  <si>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</si>
  <si>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</si>
  <si>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</si>
  <si>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</si>
  <si>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</si>
  <si>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</si>
  <si>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</si>
  <si>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</si>
  <si>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</si>
  <si>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</si>
  <si>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</si>
  <si>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</si>
  <si>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</si>
  <si>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</si>
  <si>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</si>
  <si>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</si>
  <si>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</si>
  <si>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</si>
  <si>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</si>
  <si>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</si>
  <si>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</si>
  <si>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</si>
  <si>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</si>
  <si>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</si>
  <si>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</si>
  <si>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</si>
  <si>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</si>
  <si>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</si>
  <si>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</si>
  <si>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</si>
  <si>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</si>
  <si>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</si>
  <si>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</si>
  <si>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</si>
  <si>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</si>
  <si>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</si>
  <si>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</si>
  <si>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</si>
  <si>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</si>
  <si>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</si>
  <si>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</si>
  <si>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</si>
  <si>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</si>
  <si>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</si>
  <si>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</si>
  <si>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</si>
  <si>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</si>
  <si>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</si>
  <si>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</si>
  <si>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</si>
  <si>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</si>
  <si>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</si>
  <si>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</si>
  <si>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</si>
  <si>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</si>
  <si>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</si>
  <si>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</si>
  <si>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</si>
  <si>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</si>
  <si>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</si>
  <si>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</si>
  <si>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</si>
  <si>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</si>
  <si>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</si>
  <si>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</si>
  <si>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</si>
  <si>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</si>
  <si>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</si>
  <si>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</si>
  <si>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</si>
  <si>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</si>
  <si>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</si>
  <si>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</si>
  <si>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</si>
  <si>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</si>
  <si>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</si>
  <si>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</si>
  <si>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</si>
  <si>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</si>
  <si>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</si>
  <si>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</si>
  <si>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</si>
  <si>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</si>
  <si>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</si>
  <si>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</si>
  <si>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</si>
  <si>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</si>
  <si>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</si>
  <si>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</si>
  <si>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</si>
  <si>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</si>
  <si>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</si>
  <si>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</si>
  <si>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</si>
  <si>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</si>
  <si>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</si>
  <si>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</si>
  <si>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</si>
  <si>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</si>
  <si>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</si>
  <si>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</si>
  <si>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</si>
  <si>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</si>
  <si>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</si>
  <si>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</si>
  <si>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</si>
  <si>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</si>
  <si>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</si>
  <si>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</si>
  <si>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</si>
  <si>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</si>
  <si>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</si>
  <si>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</si>
  <si>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</si>
  <si>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</si>
  <si>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</si>
  <si>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</si>
  <si>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</si>
  <si>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</si>
  <si>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</si>
  <si>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</si>
  <si>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</si>
  <si>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</si>
  <si>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</si>
  <si>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</si>
  <si>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</si>
  <si>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</si>
  <si>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</si>
  <si>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</si>
  <si>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</si>
  <si>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</si>
  <si>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</si>
  <si>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</si>
  <si>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</si>
  <si>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</si>
  <si>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</si>
  <si>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</si>
  <si>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</si>
  <si>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</si>
  <si>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</si>
  <si>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</si>
  <si>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</si>
  <si>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</si>
  <si>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</si>
  <si>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</si>
  <si>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</si>
  <si>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</si>
  <si>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</si>
  <si>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</si>
  <si>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</si>
  <si>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</si>
  <si>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</si>
  <si>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</si>
  <si>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</si>
  <si>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</si>
  <si>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</si>
  <si>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</si>
  <si>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</si>
  <si>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</si>
  <si>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</si>
  <si>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</si>
  <si>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</si>
  <si>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</si>
  <si>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</si>
  <si>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</si>
  <si>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</si>
  <si>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</si>
  <si>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</si>
  <si>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</si>
  <si>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</si>
  <si>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</si>
  <si>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</si>
  <si>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</si>
  <si>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</si>
  <si>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</si>
  <si>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</si>
  <si>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</si>
  <si>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</si>
  <si>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</si>
  <si>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</si>
  <si>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</si>
  <si>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</si>
  <si>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</si>
  <si>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</si>
  <si>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</si>
  <si>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</si>
  <si>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</si>
  <si>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</si>
  <si>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</si>
  <si>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</si>
  <si>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</si>
  <si>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</si>
  <si>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</si>
  <si>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</si>
  <si>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</si>
  <si>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</si>
  <si>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</si>
  <si>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</si>
  <si>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</si>
  <si>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</si>
  <si>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</si>
  <si>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</si>
  <si>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</si>
  <si>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</si>
  <si>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</si>
  <si>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</si>
  <si>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</si>
  <si>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</si>
  <si>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</si>
  <si>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</si>
  <si>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</si>
  <si>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</si>
  <si>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</si>
  <si>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</si>
  <si>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</si>
  <si>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</si>
  <si>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</si>
  <si>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</si>
  <si>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</si>
  <si>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</si>
  <si>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</si>
  <si>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</si>
  <si>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</si>
  <si>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</si>
  <si>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</si>
  <si>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</si>
  <si>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</si>
  <si>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</si>
  <si>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</si>
  <si>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</si>
  <si>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</si>
  <si>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</si>
  <si>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</si>
  <si>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</si>
  <si>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</si>
  <si>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</si>
  <si>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</si>
  <si>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</si>
  <si>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</si>
  <si>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</si>
  <si>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</si>
  <si>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</si>
  <si>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</si>
  <si>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</si>
  <si>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</si>
  <si>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</si>
  <si>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</si>
  <si>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</si>
  <si>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</si>
  <si>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</si>
  <si>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</si>
  <si>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</si>
  <si>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</si>
  <si>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</si>
  <si>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</si>
  <si>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</si>
  <si>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</si>
  <si>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</si>
  <si>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</si>
  <si>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</si>
  <si>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</si>
  <si>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</si>
  <si>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</si>
  <si>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</si>
  <si>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</si>
  <si>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</si>
  <si>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</si>
  <si>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</si>
  <si>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</si>
  <si>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</si>
  <si>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</si>
  <si>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</si>
  <si>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</si>
  <si>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</si>
  <si>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</si>
  <si>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</si>
  <si>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</si>
  <si>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</si>
  <si>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</si>
  <si>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</si>
  <si>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</si>
  <si>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</si>
  <si>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</si>
  <si>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</si>
  <si>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</si>
  <si>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</si>
  <si>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</si>
  <si>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</si>
  <si>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</si>
  <si>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</si>
  <si>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</si>
  <si>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</si>
  <si>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</si>
  <si>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</si>
  <si>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</si>
  <si>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</si>
  <si>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</si>
  <si>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</si>
  <si>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</si>
  <si>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</si>
  <si>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</si>
  <si>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</si>
  <si>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</si>
  <si>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</si>
  <si>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</si>
  <si>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</si>
  <si>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</si>
  <si>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</si>
  <si>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</si>
  <si>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</si>
  <si>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</si>
  <si>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</si>
  <si>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</si>
  <si>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</si>
  <si>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</si>
  <si>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</si>
  <si>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</si>
  <si>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</si>
  <si>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</si>
  <si>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</si>
  <si>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</si>
  <si>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</si>
  <si>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</si>
  <si>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</si>
  <si>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</si>
  <si>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</si>
  <si>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</si>
  <si>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</si>
  <si>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</si>
  <si>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</si>
  <si>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</si>
  <si>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</si>
  <si>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</si>
  <si>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</si>
  <si>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</si>
  <si>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</si>
  <si>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</si>
  <si>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</si>
  <si>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</si>
  <si>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</si>
  <si>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</si>
  <si>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</si>
  <si>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</si>
  <si>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</si>
  <si>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</si>
  <si>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</si>
  <si>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</si>
  <si>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</si>
  <si>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</si>
  <si>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</si>
  <si>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</si>
  <si>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</si>
  <si>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</si>
  <si>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</si>
  <si>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</si>
  <si>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</si>
  <si>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</si>
  <si>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</si>
  <si>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</si>
  <si>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</si>
  <si>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</si>
  <si>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</si>
  <si>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</si>
  <si>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</si>
  <si>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</si>
  <si>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</si>
  <si>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</si>
  <si>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</si>
  <si>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</si>
  <si>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</si>
  <si>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</si>
  <si>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</si>
  <si>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</si>
  <si>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</si>
  <si>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</si>
  <si>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</si>
  <si>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</si>
  <si>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</si>
  <si>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</si>
  <si>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</si>
  <si>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</si>
  <si>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</si>
  <si>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</si>
  <si>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</si>
  <si>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</si>
  <si>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</si>
  <si>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</si>
  <si>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</si>
  <si>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</si>
  <si>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</si>
  <si>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</si>
  <si>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</si>
  <si>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</si>
  <si>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</si>
  <si>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</si>
  <si>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</si>
  <si>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</si>
  <si>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</si>
  <si>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</si>
  <si>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</si>
  <si>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</si>
  <si>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</si>
  <si>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</si>
  <si>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</si>
  <si>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</si>
  <si>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</si>
  <si>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</si>
  <si>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</si>
  <si>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</si>
  <si>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</si>
  <si>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</si>
  <si>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</si>
  <si>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</si>
  <si>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</si>
  <si>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</si>
  <si>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</si>
  <si>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</si>
  <si>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</si>
  <si>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</si>
  <si>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</si>
  <si>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</si>
  <si>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</si>
  <si>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</si>
  <si>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</si>
  <si>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</si>
  <si>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</si>
  <si>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</si>
  <si>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</si>
  <si>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</si>
  <si>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</si>
  <si>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</si>
  <si>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</si>
  <si>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</si>
  <si>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</si>
  <si>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</si>
  <si>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</si>
  <si>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</si>
  <si>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</si>
  <si>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</si>
  <si>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</si>
  <si>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</si>
  <si>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</si>
  <si>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</si>
  <si>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</si>
  <si>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</si>
  <si>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</si>
  <si>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</si>
  <si>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</si>
  <si>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</si>
  <si>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</si>
  <si>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</si>
  <si>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</si>
  <si>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</si>
  <si>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</si>
  <si>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</si>
  <si>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</si>
  <si>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</si>
  <si>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</si>
  <si>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</si>
  <si>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</si>
  <si>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</si>
  <si>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</si>
  <si>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</si>
  <si>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</si>
  <si>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</si>
  <si>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</si>
  <si>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</si>
  <si>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</si>
  <si>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</si>
  <si>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</si>
  <si>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</si>
  <si>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</si>
  <si>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</si>
  <si>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</si>
  <si>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</si>
  <si>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</si>
  <si>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</si>
  <si>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</si>
  <si>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</si>
  <si>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</si>
  <si>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</si>
  <si>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</si>
  <si>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</si>
  <si>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</si>
  <si>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</si>
  <si>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</si>
  <si>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</si>
  <si>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</si>
  <si>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</si>
  <si>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</si>
  <si>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</si>
  <si>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</si>
  <si>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</si>
  <si>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</si>
  <si>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</si>
  <si>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</si>
  <si>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</si>
  <si>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</si>
  <si>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</si>
  <si>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</si>
  <si>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</si>
  <si>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</si>
  <si>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</si>
  <si>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</si>
  <si>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</si>
  <si>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</si>
  <si>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</si>
  <si>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</si>
  <si>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</si>
  <si>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</si>
  <si>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</si>
  <si>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</si>
  <si>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</si>
  <si>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</si>
  <si>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</si>
  <si>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</si>
  <si>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</si>
  <si>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</si>
  <si>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</si>
  <si>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</si>
  <si>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</si>
  <si>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</si>
  <si>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</si>
  <si>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</si>
  <si>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</si>
  <si>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</si>
  <si>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</si>
  <si>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</si>
  <si>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</si>
  <si>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</si>
  <si>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</si>
  <si>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</si>
  <si>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</si>
  <si>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</si>
  <si>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</si>
  <si>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</si>
  <si>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</si>
  <si>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</si>
  <si>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</si>
  <si>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</si>
  <si>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</si>
  <si>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</si>
  <si>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</si>
  <si>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</si>
  <si>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</si>
  <si>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</si>
  <si>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</si>
  <si>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</si>
  <si>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</si>
  <si>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</si>
  <si>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</si>
  <si>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</si>
  <si>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</si>
  <si>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</si>
  <si>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</si>
  <si>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</si>
  <si>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</si>
  <si>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</si>
  <si>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</si>
  <si>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</si>
  <si>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</si>
  <si>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</si>
  <si>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</si>
  <si>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</si>
  <si>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</si>
  <si>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</si>
  <si>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</si>
  <si>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</si>
  <si>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</si>
  <si>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</si>
  <si>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</si>
  <si>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</si>
  <si>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</si>
  <si>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</si>
  <si>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</si>
  <si>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</si>
  <si>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</si>
  <si>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</si>
  <si>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</si>
  <si>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</si>
  <si>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</si>
  <si>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</si>
  <si>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</si>
  <si>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</si>
  <si>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</si>
  <si>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</si>
  <si>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</si>
  <si>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</si>
  <si>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</si>
  <si>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</si>
  <si>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</si>
  <si>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</si>
  <si>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</si>
  <si>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</si>
  <si>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</si>
  <si>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</si>
  <si>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</si>
  <si>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</si>
  <si>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</si>
  <si>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</si>
  <si>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</si>
  <si>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</si>
  <si>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</si>
  <si>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</si>
  <si>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</si>
  <si>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</si>
  <si>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</si>
  <si>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</si>
  <si>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</si>
  <si>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</si>
  <si>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</si>
  <si>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</si>
  <si>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</si>
  <si>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</si>
  <si>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</si>
  <si>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</si>
  <si>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</si>
  <si>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</si>
  <si>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</si>
  <si>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</si>
  <si>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</si>
  <si>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</si>
  <si>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</si>
  <si>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</si>
  <si>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</si>
  <si>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</si>
  <si>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</si>
  <si>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</si>
  <si>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</si>
  <si>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</si>
  <si>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</si>
  <si>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</si>
  <si>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</si>
  <si>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</si>
  <si>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</si>
  <si>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</si>
  <si>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</si>
  <si>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</si>
  <si>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</si>
  <si>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</si>
  <si>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</si>
  <si>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</si>
  <si>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</si>
  <si>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</si>
  <si>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</si>
  <si>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</si>
  <si>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</si>
  <si>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</si>
  <si>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</si>
  <si>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</si>
  <si>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</si>
  <si>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</si>
  <si>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</si>
  <si>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</si>
  <si>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</si>
  <si>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</si>
  <si>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</si>
  <si>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</si>
  <si>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</si>
  <si>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</si>
  <si>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</si>
  <si>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</si>
  <si>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</si>
  <si>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</si>
  <si>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</si>
  <si>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</si>
  <si>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</si>
  <si>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</si>
  <si>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</si>
  <si>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</si>
  <si>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</si>
  <si>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</si>
  <si>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</si>
  <si>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</si>
  <si>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</si>
  <si>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</si>
  <si>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</si>
  <si>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</si>
  <si>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</si>
  <si>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</si>
  <si>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</si>
  <si>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</si>
  <si>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</si>
  <si>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</si>
  <si>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</si>
  <si>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</si>
  <si>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</si>
  <si>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</si>
  <si>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</si>
  <si>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</si>
  <si>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</si>
  <si>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</si>
  <si>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</si>
  <si>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</si>
  <si>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</si>
  <si>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</si>
  <si>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</si>
  <si>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</si>
  <si>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</si>
  <si>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</si>
  <si>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</si>
  <si>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</si>
  <si>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</si>
  <si>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</si>
  <si>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</si>
  <si>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</si>
  <si>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</si>
  <si>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</si>
  <si>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</si>
  <si>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</si>
  <si>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</si>
  <si>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</si>
  <si>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</si>
  <si>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</si>
  <si>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</si>
  <si>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</si>
  <si>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</si>
  <si>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</si>
  <si>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</si>
  <si>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</si>
  <si>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</si>
  <si>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</si>
  <si>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</si>
  <si>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</si>
  <si>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</si>
  <si>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</si>
  <si>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</si>
  <si>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</si>
  <si>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</si>
  <si>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</si>
  <si>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</si>
  <si>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</si>
  <si>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</si>
  <si>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</si>
  <si>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</si>
  <si>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</si>
  <si>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</si>
  <si>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</si>
  <si>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</si>
  <si>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</si>
  <si>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</si>
  <si>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</si>
  <si>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</si>
  <si>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</si>
  <si>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</si>
  <si>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</si>
  <si>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</si>
  <si>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</si>
  <si>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</si>
  <si>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</si>
  <si>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</si>
  <si>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</si>
  <si>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</si>
  <si>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</si>
  <si>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</si>
  <si>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</si>
  <si>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</si>
  <si>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</si>
  <si>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</si>
  <si>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</si>
  <si>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</si>
  <si>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</si>
  <si>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</si>
  <si>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</si>
  <si>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</si>
  <si>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</si>
  <si>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</si>
  <si>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</si>
  <si>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</si>
  <si>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</si>
  <si>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</si>
  <si>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</si>
  <si>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</si>
  <si>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</si>
  <si>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</si>
  <si>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</si>
  <si>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</si>
  <si>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</si>
  <si>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</si>
  <si>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</si>
  <si>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</si>
  <si>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</si>
  <si>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</si>
  <si>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</si>
  <si>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</si>
  <si>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</si>
  <si>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</si>
  <si>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</si>
  <si>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</si>
  <si>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</si>
  <si>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</si>
  <si>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</si>
  <si>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</si>
  <si>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</si>
  <si>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</si>
  <si>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</si>
  <si>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</si>
  <si>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</si>
  <si>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</si>
  <si>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</si>
  <si>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</si>
  <si>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</si>
  <si>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</si>
  <si>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</si>
  <si>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</si>
  <si>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</si>
  <si>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</si>
  <si>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</si>
  <si>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</si>
  <si>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</si>
  <si>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</si>
  <si>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</si>
  <si>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</si>
  <si>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</si>
  <si>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</si>
  <si>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</si>
  <si>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</si>
  <si>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</si>
  <si>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</si>
  <si>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</si>
  <si>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</si>
  <si>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</si>
  <si>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</si>
  <si>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</si>
  <si>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</si>
  <si>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</si>
  <si>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</si>
  <si>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</si>
  <si>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</si>
  <si>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</si>
  <si>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</si>
  <si>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</si>
  <si>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</si>
  <si>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</si>
  <si>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</si>
  <si>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</si>
  <si>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</si>
  <si>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</si>
  <si>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</si>
  <si>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</si>
  <si>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</si>
  <si>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</si>
  <si>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</si>
  <si>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</si>
  <si>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</si>
  <si>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</si>
  <si>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</si>
  <si>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</si>
  <si>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</si>
  <si>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</si>
  <si>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</si>
  <si>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</si>
  <si>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</si>
  <si>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</si>
  <si>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</si>
  <si>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</si>
  <si>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</si>
  <si>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</si>
  <si>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</si>
  <si>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</si>
  <si>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</si>
  <si>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</si>
  <si>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</si>
  <si>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</si>
  <si>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</si>
  <si>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</si>
  <si>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</si>
  <si>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</si>
  <si>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</si>
  <si>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</si>
  <si>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</si>
  <si>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</si>
  <si>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</si>
  <si>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</si>
  <si>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</si>
  <si>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</si>
  <si>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</si>
  <si>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</si>
  <si>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</si>
  <si>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</si>
  <si>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</si>
  <si>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</si>
  <si>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Q326</t>
  </si>
  <si>
    <t>FQ226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</si>
</sst>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4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7" fillId="0" borderId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4" applyNumberFormat="0" applyFill="0" applyAlignment="0" applyProtection="0"/>
    <xf numFmtId="0" fontId="32" fillId="0" borderId="5" applyNumberFormat="0" applyFill="0" applyAlignment="0" applyProtection="0"/>
    <xf numFmtId="0" fontId="33" fillId="0" borderId="6" applyNumberFormat="0" applyFill="0" applyAlignment="0" applyProtection="0"/>
    <xf numFmtId="0" fontId="33" fillId="0" borderId="0" applyNumberFormat="0" applyFill="0" applyBorder="0" applyAlignment="0" applyProtection="0"/>
    <xf numFmtId="0" fontId="34" fillId="3" borderId="0" applyNumberFormat="0" applyBorder="0" applyAlignment="0" applyProtection="0"/>
    <xf numFmtId="0" fontId="35" fillId="4" borderId="0" applyNumberFormat="0" applyBorder="0" applyAlignment="0" applyProtection="0"/>
    <xf numFmtId="0" fontId="36" fillId="5" borderId="0" applyNumberFormat="0" applyBorder="0" applyAlignment="0" applyProtection="0"/>
    <xf numFmtId="0" fontId="37" fillId="6" borderId="7" applyNumberFormat="0" applyAlignment="0" applyProtection="0"/>
    <xf numFmtId="0" fontId="38" fillId="7" borderId="8" applyNumberFormat="0" applyAlignment="0" applyProtection="0"/>
    <xf numFmtId="0" fontId="39" fillId="7" borderId="7" applyNumberFormat="0" applyAlignment="0" applyProtection="0"/>
    <xf numFmtId="0" fontId="40" fillId="0" borderId="9" applyNumberFormat="0" applyFill="0" applyAlignment="0" applyProtection="0"/>
    <xf numFmtId="0" fontId="41" fillId="8" borderId="10" applyNumberFormat="0" applyAlignment="0" applyProtection="0"/>
    <xf numFmtId="0" fontId="42" fillId="0" borderId="0" applyNumberFormat="0" applyFill="0" applyBorder="0" applyAlignment="0" applyProtection="0"/>
    <xf numFmtId="0" fontId="29" fillId="9" borderId="11" applyNumberFormat="0" applyFont="0" applyAlignment="0" applyProtection="0"/>
    <xf numFmtId="0" fontId="43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44" fillId="10" borderId="0" applyNumberFormat="0" applyBorder="0" applyAlignment="0" applyProtection="0"/>
    <xf numFmtId="0" fontId="29" fillId="11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44" fillId="14" borderId="0" applyNumberFormat="0" applyBorder="0" applyAlignment="0" applyProtection="0"/>
    <xf numFmtId="0" fontId="29" fillId="15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44" fillId="18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44" fillId="22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44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9" borderId="0" applyNumberFormat="0" applyBorder="0" applyAlignment="0" applyProtection="0"/>
    <xf numFmtId="0" fontId="44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3" borderId="0" applyNumberFormat="0" applyBorder="0" applyAlignment="0" applyProtection="0"/>
  </cellStyleXfs>
  <cellXfs count="48">
    <xf numFmtId="0" fontId="0" fillId="0" borderId="0" xfId="0"/>
    <xf numFmtId="0" fontId="26" fillId="0" borderId="0" xfId="0" applyFont="1"/>
    <xf numFmtId="0" fontId="27" fillId="0" borderId="0" xfId="0" applyFont="1"/>
    <xf numFmtId="0" fontId="28" fillId="0" borderId="0" xfId="0" applyFont="1"/>
    <xf numFmtId="0" fontId="45" fillId="0" borderId="0" xfId="0" applyFont="1"/>
    <xf numFmtId="0" fontId="24" fillId="0" borderId="0" xfId="0" applyFont="1"/>
    <xf numFmtId="0" fontId="24" fillId="0" borderId="0" xfId="0" applyFont="1" applyAlignment="1">
      <alignment horizontal="right"/>
    </xf>
    <xf numFmtId="0" fontId="46" fillId="0" borderId="0" xfId="0" applyFont="1"/>
    <xf numFmtId="0" fontId="27" fillId="2" borderId="1" xfId="0" applyFont="1" applyFill="1" applyBorder="1" applyAlignment="1">
      <alignment horizontal="center"/>
    </xf>
    <xf numFmtId="0" fontId="27" fillId="2" borderId="2" xfId="0" applyFont="1" applyFill="1" applyBorder="1"/>
    <xf numFmtId="0" fontId="27" fillId="2" borderId="2" xfId="0" applyFont="1" applyFill="1" applyBorder="1" applyAlignment="1">
      <alignment horizontal="center"/>
    </xf>
    <xf numFmtId="0" fontId="27" fillId="2" borderId="2" xfId="0" applyFont="1" applyFill="1" applyBorder="1" applyAlignment="1">
      <alignment horizontal="right"/>
    </xf>
    <xf numFmtId="0" fontId="24" fillId="2" borderId="3" xfId="0" applyFont="1" applyFill="1" applyBorder="1"/>
    <xf numFmtId="0" fontId="24" fillId="0" borderId="0" xfId="0" applyFont="1" applyAlignment="1">
      <alignment horizontal="center"/>
    </xf>
    <xf numFmtId="0" fontId="47" fillId="0" borderId="0" xfId="1"/>
    <xf numFmtId="164" fontId="24" fillId="0" borderId="0" xfId="0" applyNumberFormat="1" applyFont="1"/>
    <xf numFmtId="16" fontId="24" fillId="0" borderId="0" xfId="0" applyNumberFormat="1" applyFont="1"/>
    <xf numFmtId="0" fontId="48" fillId="0" borderId="0" xfId="0" applyFont="1"/>
    <xf numFmtId="0" fontId="24" fillId="0" borderId="0" xfId="0" quotePrefix="1" applyFont="1"/>
    <xf numFmtId="0" fontId="46" fillId="0" borderId="0" xfId="0" applyFont="1" applyAlignment="1">
      <alignment horizontal="right"/>
    </xf>
    <xf numFmtId="0" fontId="24" fillId="2" borderId="2" xfId="0" applyFont="1" applyFill="1" applyBorder="1"/>
    <xf numFmtId="0" fontId="27" fillId="2" borderId="3" xfId="0" applyFont="1" applyFill="1" applyBorder="1"/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164" fontId="14" fillId="0" borderId="0" xfId="0" applyNumberFormat="1" applyFont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179.37</v>
          </cell>
        </row>
        <row r="4">
          <cell r="I4">
            <v>4358691</v>
          </cell>
        </row>
        <row r="5">
          <cell r="I5">
            <v>60608</v>
          </cell>
        </row>
        <row r="6">
          <cell r="I6">
            <v>8467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516.99</v>
          </cell>
        </row>
        <row r="4">
          <cell r="H4">
            <v>3842464.9238584503</v>
          </cell>
        </row>
        <row r="5">
          <cell r="H5">
            <v>102012</v>
          </cell>
        </row>
        <row r="6">
          <cell r="H6">
            <v>43208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272.89999999999998</v>
          </cell>
        </row>
        <row r="5">
          <cell r="H5">
            <v>4032466.7336999993</v>
          </cell>
        </row>
        <row r="6">
          <cell r="H6">
            <v>54697</v>
          </cell>
        </row>
        <row r="7">
          <cell r="H7">
            <v>90678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280.61</v>
          </cell>
        </row>
        <row r="4">
          <cell r="I4">
            <v>3386120.87</v>
          </cell>
        </row>
        <row r="5">
          <cell r="I5">
            <v>98496</v>
          </cell>
        </row>
        <row r="6">
          <cell r="I6">
            <v>21607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245.94</v>
          </cell>
        </row>
        <row r="5">
          <cell r="I5">
            <v>2629151.7257453399</v>
          </cell>
        </row>
        <row r="6">
          <cell r="I6">
            <v>94197</v>
          </cell>
        </row>
        <row r="7">
          <cell r="I7">
            <v>50742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653.79999999999995</v>
          </cell>
        </row>
        <row r="4">
          <cell r="I4">
            <v>1647920.9429185998</v>
          </cell>
        </row>
        <row r="5">
          <cell r="I5">
            <v>44448</v>
          </cell>
        </row>
        <row r="6">
          <cell r="I6">
            <v>28834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449.31</v>
          </cell>
        </row>
        <row r="4">
          <cell r="K4">
            <v>1494323.8099247701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357.2</v>
          </cell>
        </row>
        <row r="5">
          <cell r="G5">
            <v>1686828.7858583999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1460</v>
          </cell>
        </row>
        <row r="4">
          <cell r="H4">
            <v>37857800</v>
          </cell>
        </row>
        <row r="5">
          <cell r="H5">
            <v>2751056</v>
          </cell>
        </row>
        <row r="6">
          <cell r="H6">
            <v>956659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1123</v>
          </cell>
        </row>
        <row r="5">
          <cell r="I5">
            <v>475851.41108200001</v>
          </cell>
        </row>
        <row r="6">
          <cell r="I6">
            <v>9324.3919999999998</v>
          </cell>
        </row>
        <row r="7">
          <cell r="I7">
            <v>14463.02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68.06</v>
          </cell>
        </row>
        <row r="4">
          <cell r="I4">
            <v>63680.471921180004</v>
          </cell>
        </row>
        <row r="5">
          <cell r="I5">
            <v>10755</v>
          </cell>
        </row>
        <row r="6">
          <cell r="I6">
            <v>11276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179.37</v>
      </c>
      <c r="F4" s="15">
        <f>+[1]Main!$I$4</f>
        <v>4358691</v>
      </c>
      <c r="G4" s="15">
        <f>+[1]Main!$I$6-[1]Main!$I$5</f>
        <v>-52141</v>
      </c>
      <c r="H4" s="15">
        <f>F4+G4</f>
        <v>4306550</v>
      </c>
      <c r="I4" s="45" t="s">
        <v>3152</v>
      </c>
      <c r="J4" s="16">
        <v>46079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516.99</v>
      </c>
      <c r="F5" s="15">
        <f>+[2]Main!$H$4</f>
        <v>3842464.9238584503</v>
      </c>
      <c r="G5" s="15">
        <f>+[2]Main!$H$6-[2]Main!$H$5</f>
        <v>-58804</v>
      </c>
      <c r="H5" s="15">
        <f>F5+G5</f>
        <v>3783660.9238584503</v>
      </c>
      <c r="I5" s="6" t="s">
        <v>2708</v>
      </c>
      <c r="J5" s="16">
        <v>46050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272.89999999999998</v>
      </c>
      <c r="F6" s="15">
        <f>+[3]Main!$H$5</f>
        <v>4032466.7336999993</v>
      </c>
      <c r="G6" s="15">
        <f>+[3]Main!$H$6-[3]Main!$H$7</f>
        <v>-35981</v>
      </c>
      <c r="H6" s="15">
        <f t="shared" ref="H6:H14" si="0">F6+G6</f>
        <v>3996485.7336999993</v>
      </c>
      <c r="I6" s="41" t="s">
        <v>3148</v>
      </c>
      <c r="J6" s="16">
        <v>46051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280.61</v>
      </c>
      <c r="F7" s="15">
        <f>+[4]Main!$I$4</f>
        <v>3386120.87</v>
      </c>
      <c r="G7" s="15">
        <f>+[4]Main!$I$6-[4]Main!$I$5</f>
        <v>-76889</v>
      </c>
      <c r="H7" s="15">
        <f t="shared" si="0"/>
        <v>3309231.87</v>
      </c>
      <c r="I7" s="41" t="s">
        <v>2709</v>
      </c>
      <c r="J7" s="16">
        <v>46057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245.94</v>
      </c>
      <c r="F8" s="15">
        <f>+[5]Main!$I$5</f>
        <v>2629151.7257453399</v>
      </c>
      <c r="G8" s="15">
        <f>+[5]Main!$I$7-[5]Main!$I$6</f>
        <v>-43455</v>
      </c>
      <c r="H8" s="15">
        <f t="shared" si="0"/>
        <v>2585696.7257453399</v>
      </c>
      <c r="I8" s="41" t="s">
        <v>2709</v>
      </c>
      <c r="J8" s="16">
        <v>46057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653.79999999999995</v>
      </c>
      <c r="F9" s="15">
        <f>+[6]Main!$I$4</f>
        <v>1647920.9429185998</v>
      </c>
      <c r="G9" s="15">
        <f>+[6]Main!$I$6-[6]Main!$I$5</f>
        <v>-15614</v>
      </c>
      <c r="H9" s="15">
        <f t="shared" si="0"/>
        <v>1632306.9429185998</v>
      </c>
      <c r="I9" s="41" t="s">
        <v>2709</v>
      </c>
      <c r="J9" s="16">
        <v>46050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449.31</v>
      </c>
      <c r="F10" s="15">
        <f>+[7]Main!$K$4</f>
        <v>1494323.8099247701</v>
      </c>
      <c r="G10" s="15">
        <f>+[7]Main!$K$6-[7]Main!$K$5</f>
        <v>-33945</v>
      </c>
      <c r="H10" s="15">
        <f t="shared" si="0"/>
        <v>1460378.8099247701</v>
      </c>
      <c r="I10" s="41" t="s">
        <v>2709</v>
      </c>
      <c r="J10" s="16">
        <v>46050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357.2</v>
      </c>
      <c r="F11" s="15">
        <f>+[8]Main!$G$5</f>
        <v>1686828.7858583999</v>
      </c>
      <c r="G11" s="15">
        <f>+[8]Main!$G$7-[8]Main!$G$6</f>
        <v>57810</v>
      </c>
      <c r="H11" s="15">
        <f t="shared" si="0"/>
        <v>1744638.7858583999</v>
      </c>
      <c r="I11" s="29" t="s">
        <v>2709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7" t="s">
        <v>3153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1460</v>
      </c>
      <c r="F13" s="15">
        <f>+[10]Main!$H$4*FX!C2</f>
        <v>1135734</v>
      </c>
      <c r="G13" s="15">
        <f>+([10]Main!$H$6-[10]Main!$H$5)*FX!C2</f>
        <v>-53831.909999999996</v>
      </c>
      <c r="H13" s="15">
        <f t="shared" si="0"/>
        <v>1081902.0900000001</v>
      </c>
      <c r="I13" s="46" t="s">
        <v>2709</v>
      </c>
      <c r="J13" s="16">
        <v>45671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1123</v>
      </c>
      <c r="F17" s="15">
        <f>+[14]Main!$I$5</f>
        <v>475851.41108200001</v>
      </c>
      <c r="G17" s="15">
        <f>+[14]Main!$I$7-[14]Main!$I$6</f>
        <v>5138.6280000000006</v>
      </c>
      <c r="H17" s="15">
        <f t="shared" si="3"/>
        <v>480990.03908200003</v>
      </c>
      <c r="I17" s="41" t="s">
        <v>2709</v>
      </c>
      <c r="J17" s="16">
        <v>46043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68.06</v>
      </c>
      <c r="F58" s="15">
        <f>+[49]Main!$I$4</f>
        <v>63680.471921180004</v>
      </c>
      <c r="G58" s="15">
        <f>+[49]Main!$I$6-[49]Main!$I$5</f>
        <v>521</v>
      </c>
      <c r="H58" s="15">
        <f t="shared" si="6"/>
        <v>64201.471921180004</v>
      </c>
      <c r="I58" s="6" t="s">
        <v>2584</v>
      </c>
      <c r="J58" s="16">
        <v>45958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92.17</v>
      </c>
      <c r="F107" s="15">
        <f>+[67]Main!$H$4</f>
        <v>42121.69</v>
      </c>
      <c r="G107" s="15">
        <f>+[67]Main!$H$6-[67]Main!$H$5</f>
        <v>2998</v>
      </c>
      <c r="H107" s="15">
        <f>+F107+G107</f>
        <v>45119.69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4" sqref="J14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68.06</v>
      </c>
      <c r="F13" s="15">
        <f>+[49]Main!$I$4</f>
        <v>63680.471921180004</v>
      </c>
      <c r="G13" s="15">
        <f>+[49]Main!$I$6-[49]Main!$I$5</f>
        <v>521</v>
      </c>
      <c r="H13" s="15">
        <f t="shared" si="0"/>
        <v>64201.471921180004</v>
      </c>
      <c r="I13" s="41" t="s">
        <v>2709</v>
      </c>
      <c r="J13" s="16">
        <v>46056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2025-12-13T17:17:53Z</dcterms:modified>
</cp:coreProperties>
</file>