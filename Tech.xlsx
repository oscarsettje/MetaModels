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E8275AAA-828B-46A0-A226-CB33ABD26261}" xr6:coauthVersionLast="47" xr6:coauthVersionMax="47" xr10:uidLastSave="{00000000-0000-0000-0000-000000000000}"/>
  <bookViews>
    <workbookView xWindow="225" yWindow="2730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6" l="1"/>
  <c r="G1101" i="1"/>
  <c r="F1101" i="1"/>
  <c r="E1101" i="1"/>
  <c r="A531" i="1"/>
  <c r="G292" i="1"/>
  <c r="F292" i="1"/>
  <c r="E292" i="1"/>
  <c r="G1098" i="1"/>
  <c r="F1098" i="1"/>
  <c r="E1098" i="1"/>
  <c r="G1100" i="1"/>
  <c r="F1100" i="1"/>
  <c r="E1100" i="1"/>
  <c r="H1100" i="1" l="1"/>
  <c r="H1101" i="1"/>
  <c r="H1098" i="1"/>
  <c r="H292" i="1"/>
  <c r="G14" i="6"/>
  <c r="F14" i="6"/>
  <c r="E14" i="6"/>
  <c r="H14" i="6" l="1"/>
  <c r="G18" i="6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</calcChain>
</file>

<file path=xl/sharedStrings.xml><?xml version="1.0" encoding="utf-8"?>
<sst xmlns="http://schemas.openxmlformats.org/spreadsheetml/2006/main" count="5053" uniqueCount="3155">
  <si>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</si>
  <si>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</si>
  <si>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</si>
  <si>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</si>
  <si>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</si>
  <si>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</si>
  <si>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</si>
  <si>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</si>
  <si>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</si>
  <si>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</si>
  <si>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</si>
  <si>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</si>
  <si>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</si>
  <si>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</si>
  <si>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</si>
  <si>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</si>
  <si>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</si>
  <si>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</si>
  <si>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</si>
  <si>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</si>
  <si>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</si>
  <si>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</si>
  <si>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</si>
  <si>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</si>
  <si>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</si>
  <si>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</si>
  <si>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</si>
  <si>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</si>
  <si>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</si>
  <si>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</si>
  <si>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</si>
  <si>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</si>
  <si>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</si>
  <si>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</si>
  <si>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</si>
  <si>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</si>
  <si>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</si>
  <si>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</si>
  <si>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</si>
  <si>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</si>
  <si>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</si>
  <si>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</si>
  <si>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</si>
  <si>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</si>
  <si>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</si>
  <si>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</si>
  <si>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</si>
  <si>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</si>
  <si>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</si>
  <si>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</si>
  <si>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</si>
  <si>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</si>
  <si>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</si>
  <si>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</si>
  <si>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</si>
  <si>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</si>
  <si>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</si>
  <si>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</si>
  <si>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</si>
  <si>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</si>
  <si>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</si>
  <si>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</si>
  <si>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</si>
  <si>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</si>
  <si>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</si>
  <si>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</si>
  <si>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</si>
  <si>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</si>
  <si>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</si>
  <si>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</si>
  <si>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</si>
  <si>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</si>
  <si>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</si>
  <si>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</si>
  <si>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</si>
  <si>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</si>
  <si>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</si>
  <si>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</si>
  <si>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</si>
  <si>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</si>
  <si>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</si>
  <si>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</si>
  <si>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</si>
  <si>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</si>
  <si>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</si>
  <si>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</si>
  <si>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</si>
  <si>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</si>
  <si>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</si>
  <si>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</si>
  <si>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</si>
  <si>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</si>
  <si>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</si>
  <si>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</si>
  <si>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</si>
  <si>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</si>
  <si>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</si>
  <si>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</si>
  <si>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</si>
  <si>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</si>
  <si>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</si>
  <si>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</si>
  <si>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</si>
  <si>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</si>
  <si>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</si>
  <si>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</si>
  <si>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</si>
  <si>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</si>
  <si>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</si>
  <si>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</si>
  <si>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</si>
  <si>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</si>
  <si>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</si>
  <si>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</si>
  <si>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</si>
  <si>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</si>
  <si>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</si>
  <si>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</si>
  <si>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</si>
  <si>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</si>
  <si>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</si>
  <si>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</si>
  <si>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</si>
  <si>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</si>
  <si>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</si>
  <si>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</si>
  <si>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</si>
  <si>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</si>
  <si>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</si>
  <si>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</si>
  <si>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</si>
  <si>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</si>
  <si>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</si>
  <si>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</si>
  <si>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</si>
  <si>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</si>
  <si>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</si>
  <si>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</si>
  <si>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</si>
  <si>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</si>
  <si>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</si>
  <si>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</si>
  <si>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</si>
  <si>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</si>
  <si>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</si>
  <si>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</si>
  <si>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</si>
  <si>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</si>
  <si>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</si>
  <si>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</si>
  <si>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</si>
  <si>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</si>
  <si>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</si>
  <si>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</si>
  <si>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</si>
  <si>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</si>
  <si>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</si>
  <si>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</si>
  <si>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</si>
  <si>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</si>
  <si>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</si>
  <si>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</si>
  <si>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</si>
  <si>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</si>
  <si>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</si>
  <si>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</si>
  <si>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</si>
  <si>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</si>
  <si>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</si>
  <si>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</si>
  <si>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</si>
  <si>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</si>
  <si>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</si>
  <si>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</si>
  <si>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</si>
  <si>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</si>
  <si>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</si>
  <si>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</si>
  <si>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</si>
  <si>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</si>
  <si>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</si>
  <si>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</si>
  <si>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</si>
  <si>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</si>
  <si>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</si>
  <si>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</si>
  <si>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</si>
  <si>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</si>
  <si>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</si>
  <si>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</si>
  <si>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</si>
  <si>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</si>
  <si>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</si>
  <si>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</si>
  <si>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</si>
  <si>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</si>
  <si>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</si>
  <si>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</si>
  <si>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</si>
  <si>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</si>
  <si>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</si>
  <si>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</si>
  <si>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</si>
  <si>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</si>
  <si>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</si>
  <si>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</si>
  <si>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</si>
  <si>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</si>
  <si>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</si>
  <si>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</si>
  <si>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</si>
  <si>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</si>
  <si>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</si>
  <si>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</si>
  <si>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</si>
  <si>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</si>
  <si>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</si>
  <si>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</si>
  <si>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</si>
  <si>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</si>
  <si>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</si>
  <si>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</si>
  <si>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</si>
  <si>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</si>
  <si>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</si>
  <si>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</si>
  <si>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</si>
  <si>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</si>
  <si>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</si>
  <si>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</si>
  <si>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</si>
  <si>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</si>
  <si>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</si>
  <si>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</si>
  <si>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</si>
  <si>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</si>
  <si>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</si>
  <si>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</si>
  <si>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</si>
  <si>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</si>
  <si>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</si>
  <si>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</si>
  <si>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</si>
  <si>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</si>
  <si>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</si>
  <si>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</si>
  <si>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</si>
  <si>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</si>
  <si>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</si>
  <si>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</si>
  <si>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</si>
  <si>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</si>
  <si>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</si>
  <si>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</si>
  <si>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</si>
  <si>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</si>
  <si>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</si>
  <si>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</si>
  <si>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</si>
  <si>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</si>
  <si>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</si>
  <si>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</si>
  <si>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</si>
  <si>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</si>
  <si>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</si>
  <si>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</si>
  <si>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</si>
  <si>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</si>
  <si>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</si>
  <si>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</si>
  <si>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</si>
  <si>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</si>
  <si>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</si>
  <si>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</si>
  <si>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</si>
  <si>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</si>
  <si>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</si>
  <si>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</si>
  <si>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</si>
  <si>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</si>
  <si>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</si>
  <si>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</si>
  <si>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</si>
  <si>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</si>
  <si>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</si>
  <si>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</si>
  <si>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</si>
  <si>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</si>
  <si>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</si>
  <si>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</si>
  <si>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</si>
  <si>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</si>
  <si>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</si>
  <si>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</si>
  <si>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</si>
  <si>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</si>
  <si>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</si>
  <si>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</si>
  <si>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</si>
  <si>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</si>
  <si>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</si>
  <si>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</si>
  <si>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</si>
  <si>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</si>
  <si>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</si>
  <si>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</si>
  <si>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</si>
  <si>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</si>
  <si>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</si>
  <si>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</si>
  <si>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</si>
  <si>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</si>
  <si>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</si>
  <si>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</si>
  <si>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</si>
  <si>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</si>
  <si>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</si>
  <si>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</si>
  <si>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</si>
  <si>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</si>
  <si>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</si>
  <si>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</si>
  <si>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</si>
  <si>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</si>
  <si>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</si>
  <si>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</si>
  <si>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</si>
  <si>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</si>
  <si>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</si>
  <si>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</si>
  <si>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</si>
  <si>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</si>
  <si>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</si>
  <si>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</si>
  <si>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</si>
  <si>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</si>
  <si>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</si>
  <si>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</si>
  <si>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</si>
  <si>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</si>
  <si>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</si>
  <si>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</si>
  <si>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</si>
  <si>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</si>
  <si>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</si>
  <si>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</si>
  <si>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</si>
  <si>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</si>
  <si>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</si>
  <si>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</si>
  <si>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</si>
  <si>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</si>
  <si>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</si>
  <si>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</si>
  <si>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</si>
  <si>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</si>
  <si>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</si>
  <si>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</si>
  <si>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</si>
  <si>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</si>
  <si>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</si>
  <si>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</si>
  <si>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</si>
  <si>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</si>
  <si>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</si>
  <si>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</si>
  <si>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</si>
  <si>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</si>
  <si>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</si>
  <si>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</si>
  <si>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</si>
  <si>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</si>
  <si>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</si>
  <si>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</si>
  <si>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</si>
  <si>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</si>
  <si>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</si>
  <si>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</si>
  <si>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</si>
  <si>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</si>
  <si>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</si>
  <si>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</si>
  <si>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</si>
  <si>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</si>
  <si>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</si>
  <si>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</si>
  <si>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</si>
  <si>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</si>
  <si>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</si>
  <si>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</si>
  <si>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</si>
  <si>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</si>
  <si>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</si>
  <si>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</si>
  <si>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</si>
  <si>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</si>
  <si>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</si>
  <si>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</si>
  <si>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</si>
  <si>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</si>
  <si>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</si>
  <si>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</si>
  <si>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</si>
  <si>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</si>
  <si>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</si>
  <si>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</si>
  <si>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</si>
  <si>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</si>
  <si>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</si>
  <si>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</si>
  <si>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</si>
  <si>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</si>
  <si>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</si>
  <si>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</si>
  <si>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</si>
  <si>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</si>
  <si>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</si>
  <si>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</si>
  <si>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</si>
  <si>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</si>
  <si>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</si>
  <si>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</si>
  <si>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</si>
  <si>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</si>
  <si>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</si>
  <si>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</si>
  <si>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</si>
  <si>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</si>
  <si>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</si>
  <si>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</si>
  <si>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</si>
  <si>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</si>
  <si>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</si>
  <si>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</si>
  <si>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</si>
  <si>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</si>
  <si>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</si>
  <si>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</si>
  <si>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</si>
  <si>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</si>
  <si>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</si>
  <si>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</si>
  <si>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</si>
  <si>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</si>
  <si>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</si>
  <si>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</si>
  <si>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</si>
  <si>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</si>
  <si>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</si>
  <si>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</si>
  <si>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</si>
  <si>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</si>
  <si>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</si>
  <si>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</si>
  <si>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</si>
  <si>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</si>
  <si>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</si>
  <si>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</si>
  <si>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</si>
  <si>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</si>
  <si>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</si>
  <si>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</si>
  <si>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</si>
  <si>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</si>
  <si>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</si>
  <si>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</si>
  <si>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</si>
  <si>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</si>
  <si>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</si>
  <si>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</si>
  <si>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</si>
  <si>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</si>
  <si>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</si>
  <si>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</si>
  <si>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</si>
  <si>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</si>
  <si>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</si>
  <si>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</si>
  <si>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</si>
  <si>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</si>
  <si>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</si>
  <si>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</si>
  <si>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</si>
  <si>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</si>
  <si>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</si>
  <si>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</si>
  <si>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</si>
  <si>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</si>
  <si>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</si>
  <si>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</si>
  <si>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</si>
  <si>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</si>
  <si>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</si>
  <si>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</si>
  <si>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</si>
  <si>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</si>
  <si>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</si>
  <si>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</si>
  <si>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</si>
  <si>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</si>
  <si>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</si>
  <si>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</si>
  <si>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</si>
  <si>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</si>
  <si>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</si>
  <si>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</si>
  <si>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</si>
  <si>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</si>
  <si>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</si>
  <si>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</si>
  <si>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</si>
  <si>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</si>
  <si>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</si>
  <si>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</si>
  <si>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</si>
  <si>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</si>
  <si>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</si>
  <si>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</si>
  <si>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</si>
  <si>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</si>
  <si>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</si>
  <si>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</si>
  <si>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</si>
  <si>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</si>
  <si>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</si>
  <si>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</si>
  <si>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</si>
  <si>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</si>
  <si>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</si>
  <si>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</si>
  <si>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</si>
  <si>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</si>
  <si>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</si>
  <si>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</si>
  <si>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</si>
  <si>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</si>
  <si>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</si>
  <si>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</si>
  <si>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</si>
  <si>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</si>
  <si>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</si>
  <si>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</si>
  <si>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</si>
  <si>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</si>
  <si>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</si>
  <si>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</si>
  <si>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</si>
  <si>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</si>
  <si>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</si>
  <si>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</si>
  <si>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</si>
  <si>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</si>
  <si>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</si>
  <si>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</si>
  <si>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</si>
  <si>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</si>
  <si>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</si>
  <si>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</si>
  <si>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</si>
  <si>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</si>
  <si>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</si>
  <si>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</si>
  <si>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</si>
  <si>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</si>
  <si>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</si>
  <si>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</si>
  <si>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</si>
  <si>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</si>
  <si>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</si>
  <si>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</si>
  <si>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</si>
  <si>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</si>
  <si>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</si>
  <si>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</si>
  <si>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</si>
  <si>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</si>
  <si>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</si>
  <si>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</si>
  <si>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</si>
  <si>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</si>
  <si>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</si>
  <si>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</si>
  <si>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</si>
  <si>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</si>
  <si>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</si>
  <si>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</si>
  <si>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</si>
  <si>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</si>
  <si>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</si>
  <si>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</si>
  <si>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</si>
  <si>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</si>
  <si>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</si>
  <si>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</si>
  <si>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</si>
  <si>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</si>
  <si>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</si>
  <si>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</si>
  <si>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</si>
  <si>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</si>
  <si>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</si>
  <si>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</si>
  <si>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</si>
  <si>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</si>
  <si>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</si>
  <si>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</si>
  <si>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</si>
  <si>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</si>
  <si>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</si>
  <si>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</si>
  <si>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</si>
  <si>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</si>
  <si>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</si>
  <si>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</si>
  <si>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</si>
  <si>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</si>
  <si>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</si>
  <si>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</si>
  <si>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</si>
  <si>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</si>
  <si>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</si>
  <si>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</si>
  <si>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</si>
  <si>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</si>
  <si>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</si>
  <si>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</si>
  <si>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</si>
  <si>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</si>
  <si>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</si>
  <si>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</si>
  <si>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</si>
  <si>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</si>
  <si>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</si>
  <si>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</si>
  <si>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</si>
  <si>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</si>
  <si>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</si>
  <si>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</si>
  <si>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</si>
  <si>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</si>
  <si>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</si>
  <si>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</si>
  <si>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</si>
  <si>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</si>
  <si>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</si>
  <si>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</si>
  <si>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</si>
  <si>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</si>
  <si>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</si>
  <si>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</si>
  <si>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</si>
  <si>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</si>
  <si>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</si>
  <si>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</si>
  <si>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</si>
  <si>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</si>
  <si>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</si>
  <si>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</si>
  <si>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</si>
  <si>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</si>
  <si>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</si>
  <si>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</si>
  <si>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</si>
  <si>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</si>
  <si>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</si>
  <si>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</si>
  <si>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</si>
  <si>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</si>
  <si>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</si>
  <si>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</si>
  <si>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</si>
  <si>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</si>
  <si>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</si>
  <si>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</si>
  <si>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</si>
  <si>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</si>
  <si>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</si>
  <si>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</si>
  <si>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</si>
  <si>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</si>
  <si>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</si>
  <si>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</si>
  <si>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</si>
  <si>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</si>
  <si>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</si>
  <si>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</si>
  <si>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</si>
  <si>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</si>
  <si>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</si>
  <si>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</si>
  <si>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</si>
  <si>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</si>
  <si>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</si>
  <si>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</si>
  <si>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</si>
  <si>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</si>
  <si>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</si>
  <si>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</si>
  <si>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</si>
  <si>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</si>
  <si>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</si>
  <si>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</si>
  <si>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</si>
  <si>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</si>
  <si>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</si>
  <si>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</si>
  <si>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</si>
  <si>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</si>
  <si>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</si>
  <si>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</si>
  <si>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</si>
  <si>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</si>
  <si>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</si>
  <si>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</si>
  <si>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</si>
  <si>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</si>
  <si>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</si>
  <si>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</si>
  <si>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</si>
  <si>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</si>
  <si>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</si>
  <si>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</si>
  <si>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</si>
  <si>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</si>
  <si>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</si>
  <si>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</si>
  <si>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</si>
  <si>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</si>
  <si>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</si>
  <si>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</si>
  <si>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</si>
  <si>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</si>
  <si>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</si>
  <si>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</si>
  <si>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</si>
  <si>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</si>
  <si>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</si>
  <si>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</si>
  <si>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</si>
  <si>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</si>
  <si>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</si>
  <si>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</si>
  <si>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</si>
  <si>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</si>
  <si>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</si>
  <si>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</si>
  <si>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</si>
  <si>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</si>
  <si>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</si>
  <si>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</si>
  <si>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</si>
  <si>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</si>
  <si>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</si>
  <si>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</si>
  <si>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</si>
  <si>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</si>
  <si>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</si>
  <si>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</si>
  <si>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</si>
  <si>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</si>
  <si>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</si>
  <si>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</si>
  <si>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</si>
  <si>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</si>
  <si>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</si>
  <si>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</si>
  <si>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</si>
  <si>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</si>
  <si>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</si>
  <si>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</si>
  <si>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</si>
  <si>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</si>
  <si>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</si>
  <si>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</si>
  <si>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</si>
  <si>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</si>
  <si>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</si>
  <si>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</si>
  <si>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</si>
  <si>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</si>
  <si>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</si>
  <si>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</si>
  <si>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</si>
  <si>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</si>
  <si>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</si>
  <si>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</si>
  <si>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</si>
  <si>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</si>
  <si>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</si>
  <si>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</si>
  <si>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</si>
  <si>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</si>
  <si>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</si>
  <si>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</si>
  <si>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</si>
  <si>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</si>
  <si>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</si>
  <si>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</si>
  <si>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</si>
  <si>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</si>
  <si>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</si>
  <si>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</si>
  <si>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</si>
  <si>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</si>
  <si>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</si>
  <si>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</si>
  <si>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</si>
  <si>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</si>
  <si>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</si>
  <si>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</si>
  <si>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</si>
  <si>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</si>
  <si>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</si>
  <si>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</si>
  <si>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</si>
  <si>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</si>
  <si>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</si>
  <si>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</si>
  <si>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</si>
  <si>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</si>
  <si>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</si>
  <si>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</si>
  <si>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</si>
  <si>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</si>
  <si>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</si>
  <si>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</si>
  <si>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</si>
  <si>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</si>
  <si>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</si>
  <si>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</si>
  <si>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</si>
  <si>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</si>
  <si>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</si>
  <si>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</si>
  <si>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</si>
  <si>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</si>
  <si>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</si>
  <si>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</si>
  <si>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</si>
  <si>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</si>
  <si>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</si>
  <si>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</si>
  <si>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</si>
  <si>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</si>
  <si>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</si>
  <si>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</si>
  <si>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</si>
  <si>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</si>
  <si>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</si>
  <si>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</si>
  <si>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</si>
  <si>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</si>
  <si>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</si>
  <si>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</si>
  <si>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</si>
  <si>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</si>
  <si>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</si>
  <si>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</si>
  <si>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</si>
  <si>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</si>
  <si>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</si>
  <si>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</si>
  <si>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</si>
  <si>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</si>
  <si>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</si>
  <si>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</si>
  <si>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</si>
  <si>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</si>
  <si>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</si>
  <si>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</si>
  <si>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</si>
  <si>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</si>
  <si>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</si>
  <si>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</si>
  <si>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</si>
  <si>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</si>
  <si>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</si>
  <si>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</si>
  <si>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</si>
  <si>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</si>
  <si>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</si>
  <si>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</si>
  <si>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</si>
  <si>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</si>
  <si>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</si>
  <si>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</si>
  <si>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</si>
  <si>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</si>
  <si>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</si>
  <si>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</si>
  <si>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</si>
  <si>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</si>
  <si>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</si>
  <si>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</si>
  <si>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</si>
  <si>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</si>
  <si>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</si>
  <si>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</si>
  <si>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</si>
  <si>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</si>
  <si>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</si>
  <si>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</si>
  <si>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</si>
  <si>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</si>
  <si>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</si>
  <si>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</si>
  <si>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</si>
  <si>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</si>
  <si>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</si>
  <si>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</si>
  <si>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</si>
  <si>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</si>
  <si>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</si>
  <si>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</si>
  <si>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</si>
  <si>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</si>
  <si>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</si>
  <si>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</si>
  <si>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</si>
  <si>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</si>
  <si>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</si>
  <si>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</si>
  <si>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</si>
  <si>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</si>
  <si>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</si>
  <si>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</si>
  <si>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</si>
  <si>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</si>
  <si>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</si>
  <si>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</si>
  <si>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</si>
  <si>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</si>
  <si>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</si>
  <si>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</si>
  <si>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</si>
  <si>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</si>
  <si>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</si>
  <si>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</si>
  <si>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</si>
  <si>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</si>
  <si>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</si>
  <si>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</si>
  <si>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</si>
  <si>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</si>
  <si>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</si>
  <si>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</si>
  <si>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</si>
  <si>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</si>
  <si>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</si>
  <si>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</si>
  <si>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</si>
  <si>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</si>
  <si>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</si>
  <si>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</si>
  <si>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</si>
  <si>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</si>
  <si>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</si>
  <si>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</si>
  <si>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</si>
  <si>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</si>
  <si>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</si>
  <si>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</si>
  <si>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</si>
  <si>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</si>
  <si>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</si>
  <si>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</si>
  <si>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</si>
  <si>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</si>
  <si>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</si>
  <si>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</si>
  <si>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</si>
  <si>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</si>
  <si>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</si>
  <si>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</si>
  <si>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</si>
  <si>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</si>
  <si>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</si>
  <si>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</si>
  <si>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</si>
  <si>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</si>
  <si>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</si>
  <si>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</si>
  <si>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</si>
  <si>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</si>
  <si>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</si>
  <si>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</si>
  <si>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</si>
  <si>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</si>
  <si>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</si>
  <si>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</si>
  <si>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</si>
  <si>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</si>
  <si>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</si>
  <si>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</si>
  <si>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</si>
  <si>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</si>
  <si>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</si>
  <si>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</si>
  <si>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</si>
  <si>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</si>
  <si>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</si>
  <si>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</si>
  <si>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</si>
  <si>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</si>
  <si>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</si>
  <si>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</si>
  <si>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</si>
  <si>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</si>
  <si>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</si>
  <si>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</si>
  <si>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</si>
  <si>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</si>
  <si>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</si>
  <si>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</si>
  <si>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</si>
  <si>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</si>
  <si>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</si>
  <si>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</si>
  <si>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</si>
  <si>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</si>
  <si>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</si>
  <si>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</si>
  <si>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</si>
  <si>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</si>
  <si>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</si>
  <si>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</si>
  <si>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</si>
  <si>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</si>
  <si>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</si>
  <si>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</si>
  <si>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</si>
  <si>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</si>
  <si>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</si>
  <si>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</si>
  <si>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</si>
  <si>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</si>
  <si>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</si>
  <si>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</si>
  <si>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</si>
  <si>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</si>
  <si>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</si>
  <si>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</si>
  <si>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</si>
  <si>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</si>
  <si>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</si>
  <si>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</si>
  <si>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</si>
  <si>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</si>
  <si>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</si>
  <si>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</si>
  <si>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</si>
  <si>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</si>
  <si>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</si>
  <si>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</si>
  <si>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</si>
  <si>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</si>
  <si>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</si>
  <si>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</si>
  <si>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</si>
  <si>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</si>
  <si>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</si>
  <si>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</si>
  <si>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</si>
  <si>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</si>
  <si>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</si>
  <si>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</si>
  <si>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</si>
  <si>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</si>
  <si>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</si>
  <si>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</si>
  <si>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</si>
  <si>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</si>
  <si>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</si>
  <si>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</si>
  <si>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</si>
  <si>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</si>
  <si>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</si>
  <si>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</si>
  <si>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</si>
  <si>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</si>
  <si>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</si>
  <si>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</si>
  <si>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</si>
  <si>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</si>
  <si>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</si>
  <si>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</si>
  <si>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</si>
  <si>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</si>
  <si>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</si>
  <si>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</si>
  <si>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</si>
  <si>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</si>
  <si>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</si>
  <si>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</si>
  <si>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</si>
  <si>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</si>
  <si>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</si>
  <si>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</si>
  <si>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</si>
  <si>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</si>
  <si>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</si>
  <si>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</si>
  <si>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</si>
  <si>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</si>
  <si>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</si>
  <si>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</si>
  <si>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</si>
  <si>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</si>
  <si>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</si>
  <si>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</si>
  <si>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</si>
  <si>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</si>
  <si>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</si>
  <si>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</si>
  <si>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</si>
  <si>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</si>
  <si>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</si>
  <si>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</si>
  <si>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</si>
  <si>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</si>
  <si>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</si>
  <si>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</si>
  <si>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</si>
  <si>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</si>
  <si>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</si>
  <si>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</si>
  <si>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</si>
  <si>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</si>
  <si>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</si>
  <si>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</si>
  <si>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</si>
  <si>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</si>
  <si>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</si>
  <si>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</si>
  <si>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</si>
  <si>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</si>
  <si>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</si>
  <si>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</si>
  <si>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</si>
  <si>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</si>
  <si>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</si>
  <si>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</si>
  <si>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</si>
  <si>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</si>
  <si>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</si>
  <si>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</si>
  <si>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</si>
  <si>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</si>
  <si>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</si>
  <si>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</si>
  <si>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</si>
  <si>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</si>
  <si>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</si>
  <si>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</si>
  <si>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</si>
  <si>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</si>
  <si>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</si>
  <si>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</si>
  <si>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</si>
  <si>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</si>
  <si>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</si>
  <si>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</si>
  <si>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</si>
  <si>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</si>
  <si>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</si>
  <si>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</si>
  <si>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</si>
  <si>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</si>
  <si>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</si>
  <si>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</si>
  <si>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</si>
  <si>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</si>
  <si>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</si>
  <si>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</si>
  <si>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</si>
  <si>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</si>
  <si>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</si>
  <si>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</si>
  <si>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</si>
  <si>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</si>
  <si>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</si>
  <si>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</si>
  <si>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</si>
  <si>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</si>
  <si>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</si>
  <si>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</si>
  <si>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</si>
  <si>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</si>
  <si>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</si>
  <si>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</si>
  <si>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</si>
  <si>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</si>
  <si>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</si>
  <si>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</si>
  <si>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</si>
  <si>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</si>
  <si>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</si>
  <si>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</si>
  <si>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</si>
  <si>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</si>
  <si>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</si>
  <si>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</si>
  <si>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</si>
  <si>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</si>
  <si>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</si>
  <si>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</si>
  <si>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</si>
  <si>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</si>
  <si>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</si>
  <si>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</si>
  <si>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</si>
  <si>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</si>
  <si>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</si>
  <si>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</si>
  <si>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</si>
  <si>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</si>
  <si>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</si>
  <si>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</si>
  <si>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</si>
  <si>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</si>
  <si>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</si>
  <si>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</si>
  <si>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</si>
  <si>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</si>
  <si>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</si>
  <si>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</si>
  <si>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</si>
  <si>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</si>
  <si>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</si>
  <si>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</si>
  <si>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</si>
  <si>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</si>
  <si>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</si>
  <si>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</si>
  <si>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</si>
  <si>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</si>
  <si>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</si>
  <si>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</si>
  <si>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</si>
  <si>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</si>
  <si>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</si>
  <si>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</si>
  <si>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</si>
  <si>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</si>
  <si>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</si>
  <si>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</si>
  <si>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</si>
  <si>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</si>
  <si>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</si>
  <si>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</si>
  <si>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</si>
  <si>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</si>
  <si>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</si>
  <si>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</si>
  <si>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</si>
  <si>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</si>
  <si>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</si>
  <si>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</si>
  <si>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</si>
  <si>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</si>
  <si>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</si>
  <si>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</si>
  <si>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</si>
  <si>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</si>
  <si>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</si>
  <si>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</si>
  <si>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</si>
  <si>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</si>
  <si>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</si>
  <si>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</si>
  <si>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</si>
  <si>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</si>
  <si>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</si>
  <si>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</si>
  <si>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</si>
  <si>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</si>
  <si>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</si>
  <si>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</si>
  <si>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</si>
  <si>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</si>
  <si>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</si>
  <si>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</si>
  <si>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</si>
  <si>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</si>
  <si>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</si>
  <si>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</si>
  <si>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</si>
  <si>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</si>
  <si>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</si>
  <si>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</si>
  <si>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</si>
  <si>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</si>
  <si>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</si>
  <si>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</si>
  <si>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</si>
  <si>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</si>
  <si>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</si>
  <si>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</si>
  <si>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</si>
  <si>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</si>
  <si>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</si>
  <si>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</si>
  <si>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</si>
  <si>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</si>
  <si>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</si>
  <si>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</si>
  <si>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</si>
  <si>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</si>
  <si>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</si>
  <si>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</si>
  <si>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</si>
  <si>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</si>
  <si>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</si>
  <si>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</si>
  <si>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</si>
  <si>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</si>
  <si>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</si>
  <si>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</si>
  <si>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</si>
  <si>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</si>
  <si>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</si>
  <si>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</si>
  <si>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</si>
  <si>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</si>
  <si>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</si>
  <si>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</si>
  <si>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</si>
  <si>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</si>
  <si>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</si>
  <si>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</si>
  <si>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</si>
  <si>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</si>
  <si>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</si>
  <si>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</si>
  <si>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</si>
  <si>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</si>
  <si>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</si>
  <si>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</si>
  <si>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</si>
  <si>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</si>
  <si>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</si>
  <si>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</si>
  <si>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</si>
  <si>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</si>
  <si>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</si>
  <si>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</si>
  <si>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</si>
  <si>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</si>
  <si>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</si>
  <si>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</si>
  <si>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</si>
  <si>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</si>
  <si>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</si>
  <si>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</si>
  <si>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</si>
  <si>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</si>
  <si>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</si>
  <si>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</si>
  <si>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</si>
  <si>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</si>
  <si>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</si>
  <si>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</si>
  <si>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</si>
  <si>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</si>
  <si>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</si>
  <si>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</si>
  <si>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</si>
  <si>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</si>
  <si>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</si>
  <si>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</si>
  <si>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</si>
  <si>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</si>
  <si>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</si>
  <si>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</si>
  <si>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</si>
  <si>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</si>
  <si>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</si>
  <si>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</si>
  <si>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</si>
  <si>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</si>
  <si>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</si>
  <si>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</si>
  <si>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</si>
  <si>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</si>
  <si>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</si>
  <si>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</si>
  <si>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</si>
  <si>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</si>
  <si>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</si>
  <si>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</si>
  <si>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</si>
  <si>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</si>
  <si>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</si>
  <si>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</si>
  <si>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</si>
  <si>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</si>
  <si>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</si>
  <si>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</si>
  <si>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</si>
  <si>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</si>
  <si>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</si>
  <si>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</si>
  <si>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</si>
  <si>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</si>
  <si>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</si>
  <si>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</si>
  <si>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</si>
  <si>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</si>
  <si>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</si>
  <si>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</si>
  <si>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</si>
  <si>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</si>
  <si>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</si>
  <si>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</si>
  <si>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</si>
  <si>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</si>
  <si>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</si>
  <si>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</si>
  <si>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</si>
  <si>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</si>
  <si>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</si>
  <si>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</si>
  <si>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</si>
  <si>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</si>
  <si>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</si>
  <si>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</si>
  <si>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</si>
  <si>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</si>
  <si>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</si>
  <si>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</si>
  <si>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</si>
  <si>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</si>
  <si>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</si>
  <si>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</si>
  <si>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</si>
  <si>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</si>
  <si>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</si>
  <si>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</si>
  <si>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</si>
  <si>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</si>
  <si>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</si>
  <si>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</si>
  <si>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</si>
  <si>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</si>
  <si>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</si>
  <si>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</si>
  <si>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</si>
  <si>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</si>
  <si>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</si>
  <si>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</si>
  <si>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</si>
  <si>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</si>
  <si>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</si>
  <si>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</si>
  <si>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</si>
  <si>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</si>
  <si>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</si>
  <si>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</si>
  <si>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</si>
  <si>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</si>
  <si>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</si>
  <si>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</si>
  <si>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</si>
  <si>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</si>
  <si>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</si>
  <si>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</si>
  <si>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</si>
  <si>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</si>
  <si>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</si>
  <si>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</si>
  <si>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</si>
  <si>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</si>
  <si>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</si>
  <si>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</si>
  <si>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</si>
  <si>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</si>
  <si>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</si>
  <si>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</si>
  <si>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</si>
  <si>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</si>
  <si>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</si>
  <si>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</si>
  <si>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</si>
  <si>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</si>
  <si>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</si>
  <si>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</si>
  <si>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</si>
  <si>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</si>
  <si>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</si>
  <si>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</si>
  <si>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</si>
  <si>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</si>
  <si>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</si>
  <si>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</si>
  <si>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</si>
  <si>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</si>
  <si>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</si>
  <si>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</si>
  <si>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</si>
  <si>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</si>
  <si>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</si>
  <si>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</si>
  <si>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</si>
  <si>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</si>
  <si>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</si>
  <si>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</si>
  <si>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</si>
  <si>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</si>
  <si>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</si>
  <si>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</si>
  <si>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</si>
  <si>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</si>
  <si>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</si>
  <si>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</si>
  <si>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</si>
  <si>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</si>
  <si>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</si>
  <si>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</si>
  <si>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</si>
  <si>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</si>
  <si>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</si>
  <si>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</si>
  <si>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</si>
  <si>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</si>
  <si>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</si>
  <si>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</si>
  <si>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</si>
  <si>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</si>
  <si>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</si>
  <si>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</si>
  <si>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</si>
  <si>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</si>
  <si>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</si>
  <si>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</si>
  <si>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</si>
  <si>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</si>
  <si>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</si>
  <si>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</si>
  <si>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</si>
  <si>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</si>
  <si>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</si>
  <si>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</si>
  <si>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</si>
  <si>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</si>
  <si>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</si>
  <si>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</si>
  <si>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</si>
  <si>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</si>
  <si>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</si>
  <si>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</si>
  <si>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</si>
  <si>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</si>
  <si>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</si>
  <si>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</si>
  <si>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</si>
  <si>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</si>
  <si>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</si>
  <si>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</si>
  <si>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</si>
  <si>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</si>
  <si>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</si>
  <si>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</si>
  <si>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</si>
  <si>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</si>
  <si>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</si>
  <si>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</si>
  <si>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</si>
  <si>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</si>
  <si>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</si>
  <si>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</si>
  <si>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</si>
  <si>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</si>
  <si>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</si>
  <si>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</si>
  <si>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</si>
  <si>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</si>
  <si>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</si>
  <si>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</si>
  <si>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</si>
  <si>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</si>
  <si>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</si>
  <si>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</si>
  <si>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</si>
  <si>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</si>
  <si>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</si>
  <si>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</si>
  <si>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</si>
  <si>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</si>
  <si>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</si>
  <si>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</si>
  <si>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</si>
  <si>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</si>
  <si>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</si>
  <si>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</si>
  <si>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</si>
  <si>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</si>
  <si>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</si>
  <si>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</si>
  <si>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</si>
  <si>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</si>
  <si>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</si>
  <si>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</si>
  <si>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</si>
  <si>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</si>
  <si>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</si>
  <si>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</si>
  <si>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</si>
  <si>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</si>
  <si>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</si>
  <si>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</si>
  <si>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</si>
  <si>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</si>
  <si>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</si>
  <si>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</si>
  <si>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</si>
  <si>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</si>
  <si>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</si>
  <si>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</si>
  <si>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</si>
  <si>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</si>
  <si>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</si>
  <si>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</si>
  <si>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</si>
  <si>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</si>
  <si>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</si>
  <si>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</si>
  <si>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</si>
  <si>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</si>
  <si>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</si>
  <si>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</si>
  <si>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</si>
  <si>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</si>
  <si>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</si>
  <si>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</si>
  <si>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</si>
  <si>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</si>
  <si>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</si>
  <si>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</si>
  <si>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</si>
  <si>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</si>
  <si>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</si>
  <si>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</si>
  <si>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</si>
  <si>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</si>
  <si>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</si>
  <si>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</si>
  <si>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</si>
  <si>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</si>
  <si>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</si>
  <si>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</si>
  <si>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</si>
  <si>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</si>
  <si>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</si>
  <si>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</si>
  <si>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</si>
  <si>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</si>
  <si>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</si>
  <si>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</si>
  <si>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</si>
  <si>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</si>
  <si>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</si>
  <si>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</si>
  <si>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</si>
  <si>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</si>
  <si>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</si>
  <si>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</si>
  <si>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</si>
  <si>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</si>
  <si>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</si>
  <si>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</si>
  <si>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</si>
  <si>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</si>
  <si>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</si>
  <si>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</si>
  <si>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</si>
  <si>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</si>
  <si>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</si>
  <si>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</si>
  <si>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</si>
  <si>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</si>
  <si>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</si>
  <si>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</si>
  <si>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</si>
  <si>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</si>
  <si>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</si>
  <si>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</si>
  <si>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</si>
  <si>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</si>
  <si>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</si>
  <si>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</si>
  <si>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</si>
  <si>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</si>
  <si>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</si>
  <si>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</si>
  <si>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</si>
  <si>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</si>
  <si>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</si>
  <si>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</si>
  <si>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</si>
  <si>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</si>
  <si>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</si>
  <si>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</si>
  <si>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</si>
  <si>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</si>
  <si>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</si>
  <si>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</si>
  <si>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</si>
  <si>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</si>
  <si>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</si>
  <si>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</si>
  <si>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</si>
  <si>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</si>
  <si>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</si>
  <si>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</si>
  <si>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</si>
  <si>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</si>
  <si>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</si>
  <si>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</si>
  <si>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</si>
  <si>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</si>
  <si>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</si>
  <si>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</si>
  <si>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</si>
  <si>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</si>
  <si>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</si>
  <si>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</si>
  <si>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</si>
  <si>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</si>
  <si>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</si>
  <si>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</si>
  <si>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</si>
  <si>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</si>
  <si>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</si>
  <si>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</si>
  <si>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</si>
  <si>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</si>
  <si>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</si>
  <si>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</si>
  <si>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</si>
  <si>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</si>
  <si>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</si>
  <si>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</si>
  <si>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</si>
  <si>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</si>
  <si>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</si>
  <si>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</si>
  <si>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</si>
  <si>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</si>
  <si>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</si>
  <si>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</si>
  <si>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</si>
  <si>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</si>
  <si>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</si>
  <si>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</si>
  <si>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</si>
  <si>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</si>
  <si>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</si>
  <si>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</si>
  <si>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</si>
  <si>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</si>
  <si>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</si>
  <si>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</si>
  <si>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</si>
  <si>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</si>
  <si>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</si>
  <si>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</si>
  <si>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</si>
  <si>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</si>
  <si>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</si>
  <si>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</si>
  <si>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</si>
  <si>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</si>
  <si>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</si>
  <si>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</si>
  <si>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</si>
  <si>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</si>
  <si>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</si>
  <si>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</si>
  <si>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</si>
  <si>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</si>
  <si>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</si>
  <si>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</si>
  <si>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</si>
  <si>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</si>
  <si>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</si>
  <si>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</si>
  <si>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</si>
  <si>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</si>
  <si>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</si>
  <si>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</si>
  <si>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</si>
  <si>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</si>
  <si>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</si>
  <si>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</si>
  <si>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</si>
  <si>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</si>
  <si>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</si>
  <si>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</si>
  <si>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</si>
  <si>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</si>
  <si>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</si>
  <si>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</si>
  <si>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</si>
  <si>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</si>
  <si>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</si>
  <si>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</si>
  <si>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</si>
  <si>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</si>
  <si>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</si>
  <si>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</si>
  <si>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</si>
  <si>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</si>
  <si>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</si>
  <si>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</si>
  <si>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</si>
  <si>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</si>
  <si>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</si>
  <si>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</si>
  <si>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</si>
  <si>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</si>
  <si>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</si>
  <si>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</si>
  <si>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</si>
  <si>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</si>
  <si>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</si>
  <si>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</si>
  <si>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</si>
  <si>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</si>
  <si>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</si>
  <si>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</si>
  <si>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</si>
  <si>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</si>
  <si>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</si>
  <si>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</si>
  <si>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</si>
  <si>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</si>
  <si>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</si>
  <si>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</si>
  <si>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</si>
  <si>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</si>
  <si>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</si>
  <si>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</si>
  <si>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</si>
  <si>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</si>
  <si>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</si>
  <si>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</si>
  <si>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</si>
  <si>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</si>
  <si>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</si>
  <si>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</si>
  <si>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</si>
  <si>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</si>
  <si>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</si>
  <si>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</si>
  <si>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</si>
  <si>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</si>
  <si>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</si>
  <si>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</si>
  <si>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</si>
  <si>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</si>
  <si>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</si>
  <si>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</si>
  <si>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</si>
  <si>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</si>
  <si>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</si>
  <si>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</si>
  <si>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</si>
  <si>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</si>
  <si>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</si>
  <si>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</si>
  <si>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</si>
  <si>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</si>
  <si>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</si>
  <si>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</si>
  <si>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</si>
  <si>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</si>
  <si>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</si>
  <si>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</si>
  <si>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</si>
  <si>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</si>
  <si>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</si>
  <si>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</si>
  <si>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</si>
  <si>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</si>
  <si>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</si>
  <si>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</si>
  <si>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</si>
  <si>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</si>
  <si>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</si>
  <si>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</si>
  <si>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</si>
  <si>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</si>
  <si>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</si>
  <si>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</si>
  <si>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</si>
  <si>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</si>
  <si>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</si>
  <si>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</si>
  <si>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</si>
  <si>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</si>
  <si>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</si>
  <si>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</si>
  <si>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</si>
  <si>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</si>
  <si>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</si>
  <si>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</si>
  <si>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</si>
  <si>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</si>
  <si>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</si>
  <si>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</si>
  <si>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</si>
  <si>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</si>
  <si>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</si>
  <si>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</si>
  <si>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</si>
  <si>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</si>
  <si>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</si>
  <si>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</si>
  <si>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</si>
  <si>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</si>
  <si>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</si>
  <si>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</si>
  <si>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</si>
  <si>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</si>
  <si>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</si>
  <si>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</si>
  <si>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</si>
  <si>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</si>
  <si>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</si>
  <si>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</si>
  <si>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</si>
  <si>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</si>
  <si>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</si>
  <si>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</si>
  <si>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</si>
  <si>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</si>
  <si>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</si>
  <si>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</si>
  <si>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</si>
  <si>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</si>
  <si>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</si>
  <si>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</si>
  <si>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</si>
  <si>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</si>
  <si>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</si>
  <si>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</si>
  <si>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</si>
  <si>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</si>
  <si>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</si>
  <si>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</si>
  <si>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</si>
  <si>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</si>
  <si>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</si>
  <si>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</si>
  <si>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</si>
  <si>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</si>
  <si>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</si>
  <si>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</si>
  <si>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</si>
  <si>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</si>
  <si>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</si>
  <si>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</si>
  <si>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</si>
  <si>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</si>
  <si>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</si>
  <si>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</si>
  <si>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</si>
  <si>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</si>
  <si>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</si>
  <si>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</si>
  <si>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</si>
  <si>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</si>
  <si>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</si>
  <si>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</si>
  <si>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</si>
  <si>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</si>
  <si>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</si>
  <si>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</si>
  <si>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</si>
  <si>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</si>
  <si>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</si>
  <si>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</si>
  <si>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</si>
  <si>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</si>
  <si>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</si>
  <si>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</si>
  <si>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</si>
  <si>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</si>
  <si>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</si>
  <si>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</si>
  <si>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</si>
  <si>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</si>
  <si>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</si>
  <si>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</si>
  <si>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</si>
  <si>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</si>
  <si>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</si>
  <si>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</si>
  <si>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</si>
  <si>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</si>
  <si>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</si>
  <si>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</si>
  <si>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</si>
  <si>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</si>
  <si>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</si>
  <si>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</si>
  <si>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</si>
  <si>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</si>
  <si>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</si>
  <si>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</si>
  <si>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</si>
  <si>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</si>
  <si>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</si>
  <si>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</si>
  <si>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</si>
  <si>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</si>
  <si>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</si>
  <si>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</si>
  <si>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</si>
  <si>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</si>
  <si>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</si>
  <si>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</si>
  <si>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</si>
  <si>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</si>
  <si>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</si>
  <si>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</si>
  <si>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</si>
  <si>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</si>
  <si>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</si>
  <si>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</si>
  <si>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</si>
  <si>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</si>
  <si>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</si>
  <si>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</si>
  <si>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</si>
  <si>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</si>
  <si>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</si>
  <si>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</si>
  <si>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</si>
  <si>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</si>
  <si>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</si>
  <si>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</si>
  <si>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</si>
  <si>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</si>
  <si>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</si>
  <si>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</si>
  <si>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</si>
  <si>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</si>
  <si>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</si>
  <si>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</si>
  <si>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</si>
  <si>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</si>
  <si>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</si>
  <si>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</si>
  <si>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</si>
  <si>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</si>
  <si>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</si>
  <si>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</si>
  <si>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</si>
  <si>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</si>
  <si>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</si>
  <si>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</si>
  <si>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</si>
  <si>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</si>
  <si>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</si>
  <si>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</si>
  <si>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</si>
  <si>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</si>
  <si>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</si>
  <si>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</si>
  <si>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</si>
  <si>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</si>
  <si>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</si>
  <si>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</si>
  <si>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</si>
  <si>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</si>
  <si>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</si>
  <si>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</si>
  <si>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</si>
  <si>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</si>
  <si>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</si>
  <si>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</si>
  <si>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</si>
  <si>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</si>
  <si>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</si>
  <si>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</si>
  <si>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</si>
  <si>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</si>
  <si>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</si>
  <si>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</si>
  <si>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</si>
  <si>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</si>
  <si>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</si>
  <si>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</si>
  <si>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</si>
  <si>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</si>
  <si>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</si>
  <si>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</si>
  <si>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</si>
  <si>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</si>
  <si>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</si>
  <si>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</si>
  <si>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</si>
  <si>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</si>
  <si>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</si>
  <si>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</si>
  <si>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</si>
  <si>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</si>
  <si>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</si>
  <si>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</si>
  <si>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</si>
  <si>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</si>
  <si>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</si>
  <si>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</si>
  <si>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</si>
  <si>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</si>
  <si>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</si>
  <si>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</si>
  <si>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</si>
  <si>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</si>
  <si>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</si>
  <si>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</si>
  <si>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</si>
  <si>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</si>
  <si>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</si>
  <si>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</si>
  <si>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</si>
  <si>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</si>
  <si>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</si>
  <si>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</si>
  <si>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</si>
  <si>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</si>
  <si>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</si>
  <si>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</si>
  <si>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</si>
  <si>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</si>
  <si>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</si>
  <si>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</si>
  <si>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</si>
  <si>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</si>
  <si>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</si>
  <si>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</si>
  <si>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</si>
  <si>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</si>
  <si>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</si>
  <si>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</si>
  <si>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</si>
  <si>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</si>
  <si>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</si>
  <si>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</si>
  <si>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</si>
  <si>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</si>
  <si>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</si>
  <si>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</si>
  <si>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</si>
  <si>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</si>
  <si>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</si>
  <si>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</si>
  <si>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</si>
  <si>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</si>
  <si>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</si>
  <si>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</si>
  <si>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</si>
  <si>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</si>
  <si>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</si>
  <si>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</si>
  <si>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</si>
  <si>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</si>
  <si>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</si>
  <si>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</si>
  <si>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</si>
  <si>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</si>
  <si>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</si>
  <si>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</si>
  <si>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</si>
  <si>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</si>
  <si>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</si>
  <si>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</si>
  <si>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</si>
  <si>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</si>
  <si>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</si>
  <si>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</si>
  <si>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</si>
  <si>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</si>
  <si>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</si>
  <si>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</si>
  <si>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</si>
  <si>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</si>
  <si>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</si>
  <si>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</si>
  <si>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</si>
  <si>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</si>
  <si>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</si>
  <si>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</si>
  <si>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</si>
  <si>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</si>
  <si>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</si>
  <si>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</si>
  <si>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</si>
  <si>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</si>
  <si>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</si>
  <si>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</si>
  <si>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</si>
  <si>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</si>
  <si>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</si>
  <si>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</si>
  <si>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</si>
  <si>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</si>
  <si>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</si>
  <si>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</si>
  <si>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</si>
  <si>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</si>
  <si>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</si>
  <si>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</si>
  <si>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</si>
  <si>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</si>
  <si>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</si>
  <si>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</si>
  <si>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</si>
  <si>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</si>
  <si>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</si>
  <si>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</si>
  <si>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</si>
  <si>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</si>
  <si>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</si>
  <si>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</si>
  <si>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</si>
  <si>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</si>
  <si>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</si>
  <si>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</si>
  <si>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</si>
  <si>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</si>
  <si>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</si>
  <si>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</si>
  <si>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</si>
  <si>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</si>
  <si>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</si>
  <si>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</si>
  <si>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</si>
  <si>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</si>
  <si>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</si>
  <si>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</si>
  <si>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</si>
  <si>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</si>
  <si>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</si>
  <si>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</si>
  <si>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</si>
  <si>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</si>
  <si>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</si>
  <si>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</si>
  <si>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</si>
  <si>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</si>
  <si>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</si>
  <si>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</si>
  <si>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</si>
  <si>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</si>
  <si>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</si>
  <si>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</si>
  <si>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</si>
  <si>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</si>
  <si>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</si>
  <si>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</si>
  <si>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</si>
  <si>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</si>
  <si>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</si>
  <si>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</si>
  <si>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</si>
  <si>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</si>
  <si>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</si>
  <si>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</si>
  <si>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</si>
  <si>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</si>
  <si>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</si>
  <si>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</si>
  <si>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</si>
  <si>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</si>
  <si>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</si>
  <si>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</si>
  <si>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</si>
  <si>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</si>
  <si>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</si>
  <si>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</si>
  <si>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</si>
  <si>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</si>
  <si>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</si>
  <si>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</si>
  <si>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</si>
  <si>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</si>
  <si>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</si>
  <si>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</si>
  <si>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</si>
  <si>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</si>
  <si>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</si>
  <si>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</si>
  <si>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</si>
  <si>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</si>
  <si>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</si>
  <si>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</si>
  <si>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</si>
  <si>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</si>
  <si>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</si>
  <si>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</si>
  <si>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</si>
  <si>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</si>
  <si>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</si>
  <si>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</si>
  <si>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</si>
  <si>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</si>
  <si>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</si>
  <si>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</si>
  <si>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</si>
  <si>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</si>
  <si>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</si>
  <si>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</si>
  <si>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</si>
  <si>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</si>
  <si>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</si>
  <si>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</si>
  <si>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</si>
  <si>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</si>
  <si>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</si>
  <si>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</si>
  <si>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</si>
  <si>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</si>
  <si>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</si>
  <si>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</si>
  <si>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</si>
  <si>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</si>
  <si>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</si>
  <si>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</si>
  <si>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</si>
  <si>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</si>
  <si>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</si>
  <si>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</si>
  <si>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</si>
  <si>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</si>
  <si>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</si>
  <si>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</si>
  <si>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</si>
  <si>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</si>
  <si>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</si>
  <si>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</si>
  <si>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</si>
  <si>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</si>
  <si>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</si>
  <si>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</si>
  <si>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</si>
  <si>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</si>
  <si>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</si>
  <si>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</si>
  <si>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</si>
  <si>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</si>
  <si>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</si>
  <si>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</si>
  <si>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</si>
  <si>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</si>
  <si>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</si>
  <si>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</si>
  <si>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</si>
  <si>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</si>
  <si>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</si>
  <si>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</si>
  <si>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</si>
  <si>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</si>
  <si>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</si>
  <si>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</si>
  <si>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</si>
  <si>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</si>
  <si>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</si>
  <si>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</si>
  <si>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</si>
  <si>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</si>
  <si>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</si>
  <si>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</si>
  <si>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</si>
  <si>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</si>
  <si>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</si>
  <si>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</si>
  <si>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</si>
  <si>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</si>
  <si>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</si>
  <si>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</si>
  <si>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</si>
  <si>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</si>
  <si>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</si>
  <si>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</si>
  <si>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</si>
  <si>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</si>
  <si>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</si>
  <si>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</si>
  <si>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</si>
  <si>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</si>
  <si>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</si>
  <si>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</si>
  <si>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</si>
  <si>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</si>
  <si>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</si>
  <si>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</si>
  <si>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</si>
  <si>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</si>
  <si>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</si>
  <si>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</si>
  <si>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</si>
  <si>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</si>
  <si>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</si>
  <si>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</si>
  <si>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</si>
  <si>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</si>
  <si>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</si>
  <si>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</si>
  <si>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</si>
  <si>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</si>
  <si>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</si>
  <si>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</si>
  <si>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</si>
  <si>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</si>
  <si>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</si>
  <si>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</si>
  <si>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</si>
  <si>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</si>
  <si>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</si>
  <si>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</si>
  <si>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</si>
  <si>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</si>
  <si>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</si>
  <si>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</si>
  <si>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</si>
  <si>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</si>
  <si>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</si>
  <si>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</si>
  <si>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</si>
  <si>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</si>
  <si>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</si>
  <si>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</si>
  <si>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</si>
  <si>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</si>
  <si>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</si>
  <si>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</si>
  <si>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</si>
  <si>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</si>
  <si>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</si>
  <si>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</si>
  <si>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</si>
  <si>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</si>
  <si>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</si>
  <si>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</si>
  <si>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</si>
  <si>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</si>
  <si>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</si>
  <si>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</si>
  <si>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</si>
  <si>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</si>
  <si>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</si>
  <si>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</si>
  <si>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</si>
  <si>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</si>
  <si>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</si>
  <si>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</si>
  <si>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</si>
  <si>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</si>
  <si>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</si>
  <si>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</si>
  <si>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</si>
  <si>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</si>
  <si>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</si>
  <si>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</si>
  <si>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</si>
  <si>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</si>
  <si>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</si>
  <si>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</si>
  <si>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</si>
  <si>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</si>
  <si>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</si>
  <si>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</si>
  <si>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</si>
  <si>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</si>
  <si>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</si>
  <si>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</si>
  <si>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</si>
  <si>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</si>
  <si>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</si>
  <si>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</si>
  <si>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</si>
  <si>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</si>
  <si>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</si>
  <si>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</si>
  <si>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</si>
  <si>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</si>
  <si>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</si>
  <si>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</si>
  <si>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</si>
  <si>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</si>
  <si>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</si>
  <si>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</si>
  <si>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</si>
  <si>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</si>
  <si>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</si>
  <si>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</si>
  <si>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</si>
  <si>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</si>
  <si>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</si>
  <si>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</si>
  <si>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</si>
  <si>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</si>
  <si>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</si>
  <si>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</si>
  <si>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</si>
  <si>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</si>
  <si>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</si>
  <si>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</si>
  <si>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</si>
  <si>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</si>
  <si>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</si>
  <si>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</si>
  <si>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</si>
  <si>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</si>
  <si>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</si>
  <si>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</si>
  <si>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</si>
  <si>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</si>
  <si>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</si>
  <si>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</si>
  <si>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</si>
  <si>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</si>
  <si>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</si>
  <si>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</si>
  <si>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</si>
  <si>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</si>
  <si>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</si>
  <si>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</si>
  <si>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</si>
  <si>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</si>
  <si>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</si>
  <si>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</si>
  <si>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</si>
  <si>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</si>
  <si>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</si>
  <si>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</si>
  <si>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</si>
  <si>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</si>
  <si>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</si>
  <si>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</si>
  <si>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</si>
  <si>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</si>
  <si>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</si>
  <si>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</si>
  <si>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</si>
  <si>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</si>
  <si>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</si>
  <si>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</si>
  <si>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</si>
  <si>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</si>
  <si>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</si>
  <si>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</si>
  <si>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</si>
  <si>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</si>
  <si>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</si>
  <si>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</si>
  <si>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</si>
  <si>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</si>
  <si>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</si>
  <si>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</si>
  <si>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</si>
  <si>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</si>
  <si>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</si>
  <si>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</si>
  <si>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</si>
  <si>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</si>
  <si>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</si>
  <si>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</si>
  <si>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</si>
  <si>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</si>
  <si>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</si>
  <si>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</si>
  <si>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</si>
  <si>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</si>
  <si>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</si>
  <si>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</si>
  <si>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</si>
  <si>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</si>
  <si>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</si>
  <si>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</si>
  <si>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</si>
  <si>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</si>
  <si>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</si>
  <si>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</si>
  <si>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</si>
  <si>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</si>
  <si>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</si>
  <si>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</si>
  <si>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</si>
  <si>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</si>
  <si>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</si>
  <si>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</si>
  <si>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</si>
  <si>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</si>
  <si>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</si>
  <si>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</si>
  <si>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</si>
  <si>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</si>
  <si>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</si>
  <si>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</si>
  <si>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</si>
  <si>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</si>
  <si>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</si>
  <si>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</si>
  <si>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</si>
  <si>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</si>
  <si>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</si>
  <si>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</si>
  <si>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</si>
  <si>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</si>
  <si>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</si>
  <si>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</si>
  <si>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</si>
  <si>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</si>
  <si>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</si>
  <si>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</si>
  <si>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</si>
  <si>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</si>
  <si>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</si>
  <si>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</si>
  <si>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</si>
  <si>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</si>
  <si>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</si>
  <si>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</si>
  <si>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</si>
  <si>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</si>
  <si>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</si>
  <si>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</si>
  <si>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</si>
  <si>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</si>
  <si>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</si>
  <si>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</si>
  <si>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</si>
  <si>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</si>
  <si>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</si>
  <si>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</si>
  <si>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</si>
  <si>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</si>
  <si>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</si>
  <si>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</si>
  <si>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</si>
  <si>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</si>
  <si>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</si>
  <si>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</si>
  <si>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</si>
  <si>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</si>
  <si>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</si>
  <si>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</si>
  <si>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</si>
  <si>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</si>
  <si>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</si>
  <si>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</si>
  <si>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</si>
  <si>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</si>
  <si>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</si>
  <si>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</si>
  <si>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</si>
  <si>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</si>
  <si>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</si>
  <si>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</si>
  <si>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</si>
  <si>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</si>
  <si>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</si>
  <si>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</si>
  <si>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</si>
  <si>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</si>
  <si>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</si>
  <si>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</si>
  <si>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</si>
  <si>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</si>
  <si>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</si>
  <si>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</si>
  <si>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</si>
  <si>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</si>
  <si>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</si>
  <si>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</si>
  <si>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</si>
  <si>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</si>
  <si>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</si>
  <si>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</si>
  <si>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</si>
  <si>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</si>
  <si>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</si>
  <si>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</si>
  <si>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</si>
  <si>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</si>
  <si>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</si>
  <si>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</si>
  <si>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</si>
  <si>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</si>
  <si>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</si>
  <si>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</si>
  <si>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</si>
  <si>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</si>
  <si>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</si>
  <si>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</si>
  <si>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</si>
  <si>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</si>
  <si>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</si>
  <si>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</si>
  <si>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</si>
  <si>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</si>
  <si>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</si>
  <si>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</si>
  <si>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</si>
  <si>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</si>
  <si>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</si>
  <si>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</si>
  <si>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</si>
  <si>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</si>
  <si>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</si>
  <si>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</si>
  <si>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</si>
  <si>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</si>
  <si>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</si>
  <si>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</si>
  <si>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</si>
  <si>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</si>
  <si>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</si>
  <si>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</si>
  <si>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</si>
  <si>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</si>
  <si>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</si>
  <si>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</si>
  <si>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</si>
  <si>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</si>
  <si>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</si>
  <si>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</si>
  <si>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</si>
  <si>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</si>
  <si>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</si>
  <si>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</si>
  <si>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</si>
  <si>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</si>
  <si>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</si>
  <si>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</si>
  <si>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</si>
  <si>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</si>
  <si>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</si>
  <si>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</si>
  <si>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</si>
  <si>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</si>
  <si>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</si>
  <si>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</si>
  <si>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</si>
  <si>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</si>
  <si>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</si>
  <si>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</si>
  <si>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</si>
  <si>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</si>
  <si>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</si>
  <si>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</si>
  <si>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</si>
  <si>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</si>
  <si>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</si>
  <si>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</si>
  <si>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</si>
  <si>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</si>
  <si>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</si>
  <si>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</si>
  <si>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</si>
  <si>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</si>
  <si>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</si>
  <si>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</si>
  <si>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</si>
  <si>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</si>
  <si>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</si>
  <si>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</si>
  <si>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</si>
  <si>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</si>
  <si>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</si>
  <si>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</si>
  <si>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</si>
  <si>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</si>
  <si>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</si>
  <si>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</si>
  <si>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</si>
  <si>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</si>
  <si>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</si>
  <si>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</si>
  <si>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</si>
  <si>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</si>
  <si>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</si>
  <si>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</si>
  <si>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</si>
  <si>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</si>
  <si>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</si>
  <si>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</si>
  <si>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</si>
  <si>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</si>
  <si>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</si>
  <si>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</si>
  <si>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</si>
  <si>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</si>
  <si>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</si>
  <si>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</si>
  <si>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</si>
  <si>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</si>
  <si>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</si>
  <si>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</si>
  <si>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</si>
  <si>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</si>
  <si>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</si>
  <si>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</si>
  <si>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</si>
  <si>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</si>
  <si>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</si>
  <si>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</si>
  <si>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</si>
  <si>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</si>
  <si>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</si>
  <si>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</si>
  <si>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</si>
  <si>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</si>
  <si>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</si>
  <si>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</si>
  <si>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</si>
  <si>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</si>
  <si>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</si>
  <si>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</si>
  <si>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</si>
  <si>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</si>
  <si>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</si>
  <si>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</si>
  <si>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</si>
  <si>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</si>
  <si>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</si>
  <si>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</si>
  <si>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</si>
  <si>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</si>
  <si>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</si>
  <si>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</si>
  <si>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</si>
  <si>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</si>
  <si>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</si>
  <si>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</si>
  <si>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</si>
  <si>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</si>
  <si>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</si>
  <si>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</si>
  <si>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</si>
  <si>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</si>
  <si>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</si>
  <si>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</si>
  <si>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</si>
  <si>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</si>
  <si>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</si>
  <si>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</si>
  <si>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</si>
  <si>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</si>
  <si>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</si>
  <si>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</si>
  <si>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</si>
  <si>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</si>
  <si>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</si>
  <si>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</si>
  <si>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</si>
  <si>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</si>
  <si>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</si>
  <si>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</si>
  <si>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</si>
  <si>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</si>
  <si>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</si>
  <si>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</si>
  <si>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</si>
  <si>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</si>
  <si>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</si>
  <si>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</si>
  <si>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</si>
  <si>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</si>
  <si>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</si>
  <si>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</si>
  <si>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</si>
  <si>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</si>
  <si>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</si>
  <si>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</si>
  <si>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</si>
  <si>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</si>
  <si>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</si>
  <si>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</si>
  <si>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</si>
  <si>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</si>
  <si>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</si>
  <si>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</si>
  <si>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</si>
  <si>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</si>
  <si>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</si>
  <si>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</si>
  <si>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</si>
  <si>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</si>
  <si>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</si>
  <si>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</si>
  <si>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</si>
  <si>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</si>
  <si>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</si>
  <si>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</si>
  <si>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</si>
  <si>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</si>
  <si>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</si>
  <si>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</si>
  <si>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</si>
  <si>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</si>
  <si>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</si>
  <si>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</si>
  <si>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</si>
  <si>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</si>
  <si>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</si>
  <si>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</si>
  <si>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</si>
  <si>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</si>
  <si>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</si>
  <si>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</si>
  <si>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</si>
  <si>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</si>
  <si>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</si>
  <si>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</si>
  <si>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</si>
  <si>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</si>
  <si>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</si>
  <si>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</si>
  <si>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</si>
  <si>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</si>
  <si>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</si>
  <si>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</si>
  <si>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</si>
  <si>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</si>
  <si>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</si>
  <si>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</si>
  <si>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</si>
  <si>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</si>
  <si>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</si>
  <si>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</si>
  <si>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</si>
  <si>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</si>
  <si>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</si>
  <si>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</si>
  <si>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</si>
  <si>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</si>
  <si>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</si>
  <si>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</si>
  <si>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</si>
  <si>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</si>
  <si>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</si>
  <si>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</si>
  <si>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</si>
  <si>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</si>
  <si>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</si>
  <si>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</si>
  <si>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</si>
  <si>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</si>
  <si>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</si>
  <si>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</si>
  <si>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</si>
  <si>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</si>
  <si>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</si>
  <si>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</si>
  <si>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</si>
  <si>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</si>
  <si>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</si>
  <si>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</si>
  <si>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</si>
  <si>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</si>
  <si>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</si>
  <si>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</si>
  <si>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</si>
  <si>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</si>
  <si>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</si>
  <si>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</si>
  <si>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</si>
  <si>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</si>
  <si>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</si>
  <si>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</si>
  <si>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</si>
  <si>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</si>
  <si>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</si>
  <si>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</si>
  <si>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</si>
  <si>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</si>
  <si>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</si>
  <si>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</si>
  <si>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</si>
  <si>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</si>
  <si>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</si>
  <si>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</si>
  <si>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</si>
  <si>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</si>
  <si>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</si>
  <si>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</si>
  <si>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</si>
  <si>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</si>
  <si>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</si>
  <si>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</si>
  <si>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</si>
  <si>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</si>
  <si>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</si>
  <si>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</si>
  <si>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</si>
  <si>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</si>
  <si>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</si>
  <si>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</si>
  <si>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</si>
  <si>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</si>
  <si>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</si>
  <si>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</si>
  <si>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</si>
  <si>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</si>
  <si>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</si>
  <si>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</si>
  <si>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</si>
  <si>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</si>
  <si>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</si>
  <si>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</si>
  <si>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</si>
  <si>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</si>
  <si>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</si>
  <si>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</si>
  <si>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</si>
  <si>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</si>
  <si>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</si>
  <si>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</si>
  <si>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</si>
  <si>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</si>
  <si>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</si>
  <si>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</si>
  <si>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</si>
  <si>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</si>
  <si>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</si>
  <si>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</si>
  <si>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</si>
  <si>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</si>
  <si>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</si>
  <si>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</si>
  <si>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</si>
  <si>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</si>
  <si>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</si>
  <si>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</si>
  <si>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</si>
  <si>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</si>
  <si>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</si>
  <si>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</si>
  <si>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</si>
  <si>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</si>
  <si>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</si>
  <si>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</si>
  <si>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</si>
  <si>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</si>
  <si>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</si>
  <si>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</si>
  <si>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</si>
  <si>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</si>
  <si>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</si>
  <si>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</si>
  <si>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</si>
  <si>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</si>
  <si>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</si>
  <si>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</si>
  <si>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</si>
  <si>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</si>
  <si>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</si>
  <si>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</si>
  <si>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</si>
  <si>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</si>
  <si>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</si>
  <si>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</si>
  <si>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</si>
  <si>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</si>
  <si>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</si>
  <si>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</si>
  <si>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</si>
  <si>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</si>
  <si>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</si>
  <si>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</si>
  <si>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</si>
  <si>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</si>
  <si>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</si>
  <si>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</si>
  <si>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</si>
  <si>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</si>
  <si>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</si>
  <si>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</si>
  <si>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</si>
  <si>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</si>
  <si>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</si>
  <si>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</si>
  <si>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</si>
  <si>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</si>
  <si>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</si>
  <si>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</si>
  <si>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</si>
  <si>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</si>
  <si>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</si>
  <si>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</si>
  <si>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</si>
  <si>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</si>
  <si>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</si>
  <si>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</si>
  <si>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</si>
  <si>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</si>
  <si>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</si>
  <si>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</si>
  <si>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</si>
  <si>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</si>
  <si>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</si>
  <si>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</si>
  <si>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</si>
  <si>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</si>
  <si>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</si>
  <si>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</si>
  <si>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</si>
  <si>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</si>
  <si>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</si>
  <si>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</si>
  <si>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</si>
  <si>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</si>
  <si>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</si>
  <si>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</si>
  <si>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</si>
  <si>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</si>
  <si>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</si>
  <si>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</si>
  <si>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</si>
  <si>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</si>
  <si>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</si>
  <si>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</si>
  <si>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</si>
  <si>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</si>
  <si>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</si>
  <si>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</si>
  <si>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</si>
  <si>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</si>
  <si>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</si>
  <si>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</si>
  <si>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</si>
  <si>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</si>
  <si>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</si>
  <si>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</si>
  <si>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</si>
  <si>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</si>
  <si>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</si>
  <si>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</si>
  <si>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</si>
  <si>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</si>
  <si>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</si>
  <si>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</si>
  <si>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</si>
  <si>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</si>
  <si>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</si>
  <si>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</si>
  <si>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</si>
  <si>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</si>
  <si>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FQ226</t>
  </si>
  <si>
    <t>Q226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</si>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</sst>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5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53" fillId="0" borderId="0" applyFill="0" applyBorder="0" applyAlignment="0" applyProtection="0"/>
    <xf numFmtId="0" fontId="36" fillId="0" borderId="0" applyNumberFormat="0" applyFill="0" applyBorder="0" applyAlignment="0" applyProtection="0"/>
    <xf numFmtId="0" fontId="37" fillId="0" borderId="4" applyNumberFormat="0" applyFill="0" applyAlignment="0" applyProtection="0"/>
    <xf numFmtId="0" fontId="38" fillId="0" borderId="5" applyNumberFormat="0" applyFill="0" applyAlignment="0" applyProtection="0"/>
    <xf numFmtId="0" fontId="39" fillId="0" borderId="6" applyNumberFormat="0" applyFill="0" applyAlignment="0" applyProtection="0"/>
    <xf numFmtId="0" fontId="39" fillId="0" borderId="0" applyNumberFormat="0" applyFill="0" applyBorder="0" applyAlignment="0" applyProtection="0"/>
    <xf numFmtId="0" fontId="40" fillId="3" borderId="0" applyNumberFormat="0" applyBorder="0" applyAlignment="0" applyProtection="0"/>
    <xf numFmtId="0" fontId="41" fillId="4" borderId="0" applyNumberFormat="0" applyBorder="0" applyAlignment="0" applyProtection="0"/>
    <xf numFmtId="0" fontId="42" fillId="5" borderId="0" applyNumberFormat="0" applyBorder="0" applyAlignment="0" applyProtection="0"/>
    <xf numFmtId="0" fontId="43" fillId="6" borderId="7" applyNumberFormat="0" applyAlignment="0" applyProtection="0"/>
    <xf numFmtId="0" fontId="44" fillId="7" borderId="8" applyNumberFormat="0" applyAlignment="0" applyProtection="0"/>
    <xf numFmtId="0" fontId="45" fillId="7" borderId="7" applyNumberFormat="0" applyAlignment="0" applyProtection="0"/>
    <xf numFmtId="0" fontId="46" fillId="0" borderId="9" applyNumberFormat="0" applyFill="0" applyAlignment="0" applyProtection="0"/>
    <xf numFmtId="0" fontId="47" fillId="8" borderId="10" applyNumberFormat="0" applyAlignment="0" applyProtection="0"/>
    <xf numFmtId="0" fontId="48" fillId="0" borderId="0" applyNumberFormat="0" applyFill="0" applyBorder="0" applyAlignment="0" applyProtection="0"/>
    <xf numFmtId="0" fontId="35" fillId="9" borderId="11" applyNumberFormat="0" applyFont="0" applyAlignment="0" applyProtection="0"/>
    <xf numFmtId="0" fontId="49" fillId="0" borderId="0" applyNumberFormat="0" applyFill="0" applyBorder="0" applyAlignment="0" applyProtection="0"/>
    <xf numFmtId="0" fontId="31" fillId="0" borderId="12" applyNumberFormat="0" applyFill="0" applyAlignment="0" applyProtection="0"/>
    <xf numFmtId="0" fontId="50" fillId="10" borderId="0" applyNumberFormat="0" applyBorder="0" applyAlignment="0" applyProtection="0"/>
    <xf numFmtId="0" fontId="35" fillId="11" borderId="0" applyNumberFormat="0" applyBorder="0" applyAlignment="0" applyProtection="0"/>
    <xf numFmtId="0" fontId="35" fillId="12" borderId="0" applyNumberFormat="0" applyBorder="0" applyAlignment="0" applyProtection="0"/>
    <xf numFmtId="0" fontId="35" fillId="13" borderId="0" applyNumberFormat="0" applyBorder="0" applyAlignment="0" applyProtection="0"/>
    <xf numFmtId="0" fontId="50" fillId="14" borderId="0" applyNumberFormat="0" applyBorder="0" applyAlignment="0" applyProtection="0"/>
    <xf numFmtId="0" fontId="35" fillId="15" borderId="0" applyNumberFormat="0" applyBorder="0" applyAlignment="0" applyProtection="0"/>
    <xf numFmtId="0" fontId="35" fillId="16" borderId="0" applyNumberFormat="0" applyBorder="0" applyAlignment="0" applyProtection="0"/>
    <xf numFmtId="0" fontId="35" fillId="17" borderId="0" applyNumberFormat="0" applyBorder="0" applyAlignment="0" applyProtection="0"/>
    <xf numFmtId="0" fontId="50" fillId="18" borderId="0" applyNumberFormat="0" applyBorder="0" applyAlignment="0" applyProtection="0"/>
    <xf numFmtId="0" fontId="35" fillId="19" borderId="0" applyNumberFormat="0" applyBorder="0" applyAlignment="0" applyProtection="0"/>
    <xf numFmtId="0" fontId="35" fillId="20" borderId="0" applyNumberFormat="0" applyBorder="0" applyAlignment="0" applyProtection="0"/>
    <xf numFmtId="0" fontId="35" fillId="21" borderId="0" applyNumberFormat="0" applyBorder="0" applyAlignment="0" applyProtection="0"/>
    <xf numFmtId="0" fontId="50" fillId="22" borderId="0" applyNumberFormat="0" applyBorder="0" applyAlignment="0" applyProtection="0"/>
    <xf numFmtId="0" fontId="35" fillId="23" borderId="0" applyNumberFormat="0" applyBorder="0" applyAlignment="0" applyProtection="0"/>
    <xf numFmtId="0" fontId="35" fillId="24" borderId="0" applyNumberFormat="0" applyBorder="0" applyAlignment="0" applyProtection="0"/>
    <xf numFmtId="0" fontId="35" fillId="25" borderId="0" applyNumberFormat="0" applyBorder="0" applyAlignment="0" applyProtection="0"/>
    <xf numFmtId="0" fontId="50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50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</cellStyleXfs>
  <cellXfs count="54">
    <xf numFmtId="0" fontId="0" fillId="0" borderId="0" xfId="0"/>
    <xf numFmtId="0" fontId="32" fillId="0" borderId="0" xfId="0" applyFont="1"/>
    <xf numFmtId="0" fontId="33" fillId="0" borderId="0" xfId="0" applyFont="1"/>
    <xf numFmtId="0" fontId="34" fillId="0" borderId="0" xfId="0" applyFont="1"/>
    <xf numFmtId="0" fontId="51" fillId="0" borderId="0" xfId="0" applyFont="1"/>
    <xf numFmtId="0" fontId="30" fillId="0" borderId="0" xfId="0" applyFont="1"/>
    <xf numFmtId="0" fontId="30" fillId="0" borderId="0" xfId="0" applyFont="1" applyAlignment="1">
      <alignment horizontal="right"/>
    </xf>
    <xf numFmtId="0" fontId="52" fillId="0" borderId="0" xfId="0" applyFont="1"/>
    <xf numFmtId="0" fontId="33" fillId="2" borderId="1" xfId="0" applyFont="1" applyFill="1" applyBorder="1" applyAlignment="1">
      <alignment horizontal="center"/>
    </xf>
    <xf numFmtId="0" fontId="33" fillId="2" borderId="2" xfId="0" applyFont="1" applyFill="1" applyBorder="1"/>
    <xf numFmtId="0" fontId="33" fillId="2" borderId="2" xfId="0" applyFont="1" applyFill="1" applyBorder="1" applyAlignment="1">
      <alignment horizontal="center"/>
    </xf>
    <xf numFmtId="0" fontId="33" fillId="2" borderId="2" xfId="0" applyFont="1" applyFill="1" applyBorder="1" applyAlignment="1">
      <alignment horizontal="right"/>
    </xf>
    <xf numFmtId="0" fontId="30" fillId="2" borderId="3" xfId="0" applyFont="1" applyFill="1" applyBorder="1"/>
    <xf numFmtId="0" fontId="30" fillId="0" borderId="0" xfId="0" applyFont="1" applyAlignment="1">
      <alignment horizontal="center"/>
    </xf>
    <xf numFmtId="0" fontId="53" fillId="0" borderId="0" xfId="1"/>
    <xf numFmtId="164" fontId="30" fillId="0" borderId="0" xfId="0" applyNumberFormat="1" applyFont="1"/>
    <xf numFmtId="16" fontId="30" fillId="0" borderId="0" xfId="0" applyNumberFormat="1" applyFont="1"/>
    <xf numFmtId="0" fontId="54" fillId="0" borderId="0" xfId="0" applyFont="1"/>
    <xf numFmtId="0" fontId="30" fillId="0" borderId="0" xfId="0" quotePrefix="1" applyFont="1"/>
    <xf numFmtId="0" fontId="52" fillId="0" borderId="0" xfId="0" applyFont="1" applyAlignment="1">
      <alignment horizontal="right"/>
    </xf>
    <xf numFmtId="0" fontId="30" fillId="2" borderId="2" xfId="0" applyFont="1" applyFill="1" applyBorder="1"/>
    <xf numFmtId="0" fontId="33" fillId="2" borderId="3" xfId="0" applyFont="1" applyFill="1" applyBorder="1"/>
    <xf numFmtId="0" fontId="29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0" fontId="27" fillId="0" borderId="0" xfId="0" applyFont="1" applyAlignment="1">
      <alignment horizontal="right"/>
    </xf>
    <xf numFmtId="0" fontId="26" fillId="0" borderId="0" xfId="0" applyFont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164" fontId="20" fillId="0" borderId="0" xfId="0" applyNumberFormat="1" applyFont="1"/>
    <xf numFmtId="0" fontId="19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0" xfId="0" applyFont="1"/>
    <xf numFmtId="0" fontId="14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/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07" Type="http://schemas.openxmlformats.org/officeDocument/2006/relationships/sharedStrings" Target="sharedStrings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externalLink" Target="externalLinks/externalLink93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50.xml"/><Relationship Id="rId103" Type="http://schemas.openxmlformats.org/officeDocument/2006/relationships/externalLink" Target="externalLinks/externalLink94.xml"/><Relationship Id="rId108" Type="http://schemas.openxmlformats.org/officeDocument/2006/relationships/calcChain" Target="calcChain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6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externalLink" Target="externalLinks/externalLink9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externalLink" Target="externalLinks/externalLink9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6.xml"/><Relationship Id="rId46" Type="http://schemas.openxmlformats.org/officeDocument/2006/relationships/externalLink" Target="externalLinks/externalLink37.xml"/><Relationship Id="rId67" Type="http://schemas.openxmlformats.org/officeDocument/2006/relationships/externalLink" Target="externalLinks/externalLink5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197.53</v>
          </cell>
        </row>
        <row r="4">
          <cell r="I4">
            <v>4799979</v>
          </cell>
        </row>
        <row r="5">
          <cell r="I5">
            <v>62556</v>
          </cell>
        </row>
        <row r="6">
          <cell r="I6">
            <v>8468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432.32</v>
          </cell>
        </row>
        <row r="4">
          <cell r="H4">
            <v>3210247.9621363198</v>
          </cell>
        </row>
        <row r="5">
          <cell r="H5">
            <v>89462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255</v>
          </cell>
        </row>
        <row r="5">
          <cell r="H5">
            <v>3743690.6999999997</v>
          </cell>
        </row>
        <row r="6">
          <cell r="H6">
            <v>66907</v>
          </cell>
        </row>
        <row r="7">
          <cell r="H7">
            <v>78682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319.2</v>
          </cell>
        </row>
        <row r="4">
          <cell r="I4">
            <v>3861362.4</v>
          </cell>
        </row>
        <row r="5">
          <cell r="I5">
            <v>126843</v>
          </cell>
        </row>
        <row r="6">
          <cell r="I6">
            <v>46547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204</v>
          </cell>
        </row>
        <row r="5">
          <cell r="I5">
            <v>2184636</v>
          </cell>
        </row>
        <row r="6">
          <cell r="I6">
            <v>123029</v>
          </cell>
        </row>
        <row r="7">
          <cell r="I7">
            <v>65648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694.88</v>
          </cell>
        </row>
        <row r="4">
          <cell r="I4">
            <v>1757737.5008243199</v>
          </cell>
        </row>
        <row r="5">
          <cell r="I5">
            <v>81592</v>
          </cell>
        </row>
        <row r="6">
          <cell r="I6">
            <v>58744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419.17</v>
          </cell>
        </row>
        <row r="4">
          <cell r="K4">
            <v>1351823.25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317.44</v>
          </cell>
        </row>
        <row r="5">
          <cell r="G5">
            <v>1505069.9547545598</v>
          </cell>
        </row>
        <row r="6">
          <cell r="G6">
            <v>16178</v>
          </cell>
        </row>
        <row r="7">
          <cell r="G7">
            <v>65136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188.13</v>
          </cell>
        </row>
        <row r="5">
          <cell r="H5">
            <v>540521.94689999998</v>
          </cell>
        </row>
        <row r="6">
          <cell r="H6">
            <v>19766</v>
          </cell>
        </row>
        <row r="7">
          <cell r="H7">
            <v>108075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1975</v>
          </cell>
        </row>
        <row r="4">
          <cell r="H4">
            <v>51213725</v>
          </cell>
        </row>
        <row r="5">
          <cell r="H5">
            <v>3068594</v>
          </cell>
        </row>
        <row r="6">
          <cell r="H6">
            <v>993154</v>
          </cell>
        </row>
      </sheetData>
      <sheetData sheetId="1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86.07</v>
          </cell>
        </row>
        <row r="5">
          <cell r="I5">
            <v>363401.49625049997</v>
          </cell>
        </row>
        <row r="6">
          <cell r="I6">
            <v>9062.3590000000004</v>
          </cell>
        </row>
        <row r="7">
          <cell r="I7">
            <v>14462.835999999999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169.27</v>
          </cell>
        </row>
        <row r="5">
          <cell r="G5">
            <v>403444.26893326</v>
          </cell>
        </row>
        <row r="6">
          <cell r="G6">
            <v>6437.8170000000009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226.55</v>
          </cell>
        </row>
        <row r="4">
          <cell r="H4">
            <v>368832.810887</v>
          </cell>
        </row>
        <row r="5">
          <cell r="H5">
            <v>7243</v>
          </cell>
        </row>
        <row r="6">
          <cell r="H6">
            <v>3220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150.69</v>
          </cell>
        </row>
        <row r="4">
          <cell r="I4">
            <v>195845.87826680997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42</v>
          </cell>
        </row>
        <row r="4">
          <cell r="I4">
            <v>39102</v>
          </cell>
        </row>
        <row r="5">
          <cell r="I5">
            <v>10422</v>
          </cell>
        </row>
        <row r="6">
          <cell r="I6">
            <v>9987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84.016999999999996</v>
          </cell>
        </row>
        <row r="4">
          <cell r="H4">
            <v>37639.615999999995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8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J5" sqref="J5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2581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197.53</v>
      </c>
      <c r="F4" s="15">
        <f>+[1]Main!$I$4</f>
        <v>4799979</v>
      </c>
      <c r="G4" s="15">
        <f>+[1]Main!$I$6-[1]Main!$I$5</f>
        <v>-54088</v>
      </c>
      <c r="H4" s="15">
        <f>F4+G4</f>
        <v>4745891</v>
      </c>
      <c r="I4" s="53" t="s">
        <v>3154</v>
      </c>
      <c r="J4" s="16">
        <v>46168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432.32</v>
      </c>
      <c r="F5" s="15">
        <f>+[2]Main!$H$4</f>
        <v>3210247.9621363198</v>
      </c>
      <c r="G5" s="15">
        <f>+[2]Main!$H$6-[2]Main!$H$5</f>
        <v>-49200</v>
      </c>
      <c r="H5" s="15">
        <f>F5+G5</f>
        <v>3161047.9621363198</v>
      </c>
      <c r="I5" s="47" t="s">
        <v>3153</v>
      </c>
      <c r="J5" s="16">
        <v>46141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255</v>
      </c>
      <c r="F6" s="15">
        <f>+[3]Main!$H$5</f>
        <v>3743690.6999999997</v>
      </c>
      <c r="G6" s="15">
        <f>+[3]Main!$H$6-[3]Main!$H$7</f>
        <v>-11775</v>
      </c>
      <c r="H6" s="15">
        <f t="shared" ref="H6:H14" si="0">F6+G6</f>
        <v>3731915.6999999997</v>
      </c>
      <c r="I6" s="47" t="s">
        <v>3145</v>
      </c>
      <c r="J6" s="16">
        <v>46142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319.2</v>
      </c>
      <c r="F7" s="15">
        <f>+[4]Main!$I$4</f>
        <v>3861362.4</v>
      </c>
      <c r="G7" s="15">
        <f>+[4]Main!$I$6-[4]Main!$I$5</f>
        <v>-80296</v>
      </c>
      <c r="H7" s="15">
        <f t="shared" si="0"/>
        <v>3781066.4</v>
      </c>
      <c r="I7" s="50" t="s">
        <v>3148</v>
      </c>
      <c r="J7" s="16">
        <v>46135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204</v>
      </c>
      <c r="F8" s="15">
        <f>+[5]Main!$I$5</f>
        <v>2184636</v>
      </c>
      <c r="G8" s="15">
        <f>+[5]Main!$I$7-[5]Main!$I$6</f>
        <v>-57381</v>
      </c>
      <c r="H8" s="15">
        <f t="shared" si="0"/>
        <v>2127255</v>
      </c>
      <c r="I8" s="51" t="s">
        <v>3148</v>
      </c>
      <c r="J8" s="16">
        <v>46142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694.88</v>
      </c>
      <c r="F9" s="15">
        <f>+[6]Main!$I$4</f>
        <v>1757737.5008243199</v>
      </c>
      <c r="G9" s="15">
        <f>+[6]Main!$I$6-[6]Main!$I$5</f>
        <v>-22848</v>
      </c>
      <c r="H9" s="15">
        <f t="shared" si="0"/>
        <v>1734889.5008243199</v>
      </c>
      <c r="I9" s="48" t="s">
        <v>3148</v>
      </c>
      <c r="J9" s="16">
        <v>46141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419.17</v>
      </c>
      <c r="F10" s="15">
        <f>+[7]Main!$K$4</f>
        <v>1351823.25</v>
      </c>
      <c r="G10" s="15">
        <f>+[7]Main!$K$6-[7]Main!$K$5</f>
        <v>-33945</v>
      </c>
      <c r="H10" s="15">
        <f t="shared" si="0"/>
        <v>1317878.25</v>
      </c>
      <c r="I10" s="49" t="s">
        <v>3148</v>
      </c>
      <c r="J10" s="16">
        <v>46133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317.44</v>
      </c>
      <c r="F11" s="15">
        <f>+[8]Main!$G$5</f>
        <v>1505069.9547545598</v>
      </c>
      <c r="G11" s="15">
        <f>+[8]Main!$G$7-[8]Main!$G$6</f>
        <v>48958</v>
      </c>
      <c r="H11" s="15">
        <f t="shared" si="0"/>
        <v>1554027.9547545598</v>
      </c>
      <c r="I11" s="49" t="s">
        <v>3148</v>
      </c>
      <c r="J11" s="16">
        <v>46085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188.13</v>
      </c>
      <c r="F12" s="15">
        <f>+[9]Main!$H$5</f>
        <v>540521.94689999998</v>
      </c>
      <c r="G12" s="15">
        <f>+[9]Main!$H$7-[9]Main!$H$6</f>
        <v>88309</v>
      </c>
      <c r="H12" s="15">
        <f>F12+G12</f>
        <v>628830.94689999998</v>
      </c>
      <c r="I12" s="46" t="s">
        <v>3152</v>
      </c>
      <c r="J12" s="16">
        <v>46091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1127</v>
      </c>
      <c r="E13" s="15">
        <f>+[10]Main!$H$2</f>
        <v>1975</v>
      </c>
      <c r="F13" s="15">
        <f>+[10]Main!$H$4*FX!C2</f>
        <v>1536411.75</v>
      </c>
      <c r="G13" s="15">
        <f>+([10]Main!$H$6-[10]Main!$H$5)*FX!C2</f>
        <v>-62263.199999999997</v>
      </c>
      <c r="H13" s="15">
        <f t="shared" si="0"/>
        <v>1474148.55</v>
      </c>
      <c r="I13" s="45" t="s">
        <v>2709</v>
      </c>
      <c r="J13" s="16">
        <v>46128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2584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2584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2584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86.07</v>
      </c>
      <c r="F17" s="15">
        <f>+[14]Main!$I$5</f>
        <v>363401.49625049997</v>
      </c>
      <c r="G17" s="15">
        <f>+[14]Main!$I$7-[14]Main!$I$6</f>
        <v>5400.476999999999</v>
      </c>
      <c r="H17" s="15">
        <f t="shared" si="3"/>
        <v>368801.97325049998</v>
      </c>
      <c r="I17" s="41" t="s">
        <v>2709</v>
      </c>
      <c r="J17" s="16">
        <v>46129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169.27</v>
      </c>
      <c r="F18" s="15">
        <f>+[15]Main!$G$5</f>
        <v>403444.26893326</v>
      </c>
      <c r="G18" s="15">
        <f>+[15]Main!$G$7-[15]Main!$G$6</f>
        <v>-6437.8170000000009</v>
      </c>
      <c r="H18" s="15">
        <f t="shared" si="3"/>
        <v>397006.45193326002</v>
      </c>
      <c r="I18" s="23" t="s">
        <v>2584</v>
      </c>
      <c r="J18" s="16">
        <v>46055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177</v>
      </c>
      <c r="F19" s="15">
        <f>+[16]Main!$J$5*FX!C3</f>
        <v>432554.72400000005</v>
      </c>
      <c r="G19" s="15">
        <f>+([16]Main!$J$7-[16]Main!$J$6)*FX!C3</f>
        <v>-41909.560000000005</v>
      </c>
      <c r="H19" s="15">
        <f t="shared" si="3"/>
        <v>390645.16400000005</v>
      </c>
      <c r="I19" s="23" t="s">
        <v>3145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237.8</v>
      </c>
      <c r="F20" s="15">
        <f>+[17]Main!$H$4*FX!C4</f>
        <v>282820.29599999997</v>
      </c>
      <c r="G20" s="15">
        <f>(+[17]Main!$H$6-[17]Main!$H$5)*FX!C4</f>
        <v>-812.94</v>
      </c>
      <c r="H20" s="15">
        <f t="shared" ref="H20:H32" si="4">F20+G20</f>
        <v>282007.35599999997</v>
      </c>
      <c r="I20" s="25" t="s">
        <v>2584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8" t="s">
        <v>2584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226.55</v>
      </c>
      <c r="F22" s="15">
        <f>+[19]Main!$H$4</f>
        <v>368832.810887</v>
      </c>
      <c r="G22" s="15">
        <f>+[19]Main!$H$6-[19]Main!$H$5</f>
        <v>-4023</v>
      </c>
      <c r="H22" s="15">
        <f t="shared" si="4"/>
        <v>364809.810887</v>
      </c>
      <c r="I22" s="42" t="s">
        <v>2709</v>
      </c>
      <c r="J22" s="16">
        <v>46055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29" t="s">
        <v>2709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5" t="s">
        <v>2708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156332.59056749998</v>
      </c>
      <c r="G25" s="15">
        <f>+([22]Main!$I$7-[22]Main!$I$6)*FX!C3</f>
        <v>-53458.08986</v>
      </c>
      <c r="H25" s="15">
        <f t="shared" si="4"/>
        <v>102874.50070749997</v>
      </c>
      <c r="I25" s="40" t="s">
        <v>2584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1" t="s">
        <v>2584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5" t="s">
        <v>3146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150.69</v>
      </c>
      <c r="F28" s="15">
        <f>+[25]Main!$I$4</f>
        <v>195845.87826680997</v>
      </c>
      <c r="G28" s="15">
        <f>+[25]Main!$I$6-[25]Main!$I$5</f>
        <v>-4901</v>
      </c>
      <c r="H28" s="15">
        <f>+F28+G28</f>
        <v>190944.87826680997</v>
      </c>
      <c r="I28" s="34" t="s">
        <v>2584</v>
      </c>
      <c r="J28" s="16">
        <v>45972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4" t="s">
        <v>2584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+[27]Main!$H$3</f>
        <v>947.74</v>
      </c>
      <c r="F30" s="15">
        <f>+[27]Main!$H$5</f>
        <v>197129.92</v>
      </c>
      <c r="G30" s="15">
        <f>+[27]Main!$H$7-[27]Main!$H$6</f>
        <v>-4642</v>
      </c>
      <c r="H30" s="15">
        <f t="shared" si="4"/>
        <v>192487.92</v>
      </c>
      <c r="I30" s="39" t="s">
        <v>2584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670.1</v>
      </c>
      <c r="F31" s="15">
        <f>+[28]Main!$I$4</f>
        <v>186827.23050000001</v>
      </c>
      <c r="G31" s="15">
        <f>+[28]Main!$I$6-[28]Main!$I$5</f>
        <v>6178</v>
      </c>
      <c r="H31" s="15">
        <f t="shared" si="4"/>
        <v>193005.23050000001</v>
      </c>
      <c r="I31" s="39" t="s">
        <v>3148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225.73</v>
      </c>
      <c r="F32" s="15">
        <f>+[29]Main!$I$4</f>
        <v>179826.09504670999</v>
      </c>
      <c r="G32" s="15">
        <f>+[29]Main!$I$6-[29]Main!$I$5</f>
        <v>-2846</v>
      </c>
      <c r="H32" s="15">
        <f t="shared" si="4"/>
        <v>176980.09504670999</v>
      </c>
      <c r="I32" s="39" t="s">
        <v>3146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90.18</v>
      </c>
      <c r="F33" s="15">
        <f>+[30]Main!$H$4</f>
        <v>188063.05620167998</v>
      </c>
      <c r="G33" s="15">
        <f>+[30]Main!$H$6-[30]Main!$H$5</f>
        <v>1370</v>
      </c>
      <c r="H33" s="15">
        <f>F33+G33</f>
        <v>189433.05620167998</v>
      </c>
      <c r="I33" s="6" t="s">
        <v>2584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2589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29" t="s">
        <v>2584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30" t="s">
        <v>2584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960</v>
      </c>
      <c r="C39" s="5" t="s">
        <v>85</v>
      </c>
      <c r="D39" s="5" t="s">
        <v>45</v>
      </c>
      <c r="E39" s="15">
        <f>+[34]Main!$I$2</f>
        <v>119.69</v>
      </c>
      <c r="F39" s="15">
        <f>+[34]Main!$I$4</f>
        <v>113085.46378881</v>
      </c>
      <c r="G39" s="15">
        <f>+[34]Main!$I$6-[34]Main!$I$5</f>
        <v>-7428.3879999999999</v>
      </c>
      <c r="H39" s="15">
        <f>F39+G39</f>
        <v>105657.07578880999</v>
      </c>
      <c r="I39" s="6" t="s">
        <v>49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4" t="s">
        <v>2584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1" t="s">
        <v>2584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62.5</v>
      </c>
      <c r="F48" s="15">
        <f>+[42]Main!$I$4</f>
        <v>33615.742937499999</v>
      </c>
      <c r="G48" s="15">
        <f>+[42]Main!$I$6-[42]Main!$I$5</f>
        <v>29131</v>
      </c>
      <c r="H48" s="15">
        <f t="shared" si="5"/>
        <v>62746.742937499999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20</v>
      </c>
      <c r="F51" s="15">
        <f>+[45]Main!$K$4</f>
        <v>85340</v>
      </c>
      <c r="G51" s="15">
        <f>+[45]Main!$K$6-[45]Main!$K$5</f>
        <v>17932</v>
      </c>
      <c r="H51" s="15">
        <f t="shared" si="5"/>
        <v>103272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2583</v>
      </c>
      <c r="C55" s="5" t="s">
        <v>119</v>
      </c>
      <c r="D55" s="5" t="s">
        <v>1127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4" t="s">
        <v>2584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42</v>
      </c>
      <c r="F58" s="15">
        <f>+[49]Main!$I$4</f>
        <v>39102</v>
      </c>
      <c r="G58" s="15">
        <f>+[49]Main!$I$6-[49]Main!$I$5</f>
        <v>-435</v>
      </c>
      <c r="H58" s="15">
        <f t="shared" si="6"/>
        <v>38667</v>
      </c>
      <c r="I58" s="48" t="s">
        <v>3148</v>
      </c>
      <c r="J58" s="16">
        <v>46140</v>
      </c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2584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1127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1" t="s">
        <v>2584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2584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202.53</v>
      </c>
      <c r="F97" s="15">
        <f>+[65]Main!$I$4</f>
        <v>50674.485076589997</v>
      </c>
      <c r="G97" s="15">
        <f>+[65]Main!$I$6-[65]Main!$I$5</f>
        <v>-1230</v>
      </c>
      <c r="H97" s="15">
        <f>+F97+G97</f>
        <v>49444.485076589997</v>
      </c>
      <c r="I97" s="6" t="s">
        <v>431</v>
      </c>
      <c r="J97" s="38" t="s">
        <v>3147</v>
      </c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1127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84.016999999999996</v>
      </c>
      <c r="F107" s="15">
        <f>+[67]Main!$H$4</f>
        <v>37639.615999999995</v>
      </c>
      <c r="G107" s="15">
        <f>+[67]Main!$H$6-[67]Main!$H$5</f>
        <v>3827</v>
      </c>
      <c r="H107" s="15">
        <f>+F107+G107</f>
        <v>41466.615999999995</v>
      </c>
      <c r="I107" s="52" t="s">
        <v>3148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1127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2584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1127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1127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283.56</v>
      </c>
      <c r="F154" s="15">
        <f>+[73]Main!$I$4</f>
        <v>10720.488835439999</v>
      </c>
      <c r="G154" s="15">
        <f>+[73]Main!$I$6-[73]Main!$I$5</f>
        <v>1066.1519999999998</v>
      </c>
      <c r="H154" s="15">
        <f>+F154+G154</f>
        <v>11786.640835439999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8.2100000000000009</v>
      </c>
      <c r="F155" s="15">
        <f>+[74]Main!$I$4</f>
        <v>14115.934196310003</v>
      </c>
      <c r="G155" s="15">
        <f>+[74]Main!$I$6-[74]Main!$I$5</f>
        <v>544.51200000000017</v>
      </c>
      <c r="H155" s="15">
        <f>+F155+G155</f>
        <v>14660.446196310004</v>
      </c>
      <c r="I155" s="6" t="s">
        <v>2584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1127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2584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6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7" t="s">
        <v>2584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1127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1127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1127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2585</v>
      </c>
      <c r="C248" s="5" t="s">
        <v>2586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1127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1127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1127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1127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1127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1127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14" t="s">
        <v>638</v>
      </c>
      <c r="C292" s="5" t="s">
        <v>639</v>
      </c>
      <c r="D292" s="5" t="s">
        <v>45</v>
      </c>
      <c r="E292" s="15">
        <f>+[78]Main!$I$2</f>
        <v>70.8</v>
      </c>
      <c r="F292" s="15">
        <f>+[78]Main!$I$4</f>
        <v>7016.8866144000003</v>
      </c>
      <c r="G292" s="15">
        <f>+[78]Main!$I$6-[78]Main!$I$5</f>
        <v>1566.635</v>
      </c>
      <c r="H292" s="15">
        <f>+F292+G292</f>
        <v>8583.5216144000005</v>
      </c>
      <c r="I292" s="37" t="s">
        <v>2584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1127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1127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+[79]Main!$J$3</f>
        <v>15.92</v>
      </c>
      <c r="F321" s="15">
        <f>+[79]Main!$J$5</f>
        <v>3056.2842516800001</v>
      </c>
      <c r="G321" s="15">
        <f>+[79]Main!$J$7-[79]Main!$J$6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+[80]Main!$I$2</f>
        <v>7.36</v>
      </c>
      <c r="F322" s="15">
        <f>+[80]Main!$I$4</f>
        <v>1581.06035488</v>
      </c>
      <c r="G322" s="15">
        <f>+[80]Main!$I$6-[80]Main!$I$5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1133</v>
      </c>
      <c r="C326" s="5" t="s">
        <v>1134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1135</v>
      </c>
      <c r="C327" s="5" t="s">
        <v>1136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1137</v>
      </c>
      <c r="C328" s="5" t="s">
        <v>1138</v>
      </c>
      <c r="D328" s="5" t="s">
        <v>1126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860</v>
      </c>
      <c r="C329" s="5" t="s">
        <v>861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1139</v>
      </c>
      <c r="C330" s="5" t="s">
        <v>1140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1141</v>
      </c>
      <c r="C331" s="5" t="s">
        <v>1142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1143</v>
      </c>
      <c r="C332" s="5" t="s">
        <v>1144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1145</v>
      </c>
      <c r="C333" s="5" t="s">
        <v>1146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1147</v>
      </c>
      <c r="C334" s="5" t="s">
        <v>1148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1149</v>
      </c>
      <c r="C335" s="5" t="s">
        <v>1150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1151</v>
      </c>
      <c r="C336" s="5" t="s">
        <v>1152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1153</v>
      </c>
      <c r="C337" s="5" t="s">
        <v>1154</v>
      </c>
      <c r="D337" s="5" t="s">
        <v>2570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1155</v>
      </c>
      <c r="C338" s="5" t="s">
        <v>1156</v>
      </c>
      <c r="D338" s="5" t="s">
        <v>1126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853</v>
      </c>
      <c r="C339" s="5" t="s">
        <v>854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1157</v>
      </c>
      <c r="C340" s="5" t="s">
        <v>1158</v>
      </c>
      <c r="D340" s="5" t="s">
        <v>1131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1159</v>
      </c>
      <c r="C341" s="5" t="s">
        <v>1160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1161</v>
      </c>
      <c r="C342" s="5" t="s">
        <v>1162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1163</v>
      </c>
      <c r="C343" s="5" t="s">
        <v>1164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1165</v>
      </c>
      <c r="C344" s="5" t="s">
        <v>867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1166</v>
      </c>
      <c r="C345" s="5" t="s">
        <v>1167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1168</v>
      </c>
      <c r="C346" s="5" t="s">
        <v>1169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1170</v>
      </c>
      <c r="C347" s="5" t="s">
        <v>1171</v>
      </c>
      <c r="D347" s="5" t="s">
        <v>2573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1172</v>
      </c>
      <c r="C348" s="5" t="s">
        <v>1173</v>
      </c>
      <c r="D348" s="5" t="s">
        <v>1131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1174</v>
      </c>
      <c r="C349" s="5" t="s">
        <v>1175</v>
      </c>
      <c r="D349" s="5" t="s">
        <v>1124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1176</v>
      </c>
      <c r="C350" s="5" t="s">
        <v>873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1177</v>
      </c>
      <c r="C351" s="5" t="s">
        <v>1178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1179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842</v>
      </c>
      <c r="C353" s="5" t="s">
        <v>843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1180</v>
      </c>
      <c r="C354" s="5" t="s">
        <v>1181</v>
      </c>
      <c r="D354" s="5" t="s">
        <v>1127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975</v>
      </c>
      <c r="C355" s="5" t="s">
        <v>976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1182</v>
      </c>
      <c r="C356" s="5" t="s">
        <v>1183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1184</v>
      </c>
      <c r="C357" s="5" t="s">
        <v>1185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1186</v>
      </c>
      <c r="C358" s="5" t="s">
        <v>1187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1188</v>
      </c>
      <c r="C359" s="5" t="s">
        <v>1189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876</v>
      </c>
      <c r="C360" s="5" t="s">
        <v>877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1190</v>
      </c>
      <c r="C361" s="5" t="s">
        <v>1191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1192</v>
      </c>
      <c r="C362" s="5" t="s">
        <v>1193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1194</v>
      </c>
      <c r="C363" s="5" t="s">
        <v>1195</v>
      </c>
      <c r="D363" s="5" t="s">
        <v>2572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1196</v>
      </c>
      <c r="C364" s="5" t="s">
        <v>1197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1198</v>
      </c>
      <c r="C365" s="5" t="s">
        <v>1199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870</v>
      </c>
      <c r="C366" s="5" t="s">
        <v>871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1200</v>
      </c>
      <c r="C367" s="5" t="s">
        <v>1201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1202</v>
      </c>
      <c r="C368" s="5" t="s">
        <v>1203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1204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1205</v>
      </c>
      <c r="C370" s="5" t="s">
        <v>1206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1207</v>
      </c>
      <c r="C371" s="5" t="s">
        <v>1208</v>
      </c>
      <c r="D371" s="5" t="s">
        <v>956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1209</v>
      </c>
      <c r="C372" s="5" t="s">
        <v>1210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1211</v>
      </c>
      <c r="C373" s="5" t="s">
        <v>1212</v>
      </c>
      <c r="D373" s="5" t="s">
        <v>1125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1213</v>
      </c>
      <c r="C374" s="5" t="s">
        <v>1214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1215</v>
      </c>
      <c r="C375" s="5" t="s">
        <v>1216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1217</v>
      </c>
      <c r="C376" s="5" t="s">
        <v>1218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979</v>
      </c>
      <c r="C377" s="5" t="s">
        <v>980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934</v>
      </c>
      <c r="C378" s="5" t="s">
        <v>1219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981</v>
      </c>
      <c r="C379" s="5" t="s">
        <v>982</v>
      </c>
      <c r="D379" s="5" t="s">
        <v>1127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1220</v>
      </c>
      <c r="C380" s="5" t="s">
        <v>1221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1222</v>
      </c>
      <c r="C381" s="5" t="s">
        <v>1223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1224</v>
      </c>
      <c r="C382" s="5" t="s">
        <v>752</v>
      </c>
      <c r="D382" s="5" t="s">
        <v>1225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1226</v>
      </c>
      <c r="C383" s="5" t="s">
        <v>1227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1228</v>
      </c>
      <c r="C384" s="5" t="s">
        <v>1229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1230</v>
      </c>
      <c r="C385" s="5" t="s">
        <v>1231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1232</v>
      </c>
      <c r="C386" s="5" t="s">
        <v>1233</v>
      </c>
      <c r="D386" s="5" t="s">
        <v>1125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1234</v>
      </c>
      <c r="C387" s="5" t="s">
        <v>1235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1236</v>
      </c>
      <c r="C388" s="5" t="s">
        <v>1237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1238</v>
      </c>
      <c r="C389" s="5" t="s">
        <v>1239</v>
      </c>
      <c r="D389" s="5" t="s">
        <v>1126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1240</v>
      </c>
      <c r="C390" s="5" t="s">
        <v>1241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1242</v>
      </c>
      <c r="C391" s="5" t="s">
        <v>1243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1244</v>
      </c>
      <c r="C392" s="5" t="s">
        <v>1245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1246</v>
      </c>
      <c r="C393" s="5" t="s">
        <v>1247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1248</v>
      </c>
      <c r="C394" s="5" t="s">
        <v>1249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1250</v>
      </c>
      <c r="C395" s="5" t="s">
        <v>1251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1252</v>
      </c>
      <c r="C396" s="5" t="s">
        <v>1253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1254</v>
      </c>
      <c r="C397" s="5" t="s">
        <v>1255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1256</v>
      </c>
      <c r="C398" s="5" t="s">
        <v>1257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1258</v>
      </c>
      <c r="C399" s="5" t="s">
        <v>1259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1260</v>
      </c>
      <c r="C400" s="5" t="s">
        <v>1261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1262</v>
      </c>
      <c r="C401" s="5" t="s">
        <v>1263</v>
      </c>
      <c r="D401" s="5" t="s">
        <v>1124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1264</v>
      </c>
      <c r="C402" s="5" t="s">
        <v>1265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1266</v>
      </c>
      <c r="C403" s="5" t="s">
        <v>1267</v>
      </c>
      <c r="D403" s="5" t="s">
        <v>2577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858</v>
      </c>
      <c r="C404" s="5" t="s">
        <v>1268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1269</v>
      </c>
      <c r="C405" s="5" t="s">
        <v>1270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1271</v>
      </c>
      <c r="C406" s="5" t="s">
        <v>1272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1273</v>
      </c>
      <c r="C407" s="5" t="s">
        <v>1274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1275</v>
      </c>
      <c r="C408" s="5" t="s">
        <v>1276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1277</v>
      </c>
      <c r="C409" s="5" t="s">
        <v>1278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1279</v>
      </c>
      <c r="C410" s="5" t="s">
        <v>1280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1281</v>
      </c>
      <c r="C411" s="5" t="s">
        <v>1282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1283</v>
      </c>
      <c r="C412" s="5" t="s">
        <v>1284</v>
      </c>
      <c r="D412" s="5" t="s">
        <v>956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878</v>
      </c>
      <c r="C413" s="5" t="s">
        <v>879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1285</v>
      </c>
      <c r="C414" s="5" t="s">
        <v>1286</v>
      </c>
      <c r="D414" s="5" t="s">
        <v>1126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1287</v>
      </c>
      <c r="C415" s="5" t="s">
        <v>1288</v>
      </c>
      <c r="D415" s="5" t="s">
        <v>1127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1289</v>
      </c>
      <c r="C416" s="5" t="s">
        <v>1290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1291</v>
      </c>
      <c r="C417" s="5" t="s">
        <v>1292</v>
      </c>
      <c r="D417" s="5" t="s">
        <v>1131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822</v>
      </c>
      <c r="C418" s="5" t="s">
        <v>823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1293</v>
      </c>
      <c r="C419" s="5" t="s">
        <v>1294</v>
      </c>
      <c r="D419" s="5" t="s">
        <v>1128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1295</v>
      </c>
      <c r="C420" s="5" t="s">
        <v>1296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1297</v>
      </c>
      <c r="C421" s="5" t="s">
        <v>1298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1299</v>
      </c>
      <c r="C422" s="5" t="s">
        <v>1300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902</v>
      </c>
      <c r="C423" s="5" t="s">
        <v>903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1301</v>
      </c>
      <c r="C424" s="5" t="s">
        <v>1302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1303</v>
      </c>
      <c r="C425" s="5" t="s">
        <v>1304</v>
      </c>
      <c r="D425" s="5" t="s">
        <v>1131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1305</v>
      </c>
      <c r="C426" s="5" t="s">
        <v>1306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1307</v>
      </c>
      <c r="C427" s="5" t="s">
        <v>1308</v>
      </c>
      <c r="D427" s="5" t="s">
        <v>1124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1309</v>
      </c>
      <c r="C428" s="5" t="s">
        <v>1310</v>
      </c>
      <c r="D428" s="5" t="s">
        <v>1125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1311</v>
      </c>
      <c r="C429" s="5" t="s">
        <v>1312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1313</v>
      </c>
      <c r="C430" s="5" t="s">
        <v>1314</v>
      </c>
      <c r="D430" s="5" t="s">
        <v>1126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1315</v>
      </c>
      <c r="C431" s="5" t="s">
        <v>1316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1317</v>
      </c>
      <c r="C432" s="5" t="s">
        <v>1318</v>
      </c>
      <c r="D432" s="5" t="s">
        <v>1127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1319</v>
      </c>
      <c r="C433" s="5" t="s">
        <v>1320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1321</v>
      </c>
      <c r="C434" s="5" t="s">
        <v>1322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1323</v>
      </c>
      <c r="C435" s="5" t="s">
        <v>1324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1325</v>
      </c>
      <c r="C436" s="5" t="s">
        <v>1326</v>
      </c>
      <c r="D436" s="5" t="s">
        <v>1131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1327</v>
      </c>
      <c r="C437" s="5" t="s">
        <v>1328</v>
      </c>
      <c r="D437" s="5" t="s">
        <v>1127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845</v>
      </c>
      <c r="C438" s="5" t="s">
        <v>846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1329</v>
      </c>
      <c r="C439" s="5" t="s">
        <v>1330</v>
      </c>
      <c r="D439" s="5" t="s">
        <v>1131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1331</v>
      </c>
      <c r="C440" s="5" t="s">
        <v>1332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1333</v>
      </c>
      <c r="C441" s="5" t="s">
        <v>1334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1335</v>
      </c>
      <c r="C442" s="5" t="s">
        <v>1336</v>
      </c>
      <c r="D442" s="5" t="s">
        <v>1131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1337</v>
      </c>
      <c r="C443" s="5" t="s">
        <v>1338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1339</v>
      </c>
      <c r="C444" s="5" t="s">
        <v>1340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1341</v>
      </c>
      <c r="C445" s="5" t="s">
        <v>1342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1343</v>
      </c>
      <c r="C446" s="5" t="s">
        <v>1344</v>
      </c>
      <c r="D446" s="5" t="s">
        <v>1127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1345</v>
      </c>
      <c r="C447" s="5" t="s">
        <v>1346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1347</v>
      </c>
      <c r="C448" s="5" t="s">
        <v>1348</v>
      </c>
      <c r="D448" s="5" t="s">
        <v>2572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1349</v>
      </c>
      <c r="C449" s="5" t="s">
        <v>1350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1351</v>
      </c>
      <c r="C450" s="5" t="s">
        <v>1352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1353</v>
      </c>
      <c r="C451" s="5" t="s">
        <v>1354</v>
      </c>
      <c r="D451" s="5" t="s">
        <v>2578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1355</v>
      </c>
      <c r="C452" s="5" t="s">
        <v>1356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1357</v>
      </c>
      <c r="C453" s="5" t="s">
        <v>1358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1359</v>
      </c>
      <c r="C454" s="5" t="s">
        <v>1360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1361</v>
      </c>
      <c r="C455" s="5" t="s">
        <v>1362</v>
      </c>
      <c r="D455" s="5" t="s">
        <v>1130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1363</v>
      </c>
      <c r="C456" s="5" t="s">
        <v>1364</v>
      </c>
      <c r="D456" s="5" t="s">
        <v>1131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1365</v>
      </c>
      <c r="C457" s="5" t="s">
        <v>1366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1367</v>
      </c>
      <c r="C458" s="5" t="s">
        <v>1368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1369</v>
      </c>
      <c r="C459" s="5" t="s">
        <v>1370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1371</v>
      </c>
      <c r="C460" s="5" t="s">
        <v>1372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1373</v>
      </c>
      <c r="C461" s="5" t="s">
        <v>1374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1375</v>
      </c>
      <c r="C462" s="5" t="s">
        <v>1376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1377</v>
      </c>
      <c r="C463" s="5" t="s">
        <v>1378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1379</v>
      </c>
      <c r="C464" s="5" t="s">
        <v>1380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1381</v>
      </c>
      <c r="C465" s="5" t="s">
        <v>1382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1383</v>
      </c>
      <c r="C466" s="5" t="s">
        <v>1384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1385</v>
      </c>
      <c r="C467" s="5" t="s">
        <v>1386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1387</v>
      </c>
      <c r="C468" s="5" t="s">
        <v>1388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1389</v>
      </c>
      <c r="C469" s="5" t="s">
        <v>1390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1391</v>
      </c>
      <c r="C470" s="5" t="s">
        <v>1392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1393</v>
      </c>
      <c r="C471" s="5" t="s">
        <v>1394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983</v>
      </c>
      <c r="C472" s="5" t="s">
        <v>984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1395</v>
      </c>
      <c r="C473" s="5" t="s">
        <v>1396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1397</v>
      </c>
      <c r="C474" s="5" t="s">
        <v>1398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1399</v>
      </c>
      <c r="C475" s="5" t="s">
        <v>1400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1401</v>
      </c>
      <c r="C476" s="5" t="s">
        <v>1402</v>
      </c>
      <c r="D476" s="5" t="s">
        <v>1126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1403</v>
      </c>
      <c r="C477" s="5" t="s">
        <v>1404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1405</v>
      </c>
      <c r="C478" s="5" t="s">
        <v>1406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985</v>
      </c>
      <c r="C479" s="5" t="s">
        <v>986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1407</v>
      </c>
      <c r="C480" s="5" t="s">
        <v>1408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1409</v>
      </c>
      <c r="C481" s="5" t="s">
        <v>1410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1411</v>
      </c>
      <c r="C482" s="5" t="s">
        <v>1412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1413</v>
      </c>
      <c r="C483" s="5" t="s">
        <v>1414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1415</v>
      </c>
      <c r="C484" s="5" t="s">
        <v>1416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1417</v>
      </c>
      <c r="C485" s="5" t="s">
        <v>1418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1419</v>
      </c>
      <c r="C486" s="5" t="s">
        <v>1420</v>
      </c>
      <c r="D486" s="5" t="s">
        <v>1131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1421</v>
      </c>
      <c r="C487" s="5" t="s">
        <v>1422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1423</v>
      </c>
      <c r="C488" s="5" t="s">
        <v>1424</v>
      </c>
      <c r="D488" s="5" t="s">
        <v>956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1425</v>
      </c>
      <c r="C489" s="5" t="s">
        <v>1426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1427</v>
      </c>
      <c r="C490" s="5" t="s">
        <v>1428</v>
      </c>
      <c r="D490" s="5" t="s">
        <v>1125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1429</v>
      </c>
      <c r="C491" s="5" t="s">
        <v>1430</v>
      </c>
      <c r="D491" s="5" t="s">
        <v>1126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1431</v>
      </c>
      <c r="C492" s="5" t="s">
        <v>1432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1433</v>
      </c>
      <c r="C493" s="5" t="s">
        <v>1434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1435</v>
      </c>
      <c r="C494" s="5" t="s">
        <v>1436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1437</v>
      </c>
      <c r="C495" s="5" t="s">
        <v>1438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1439</v>
      </c>
      <c r="C496" s="5" t="s">
        <v>1440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989</v>
      </c>
      <c r="C497" s="5" t="s">
        <v>990</v>
      </c>
      <c r="D497" s="5" t="s">
        <v>1124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1441</v>
      </c>
      <c r="C498" s="5" t="s">
        <v>1442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1443</v>
      </c>
      <c r="C499" s="5" t="s">
        <v>1444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1445</v>
      </c>
      <c r="C500" s="5" t="s">
        <v>1446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1447</v>
      </c>
      <c r="C501" s="5" t="s">
        <v>1448</v>
      </c>
      <c r="D501" s="5" t="s">
        <v>1130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1449</v>
      </c>
      <c r="C502" s="5" t="s">
        <v>1450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1451</v>
      </c>
      <c r="C503" s="5" t="s">
        <v>1452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1453</v>
      </c>
      <c r="C504" s="5" t="s">
        <v>1454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1455</v>
      </c>
      <c r="C505" s="5" t="s">
        <v>1456</v>
      </c>
      <c r="D505" s="5" t="s">
        <v>2572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1457</v>
      </c>
      <c r="C506" s="5" t="s">
        <v>1458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1459</v>
      </c>
      <c r="C507" s="5" t="s">
        <v>1460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1461</v>
      </c>
      <c r="C508" s="5" t="s">
        <v>1462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1463</v>
      </c>
      <c r="C509" s="5" t="s">
        <v>1464</v>
      </c>
      <c r="D509" s="5" t="s">
        <v>1130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1465</v>
      </c>
      <c r="C510" s="5" t="s">
        <v>1466</v>
      </c>
      <c r="D510" s="5" t="s">
        <v>1124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1467</v>
      </c>
      <c r="C511" s="5" t="s">
        <v>1468</v>
      </c>
      <c r="D511" s="5" t="s">
        <v>1130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1469</v>
      </c>
      <c r="C512" s="5" t="s">
        <v>1470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1471</v>
      </c>
      <c r="C513" s="5" t="s">
        <v>1472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1473</v>
      </c>
      <c r="C514" s="5" t="s">
        <v>1474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1475</v>
      </c>
      <c r="C515" s="5" t="s">
        <v>1476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1477</v>
      </c>
      <c r="C516" s="5" t="s">
        <v>1478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1479</v>
      </c>
      <c r="C517" s="5" t="s">
        <v>1480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1481</v>
      </c>
      <c r="C518" s="5" t="s">
        <v>1482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1483</v>
      </c>
      <c r="C519" s="5" t="s">
        <v>1484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1485</v>
      </c>
      <c r="C520" s="5" t="s">
        <v>1486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3" si="14">+A520+1</f>
        <v>518</v>
      </c>
      <c r="B521" s="5" t="s">
        <v>1487</v>
      </c>
      <c r="C521" s="5" t="s">
        <v>1488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1489</v>
      </c>
      <c r="C522" s="5" t="s">
        <v>1490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1491</v>
      </c>
      <c r="C523" s="5" t="s">
        <v>1492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1493</v>
      </c>
      <c r="C524" s="5" t="s">
        <v>1494</v>
      </c>
      <c r="D524" s="5" t="s">
        <v>1131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1495</v>
      </c>
      <c r="C525" s="5" t="s">
        <v>1496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1497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1498</v>
      </c>
      <c r="C527" s="5" t="s">
        <v>1499</v>
      </c>
      <c r="D527" s="5" t="s">
        <v>1127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1500</v>
      </c>
      <c r="C528" s="5" t="s">
        <v>1501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1502</v>
      </c>
      <c r="C529" s="5" t="s">
        <v>1503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991</v>
      </c>
      <c r="C530" s="5" t="s">
        <v>992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87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84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45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508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45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84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1127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45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508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84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45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1130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1130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87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45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508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993</v>
      </c>
      <c r="C549" s="5" t="s">
        <v>994</v>
      </c>
      <c r="D549" s="5" t="s">
        <v>84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1542</v>
      </c>
      <c r="C550" s="5" t="s">
        <v>1543</v>
      </c>
      <c r="D550" s="5" t="s">
        <v>45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1124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45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398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995</v>
      </c>
      <c r="C554" s="5" t="s">
        <v>996</v>
      </c>
      <c r="D554" s="5" t="s">
        <v>45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1550</v>
      </c>
      <c r="C555" s="5" t="s">
        <v>1551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87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45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1124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1128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1126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45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997</v>
      </c>
      <c r="C566" s="5" t="s">
        <v>997</v>
      </c>
      <c r="D566" s="5" t="s">
        <v>84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1572</v>
      </c>
      <c r="C567" s="5" t="s">
        <v>1573</v>
      </c>
      <c r="D567" s="5" t="s">
        <v>45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1127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45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914</v>
      </c>
      <c r="D571" s="5" t="s">
        <v>2572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1581</v>
      </c>
      <c r="C572" s="5" t="s">
        <v>1582</v>
      </c>
      <c r="D572" s="5" t="s">
        <v>45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84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45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770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768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45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998</v>
      </c>
      <c r="C582" s="5" t="s">
        <v>999</v>
      </c>
      <c r="D582" s="5" t="s">
        <v>245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1601</v>
      </c>
      <c r="C583" s="5" t="s">
        <v>1602</v>
      </c>
      <c r="D583" s="5" t="s">
        <v>1131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ref="A584:A647" si="15">+A583+1</f>
        <v>581</v>
      </c>
      <c r="B584" s="5" t="s">
        <v>1603</v>
      </c>
      <c r="C584" s="5" t="s">
        <v>1604</v>
      </c>
      <c r="D584" s="5" t="s">
        <v>84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5"/>
        <v>582</v>
      </c>
      <c r="B585" s="5" t="s">
        <v>1605</v>
      </c>
      <c r="C585" s="5" t="s">
        <v>1606</v>
      </c>
      <c r="D585" s="5" t="s">
        <v>45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1607</v>
      </c>
      <c r="C586" s="5" t="s">
        <v>1608</v>
      </c>
      <c r="D586" s="5" t="s">
        <v>770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1609</v>
      </c>
      <c r="C587" s="5" t="s">
        <v>1610</v>
      </c>
      <c r="D587" s="5" t="s">
        <v>45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847</v>
      </c>
      <c r="C589" s="5" t="s">
        <v>848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1613</v>
      </c>
      <c r="C590" s="5" t="s">
        <v>1614</v>
      </c>
      <c r="D590" s="5" t="s">
        <v>770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45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1002</v>
      </c>
      <c r="C594" s="5" t="s">
        <v>1003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1621</v>
      </c>
      <c r="C595" s="5" t="s">
        <v>1622</v>
      </c>
      <c r="D595" s="5" t="s">
        <v>1126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956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87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1126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87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1004</v>
      </c>
      <c r="C600" s="5" t="s">
        <v>1005</v>
      </c>
      <c r="D600" s="5" t="s">
        <v>536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1631</v>
      </c>
      <c r="C601" s="5" t="s">
        <v>1632</v>
      </c>
      <c r="D601" s="5" t="s">
        <v>45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768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161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1639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1640</v>
      </c>
      <c r="C605" s="5" t="s">
        <v>1641</v>
      </c>
      <c r="D605" s="5" t="s">
        <v>1124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1124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1006</v>
      </c>
      <c r="C607" s="5" t="s">
        <v>1007</v>
      </c>
      <c r="D607" s="5" t="s">
        <v>508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1644</v>
      </c>
      <c r="C608" s="5" t="s">
        <v>1645</v>
      </c>
      <c r="D608" s="5" t="s">
        <v>1126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45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508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2576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1126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1130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45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1126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45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1124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508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2573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1126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1130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770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87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536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45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956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45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1131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1128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45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1131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1130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907</v>
      </c>
      <c r="C635" s="5" t="s">
        <v>908</v>
      </c>
      <c r="D635" s="5" t="s">
        <v>45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1698</v>
      </c>
      <c r="C636" s="5" t="s">
        <v>1699</v>
      </c>
      <c r="D636" s="5" t="s">
        <v>46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1130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45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1010</v>
      </c>
      <c r="C640" s="5" t="s">
        <v>1011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1706</v>
      </c>
      <c r="C641" s="5" t="s">
        <v>1707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1126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45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1125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45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ref="A648:A711" si="16">+A647+1</f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6"/>
        <v>646</v>
      </c>
      <c r="B649" s="5" t="s">
        <v>1722</v>
      </c>
      <c r="C649" s="5" t="s">
        <v>1722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1723</v>
      </c>
      <c r="C650" s="5" t="s">
        <v>1724</v>
      </c>
      <c r="D650" s="5" t="s">
        <v>2577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1725</v>
      </c>
      <c r="C651" s="5" t="s">
        <v>1726</v>
      </c>
      <c r="D651" s="5" t="s">
        <v>45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770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45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1014</v>
      </c>
      <c r="C654" s="5" t="s">
        <v>1015</v>
      </c>
      <c r="D654" s="5" t="s">
        <v>770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1731</v>
      </c>
      <c r="C655" s="5" t="s">
        <v>1732</v>
      </c>
      <c r="D655" s="5" t="s">
        <v>45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186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84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45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1127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186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1125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45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84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45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536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45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1124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1130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84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1020</v>
      </c>
      <c r="C674" s="5" t="s">
        <v>1021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1769</v>
      </c>
      <c r="C675" s="5" t="s">
        <v>1770</v>
      </c>
      <c r="D675" s="5" t="s">
        <v>2576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47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45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887</v>
      </c>
      <c r="D678" s="5" t="s">
        <v>768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1776</v>
      </c>
      <c r="C679" s="5" t="s">
        <v>1777</v>
      </c>
      <c r="D679" s="5" t="s">
        <v>45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87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768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45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508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1124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45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1028</v>
      </c>
      <c r="C686" s="5" t="s">
        <v>1029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1790</v>
      </c>
      <c r="C687" s="5" t="s">
        <v>1791</v>
      </c>
      <c r="D687" s="5" t="s">
        <v>2570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956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45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1124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1030</v>
      </c>
      <c r="C691" s="5" t="s">
        <v>1031</v>
      </c>
      <c r="D691" s="5" t="s">
        <v>770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1798</v>
      </c>
      <c r="C692" s="5" t="s">
        <v>1799</v>
      </c>
      <c r="D692" s="5" t="s">
        <v>84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87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45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1124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282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1131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1032</v>
      </c>
      <c r="C698" s="5" t="s">
        <v>1033</v>
      </c>
      <c r="D698" s="5" t="s">
        <v>45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1810</v>
      </c>
      <c r="C699" s="5" t="s">
        <v>1811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1131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770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45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1124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45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398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2580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1130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1126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ref="A712:A775" si="17">+A711+1</f>
        <v>709</v>
      </c>
      <c r="B712" s="5" t="s">
        <v>1836</v>
      </c>
      <c r="C712" s="5" t="s">
        <v>1837</v>
      </c>
      <c r="D712" s="5" t="s">
        <v>45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7"/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1842</v>
      </c>
      <c r="C715" s="5" t="s">
        <v>1843</v>
      </c>
      <c r="D715" s="5" t="s">
        <v>536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768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45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282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278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1131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508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45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87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45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1130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45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1036</v>
      </c>
      <c r="C731" s="5" t="s">
        <v>1037</v>
      </c>
      <c r="D731" s="5" t="s">
        <v>536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1874</v>
      </c>
      <c r="C732" s="5" t="s">
        <v>1875</v>
      </c>
      <c r="D732" s="5" t="s">
        <v>956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1127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956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45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768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45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768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161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1128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1124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2573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45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2570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768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1130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956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45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1128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45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278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1130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84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1130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1126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2577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45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508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1131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45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2576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770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45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107</v>
      </c>
      <c r="D773" s="5" t="s">
        <v>768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1957</v>
      </c>
      <c r="C774" s="5" t="s">
        <v>1958</v>
      </c>
      <c r="D774" s="5" t="s">
        <v>45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1042</v>
      </c>
      <c r="C775" s="5" t="s">
        <v>1043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ref="A776:A839" si="18">+A775+1</f>
        <v>773</v>
      </c>
      <c r="B776" s="5" t="s">
        <v>1044</v>
      </c>
      <c r="C776" s="5" t="s">
        <v>1045</v>
      </c>
      <c r="D776" s="5" t="s">
        <v>508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8"/>
        <v>774</v>
      </c>
      <c r="B777" s="5" t="s">
        <v>1959</v>
      </c>
      <c r="C777" s="5" t="s">
        <v>1960</v>
      </c>
      <c r="D777" s="5" t="s">
        <v>45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1961</v>
      </c>
      <c r="C778" s="5" t="s">
        <v>1962</v>
      </c>
      <c r="D778" s="5" t="s">
        <v>1126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1963</v>
      </c>
      <c r="C779" s="5" t="s">
        <v>1964</v>
      </c>
      <c r="D779" s="5" t="s">
        <v>87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768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45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84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1124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45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770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1126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84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45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1126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1130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1130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45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508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45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84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2570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186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1130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45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278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768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45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84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87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1128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1131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87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84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1126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1131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2579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1130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45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278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770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1126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84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2571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45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508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1127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1124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1124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87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45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1130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45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2578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45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1130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2570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2577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45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84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ref="A840:A903" si="19">+A839+1</f>
        <v>837</v>
      </c>
      <c r="B840" s="5" t="s">
        <v>2085</v>
      </c>
      <c r="C840" s="5" t="s">
        <v>2086</v>
      </c>
      <c r="D840" s="5" t="s">
        <v>45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9"/>
        <v>838</v>
      </c>
      <c r="B841" s="5" t="s">
        <v>2087</v>
      </c>
      <c r="C841" s="5" t="s">
        <v>2088</v>
      </c>
      <c r="D841" s="5" t="s">
        <v>84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2089</v>
      </c>
      <c r="C842" s="5" t="s">
        <v>2090</v>
      </c>
      <c r="D842" s="5" t="s">
        <v>1131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2091</v>
      </c>
      <c r="C843" s="5" t="s">
        <v>2092</v>
      </c>
      <c r="D843" s="5" t="s">
        <v>536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84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1124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1127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1124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1056</v>
      </c>
      <c r="C848" s="5" t="s">
        <v>1057</v>
      </c>
      <c r="D848" s="5" t="s">
        <v>768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2101</v>
      </c>
      <c r="C849" s="5" t="s">
        <v>2102</v>
      </c>
      <c r="D849" s="5" t="s">
        <v>45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508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1130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128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45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84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536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b">
        <v>1</v>
      </c>
      <c r="D857" s="5" t="s">
        <v>45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2118</v>
      </c>
      <c r="C858" s="5" t="s">
        <v>2119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508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84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1124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45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508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84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45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87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84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45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1126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278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508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84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45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2570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2575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1130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1126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84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45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1126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45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278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45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2570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1062</v>
      </c>
      <c r="C887" s="5" t="s">
        <v>1063</v>
      </c>
      <c r="D887" s="5" t="s">
        <v>2573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2176</v>
      </c>
      <c r="C888" s="5" t="s">
        <v>2177</v>
      </c>
      <c r="D888" s="5" t="s">
        <v>768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84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1131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601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768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45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87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768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84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1126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1131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768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2576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45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536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768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ref="A904:A967" si="20">+A903+1</f>
        <v>901</v>
      </c>
      <c r="B904" s="5" t="s">
        <v>2208</v>
      </c>
      <c r="C904" s="5" t="s">
        <v>2209</v>
      </c>
      <c r="D904" s="5" t="s">
        <v>45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20"/>
        <v>902</v>
      </c>
      <c r="B905" s="5" t="s">
        <v>2210</v>
      </c>
      <c r="C905" s="5" t="s">
        <v>2211</v>
      </c>
      <c r="D905" s="5" t="s">
        <v>1126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2212</v>
      </c>
      <c r="C906" s="5" t="s">
        <v>2213</v>
      </c>
      <c r="D906" s="5" t="s">
        <v>45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2214</v>
      </c>
      <c r="C907" s="5" t="s">
        <v>2215</v>
      </c>
      <c r="D907" s="5" t="s">
        <v>128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1131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47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508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1131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536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45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2575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45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1130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1126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508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1130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45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84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2573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508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45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84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128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2575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45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1074</v>
      </c>
      <c r="C936" s="5" t="s">
        <v>1075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2272</v>
      </c>
      <c r="C937" s="5" t="s">
        <v>2273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768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45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1131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45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508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1125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1131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45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1130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1131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45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1078</v>
      </c>
      <c r="C951" s="5" t="s">
        <v>1079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2300</v>
      </c>
      <c r="C952" s="5" t="s">
        <v>2301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87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768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45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1131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1131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45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1127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1082</v>
      </c>
      <c r="C962" s="5" t="s">
        <v>1083</v>
      </c>
      <c r="D962" s="5" t="s">
        <v>508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45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2320</v>
      </c>
      <c r="C964" s="5" t="s">
        <v>2321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1131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128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45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ref="A968:A1031" si="21">+A967+1</f>
        <v>965</v>
      </c>
      <c r="B968" s="5" t="s">
        <v>2328</v>
      </c>
      <c r="C968" s="5" t="s">
        <v>2329</v>
      </c>
      <c r="D968" s="5" t="s">
        <v>2574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1"/>
        <v>966</v>
      </c>
      <c r="B969" s="5" t="s">
        <v>2330</v>
      </c>
      <c r="C969" s="5" t="s">
        <v>2331</v>
      </c>
      <c r="D969" s="5" t="s">
        <v>45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2332</v>
      </c>
      <c r="C970" s="5" t="s">
        <v>2333</v>
      </c>
      <c r="D970" s="5" t="s">
        <v>87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2334</v>
      </c>
      <c r="C971" s="5" t="s">
        <v>2335</v>
      </c>
      <c r="D971" s="5" t="s">
        <v>2573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45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84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1126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45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1128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770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87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2350</v>
      </c>
      <c r="D979" s="5" t="s">
        <v>45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2351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1126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1092</v>
      </c>
      <c r="C982" s="5" t="s">
        <v>1093</v>
      </c>
      <c r="D982" s="5" t="s">
        <v>45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2355</v>
      </c>
      <c r="C983" s="5" t="s">
        <v>2356</v>
      </c>
      <c r="D983" s="5" t="s">
        <v>398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45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768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45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87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45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1124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1098</v>
      </c>
      <c r="C993" s="5" t="s">
        <v>1099</v>
      </c>
      <c r="D993" s="5" t="s">
        <v>508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2375</v>
      </c>
      <c r="C994" s="5" t="s">
        <v>2376</v>
      </c>
      <c r="D994" s="5" t="s">
        <v>87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45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2572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128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768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45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1131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45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1131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768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87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45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84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1126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768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45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87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45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87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161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508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956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45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768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1126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87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45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768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87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1130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45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768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1126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1130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45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ref="A1032:A1095" si="22">+A1031+1</f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2"/>
        <v>1030</v>
      </c>
      <c r="B1033" s="5" t="s">
        <v>2453</v>
      </c>
      <c r="C1033" s="5" t="s">
        <v>2454</v>
      </c>
      <c r="D1033" s="5" t="s">
        <v>770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2455</v>
      </c>
      <c r="C1034" s="5" t="s">
        <v>2456</v>
      </c>
      <c r="D1034" s="5" t="s">
        <v>45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2457</v>
      </c>
      <c r="C1035" s="5" t="s">
        <v>2458</v>
      </c>
      <c r="D1035" s="5" t="s">
        <v>1124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45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1124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45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1131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161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45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1106</v>
      </c>
      <c r="C1046" s="5" t="s">
        <v>1107</v>
      </c>
      <c r="D1046" s="5" t="s">
        <v>768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2479</v>
      </c>
      <c r="C1048" s="5" t="s">
        <v>2480</v>
      </c>
      <c r="D1048" s="5" t="s">
        <v>45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1131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508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45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1126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45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87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45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768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45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1130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2503</v>
      </c>
      <c r="D1060" s="5" t="s">
        <v>1130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1110</v>
      </c>
      <c r="C1061" s="5" t="s">
        <v>1111</v>
      </c>
      <c r="D1061" s="5" t="s">
        <v>45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2504</v>
      </c>
      <c r="C1063" s="5" t="s">
        <v>2505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84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1114</v>
      </c>
      <c r="C1070" s="5" t="s">
        <v>1115</v>
      </c>
      <c r="D1070" s="5" t="s">
        <v>1132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2518</v>
      </c>
      <c r="C1071" s="5" t="s">
        <v>2519</v>
      </c>
      <c r="D1071" s="5" t="s">
        <v>45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1126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1126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45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1132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45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768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45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84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45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161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45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ref="A1096:A1101" si="23">+A1095+1</f>
        <v>1093</v>
      </c>
      <c r="B1096" s="5" t="s">
        <v>2568</v>
      </c>
      <c r="C1096" s="5" t="s">
        <v>2569</v>
      </c>
      <c r="D1096" s="5" t="s">
        <v>46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3"/>
        <v>1094</v>
      </c>
      <c r="B1097" s="5" t="s">
        <v>1122</v>
      </c>
      <c r="C1097" s="5" t="s">
        <v>1123</v>
      </c>
      <c r="D1097" s="5" t="s">
        <v>45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14" t="s">
        <v>2594</v>
      </c>
      <c r="C1098" s="5" t="s">
        <v>2595</v>
      </c>
      <c r="D1098" s="5" t="s">
        <v>45</v>
      </c>
      <c r="E1098" s="5">
        <f>+[81]Main!$I$2</f>
        <v>141.35</v>
      </c>
      <c r="F1098" s="15">
        <f>+[81]Main!$I$4</f>
        <v>69059.707043799994</v>
      </c>
      <c r="G1098" s="15">
        <f>+[81]Main!$I$6-[81]Main!$I$5</f>
        <v>9898.6180000000004</v>
      </c>
      <c r="H1098" s="15">
        <f>+F1098+G1098</f>
        <v>78958.325043799996</v>
      </c>
      <c r="I1098" s="37" t="s">
        <v>2584</v>
      </c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14" t="s">
        <v>2706</v>
      </c>
      <c r="C1099" s="5" t="s">
        <v>2707</v>
      </c>
      <c r="D1099" s="5" t="s">
        <v>45</v>
      </c>
      <c r="E1099" s="5"/>
      <c r="F1099" s="15"/>
      <c r="G1099" s="15"/>
      <c r="H1099" s="1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1504</v>
      </c>
      <c r="C1100" s="5" t="s">
        <v>1505</v>
      </c>
      <c r="D1100" s="5" t="s">
        <v>45</v>
      </c>
      <c r="E1100" s="5">
        <f>+[82]Main!$I$2</f>
        <v>11.3</v>
      </c>
      <c r="F1100" s="15">
        <f>+[82]Main!$I$4</f>
        <v>1849.81</v>
      </c>
      <c r="G1100" s="15">
        <f>+[82]Main!$I$6-[82]Main!$I$5</f>
        <v>-775.1</v>
      </c>
      <c r="H1100" s="15">
        <f>+F1100+G1100</f>
        <v>1074.71</v>
      </c>
      <c r="I1100" s="36" t="s">
        <v>2584</v>
      </c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14" t="s">
        <v>3150</v>
      </c>
      <c r="C1101" s="43" t="s">
        <v>3149</v>
      </c>
      <c r="D1101" s="43" t="s">
        <v>768</v>
      </c>
      <c r="E1101" s="5">
        <f>+[83]Main!$I$2</f>
        <v>209</v>
      </c>
      <c r="F1101" s="15">
        <f>+[83]Main!$I$5*FX!C3</f>
        <v>11115.748496252399</v>
      </c>
      <c r="G1101" s="15">
        <f>+([83]Main!$I$7-[83]Main!$I$6)*FX!C3</f>
        <v>-1206.6192600000004</v>
      </c>
      <c r="H1101" s="15">
        <f>+F1101+G1101</f>
        <v>9909.1292362524</v>
      </c>
      <c r="I1101" s="44" t="s">
        <v>2709</v>
      </c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15"/>
      <c r="G1102" s="15"/>
      <c r="H1102" s="1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15"/>
      <c r="G1103" s="15"/>
      <c r="H1103" s="1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15"/>
      <c r="G1104" s="15"/>
      <c r="H1104" s="1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15"/>
      <c r="G1105" s="15"/>
      <c r="H1105" s="1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15"/>
      <c r="G1106" s="15"/>
      <c r="H1106" s="1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15"/>
      <c r="G1107" s="15"/>
      <c r="H1107" s="1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15"/>
      <c r="G1108" s="15"/>
      <c r="H1108" s="1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15"/>
      <c r="G1109" s="15"/>
      <c r="H1109" s="1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15"/>
      <c r="G1110" s="15"/>
      <c r="H1110" s="1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15"/>
      <c r="G1111" s="15"/>
      <c r="H1111" s="1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15"/>
      <c r="G1112" s="15"/>
      <c r="H1112" s="1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15"/>
      <c r="G1113" s="15"/>
      <c r="H1113" s="1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15"/>
      <c r="G1114" s="15"/>
      <c r="H1114" s="1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15"/>
      <c r="G1115" s="15"/>
      <c r="H1115" s="1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15"/>
      <c r="G1116" s="15"/>
      <c r="H1116" s="1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15"/>
      <c r="G1117" s="15"/>
      <c r="H1117" s="1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15"/>
      <c r="G1118" s="15"/>
      <c r="H1118" s="1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15"/>
      <c r="G1119" s="15"/>
      <c r="H1119" s="1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15"/>
      <c r="G1120" s="15"/>
      <c r="H1120" s="1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15"/>
      <c r="G1121" s="15"/>
      <c r="H1121" s="1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15"/>
      <c r="G1122" s="15"/>
      <c r="H1122" s="1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15"/>
      <c r="G1123" s="15"/>
      <c r="H1123" s="1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15"/>
      <c r="G1124" s="15"/>
      <c r="H1124" s="1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15"/>
      <c r="G1125" s="15"/>
      <c r="H1125" s="1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15"/>
      <c r="G1126" s="15"/>
      <c r="H1126" s="1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15"/>
      <c r="G1127" s="15"/>
      <c r="H1127" s="1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15"/>
      <c r="G1128" s="15"/>
      <c r="H1128" s="1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15"/>
      <c r="G1129" s="15"/>
      <c r="H1129" s="1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15"/>
      <c r="G1130" s="15"/>
      <c r="H1130" s="1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15"/>
      <c r="G1131" s="15"/>
      <c r="H1131" s="1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15"/>
      <c r="G1132" s="15"/>
      <c r="H1132" s="1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15"/>
      <c r="G1133" s="15"/>
      <c r="H1133" s="1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15"/>
      <c r="G1134" s="15"/>
      <c r="H1134" s="1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15"/>
      <c r="G1135" s="15"/>
      <c r="H1135" s="1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15"/>
      <c r="G1136" s="15"/>
      <c r="H1136" s="1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15"/>
      <c r="G1137" s="15"/>
      <c r="H1137" s="1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15"/>
      <c r="G1138" s="15"/>
      <c r="H1138" s="1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15"/>
      <c r="G1139" s="15"/>
      <c r="H1139" s="1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15"/>
      <c r="G1140" s="15"/>
      <c r="H1140" s="1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15"/>
      <c r="G1141" s="15"/>
      <c r="H1141" s="1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15"/>
      <c r="G1142" s="15"/>
      <c r="H1142" s="1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15"/>
      <c r="G1143" s="15"/>
      <c r="H1143" s="1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15"/>
      <c r="G1144" s="15"/>
      <c r="H1144" s="1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15"/>
      <c r="G1145" s="15"/>
      <c r="H1145" s="1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15"/>
      <c r="G1146" s="15"/>
      <c r="H1146" s="1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15"/>
      <c r="G1147" s="15"/>
      <c r="H1147" s="1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15"/>
      <c r="G1148" s="15"/>
      <c r="H1148" s="1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15"/>
      <c r="G1149" s="15"/>
      <c r="H1149" s="1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15"/>
      <c r="G1150" s="15"/>
      <c r="H1150" s="1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15"/>
      <c r="G1151" s="15"/>
      <c r="H1151" s="1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15"/>
      <c r="G1152" s="15"/>
      <c r="H1152" s="1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15"/>
      <c r="G1153" s="15"/>
      <c r="H1153" s="1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15"/>
      <c r="G1154" s="15"/>
      <c r="H1154" s="1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15"/>
      <c r="G1155" s="15"/>
      <c r="H1155" s="1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15"/>
      <c r="G1156" s="15"/>
      <c r="H1156" s="1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15"/>
      <c r="G1157" s="15"/>
      <c r="H1157" s="1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15"/>
      <c r="G1158" s="15"/>
      <c r="H1158" s="1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15"/>
      <c r="G1159" s="15"/>
      <c r="H1159" s="1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15"/>
      <c r="G1160" s="15"/>
      <c r="H1160" s="1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15"/>
      <c r="G1161" s="15"/>
      <c r="H1161" s="1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15"/>
      <c r="G1162" s="15"/>
      <c r="H1162" s="1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15"/>
      <c r="G1163" s="15"/>
      <c r="H1163" s="1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15"/>
      <c r="G1164" s="15"/>
      <c r="H1164" s="1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15"/>
      <c r="G1165" s="15"/>
      <c r="H1165" s="1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15"/>
      <c r="G1166" s="15"/>
      <c r="H1166" s="1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15"/>
      <c r="G1167" s="15"/>
      <c r="H1167" s="1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15"/>
      <c r="G1168" s="15"/>
      <c r="H1168" s="1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15"/>
      <c r="G1169" s="15"/>
      <c r="H1169" s="1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15"/>
      <c r="G1170" s="15"/>
      <c r="H1170" s="1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15"/>
      <c r="G1171" s="15"/>
      <c r="H1171" s="1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15"/>
      <c r="G1172" s="15"/>
      <c r="H1172" s="1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15"/>
      <c r="G1173" s="15"/>
      <c r="H1173" s="1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15"/>
      <c r="G1174" s="15"/>
      <c r="H1174" s="1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15"/>
      <c r="G1175" s="15"/>
      <c r="H1175" s="1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15"/>
      <c r="G1176" s="15"/>
      <c r="H1176" s="1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15"/>
      <c r="G1177" s="15"/>
      <c r="H1177" s="1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15"/>
      <c r="G1178" s="15"/>
      <c r="H1178" s="1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15"/>
      <c r="G1179" s="15"/>
      <c r="H1179" s="1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15"/>
      <c r="G1180" s="15"/>
      <c r="H1180" s="1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15"/>
      <c r="G1181" s="15"/>
      <c r="H1181" s="1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15"/>
      <c r="G1182" s="15"/>
      <c r="H1182" s="1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15"/>
      <c r="G1183" s="15"/>
      <c r="H1183" s="1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15"/>
      <c r="G1184" s="15"/>
      <c r="H1184" s="1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15"/>
      <c r="G1185" s="15"/>
      <c r="H1185" s="1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15"/>
      <c r="G1186" s="15"/>
      <c r="H1186" s="1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15"/>
      <c r="G1187" s="15"/>
      <c r="H1187" s="1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15"/>
      <c r="G1188" s="15"/>
      <c r="H1188" s="1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15"/>
      <c r="G1189" s="15"/>
      <c r="H1189" s="1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15"/>
      <c r="G1190" s="15"/>
      <c r="H1190" s="1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15"/>
      <c r="G1191" s="15"/>
      <c r="H1191" s="1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15"/>
      <c r="G1192" s="15"/>
      <c r="H1192" s="1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15"/>
      <c r="G1193" s="15"/>
      <c r="H1193" s="1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15"/>
      <c r="G1194" s="15"/>
      <c r="H1194" s="1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15"/>
      <c r="G1195" s="15"/>
      <c r="H1195" s="1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15"/>
      <c r="G1196" s="15"/>
      <c r="H1196" s="1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15"/>
      <c r="G1197" s="15"/>
      <c r="H1197" s="1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15"/>
      <c r="G1198" s="15"/>
      <c r="H1198" s="1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15"/>
      <c r="G1199" s="15"/>
      <c r="H1199" s="1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15"/>
      <c r="G1200" s="15"/>
      <c r="H1200" s="1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15"/>
      <c r="G1201" s="15"/>
      <c r="H1201" s="1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15"/>
      <c r="G1202" s="15"/>
      <c r="H1202" s="1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15"/>
      <c r="G1203" s="15"/>
      <c r="H1203" s="1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15"/>
      <c r="G1204" s="15"/>
      <c r="H1204" s="1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15"/>
      <c r="G1205" s="15"/>
      <c r="H1205" s="1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15"/>
      <c r="G1206" s="15"/>
      <c r="H1206" s="1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15"/>
      <c r="G1207" s="15"/>
      <c r="H1207" s="1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15"/>
      <c r="G1208" s="15"/>
      <c r="H1208" s="1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15"/>
      <c r="G1209" s="15"/>
      <c r="H1209" s="1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15"/>
      <c r="G1210" s="15"/>
      <c r="H1210" s="1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15"/>
      <c r="G1211" s="15"/>
      <c r="H1211" s="1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15"/>
      <c r="G1212" s="15"/>
      <c r="H1212" s="1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15"/>
      <c r="G1213" s="15"/>
      <c r="H1213" s="1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15"/>
      <c r="G1214" s="15"/>
      <c r="H1214" s="1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15"/>
      <c r="G1215" s="15"/>
      <c r="H1215" s="1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15"/>
      <c r="G1216" s="15"/>
      <c r="H1216" s="1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15"/>
      <c r="G1217" s="15"/>
      <c r="H1217" s="1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15"/>
      <c r="G1218" s="15"/>
      <c r="H1218" s="1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15"/>
      <c r="G1219" s="15"/>
      <c r="H1219" s="1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15"/>
      <c r="G1220" s="15"/>
      <c r="H1220" s="1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15"/>
      <c r="G1221" s="15"/>
      <c r="H1221" s="1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15"/>
      <c r="G1222" s="15"/>
      <c r="H1222" s="1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15"/>
      <c r="G1223" s="15"/>
      <c r="H1223" s="1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15"/>
      <c r="G1224" s="15"/>
      <c r="H1224" s="1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15"/>
      <c r="G1225" s="15"/>
      <c r="H1225" s="1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15"/>
      <c r="G1226" s="15"/>
      <c r="H1226" s="1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15"/>
      <c r="G1227" s="15"/>
      <c r="H1227" s="1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15"/>
      <c r="G1228" s="15"/>
      <c r="H1228" s="1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15"/>
      <c r="G1229" s="15"/>
      <c r="H1229" s="1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15"/>
      <c r="G1230" s="15"/>
      <c r="H1230" s="1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15"/>
      <c r="G1231" s="15"/>
      <c r="H1231" s="1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15"/>
      <c r="G1232" s="15"/>
      <c r="H1232" s="1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</sheetData>
  <conditionalFormatting sqref="C4:C1099">
    <cfRule type="duplicateValues" dxfId="2" priority="103"/>
    <cfRule type="duplicateValues" dxfId="1" priority="104"/>
  </conditionalFormatting>
  <conditionalFormatting sqref="C4:C1101">
    <cfRule type="duplicateValues" dxfId="0" priority="107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099" r:id="rId82" xr:uid="{CC7AF7EF-FD58-40F3-9751-C19C471B5320}"/>
    <hyperlink ref="B1100" r:id="rId83" xr:uid="{52749962-867F-4855-ACBB-76F6560C195D}"/>
    <hyperlink ref="B1098" r:id="rId84" xr:uid="{183849A2-82AE-4CD1-A9BB-C5F5B0BD616B}"/>
    <hyperlink ref="B292" r:id="rId85" xr:uid="{169337C6-DF90-4649-B61A-B3A727423BB4}"/>
    <hyperlink ref="B1101" r:id="rId86" xr:uid="{C33CEF87-C448-44DC-8D3C-76ED6050B4C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959</v>
      </c>
      <c r="B1" s="5"/>
      <c r="C1" s="5" t="s">
        <v>3144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2712</v>
      </c>
      <c r="C4" s="5" t="s">
        <v>2713</v>
      </c>
      <c r="D4" s="5" t="s">
        <v>3095</v>
      </c>
      <c r="E4" s="5">
        <f>+[84]Main!$I$2</f>
        <v>251.74</v>
      </c>
      <c r="F4" s="15">
        <f>+[84]Main!$I$4</f>
        <v>283312.98862612003</v>
      </c>
      <c r="G4" s="15">
        <f>+[84]Main!$I$6-[84]Main!$I$5</f>
        <v>71167</v>
      </c>
      <c r="H4" s="15">
        <f>+F4+G4</f>
        <v>354479.98862612003</v>
      </c>
      <c r="I4" s="6" t="s">
        <v>2584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2714</v>
      </c>
      <c r="C5" s="5" t="s">
        <v>2715</v>
      </c>
      <c r="D5" s="5" t="s">
        <v>3096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2716</v>
      </c>
      <c r="C6" s="5" t="s">
        <v>2717</v>
      </c>
      <c r="D6" s="5" t="s">
        <v>3095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2718</v>
      </c>
      <c r="C7" s="5" t="s">
        <v>2719</v>
      </c>
      <c r="D7" s="5" t="s">
        <v>3095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2720</v>
      </c>
      <c r="C8" s="5" t="s">
        <v>2721</v>
      </c>
      <c r="D8" s="5" t="s">
        <v>3097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2722</v>
      </c>
      <c r="C9" s="5" t="s">
        <v>2723</v>
      </c>
      <c r="D9" s="5" t="s">
        <v>3098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2724</v>
      </c>
      <c r="C10" s="5" t="s">
        <v>2725</v>
      </c>
      <c r="D10" s="5" t="s">
        <v>3099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2726</v>
      </c>
      <c r="C11" s="5" t="s">
        <v>2727</v>
      </c>
      <c r="D11" s="5" t="s">
        <v>3095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2728</v>
      </c>
      <c r="C12" s="5" t="s">
        <v>2729</v>
      </c>
      <c r="D12" s="5" t="s">
        <v>3095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2730</v>
      </c>
      <c r="C13" s="5" t="s">
        <v>2731</v>
      </c>
      <c r="D13" s="5" t="s">
        <v>3096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3142</v>
      </c>
      <c r="C14" s="5" t="s">
        <v>3143</v>
      </c>
      <c r="D14" s="5" t="s">
        <v>3098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2732</v>
      </c>
      <c r="C15" s="5" t="s">
        <v>2733</v>
      </c>
      <c r="D15" s="5" t="s">
        <v>3098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2734</v>
      </c>
      <c r="C16" s="5" t="s">
        <v>2735</v>
      </c>
      <c r="D16" s="5" t="s">
        <v>3100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2736</v>
      </c>
      <c r="C17" s="5" t="s">
        <v>2737</v>
      </c>
      <c r="D17" s="5" t="s">
        <v>3101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2738</v>
      </c>
      <c r="C18" s="5" t="s">
        <v>2739</v>
      </c>
      <c r="D18" s="5" t="s">
        <v>3102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2740</v>
      </c>
      <c r="C19" s="5" t="s">
        <v>2741</v>
      </c>
      <c r="D19" s="5" t="s">
        <v>3095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2742</v>
      </c>
      <c r="C20" s="5" t="s">
        <v>2743</v>
      </c>
      <c r="D20" s="5" t="s">
        <v>3103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2744</v>
      </c>
      <c r="C21" s="5" t="s">
        <v>2745</v>
      </c>
      <c r="D21" s="5" t="s">
        <v>3104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2746</v>
      </c>
      <c r="C22" s="5" t="s">
        <v>2747</v>
      </c>
      <c r="D22" s="5" t="s">
        <v>3105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2748</v>
      </c>
      <c r="C23" s="5" t="s">
        <v>2749</v>
      </c>
      <c r="D23" s="5" t="s">
        <v>3095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2750</v>
      </c>
      <c r="C24" s="5" t="s">
        <v>2751</v>
      </c>
      <c r="D24" s="5" t="s">
        <v>3106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2752</v>
      </c>
      <c r="C25" s="5" t="s">
        <v>2753</v>
      </c>
      <c r="D25" s="5" t="s">
        <v>3107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2754</v>
      </c>
      <c r="C26" s="5" t="s">
        <v>2755</v>
      </c>
      <c r="D26" s="5" t="s">
        <v>3108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2756</v>
      </c>
      <c r="C27" s="5" t="s">
        <v>2757</v>
      </c>
      <c r="D27" s="5" t="s">
        <v>3109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2758</v>
      </c>
      <c r="C28" s="5" t="s">
        <v>2759</v>
      </c>
      <c r="D28" s="5" t="s">
        <v>3096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2760</v>
      </c>
      <c r="C29" s="5" t="s">
        <v>2761</v>
      </c>
      <c r="D29" s="5" t="s">
        <v>3110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2762</v>
      </c>
      <c r="C30" s="5" t="s">
        <v>2763</v>
      </c>
      <c r="D30" s="5" t="s">
        <v>3110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2764</v>
      </c>
      <c r="C31" s="5" t="s">
        <v>2765</v>
      </c>
      <c r="D31" s="5" t="s">
        <v>3111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2766</v>
      </c>
      <c r="C32" s="5" t="s">
        <v>2767</v>
      </c>
      <c r="D32" s="5" t="s">
        <v>3096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2768</v>
      </c>
      <c r="C33" s="5" t="s">
        <v>2769</v>
      </c>
      <c r="D33" s="5" t="s">
        <v>3105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2770</v>
      </c>
      <c r="C34" s="5" t="s">
        <v>2771</v>
      </c>
      <c r="D34" s="5" t="s">
        <v>3112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2772</v>
      </c>
      <c r="C35" s="5" t="s">
        <v>2773</v>
      </c>
      <c r="D35" s="5" t="s">
        <v>3109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2774</v>
      </c>
      <c r="C36" s="5" t="s">
        <v>2775</v>
      </c>
      <c r="D36" s="5" t="s">
        <v>3095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2776</v>
      </c>
      <c r="C37" s="5" t="s">
        <v>2776</v>
      </c>
      <c r="D37" s="5" t="s">
        <v>3112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2777</v>
      </c>
      <c r="C38" s="5" t="s">
        <v>2778</v>
      </c>
      <c r="D38" s="5" t="s">
        <v>3113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2779</v>
      </c>
      <c r="C39" s="5" t="s">
        <v>2780</v>
      </c>
      <c r="D39" s="5" t="s">
        <v>3114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2781</v>
      </c>
      <c r="C40" s="5" t="s">
        <v>2782</v>
      </c>
      <c r="D40" s="5" t="s">
        <v>3115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2783</v>
      </c>
      <c r="C41" s="5" t="s">
        <v>2784</v>
      </c>
      <c r="D41" s="5" t="s">
        <v>3112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2785</v>
      </c>
      <c r="C42" s="5" t="s">
        <v>2786</v>
      </c>
      <c r="D42" s="5" t="s">
        <v>3116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2787</v>
      </c>
      <c r="C43" s="5" t="s">
        <v>496</v>
      </c>
      <c r="D43" s="5" t="s">
        <v>3095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2788</v>
      </c>
      <c r="C44" s="5" t="s">
        <v>2789</v>
      </c>
      <c r="D44" s="5" t="s">
        <v>3117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2790</v>
      </c>
      <c r="C45" s="5" t="s">
        <v>2791</v>
      </c>
      <c r="D45" s="5" t="s">
        <v>3117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2792</v>
      </c>
      <c r="C46" s="5" t="s">
        <v>2793</v>
      </c>
      <c r="D46" s="5" t="s">
        <v>3118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2794</v>
      </c>
      <c r="C47" s="5" t="s">
        <v>2795</v>
      </c>
      <c r="D47" s="5" t="s">
        <v>3096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2796</v>
      </c>
      <c r="C48" s="5" t="s">
        <v>2797</v>
      </c>
      <c r="D48" s="5" t="s">
        <v>3101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2798</v>
      </c>
      <c r="C49" s="5" t="s">
        <v>2799</v>
      </c>
      <c r="D49" s="5" t="s">
        <v>3104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2800</v>
      </c>
      <c r="C50" s="5" t="s">
        <v>2801</v>
      </c>
      <c r="D50" s="5" t="s">
        <v>3095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2802</v>
      </c>
      <c r="C51" s="5" t="s">
        <v>2803</v>
      </c>
      <c r="D51" s="5" t="s">
        <v>3111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2804</v>
      </c>
      <c r="C52" s="5" t="s">
        <v>2805</v>
      </c>
      <c r="D52" s="5" t="s">
        <v>3118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2806</v>
      </c>
      <c r="C53" s="5" t="s">
        <v>2807</v>
      </c>
      <c r="D53" s="5" t="s">
        <v>3110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2808</v>
      </c>
      <c r="C54" s="5" t="s">
        <v>2809</v>
      </c>
      <c r="D54" s="5" t="s">
        <v>3119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2810</v>
      </c>
      <c r="C55" s="5" t="s">
        <v>2811</v>
      </c>
      <c r="D55" s="5" t="s">
        <v>3120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2812</v>
      </c>
      <c r="C56" s="5" t="s">
        <v>2813</v>
      </c>
      <c r="D56" s="5" t="s">
        <v>3105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2814</v>
      </c>
      <c r="C57" s="5" t="s">
        <v>2815</v>
      </c>
      <c r="D57" s="5" t="s">
        <v>3119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2816</v>
      </c>
      <c r="C58" s="5" t="s">
        <v>2817</v>
      </c>
      <c r="D58" s="5" t="s">
        <v>3110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2818</v>
      </c>
      <c r="C59" s="5" t="s">
        <v>2819</v>
      </c>
      <c r="D59" s="5" t="s">
        <v>3099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2820</v>
      </c>
      <c r="C60" s="5" t="s">
        <v>2821</v>
      </c>
      <c r="D60" s="5" t="s">
        <v>3099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2822</v>
      </c>
      <c r="C61" s="5" t="s">
        <v>2823</v>
      </c>
      <c r="D61" s="5" t="s">
        <v>3108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2824</v>
      </c>
      <c r="C62" s="5" t="s">
        <v>2825</v>
      </c>
      <c r="D62" s="5" t="s">
        <v>3121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2826</v>
      </c>
      <c r="C63" s="5" t="s">
        <v>2827</v>
      </c>
      <c r="D63" s="5" t="s">
        <v>3104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2828</v>
      </c>
      <c r="C64" s="5" t="s">
        <v>2829</v>
      </c>
      <c r="D64" s="5" t="s">
        <v>3114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2830</v>
      </c>
      <c r="C65" s="5" t="s">
        <v>2831</v>
      </c>
      <c r="D65" s="5" t="s">
        <v>3122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2832</v>
      </c>
      <c r="C66" s="5" t="s">
        <v>2833</v>
      </c>
      <c r="D66" s="5" t="s">
        <v>3108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2834</v>
      </c>
      <c r="C67" s="5" t="s">
        <v>2835</v>
      </c>
      <c r="D67" s="5" t="s">
        <v>3095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2836</v>
      </c>
      <c r="C68" s="5" t="s">
        <v>2837</v>
      </c>
      <c r="D68" s="5" t="s">
        <v>3099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2838</v>
      </c>
      <c r="C69" s="5" t="s">
        <v>2839</v>
      </c>
      <c r="D69" s="5" t="s">
        <v>3123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2840</v>
      </c>
      <c r="C70" s="5" t="s">
        <v>2841</v>
      </c>
      <c r="D70" s="5" t="s">
        <v>3122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2842</v>
      </c>
      <c r="C71" s="5" t="s">
        <v>2843</v>
      </c>
      <c r="D71" s="5" t="s">
        <v>3115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2844</v>
      </c>
      <c r="C72" s="5" t="s">
        <v>2845</v>
      </c>
      <c r="D72" s="5" t="s">
        <v>3095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2846</v>
      </c>
      <c r="C73" s="5" t="s">
        <v>2847</v>
      </c>
      <c r="D73" s="5" t="s">
        <v>3095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2848</v>
      </c>
      <c r="C74" s="5" t="s">
        <v>2849</v>
      </c>
      <c r="D74" s="5" t="s">
        <v>3124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2850</v>
      </c>
      <c r="C75" s="5" t="s">
        <v>2851</v>
      </c>
      <c r="D75" s="5" t="s">
        <v>1639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2852</v>
      </c>
      <c r="C76" s="5" t="s">
        <v>2853</v>
      </c>
      <c r="D76" s="5" t="s">
        <v>3125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2854</v>
      </c>
      <c r="C77" s="5" t="s">
        <v>2855</v>
      </c>
      <c r="D77" s="5" t="s">
        <v>3126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2856</v>
      </c>
      <c r="C78" s="5" t="s">
        <v>2857</v>
      </c>
      <c r="D78" s="5" t="s">
        <v>3122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2858</v>
      </c>
      <c r="C79" s="5" t="s">
        <v>618</v>
      </c>
      <c r="D79" s="5" t="s">
        <v>3095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2859</v>
      </c>
      <c r="C80" s="5" t="s">
        <v>2860</v>
      </c>
      <c r="D80" s="5" t="s">
        <v>3121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2861</v>
      </c>
      <c r="C81" s="5" t="s">
        <v>2862</v>
      </c>
      <c r="D81" s="5" t="s">
        <v>3112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2863</v>
      </c>
      <c r="C82" s="5" t="s">
        <v>2864</v>
      </c>
      <c r="D82" s="5" t="s">
        <v>3095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2865</v>
      </c>
      <c r="C83" s="5" t="s">
        <v>2866</v>
      </c>
      <c r="D83" s="5" t="s">
        <v>3121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2867</v>
      </c>
      <c r="C84" s="5" t="s">
        <v>2868</v>
      </c>
      <c r="D84" s="5" t="s">
        <v>3107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2869</v>
      </c>
      <c r="C85" s="5" t="s">
        <v>2870</v>
      </c>
      <c r="D85" s="5" t="s">
        <v>3127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2871</v>
      </c>
      <c r="C86" s="5" t="s">
        <v>2872</v>
      </c>
      <c r="D86" s="5" t="s">
        <v>3121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2873</v>
      </c>
      <c r="C87" s="5" t="s">
        <v>2874</v>
      </c>
      <c r="D87" s="5" t="s">
        <v>3128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3097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2875</v>
      </c>
      <c r="C89" s="5" t="s">
        <v>2876</v>
      </c>
      <c r="D89" s="5" t="s">
        <v>3105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2877</v>
      </c>
      <c r="C90" s="5" t="s">
        <v>2878</v>
      </c>
      <c r="D90" s="5" t="s">
        <v>3129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2879</v>
      </c>
      <c r="C91" s="5" t="s">
        <v>2880</v>
      </c>
      <c r="D91" s="5" t="s">
        <v>3099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2881</v>
      </c>
      <c r="C92" s="5" t="s">
        <v>2882</v>
      </c>
      <c r="D92" s="5" t="s">
        <v>3099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2883</v>
      </c>
      <c r="C93" s="5" t="s">
        <v>2884</v>
      </c>
      <c r="D93" s="5" t="s">
        <v>3115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2885</v>
      </c>
      <c r="C94" s="5" t="s">
        <v>2886</v>
      </c>
      <c r="D94" s="5" t="s">
        <v>3129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2887</v>
      </c>
      <c r="C95" s="5" t="s">
        <v>2888</v>
      </c>
      <c r="D95" s="5" t="s">
        <v>3130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2889</v>
      </c>
      <c r="C96" s="5" t="s">
        <v>2890</v>
      </c>
      <c r="D96" s="5" t="s">
        <v>3127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3095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2891</v>
      </c>
      <c r="C98" s="5" t="s">
        <v>2892</v>
      </c>
      <c r="D98" s="5" t="s">
        <v>3095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2893</v>
      </c>
      <c r="C99" s="5" t="s">
        <v>2893</v>
      </c>
      <c r="D99" s="5" t="s">
        <v>3116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2894</v>
      </c>
      <c r="C100" s="5" t="s">
        <v>2895</v>
      </c>
      <c r="D100" s="5" t="s">
        <v>3131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2896</v>
      </c>
      <c r="C101" s="5" t="s">
        <v>2897</v>
      </c>
      <c r="D101" s="5" t="s">
        <v>3115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2898</v>
      </c>
      <c r="C102" s="5" t="s">
        <v>2899</v>
      </c>
      <c r="D102" s="5" t="s">
        <v>3106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2900</v>
      </c>
      <c r="C103" s="5" t="s">
        <v>2901</v>
      </c>
      <c r="D103" s="5" t="s">
        <v>3097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2902</v>
      </c>
      <c r="C104" s="5" t="s">
        <v>2903</v>
      </c>
      <c r="D104" s="5" t="s">
        <v>3110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2904</v>
      </c>
      <c r="C105" s="5" t="s">
        <v>2905</v>
      </c>
      <c r="D105" s="5" t="s">
        <v>3097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1250</v>
      </c>
      <c r="C106" s="5" t="s">
        <v>1251</v>
      </c>
      <c r="D106" s="5" t="s">
        <v>3095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2906</v>
      </c>
      <c r="C107" s="5" t="s">
        <v>2907</v>
      </c>
      <c r="D107" s="5" t="s">
        <v>3095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2908</v>
      </c>
      <c r="C108" s="5" t="s">
        <v>2909</v>
      </c>
      <c r="D108" s="5" t="s">
        <v>3095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2910</v>
      </c>
      <c r="C109" s="5" t="s">
        <v>2911</v>
      </c>
      <c r="D109" s="5" t="s">
        <v>3095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2912</v>
      </c>
      <c r="C110" s="5" t="s">
        <v>2913</v>
      </c>
      <c r="D110" s="5" t="s">
        <v>3132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2914</v>
      </c>
      <c r="C111" s="5" t="s">
        <v>2915</v>
      </c>
      <c r="D111" s="5" t="s">
        <v>3115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2916</v>
      </c>
      <c r="C112" s="5" t="s">
        <v>2917</v>
      </c>
      <c r="D112" s="5" t="s">
        <v>3120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2918</v>
      </c>
      <c r="C113" s="5" t="s">
        <v>2919</v>
      </c>
      <c r="D113" s="5" t="s">
        <v>3124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2920</v>
      </c>
      <c r="C114" s="5" t="s">
        <v>2921</v>
      </c>
      <c r="D114" s="5" t="s">
        <v>3133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2922</v>
      </c>
      <c r="C115" s="5" t="s">
        <v>2923</v>
      </c>
      <c r="D115" s="5" t="s">
        <v>3102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2924</v>
      </c>
      <c r="C116" s="5" t="s">
        <v>2925</v>
      </c>
      <c r="D116" s="5" t="s">
        <v>3134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2926</v>
      </c>
      <c r="C117" s="5" t="s">
        <v>2927</v>
      </c>
      <c r="D117" s="5" t="s">
        <v>3107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2928</v>
      </c>
      <c r="C118" s="5" t="s">
        <v>2929</v>
      </c>
      <c r="D118" s="5" t="s">
        <v>3118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2930</v>
      </c>
      <c r="C119" s="5" t="s">
        <v>2931</v>
      </c>
      <c r="D119" s="5" t="s">
        <v>3115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2932</v>
      </c>
      <c r="C120" s="5" t="s">
        <v>2933</v>
      </c>
      <c r="D120" s="5" t="s">
        <v>3095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2934</v>
      </c>
      <c r="C121" s="5" t="s">
        <v>2935</v>
      </c>
      <c r="D121" s="5" t="s">
        <v>3101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2936</v>
      </c>
      <c r="C122" s="5" t="s">
        <v>2937</v>
      </c>
      <c r="D122" s="5" t="s">
        <v>3115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2938</v>
      </c>
      <c r="C123" s="5" t="s">
        <v>2939</v>
      </c>
      <c r="D123" s="5" t="s">
        <v>3134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2940</v>
      </c>
      <c r="C124" s="5" t="s">
        <v>2941</v>
      </c>
      <c r="D124" s="5" t="s">
        <v>3100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2942</v>
      </c>
      <c r="C125" s="5" t="s">
        <v>2943</v>
      </c>
      <c r="D125" s="5" t="s">
        <v>3135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2944</v>
      </c>
      <c r="C126" s="5" t="s">
        <v>2945</v>
      </c>
      <c r="D126" s="5" t="s">
        <v>3110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2946</v>
      </c>
      <c r="C127" s="5" t="s">
        <v>2947</v>
      </c>
      <c r="D127" s="5" t="s">
        <v>3132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2948</v>
      </c>
      <c r="C128" s="5" t="s">
        <v>2949</v>
      </c>
      <c r="D128" s="5" t="s">
        <v>3136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2950</v>
      </c>
      <c r="C129" s="5" t="s">
        <v>2951</v>
      </c>
      <c r="D129" s="5" t="s">
        <v>3110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2952</v>
      </c>
      <c r="C130" s="5" t="s">
        <v>2953</v>
      </c>
      <c r="D130" s="5" t="s">
        <v>3125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2954</v>
      </c>
      <c r="C131" s="5" t="s">
        <v>2955</v>
      </c>
      <c r="D131" s="5" t="s">
        <v>3137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2956</v>
      </c>
      <c r="C132" s="5" t="s">
        <v>2957</v>
      </c>
      <c r="D132" s="5" t="s">
        <v>3112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2958</v>
      </c>
      <c r="C133" s="5" t="s">
        <v>2959</v>
      </c>
      <c r="D133" s="5" t="s">
        <v>3125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2960</v>
      </c>
      <c r="C134" s="5" t="s">
        <v>2961</v>
      </c>
      <c r="D134" s="5" t="s">
        <v>3095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1303</v>
      </c>
      <c r="C135" s="5" t="s">
        <v>1304</v>
      </c>
      <c r="D135" s="5" t="s">
        <v>3103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2962</v>
      </c>
      <c r="C136" s="5" t="s">
        <v>2963</v>
      </c>
      <c r="D136" s="5" t="s">
        <v>3130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2964</v>
      </c>
      <c r="C137" s="5" t="s">
        <v>2965</v>
      </c>
      <c r="D137" s="5" t="s">
        <v>3103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2966</v>
      </c>
      <c r="C138" s="5" t="s">
        <v>2967</v>
      </c>
      <c r="D138" s="5" t="s">
        <v>3095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2968</v>
      </c>
      <c r="C139" s="5" t="s">
        <v>2969</v>
      </c>
      <c r="D139" s="5" t="s">
        <v>3095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2970</v>
      </c>
      <c r="C140" s="5" t="s">
        <v>2971</v>
      </c>
      <c r="D140" s="5" t="s">
        <v>3095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2972</v>
      </c>
      <c r="C141" s="5" t="s">
        <v>2973</v>
      </c>
      <c r="D141" s="5" t="s">
        <v>3130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2974</v>
      </c>
      <c r="C142" s="5" t="s">
        <v>2975</v>
      </c>
      <c r="D142" s="5" t="s">
        <v>3095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2976</v>
      </c>
      <c r="C143" s="5" t="s">
        <v>2977</v>
      </c>
      <c r="D143" s="5" t="s">
        <v>3117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2978</v>
      </c>
      <c r="C144" s="5" t="s">
        <v>2979</v>
      </c>
      <c r="D144" s="5" t="s">
        <v>3104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2980</v>
      </c>
      <c r="C145" s="5" t="s">
        <v>2981</v>
      </c>
      <c r="D145" s="5" t="s">
        <v>3110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2982</v>
      </c>
      <c r="C146" s="5" t="s">
        <v>2983</v>
      </c>
      <c r="D146" s="5" t="s">
        <v>3099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2984</v>
      </c>
      <c r="C147" s="5" t="s">
        <v>2985</v>
      </c>
      <c r="D147" s="5" t="s">
        <v>3097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1363</v>
      </c>
      <c r="C148" s="5" t="s">
        <v>1364</v>
      </c>
      <c r="D148" s="5" t="s">
        <v>3103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2986</v>
      </c>
      <c r="C149" s="5" t="s">
        <v>2987</v>
      </c>
      <c r="D149" s="5" t="s">
        <v>3138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2988</v>
      </c>
      <c r="C150" s="5" t="s">
        <v>2989</v>
      </c>
      <c r="D150" s="5" t="s">
        <v>3139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2990</v>
      </c>
      <c r="C151" s="5" t="s">
        <v>2991</v>
      </c>
      <c r="D151" s="5" t="s">
        <v>3095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2992</v>
      </c>
      <c r="C152" s="5" t="s">
        <v>2993</v>
      </c>
      <c r="D152" s="5" t="s">
        <v>3095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2994</v>
      </c>
      <c r="C153" s="5" t="s">
        <v>2995</v>
      </c>
      <c r="D153" s="5" t="s">
        <v>3107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2996</v>
      </c>
      <c r="C154" s="5" t="s">
        <v>2997</v>
      </c>
      <c r="D154" s="5" t="s">
        <v>3107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2998</v>
      </c>
      <c r="C155" s="5" t="s">
        <v>2999</v>
      </c>
      <c r="D155" s="5" t="s">
        <v>3126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1613</v>
      </c>
      <c r="C156" s="5" t="s">
        <v>1614</v>
      </c>
      <c r="D156" s="5" t="s">
        <v>3099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3000</v>
      </c>
      <c r="C157" s="5" t="s">
        <v>3001</v>
      </c>
      <c r="D157" s="5" t="s">
        <v>3101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3002</v>
      </c>
      <c r="C158" s="5" t="s">
        <v>3003</v>
      </c>
      <c r="D158" s="5" t="s">
        <v>3095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3004</v>
      </c>
      <c r="C159" s="5" t="s">
        <v>3005</v>
      </c>
      <c r="D159" s="5" t="s">
        <v>3113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3006</v>
      </c>
      <c r="C160" s="5" t="s">
        <v>3007</v>
      </c>
      <c r="D160" s="5" t="s">
        <v>3118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3008</v>
      </c>
      <c r="C161" s="5" t="s">
        <v>3009</v>
      </c>
      <c r="D161" s="5" t="s">
        <v>3095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3010</v>
      </c>
      <c r="C162" s="5" t="s">
        <v>3011</v>
      </c>
      <c r="D162" s="5" t="s">
        <v>3095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3012</v>
      </c>
      <c r="C163" s="5" t="s">
        <v>3013</v>
      </c>
      <c r="D163" s="5" t="s">
        <v>3105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3014</v>
      </c>
      <c r="C164" s="5" t="s">
        <v>3015</v>
      </c>
      <c r="D164" s="5" t="s">
        <v>3130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3016</v>
      </c>
      <c r="C165" s="5" t="s">
        <v>3017</v>
      </c>
      <c r="D165" s="5" t="s">
        <v>3105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3018</v>
      </c>
      <c r="C166" s="5" t="s">
        <v>3019</v>
      </c>
      <c r="D166" s="5" t="s">
        <v>3098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3020</v>
      </c>
      <c r="C167" s="5" t="s">
        <v>3021</v>
      </c>
      <c r="D167" s="5" t="s">
        <v>3099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3022</v>
      </c>
      <c r="C168" s="5" t="s">
        <v>3023</v>
      </c>
      <c r="D168" s="5" t="s">
        <v>3106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3024</v>
      </c>
      <c r="C169" s="5" t="s">
        <v>3025</v>
      </c>
      <c r="D169" s="5" t="s">
        <v>3130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3026</v>
      </c>
      <c r="C170" s="5" t="s">
        <v>3027</v>
      </c>
      <c r="D170" s="5" t="s">
        <v>3095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3028</v>
      </c>
      <c r="C171" s="5" t="s">
        <v>3029</v>
      </c>
      <c r="D171" s="5" t="s">
        <v>3095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3030</v>
      </c>
      <c r="C172" s="5" t="s">
        <v>3031</v>
      </c>
      <c r="D172" s="5" t="s">
        <v>3137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3032</v>
      </c>
      <c r="C173" s="5" t="s">
        <v>3033</v>
      </c>
      <c r="D173" s="5" t="s">
        <v>3095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1880</v>
      </c>
      <c r="C174" s="5" t="s">
        <v>1881</v>
      </c>
      <c r="D174" s="5" t="s">
        <v>3095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3034</v>
      </c>
      <c r="C175" s="5" t="s">
        <v>3035</v>
      </c>
      <c r="D175" s="5" t="s">
        <v>1639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3036</v>
      </c>
      <c r="C176" s="5" t="s">
        <v>3037</v>
      </c>
      <c r="D176" s="5" t="s">
        <v>3095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3038</v>
      </c>
      <c r="C177" s="5" t="s">
        <v>3039</v>
      </c>
      <c r="D177" s="5" t="s">
        <v>3099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3040</v>
      </c>
      <c r="C178" s="5" t="s">
        <v>3041</v>
      </c>
      <c r="D178" s="5" t="s">
        <v>3118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3042</v>
      </c>
      <c r="C179" s="5" t="s">
        <v>3043</v>
      </c>
      <c r="D179" s="5" t="s">
        <v>3130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3044</v>
      </c>
      <c r="C180" s="5" t="s">
        <v>3045</v>
      </c>
      <c r="D180" s="5" t="s">
        <v>3099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3046</v>
      </c>
      <c r="C181" s="5" t="s">
        <v>3047</v>
      </c>
      <c r="D181" s="5" t="s">
        <v>3107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3048</v>
      </c>
      <c r="C182" s="5" t="s">
        <v>3049</v>
      </c>
      <c r="D182" s="5" t="s">
        <v>3095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3050</v>
      </c>
      <c r="C183" s="5" t="s">
        <v>3051</v>
      </c>
      <c r="D183" s="5" t="s">
        <v>3140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3052</v>
      </c>
      <c r="C184" s="5" t="s">
        <v>3053</v>
      </c>
      <c r="D184" s="5" t="s">
        <v>3099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3054</v>
      </c>
      <c r="C185" s="5" t="s">
        <v>3055</v>
      </c>
      <c r="D185" s="5" t="s">
        <v>3095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3056</v>
      </c>
      <c r="C186" s="5" t="s">
        <v>3057</v>
      </c>
      <c r="D186" s="5" t="s">
        <v>3099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3058</v>
      </c>
      <c r="C187" s="5" t="s">
        <v>3059</v>
      </c>
      <c r="D187" s="5" t="s">
        <v>3130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3060</v>
      </c>
      <c r="C188" s="5" t="s">
        <v>3061</v>
      </c>
      <c r="D188" s="5" t="s">
        <v>3099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3062</v>
      </c>
      <c r="C189" s="5" t="s">
        <v>3063</v>
      </c>
      <c r="D189" s="5" t="s">
        <v>3106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3064</v>
      </c>
      <c r="C190" s="5" t="s">
        <v>3065</v>
      </c>
      <c r="D190" s="5" t="s">
        <v>3112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2057</v>
      </c>
      <c r="C191" s="5" t="s">
        <v>2058</v>
      </c>
      <c r="D191" s="5" t="s">
        <v>3112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3066</v>
      </c>
      <c r="C192" s="5" t="s">
        <v>3067</v>
      </c>
      <c r="D192" s="5" t="s">
        <v>3116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3068</v>
      </c>
      <c r="C193" s="5" t="s">
        <v>3069</v>
      </c>
      <c r="D193" s="5" t="s">
        <v>3119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3070</v>
      </c>
      <c r="C194" s="5" t="s">
        <v>3071</v>
      </c>
      <c r="D194" s="5" t="s">
        <v>3141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3072</v>
      </c>
      <c r="C195" s="5" t="s">
        <v>3073</v>
      </c>
      <c r="D195" s="5" t="s">
        <v>3113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3074</v>
      </c>
      <c r="C196" s="5" t="s">
        <v>3075</v>
      </c>
      <c r="D196" s="5" t="s">
        <v>3099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3076</v>
      </c>
      <c r="C197" s="5" t="s">
        <v>3077</v>
      </c>
      <c r="D197" s="5" t="s">
        <v>3140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3078</v>
      </c>
      <c r="C198" s="5" t="s">
        <v>3079</v>
      </c>
      <c r="D198" s="5" t="s">
        <v>3097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3080</v>
      </c>
      <c r="C199" s="5" t="s">
        <v>3081</v>
      </c>
      <c r="D199" s="5" t="s">
        <v>3105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2105</v>
      </c>
      <c r="C200" s="5" t="s">
        <v>2106</v>
      </c>
      <c r="D200" s="5" t="s">
        <v>3097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2154</v>
      </c>
      <c r="C201" s="5" t="s">
        <v>2155</v>
      </c>
      <c r="D201" s="5" t="s">
        <v>3119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3082</v>
      </c>
      <c r="C202" s="5" t="s">
        <v>3083</v>
      </c>
      <c r="D202" s="5" t="s">
        <v>3136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2236</v>
      </c>
      <c r="C203" s="5" t="s">
        <v>2237</v>
      </c>
      <c r="D203" s="5" t="s">
        <v>3109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3084</v>
      </c>
      <c r="C204" s="5" t="s">
        <v>3085</v>
      </c>
      <c r="D204" s="5" t="s">
        <v>3119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3086</v>
      </c>
      <c r="C205" s="5" t="s">
        <v>3087</v>
      </c>
      <c r="D205" s="5" t="s">
        <v>3097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3088</v>
      </c>
      <c r="C206" s="5" t="s">
        <v>3089</v>
      </c>
      <c r="D206" s="5" t="s">
        <v>3140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3090</v>
      </c>
      <c r="C207" s="5" t="s">
        <v>3091</v>
      </c>
      <c r="D207" s="5" t="s">
        <v>3099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2353</v>
      </c>
      <c r="C208" s="5" t="s">
        <v>2354</v>
      </c>
      <c r="D208" s="5" t="s">
        <v>3130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2453</v>
      </c>
      <c r="C209" s="5" t="s">
        <v>2454</v>
      </c>
      <c r="D209" s="5" t="s">
        <v>3099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3092</v>
      </c>
      <c r="C210" s="5" t="s">
        <v>3093</v>
      </c>
      <c r="D210" s="5" t="s">
        <v>3095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2483</v>
      </c>
      <c r="C211" s="5" t="s">
        <v>3094</v>
      </c>
      <c r="D211" s="5" t="s">
        <v>3097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+[85]Main!$J$2</f>
        <v>334.9</v>
      </c>
      <c r="F4" s="15">
        <f>+[85]Main!$J$4</f>
        <v>622169.62413309992</v>
      </c>
      <c r="G4" s="15">
        <f>+[85]Main!$J$6-[85]Main!$J$5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+[86]Main!$I$2</f>
        <v>519.49</v>
      </c>
      <c r="F5" s="15">
        <f>+[86]Main!$I$4</f>
        <v>473623.45178194001</v>
      </c>
      <c r="G5" s="15">
        <f>+[86]Main!$I$6-[86]Main!$I$5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670.1</v>
      </c>
      <c r="F6" s="15">
        <f>+[28]Main!$I$4</f>
        <v>186827.23050000001</v>
      </c>
      <c r="G6" s="15">
        <f>+[28]Main!$I$6-[28]Main!$I$5</f>
        <v>6178</v>
      </c>
      <c r="H6" s="15">
        <f t="shared" si="0"/>
        <v>193005.23050000001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+[87]Main!$J$2</f>
        <v>494.32</v>
      </c>
      <c r="F7" s="15">
        <f>+[87]Main!$J$4</f>
        <v>151607.94399999999</v>
      </c>
      <c r="G7" s="15">
        <f>+[87]Main!$J$6-[87]Main!$J$5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62.5</v>
      </c>
      <c r="F8" s="15">
        <f>+[42]Main!$I$4</f>
        <v>33615.742937499999</v>
      </c>
      <c r="G8" s="15">
        <f>+[42]Main!$I$6-[42]Main!$I$5</f>
        <v>29131</v>
      </c>
      <c r="H8" s="15">
        <f t="shared" si="0"/>
        <v>62746.742937499999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+[88]Main!$I$2</f>
        <v>185.7</v>
      </c>
      <c r="F10" s="15">
        <f>+[88]Main!$I$4</f>
        <v>106522.39852469999</v>
      </c>
      <c r="G10" s="15">
        <f>+[88]Main!$I$6-[88]Main!$I$5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42</v>
      </c>
      <c r="F13" s="15">
        <f>+[49]Main!$I$4</f>
        <v>39102</v>
      </c>
      <c r="G13" s="15">
        <f>+[49]Main!$I$6-[49]Main!$I$5</f>
        <v>-435</v>
      </c>
      <c r="H13" s="15">
        <f t="shared" si="0"/>
        <v>38667</v>
      </c>
      <c r="I13" s="48" t="s">
        <v>3148</v>
      </c>
      <c r="J13" s="16">
        <v>46140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+[89]Main!$I$2</f>
        <v>86.25</v>
      </c>
      <c r="F14" s="15">
        <f>+[89]Main!$I$4</f>
        <v>49517.989724999999</v>
      </c>
      <c r="G14" s="15">
        <f>+[89]Main!$I$6-[89]Main!$I$5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2587</v>
      </c>
      <c r="C15" s="5" t="s">
        <v>2588</v>
      </c>
      <c r="D15" s="5" t="s">
        <v>45</v>
      </c>
      <c r="E15" s="5">
        <f>+[90]Main!$I$2</f>
        <v>220.4</v>
      </c>
      <c r="F15" s="15">
        <f>+[90]Main!$I$4</f>
        <v>45785.921346000003</v>
      </c>
      <c r="G15" s="15">
        <f>+[90]Main!$I$6-[90]Main!$I$5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+[91]Main!$J$2</f>
        <v>544.77</v>
      </c>
      <c r="F16" s="15">
        <f>+[91]Main!$J$4</f>
        <v>42149.669331149998</v>
      </c>
      <c r="G16" s="15">
        <f>+[91]Main!$J$6-[91]Main!$J$5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2603</v>
      </c>
      <c r="C20" s="5" t="s">
        <v>2604</v>
      </c>
      <c r="D20" s="5" t="s">
        <v>45</v>
      </c>
      <c r="E20" s="5">
        <f>+[92]Main!$J$2</f>
        <v>208.42</v>
      </c>
      <c r="F20" s="15">
        <f>+[92]Main!$J$4</f>
        <v>22709.220190600001</v>
      </c>
      <c r="G20" s="15">
        <f>+[92]Main!$J$6-[92]Main!$J$5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1134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2591</v>
      </c>
      <c r="C50" s="5" t="s">
        <v>2592</v>
      </c>
      <c r="D50" s="5" t="s">
        <v>45</v>
      </c>
      <c r="E50" s="5">
        <f>+[93]Main!$K$2</f>
        <v>39.04</v>
      </c>
      <c r="F50" s="15">
        <f>+[93]Main!$K$4</f>
        <v>14227.016843519999</v>
      </c>
      <c r="G50" s="15">
        <f>+[93]Main!$K$6-[93]Main!$K$5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2590</v>
      </c>
      <c r="C51" s="5" t="s">
        <v>2593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2597</v>
      </c>
      <c r="C52" s="5" t="s">
        <v>2596</v>
      </c>
      <c r="D52" s="5" t="s">
        <v>45</v>
      </c>
      <c r="E52" s="5">
        <f>+[94]Main!$H$2</f>
        <v>34.51</v>
      </c>
      <c r="F52" s="15">
        <f>+[94]Main!$H$4</f>
        <v>5275.3449914199991</v>
      </c>
      <c r="G52" s="15">
        <f>+[94]Main!$H$6-[94]Main!$H$5</f>
        <v>1242.8240000000001</v>
      </c>
      <c r="H52" s="15">
        <f>+F52+G52</f>
        <v>6518.1689914199997</v>
      </c>
      <c r="I52" s="22" t="s">
        <v>2584</v>
      </c>
      <c r="J52" s="5"/>
      <c r="K52" s="5"/>
      <c r="L52" s="5"/>
      <c r="M52" s="5"/>
      <c r="N52" s="5"/>
      <c r="O52" s="5"/>
      <c r="P52" s="5">
        <v>2008</v>
      </c>
      <c r="Q52" s="5" t="s">
        <v>2599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2600</v>
      </c>
      <c r="C53" s="5" t="s">
        <v>2605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2585</v>
      </c>
      <c r="C54" s="5" t="s">
        <v>2586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2711</v>
      </c>
      <c r="C55" s="5" t="s">
        <v>2710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809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2704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2705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2601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2602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812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961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1124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962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963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964</v>
      </c>
      <c r="C11" s="5" t="s">
        <v>965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966</v>
      </c>
      <c r="C15" s="5" t="s">
        <v>967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968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969</v>
      </c>
      <c r="C21" s="5" t="s">
        <v>403</v>
      </c>
      <c r="D21" s="5" t="s">
        <v>1125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970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971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972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973</v>
      </c>
      <c r="C28" s="5" t="s">
        <v>586</v>
      </c>
      <c r="D28" s="5" t="s">
        <v>1126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974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975</v>
      </c>
      <c r="C32" s="5" t="s">
        <v>976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977</v>
      </c>
      <c r="C33" s="5" t="s">
        <v>978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979</v>
      </c>
      <c r="C34" s="5" t="s">
        <v>980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981</v>
      </c>
      <c r="C35" s="5" t="s">
        <v>982</v>
      </c>
      <c r="D35" s="5" t="s">
        <v>1127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983</v>
      </c>
      <c r="C36" s="5" t="s">
        <v>984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985</v>
      </c>
      <c r="C37" s="5" t="s">
        <v>986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987</v>
      </c>
      <c r="C38" s="5" t="s">
        <v>988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989</v>
      </c>
      <c r="C39" s="5" t="s">
        <v>990</v>
      </c>
      <c r="D39" s="5" t="s">
        <v>1124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991</v>
      </c>
      <c r="C40" s="5" t="s">
        <v>992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993</v>
      </c>
      <c r="C41" s="5" t="s">
        <v>994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995</v>
      </c>
      <c r="C42" s="5" t="s">
        <v>996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997</v>
      </c>
      <c r="C43" s="5" t="s">
        <v>997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998</v>
      </c>
      <c r="C44" s="5" t="s">
        <v>999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1000</v>
      </c>
      <c r="C45" s="5" t="s">
        <v>1001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1002</v>
      </c>
      <c r="C46" s="5" t="s">
        <v>1003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1004</v>
      </c>
      <c r="C47" s="5" t="s">
        <v>1005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1006</v>
      </c>
      <c r="C48" s="5" t="s">
        <v>1007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1008</v>
      </c>
      <c r="C49" s="5" t="s">
        <v>1009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1010</v>
      </c>
      <c r="C50" s="5" t="s">
        <v>1011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1012</v>
      </c>
      <c r="C51" s="5" t="s">
        <v>1013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1014</v>
      </c>
      <c r="C52" s="5" t="s">
        <v>1015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1016</v>
      </c>
      <c r="C53" s="5" t="s">
        <v>1017</v>
      </c>
      <c r="D53" s="5" t="s">
        <v>1128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1018</v>
      </c>
      <c r="C54" s="5" t="s">
        <v>1019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1020</v>
      </c>
      <c r="C55" s="5" t="s">
        <v>1021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1022</v>
      </c>
      <c r="C56" s="5" t="s">
        <v>1023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1024</v>
      </c>
      <c r="C57" s="5" t="s">
        <v>1025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1026</v>
      </c>
      <c r="C58" s="5" t="s">
        <v>1027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1028</v>
      </c>
      <c r="C59" s="5" t="s">
        <v>1029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1030</v>
      </c>
      <c r="C60" s="5" t="s">
        <v>1031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1032</v>
      </c>
      <c r="C61" s="5" t="s">
        <v>1033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1034</v>
      </c>
      <c r="C62" s="5" t="s">
        <v>1035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1036</v>
      </c>
      <c r="C63" s="5" t="s">
        <v>1037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1038</v>
      </c>
      <c r="C64" s="5" t="s">
        <v>1039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1040</v>
      </c>
      <c r="C65" s="5" t="s">
        <v>1041</v>
      </c>
      <c r="D65" s="5" t="s">
        <v>1124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1042</v>
      </c>
      <c r="C66" s="5" t="s">
        <v>1043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1044</v>
      </c>
      <c r="C67" s="5" t="s">
        <v>1045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1046</v>
      </c>
      <c r="C68" s="5" t="s">
        <v>1047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1048</v>
      </c>
      <c r="C69" s="5" t="s">
        <v>1049</v>
      </c>
      <c r="D69" s="5" t="s">
        <v>1129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1050</v>
      </c>
      <c r="C70" s="5" t="s">
        <v>1051</v>
      </c>
      <c r="D70" s="5" t="s">
        <v>1130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1052</v>
      </c>
      <c r="C71" s="5" t="s">
        <v>1053</v>
      </c>
      <c r="D71" s="5" t="s">
        <v>1125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1054</v>
      </c>
      <c r="C72" s="5" t="s">
        <v>1055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1056</v>
      </c>
      <c r="C73" s="5" t="s">
        <v>1057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1058</v>
      </c>
      <c r="C74" s="5" t="s">
        <v>1059</v>
      </c>
      <c r="D74" s="5" t="s">
        <v>1131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1060</v>
      </c>
      <c r="C75" s="5" t="s">
        <v>1061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1062</v>
      </c>
      <c r="C76" s="5" t="s">
        <v>1063</v>
      </c>
      <c r="D76" s="5" t="s">
        <v>1129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1064</v>
      </c>
      <c r="C77" s="5" t="s">
        <v>1065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1066</v>
      </c>
      <c r="C78" s="5" t="s">
        <v>1067</v>
      </c>
      <c r="D78" s="5" t="s">
        <v>1131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1068</v>
      </c>
      <c r="C79" s="5" t="s">
        <v>1069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1070</v>
      </c>
      <c r="C80" s="5" t="s">
        <v>1071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1072</v>
      </c>
      <c r="C81" s="5" t="s">
        <v>1073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1074</v>
      </c>
      <c r="C82" s="5" t="s">
        <v>1075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1076</v>
      </c>
      <c r="C83" s="5" t="s">
        <v>1077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1078</v>
      </c>
      <c r="C84" s="5" t="s">
        <v>1079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1080</v>
      </c>
      <c r="C85" s="5" t="s">
        <v>1081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1082</v>
      </c>
      <c r="C86" s="5" t="s">
        <v>1083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1084</v>
      </c>
      <c r="C87" s="5" t="s">
        <v>1085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1086</v>
      </c>
      <c r="C88" s="5" t="s">
        <v>1087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1088</v>
      </c>
      <c r="C89" s="5" t="s">
        <v>1089</v>
      </c>
      <c r="D89" s="5" t="s">
        <v>1131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1090</v>
      </c>
      <c r="C90" s="5" t="s">
        <v>1091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1092</v>
      </c>
      <c r="C91" s="5" t="s">
        <v>1093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1094</v>
      </c>
      <c r="C92" s="5" t="s">
        <v>1095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1096</v>
      </c>
      <c r="C93" s="5" t="s">
        <v>1097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1098</v>
      </c>
      <c r="C94" s="5" t="s">
        <v>1099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1100</v>
      </c>
      <c r="C95" s="5" t="s">
        <v>1101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1102</v>
      </c>
      <c r="C96" s="5" t="s">
        <v>1103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1104</v>
      </c>
      <c r="C97" s="5" t="s">
        <v>1105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1106</v>
      </c>
      <c r="C98" s="5" t="s">
        <v>1107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1108</v>
      </c>
      <c r="C99" s="5" t="s">
        <v>1109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1110</v>
      </c>
      <c r="C100" s="5" t="s">
        <v>1111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1112</v>
      </c>
      <c r="C101" s="5" t="s">
        <v>1113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1114</v>
      </c>
      <c r="C102" s="5" t="s">
        <v>1115</v>
      </c>
      <c r="D102" s="5" t="s">
        <v>1132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1116</v>
      </c>
      <c r="C103" s="5" t="s">
        <v>1117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1118</v>
      </c>
      <c r="C104" s="5" t="s">
        <v>1119</v>
      </c>
      <c r="D104" s="5" t="s">
        <v>1126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1120</v>
      </c>
      <c r="C105" s="5" t="s">
        <v>1121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1122</v>
      </c>
      <c r="C106" s="5" t="s">
        <v>1123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773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774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775</v>
      </c>
      <c r="C16" s="5" t="s">
        <v>776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777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778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781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782</v>
      </c>
      <c r="C23" s="5" t="s">
        <v>783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784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785</v>
      </c>
      <c r="C25" s="5" t="s">
        <v>786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787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788</v>
      </c>
      <c r="C27" s="5" t="s">
        <v>789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790</v>
      </c>
      <c r="C28" s="5" t="s">
        <v>791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792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793</v>
      </c>
      <c r="C30" s="5" t="s">
        <v>794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796</v>
      </c>
      <c r="C32" s="5" t="s">
        <v>797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798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799</v>
      </c>
      <c r="C34" s="5" t="s">
        <v>800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801</v>
      </c>
      <c r="C35" s="5" t="s">
        <v>802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803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804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807</v>
      </c>
      <c r="C40" s="5" t="s">
        <v>808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809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2607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2606</v>
      </c>
      <c r="C6" s="5" t="s">
        <v>1263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2608</v>
      </c>
      <c r="C7" s="5" t="s">
        <v>1543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2609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2610</v>
      </c>
      <c r="C16" s="5" t="s">
        <v>2611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2612</v>
      </c>
      <c r="C19" s="5" t="s">
        <v>809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2613</v>
      </c>
      <c r="C20" s="5" t="s">
        <v>809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2614</v>
      </c>
      <c r="C21" s="5" t="s">
        <v>809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2615</v>
      </c>
      <c r="C22" s="5" t="s">
        <v>809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2616</v>
      </c>
      <c r="C23" s="5" t="s">
        <v>809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2617</v>
      </c>
      <c r="C24" s="5" t="s">
        <v>809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2619</v>
      </c>
      <c r="C27" s="5" t="s">
        <v>2620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2621</v>
      </c>
      <c r="C28" s="5" t="s">
        <v>2622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2623</v>
      </c>
      <c r="C29" s="5" t="s">
        <v>2624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2625</v>
      </c>
      <c r="C30" s="5" t="s">
        <v>2626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2627</v>
      </c>
      <c r="C31" s="5" t="s">
        <v>2628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2629</v>
      </c>
      <c r="C32" s="5" t="s">
        <v>2630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2631</v>
      </c>
      <c r="C33" s="5" t="s">
        <v>2632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2633</v>
      </c>
      <c r="C34" s="5" t="s">
        <v>2634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2635</v>
      </c>
      <c r="C35" s="5" t="s">
        <v>2636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2638</v>
      </c>
      <c r="C37" s="5" t="s">
        <v>2639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2640</v>
      </c>
      <c r="C38" s="5" t="s">
        <v>2641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2642</v>
      </c>
      <c r="C39" s="5" t="s">
        <v>2639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2643</v>
      </c>
      <c r="C40" s="5" t="s">
        <v>2644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2645</v>
      </c>
      <c r="C41" s="5" t="s">
        <v>2646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2647</v>
      </c>
      <c r="C42" s="5" t="s">
        <v>2648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2649</v>
      </c>
      <c r="C43" s="5" t="s">
        <v>2641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2650</v>
      </c>
      <c r="C45" s="5" t="s">
        <v>2651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2652</v>
      </c>
      <c r="C46" s="5" t="s">
        <v>2653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2654</v>
      </c>
      <c r="C47" s="5" t="s">
        <v>2655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2657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2658</v>
      </c>
      <c r="C50" s="5" t="s">
        <v>2659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2660</v>
      </c>
      <c r="C51" s="5" t="s">
        <v>2661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2662</v>
      </c>
      <c r="C52" s="5" t="s">
        <v>2663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2665</v>
      </c>
      <c r="C54" s="5" t="s">
        <v>2666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2667</v>
      </c>
      <c r="C55" s="5" t="s">
        <v>2668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2669</v>
      </c>
      <c r="C56" s="5" t="s">
        <v>2670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2673</v>
      </c>
      <c r="C59" s="2" t="s">
        <v>2674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2675</v>
      </c>
      <c r="C60" s="5" t="s">
        <v>2676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2678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2679</v>
      </c>
      <c r="C63" s="5" t="s">
        <v>2680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2681</v>
      </c>
      <c r="C64" s="5" t="s">
        <v>2682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2683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2684</v>
      </c>
      <c r="C66" s="5" t="s">
        <v>2685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2686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2687</v>
      </c>
      <c r="C68" s="2" t="s">
        <v>2688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2691</v>
      </c>
      <c r="C71" s="5" t="s">
        <v>2692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2694</v>
      </c>
      <c r="C73" s="5" t="s">
        <v>2695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2696</v>
      </c>
      <c r="C74" s="5" t="s">
        <v>2697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2698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2699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2700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2701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2702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2703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813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814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815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816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817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818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819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820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821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822</v>
      </c>
      <c r="C24" s="5" t="s">
        <v>823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824</v>
      </c>
      <c r="C25" s="5" t="s">
        <v>825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826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827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828</v>
      </c>
      <c r="C30" s="5" t="s">
        <v>829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830</v>
      </c>
      <c r="C34" s="5" t="s">
        <v>831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832</v>
      </c>
      <c r="C35" s="5" t="s">
        <v>833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834</v>
      </c>
      <c r="C36" s="5" t="s">
        <v>835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836</v>
      </c>
      <c r="C37" s="5" t="s">
        <v>837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838</v>
      </c>
      <c r="C38" s="5" t="s">
        <v>839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840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841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842</v>
      </c>
      <c r="C42" s="5" t="s">
        <v>843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844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845</v>
      </c>
      <c r="C44" s="5" t="s">
        <v>846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847</v>
      </c>
      <c r="C45" s="5" t="s">
        <v>848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849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850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851</v>
      </c>
      <c r="C49" s="5" t="s">
        <v>852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853</v>
      </c>
      <c r="C50" s="5" t="s">
        <v>854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855</v>
      </c>
      <c r="C51" s="5" t="s">
        <v>856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857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858</v>
      </c>
      <c r="C54" s="5" t="s">
        <v>859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860</v>
      </c>
      <c r="C56" s="5" t="s">
        <v>861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862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863</v>
      </c>
      <c r="C58" s="5" t="s">
        <v>864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865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866</v>
      </c>
      <c r="C60" s="5" t="s">
        <v>867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868</v>
      </c>
      <c r="C63" s="5" t="s">
        <v>869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870</v>
      </c>
      <c r="C64" s="5" t="s">
        <v>871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872</v>
      </c>
      <c r="C65" s="5" t="s">
        <v>873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874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875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876</v>
      </c>
      <c r="C68" s="5" t="s">
        <v>877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878</v>
      </c>
      <c r="C69" s="5" t="s">
        <v>879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880</v>
      </c>
      <c r="C70" s="5" t="s">
        <v>881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882</v>
      </c>
      <c r="C71" s="5" t="s">
        <v>883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884</v>
      </c>
      <c r="C72" s="5" t="s">
        <v>885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886</v>
      </c>
      <c r="C73" s="5" t="s">
        <v>887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888</v>
      </c>
      <c r="C74" s="5" t="s">
        <v>888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809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889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890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891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892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893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C24" sqref="C2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3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3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3" si="0">+A5+1</f>
        <v>3</v>
      </c>
      <c r="B6" s="5" t="s">
        <v>894</v>
      </c>
      <c r="C6" s="5" t="s">
        <v>895</v>
      </c>
      <c r="D6" s="5" t="s">
        <v>768</v>
      </c>
      <c r="E6" s="5"/>
      <c r="F6" s="15"/>
      <c r="G6" s="15"/>
      <c r="H6" s="33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896</v>
      </c>
      <c r="C7" s="5" t="s">
        <v>897</v>
      </c>
      <c r="D7" s="5" t="s">
        <v>768</v>
      </c>
      <c r="E7" s="5"/>
      <c r="F7" s="15"/>
      <c r="G7" s="15"/>
      <c r="H7" s="33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898</v>
      </c>
      <c r="D8" s="5" t="s">
        <v>956</v>
      </c>
      <c r="E8" s="5"/>
      <c r="F8" s="15"/>
      <c r="G8" s="15"/>
      <c r="H8" s="33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899</v>
      </c>
      <c r="D9" s="5" t="s">
        <v>956</v>
      </c>
      <c r="E9" s="5"/>
      <c r="F9" s="15"/>
      <c r="G9" s="15"/>
      <c r="H9" s="33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3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900</v>
      </c>
      <c r="C11" s="5" t="s">
        <v>901</v>
      </c>
      <c r="D11" s="5" t="s">
        <v>45</v>
      </c>
      <c r="E11" s="5"/>
      <c r="F11" s="15"/>
      <c r="G11" s="15"/>
      <c r="H11" s="33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902</v>
      </c>
      <c r="C12" s="5" t="s">
        <v>903</v>
      </c>
      <c r="D12" s="5" t="s">
        <v>45</v>
      </c>
      <c r="E12" s="5"/>
      <c r="F12" s="15"/>
      <c r="G12" s="15"/>
      <c r="H12" s="33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904</v>
      </c>
      <c r="C13" s="5" t="s">
        <v>905</v>
      </c>
      <c r="D13" s="5" t="s">
        <v>45</v>
      </c>
      <c r="E13" s="5"/>
      <c r="F13" s="15"/>
      <c r="G13" s="15"/>
      <c r="H13" s="33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906</v>
      </c>
      <c r="C14" s="5" t="s">
        <v>542</v>
      </c>
      <c r="D14" s="5" t="s">
        <v>45</v>
      </c>
      <c r="E14" s="5">
        <f>+[95]Main!$I$2</f>
        <v>38.35</v>
      </c>
      <c r="F14" s="15">
        <f>+[95]Main!$I$4</f>
        <v>9227.8593374500015</v>
      </c>
      <c r="G14" s="15">
        <f>+[95]Main!$I$6-[95]Main!$I$5</f>
        <v>3088.2860000000001</v>
      </c>
      <c r="H14" s="33">
        <f>+F14+G14</f>
        <v>12316.145337450002</v>
      </c>
      <c r="I14" s="32" t="s">
        <v>2584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3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907</v>
      </c>
      <c r="C16" s="5" t="s">
        <v>908</v>
      </c>
      <c r="D16" s="5" t="s">
        <v>45</v>
      </c>
      <c r="E16" s="5"/>
      <c r="F16" s="15"/>
      <c r="G16" s="15"/>
      <c r="H16" s="33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909</v>
      </c>
      <c r="C17" s="5" t="s">
        <v>910</v>
      </c>
      <c r="D17" s="5" t="s">
        <v>45</v>
      </c>
      <c r="E17" s="5"/>
      <c r="F17" s="15"/>
      <c r="G17" s="15"/>
      <c r="H17" s="33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+[79]Main!$J$3</f>
        <v>15.92</v>
      </c>
      <c r="F18" s="15">
        <f>+[79]Main!$J$5</f>
        <v>3056.2842516800001</v>
      </c>
      <c r="G18" s="15">
        <f>+([79]Main!$J$7-[79]Main!$J$6)</f>
        <v>162.63800000000003</v>
      </c>
      <c r="H18" s="33">
        <f>+F18+G18</f>
        <v>3218.92225168</v>
      </c>
      <c r="I18" s="32" t="s">
        <v>2584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911</v>
      </c>
      <c r="C19" s="5" t="s">
        <v>912</v>
      </c>
      <c r="D19" s="5" t="s">
        <v>45</v>
      </c>
      <c r="E19" s="5"/>
      <c r="F19" s="15"/>
      <c r="G19" s="15"/>
      <c r="H19" s="33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913</v>
      </c>
      <c r="C20" s="5" t="s">
        <v>914</v>
      </c>
      <c r="D20" s="5" t="s">
        <v>45</v>
      </c>
      <c r="E20" s="5"/>
      <c r="F20" s="15"/>
      <c r="G20" s="15"/>
      <c r="H20" s="33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915</v>
      </c>
      <c r="C21" s="5"/>
      <c r="D21" s="5" t="s">
        <v>45</v>
      </c>
      <c r="E21" s="5"/>
      <c r="F21" s="15"/>
      <c r="G21" s="15"/>
      <c r="H21" s="33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916</v>
      </c>
      <c r="C22" s="5"/>
      <c r="D22" s="5" t="s">
        <v>45</v>
      </c>
      <c r="E22" s="5"/>
      <c r="F22" s="15"/>
      <c r="G22" s="15"/>
      <c r="H22" s="33"/>
      <c r="I22" s="5"/>
      <c r="J22" s="5"/>
      <c r="K22" s="5"/>
      <c r="L22" s="5"/>
      <c r="M22" s="5"/>
      <c r="N22" s="5"/>
      <c r="O22" s="5"/>
    </row>
    <row r="23" spans="1:15" x14ac:dyDescent="0.25">
      <c r="A23" s="13">
        <f t="shared" si="0"/>
        <v>20</v>
      </c>
      <c r="B23" s="43" t="s">
        <v>3150</v>
      </c>
      <c r="C23" s="43" t="s">
        <v>3149</v>
      </c>
      <c r="D23" s="43" t="s">
        <v>3151</v>
      </c>
      <c r="E23" s="5"/>
      <c r="F23" s="15"/>
      <c r="G23" s="15"/>
      <c r="H23" s="33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5"/>
      <c r="C24" s="5"/>
      <c r="D24" s="5"/>
      <c r="E24" s="5"/>
      <c r="F24" s="15"/>
      <c r="G24" s="15"/>
      <c r="H24" s="33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17" t="s">
        <v>809</v>
      </c>
      <c r="C25" s="5"/>
      <c r="D25" s="5"/>
      <c r="E25" s="5"/>
      <c r="F25" s="15"/>
      <c r="G25" s="15"/>
      <c r="H25" s="33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917</v>
      </c>
      <c r="C26" s="5"/>
      <c r="D26" s="5"/>
      <c r="E26" s="5"/>
      <c r="F26" s="15"/>
      <c r="G26" s="15"/>
      <c r="H26" s="33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918</v>
      </c>
      <c r="C27" s="5"/>
      <c r="D27" s="5"/>
      <c r="E27" s="5"/>
      <c r="F27" s="15"/>
      <c r="G27" s="15"/>
      <c r="H27" s="33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919</v>
      </c>
      <c r="C28" s="5" t="s">
        <v>920</v>
      </c>
      <c r="D28" s="5"/>
      <c r="E28" s="5"/>
      <c r="F28" s="15"/>
      <c r="G28" s="15"/>
      <c r="H28" s="33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921</v>
      </c>
      <c r="C29" s="5"/>
      <c r="D29" s="5"/>
      <c r="E29" s="5"/>
      <c r="F29" s="15"/>
      <c r="G29" s="15"/>
      <c r="H29" s="33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922</v>
      </c>
      <c r="C30" s="5"/>
      <c r="D30" s="5"/>
      <c r="E30" s="5"/>
      <c r="F30" s="15"/>
      <c r="G30" s="15"/>
      <c r="H30" s="33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923</v>
      </c>
      <c r="C31" s="5"/>
      <c r="D31" s="5"/>
      <c r="E31" s="5"/>
      <c r="F31" s="15"/>
      <c r="G31" s="15"/>
      <c r="H31" s="33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924</v>
      </c>
      <c r="C32" s="5"/>
      <c r="D32" s="5"/>
      <c r="E32" s="5"/>
      <c r="F32" s="15"/>
      <c r="G32" s="15"/>
      <c r="H32" s="33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925</v>
      </c>
      <c r="C33" s="5"/>
      <c r="D33" s="5"/>
      <c r="E33" s="5"/>
      <c r="F33" s="15"/>
      <c r="G33" s="15"/>
      <c r="H33" s="33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926</v>
      </c>
      <c r="C34" s="5"/>
      <c r="D34" s="5"/>
      <c r="E34" s="5"/>
      <c r="F34" s="15"/>
      <c r="G34" s="15"/>
      <c r="H34" s="33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927</v>
      </c>
      <c r="C35" s="5"/>
      <c r="D35" s="5"/>
      <c r="E35" s="5"/>
      <c r="F35" s="15"/>
      <c r="G35" s="15"/>
      <c r="H35" s="33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928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929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930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931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932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935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297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938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939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940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941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942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943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946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947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948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949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950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952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953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954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 t="s">
        <v>955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 spans="1:15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2026-03-02T10:51:17Z</dcterms:modified>
</cp:coreProperties>
</file>