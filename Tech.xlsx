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EED5DE7-AF45-4601-99E4-6BF7AEE9C375}" xr6:coauthVersionLast="47" xr6:coauthVersionMax="47" xr10:uidLastSave="{00000000-0000-0000-0000-000000000000}"/>
  <bookViews>
    <workbookView xWindow="225" yWindow="273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<sst xmlns="http://schemas.openxmlformats.org/spreadsheetml/2006/main" count="5053" uniqueCount="3155">
  <si>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</si>
  <si>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</si>
  <si>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</si>
  <si>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</si>
  <si>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</si>
  <si>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</si>
  <si>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</si>
  <si>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</si>
  <si>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</si>
  <si>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</si>
  <si>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</si>
  <si>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</si>
  <si>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</si>
  <si>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</si>
  <si>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</si>
  <si>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</si>
  <si>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</si>
  <si>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</si>
  <si>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</si>
  <si>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</si>
  <si>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</si>
  <si>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</si>
  <si>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</si>
  <si>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</si>
  <si>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</si>
  <si>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</si>
  <si>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</si>
  <si>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</si>
  <si>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</si>
  <si>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</si>
  <si>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</si>
  <si>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</si>
  <si>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</si>
  <si>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</si>
  <si>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</si>
  <si>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</si>
  <si>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</si>
  <si>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</si>
  <si>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</si>
  <si>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</si>
  <si>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</si>
  <si>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</si>
  <si>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</si>
  <si>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</si>
  <si>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</si>
  <si>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</si>
  <si>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</si>
  <si>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</si>
  <si>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</si>
  <si>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</si>
  <si>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</si>
  <si>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</si>
  <si>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</si>
  <si>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</si>
  <si>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</si>
  <si>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</si>
  <si>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</si>
  <si>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</si>
  <si>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</si>
  <si>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</si>
  <si>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</si>
  <si>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</si>
  <si>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</si>
  <si>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</si>
  <si>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</si>
  <si>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</si>
  <si>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</si>
  <si>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</si>
  <si>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</si>
  <si>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</si>
  <si>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</si>
  <si>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</si>
  <si>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</si>
  <si>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</si>
  <si>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</si>
  <si>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</si>
  <si>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</si>
  <si>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</si>
  <si>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</si>
  <si>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</si>
  <si>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</si>
  <si>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</si>
  <si>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</si>
  <si>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</si>
  <si>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</si>
  <si>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</si>
  <si>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</si>
  <si>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</si>
  <si>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</si>
  <si>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</si>
  <si>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</si>
  <si>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</si>
  <si>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</si>
  <si>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</si>
  <si>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</si>
  <si>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</si>
  <si>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</si>
  <si>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</si>
  <si>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</si>
  <si>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</si>
  <si>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</si>
  <si>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</si>
  <si>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</si>
  <si>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</si>
  <si>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</si>
  <si>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</si>
  <si>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</si>
  <si>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</si>
  <si>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</si>
  <si>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</si>
  <si>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</si>
  <si>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</si>
  <si>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</si>
  <si>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</si>
  <si>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</si>
  <si>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</si>
  <si>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</si>
  <si>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</si>
  <si>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</si>
  <si>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</si>
  <si>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</si>
  <si>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</si>
  <si>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</si>
  <si>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</si>
  <si>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</si>
  <si>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</si>
  <si>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</si>
  <si>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</si>
  <si>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</si>
  <si>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</si>
  <si>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</si>
  <si>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</si>
  <si>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</si>
  <si>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</si>
  <si>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</si>
  <si>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</si>
  <si>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</si>
  <si>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</si>
  <si>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</si>
  <si>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</si>
  <si>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</si>
  <si>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</si>
  <si>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</si>
  <si>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</si>
  <si>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</si>
  <si>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</si>
  <si>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</si>
  <si>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</si>
  <si>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</si>
  <si>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</si>
  <si>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</si>
  <si>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</si>
  <si>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</si>
  <si>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</si>
  <si>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</si>
  <si>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</si>
  <si>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</si>
  <si>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</si>
  <si>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</si>
  <si>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</si>
  <si>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</si>
  <si>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</si>
  <si>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</si>
  <si>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</si>
  <si>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</si>
  <si>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</si>
  <si>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</si>
  <si>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</si>
  <si>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</si>
  <si>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</si>
  <si>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</si>
  <si>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</si>
  <si>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</si>
  <si>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</si>
  <si>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</si>
  <si>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</si>
  <si>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</si>
  <si>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</si>
  <si>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</si>
  <si>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</si>
  <si>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</si>
  <si>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</si>
  <si>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</si>
  <si>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</si>
  <si>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</si>
  <si>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</si>
  <si>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</si>
  <si>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</si>
  <si>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</si>
  <si>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</si>
  <si>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</si>
  <si>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</si>
  <si>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</si>
  <si>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</si>
  <si>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</si>
  <si>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</si>
  <si>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</si>
  <si>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</si>
  <si>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</si>
  <si>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</si>
  <si>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</si>
  <si>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</si>
  <si>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</si>
  <si>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</si>
  <si>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</si>
  <si>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</si>
  <si>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</si>
  <si>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</si>
  <si>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</si>
  <si>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</si>
  <si>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</si>
  <si>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</si>
  <si>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</si>
  <si>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</si>
  <si>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</si>
  <si>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</si>
  <si>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</si>
  <si>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</si>
  <si>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</si>
  <si>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</si>
  <si>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</si>
  <si>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</si>
  <si>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</si>
  <si>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</si>
  <si>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</si>
  <si>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</si>
  <si>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</si>
  <si>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</si>
  <si>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</si>
  <si>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</si>
  <si>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</si>
  <si>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</si>
  <si>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</si>
  <si>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</si>
  <si>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</si>
  <si>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</si>
  <si>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</si>
  <si>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</si>
  <si>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</si>
  <si>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</si>
  <si>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</si>
  <si>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</si>
  <si>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</si>
  <si>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</si>
  <si>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</si>
  <si>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</si>
  <si>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</si>
  <si>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</si>
  <si>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</si>
  <si>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</si>
  <si>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</si>
  <si>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</si>
  <si>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</si>
  <si>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</si>
  <si>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</si>
  <si>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</si>
  <si>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</si>
  <si>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</si>
  <si>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</si>
  <si>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</si>
  <si>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</si>
  <si>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</si>
  <si>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</si>
  <si>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</si>
  <si>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</si>
  <si>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</si>
  <si>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</si>
  <si>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</si>
  <si>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</si>
  <si>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</si>
  <si>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</si>
  <si>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</si>
  <si>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</si>
  <si>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</si>
  <si>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</si>
  <si>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</si>
  <si>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</si>
  <si>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</si>
  <si>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</si>
  <si>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</si>
  <si>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</si>
  <si>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</si>
  <si>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</si>
  <si>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</si>
  <si>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</si>
  <si>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</si>
  <si>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</si>
  <si>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</si>
  <si>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</si>
  <si>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</si>
  <si>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</si>
  <si>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</si>
  <si>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</si>
  <si>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</si>
  <si>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</si>
  <si>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</si>
  <si>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</si>
  <si>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</si>
  <si>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</si>
  <si>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</si>
  <si>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</si>
  <si>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</si>
  <si>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</si>
  <si>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</si>
  <si>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</si>
  <si>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</si>
  <si>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</si>
  <si>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</si>
  <si>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</si>
  <si>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</si>
  <si>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</si>
  <si>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</si>
  <si>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</si>
  <si>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</si>
  <si>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</si>
  <si>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</si>
  <si>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</si>
  <si>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</si>
  <si>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</si>
  <si>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</si>
  <si>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</si>
  <si>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</si>
  <si>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</si>
  <si>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</si>
  <si>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</si>
  <si>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</si>
  <si>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</si>
  <si>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</si>
  <si>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</si>
  <si>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</si>
  <si>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</si>
  <si>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</si>
  <si>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</si>
  <si>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</si>
  <si>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</si>
  <si>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</si>
  <si>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</si>
  <si>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</si>
  <si>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</si>
  <si>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</si>
  <si>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</si>
  <si>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</si>
  <si>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</si>
  <si>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</si>
  <si>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</si>
  <si>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</si>
  <si>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</si>
  <si>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</si>
  <si>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</si>
  <si>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</si>
  <si>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</si>
  <si>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</si>
  <si>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</si>
  <si>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</si>
  <si>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</si>
  <si>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</si>
  <si>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</si>
  <si>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</si>
  <si>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</si>
  <si>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</si>
  <si>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</si>
  <si>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</si>
  <si>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</si>
  <si>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</si>
  <si>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</si>
  <si>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</si>
  <si>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</si>
  <si>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</si>
  <si>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</si>
  <si>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</si>
  <si>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</si>
  <si>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</si>
  <si>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</si>
  <si>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</si>
  <si>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</si>
  <si>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</si>
  <si>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</si>
  <si>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</si>
  <si>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</si>
  <si>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</si>
  <si>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</si>
  <si>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</si>
  <si>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</si>
  <si>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</si>
  <si>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</si>
  <si>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</si>
  <si>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</si>
  <si>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</si>
  <si>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</si>
  <si>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</si>
  <si>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</si>
  <si>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</si>
  <si>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</si>
  <si>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</si>
  <si>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</si>
  <si>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</si>
  <si>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</si>
  <si>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</si>
  <si>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</si>
  <si>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</si>
  <si>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</si>
  <si>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</si>
  <si>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</si>
  <si>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</si>
  <si>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</si>
  <si>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</si>
  <si>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</si>
  <si>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</si>
  <si>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</si>
  <si>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</si>
  <si>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</si>
  <si>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</si>
  <si>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</si>
  <si>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</si>
  <si>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</si>
  <si>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</si>
  <si>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</si>
  <si>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</si>
  <si>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</si>
  <si>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</si>
  <si>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</si>
  <si>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</si>
  <si>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</si>
  <si>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</si>
  <si>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</si>
  <si>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</si>
  <si>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</si>
  <si>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</si>
  <si>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</si>
  <si>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</si>
  <si>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</si>
  <si>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</si>
  <si>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</si>
  <si>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</si>
  <si>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</si>
  <si>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</si>
  <si>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</si>
  <si>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</si>
  <si>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</si>
  <si>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</si>
  <si>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</si>
  <si>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</si>
  <si>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</si>
  <si>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</si>
  <si>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</si>
  <si>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</si>
  <si>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</si>
  <si>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</si>
  <si>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</si>
  <si>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</si>
  <si>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</si>
  <si>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</si>
  <si>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</si>
  <si>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</si>
  <si>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</si>
  <si>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</si>
  <si>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</si>
  <si>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</si>
  <si>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</si>
  <si>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</si>
  <si>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</si>
  <si>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</si>
  <si>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</si>
  <si>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</si>
  <si>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</si>
  <si>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</si>
  <si>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</si>
  <si>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</si>
  <si>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</si>
  <si>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</si>
  <si>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</si>
  <si>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</si>
  <si>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</si>
  <si>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</si>
  <si>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</si>
  <si>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</si>
  <si>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</si>
  <si>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</si>
  <si>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</si>
  <si>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</si>
  <si>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</si>
  <si>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</si>
  <si>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</si>
  <si>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</si>
  <si>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</si>
  <si>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</si>
  <si>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</si>
  <si>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</si>
  <si>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</si>
  <si>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</si>
  <si>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</si>
  <si>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</si>
  <si>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</si>
  <si>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</si>
  <si>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</si>
  <si>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</si>
  <si>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</si>
  <si>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</si>
  <si>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</si>
  <si>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</si>
  <si>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</si>
  <si>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</si>
  <si>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</si>
  <si>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</si>
  <si>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</si>
  <si>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</si>
  <si>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</si>
  <si>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</si>
  <si>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</si>
  <si>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</si>
  <si>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</si>
  <si>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</si>
  <si>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</si>
  <si>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</si>
  <si>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</si>
  <si>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</si>
  <si>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</si>
  <si>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</si>
  <si>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</si>
  <si>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</si>
  <si>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</si>
  <si>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</si>
  <si>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</si>
  <si>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</si>
  <si>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</si>
  <si>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</si>
  <si>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</si>
  <si>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</si>
  <si>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</si>
  <si>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</si>
  <si>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</si>
  <si>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</si>
  <si>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</si>
  <si>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</si>
  <si>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</si>
  <si>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</si>
  <si>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</si>
  <si>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</si>
  <si>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</si>
  <si>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</si>
  <si>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</si>
  <si>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</si>
  <si>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</si>
  <si>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</si>
  <si>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</si>
  <si>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</si>
  <si>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</si>
  <si>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</si>
  <si>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</si>
  <si>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</si>
  <si>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</si>
  <si>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</si>
  <si>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</si>
  <si>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</si>
  <si>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</si>
  <si>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</si>
  <si>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</si>
  <si>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</si>
  <si>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</si>
  <si>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</si>
  <si>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</si>
  <si>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</si>
  <si>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</si>
  <si>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</si>
  <si>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</si>
  <si>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</si>
  <si>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</si>
  <si>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</si>
  <si>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</si>
  <si>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</si>
  <si>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</si>
  <si>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</si>
  <si>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</si>
  <si>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</si>
  <si>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</si>
  <si>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</si>
  <si>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</si>
  <si>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</si>
  <si>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</si>
  <si>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</si>
  <si>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</si>
  <si>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</si>
  <si>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</si>
  <si>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</si>
  <si>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</si>
  <si>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</si>
  <si>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</si>
  <si>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</si>
  <si>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</si>
  <si>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</si>
  <si>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</si>
  <si>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</si>
  <si>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</si>
  <si>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</si>
  <si>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</si>
  <si>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</si>
  <si>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</si>
  <si>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</si>
  <si>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</si>
  <si>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</si>
  <si>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</si>
  <si>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</si>
  <si>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</si>
  <si>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</si>
  <si>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</si>
  <si>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</si>
  <si>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</si>
  <si>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</si>
  <si>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</si>
  <si>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</si>
  <si>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</si>
  <si>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</si>
  <si>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</si>
  <si>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</si>
  <si>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</si>
  <si>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</si>
  <si>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</si>
  <si>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</si>
  <si>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</si>
  <si>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</si>
  <si>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</si>
  <si>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</si>
  <si>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</si>
  <si>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</si>
  <si>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</si>
  <si>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</si>
  <si>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</si>
  <si>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</si>
  <si>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</si>
  <si>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</si>
  <si>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</si>
  <si>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</si>
  <si>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</si>
  <si>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</si>
  <si>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</si>
  <si>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</si>
  <si>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</si>
  <si>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</si>
  <si>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</si>
  <si>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</si>
  <si>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</si>
  <si>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</si>
  <si>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</si>
  <si>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</si>
  <si>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</si>
  <si>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</si>
  <si>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</si>
  <si>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</si>
  <si>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</si>
  <si>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</si>
  <si>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</si>
  <si>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</si>
  <si>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</si>
  <si>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</si>
  <si>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</si>
  <si>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</si>
  <si>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</si>
  <si>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</si>
  <si>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</si>
  <si>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</si>
  <si>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</si>
  <si>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</si>
  <si>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</si>
  <si>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</si>
  <si>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</si>
  <si>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</si>
  <si>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</si>
  <si>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</si>
  <si>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</si>
  <si>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</si>
  <si>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</si>
  <si>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</si>
  <si>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</si>
  <si>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</si>
  <si>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</si>
  <si>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</si>
  <si>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</si>
  <si>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</si>
  <si>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</si>
  <si>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</si>
  <si>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</si>
  <si>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</si>
  <si>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</si>
  <si>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</si>
  <si>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</si>
  <si>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</si>
  <si>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</si>
  <si>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</si>
  <si>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</si>
  <si>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</si>
  <si>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</si>
  <si>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</si>
  <si>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</si>
  <si>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</si>
  <si>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</si>
  <si>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</si>
  <si>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</si>
  <si>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</si>
  <si>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</si>
  <si>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</si>
  <si>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</si>
  <si>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</si>
  <si>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</si>
  <si>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</si>
  <si>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</si>
  <si>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</si>
  <si>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</si>
  <si>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</si>
  <si>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</si>
  <si>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</si>
  <si>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</si>
  <si>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</si>
  <si>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</si>
  <si>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</si>
  <si>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</si>
  <si>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</si>
  <si>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</si>
  <si>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</si>
  <si>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</si>
  <si>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</si>
  <si>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</si>
  <si>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</si>
  <si>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</si>
  <si>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</si>
  <si>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</si>
  <si>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</si>
  <si>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</si>
  <si>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</si>
  <si>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</si>
  <si>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</si>
  <si>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</si>
  <si>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</si>
  <si>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</si>
  <si>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</si>
  <si>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</si>
  <si>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</si>
  <si>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</si>
  <si>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</si>
  <si>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</si>
  <si>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</si>
  <si>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</si>
  <si>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</si>
  <si>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</si>
  <si>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</si>
  <si>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</si>
  <si>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</si>
  <si>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</si>
  <si>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</si>
  <si>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</si>
  <si>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</si>
  <si>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</si>
  <si>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</si>
  <si>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</si>
  <si>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</si>
  <si>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</si>
  <si>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</si>
  <si>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</si>
  <si>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</si>
  <si>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</si>
  <si>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</si>
  <si>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</si>
  <si>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</si>
  <si>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</si>
  <si>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</si>
  <si>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</si>
  <si>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</si>
  <si>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</si>
  <si>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</si>
  <si>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</si>
  <si>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</si>
  <si>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</si>
  <si>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</si>
  <si>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</si>
  <si>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</si>
  <si>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</si>
  <si>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</si>
  <si>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</si>
  <si>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</si>
  <si>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</si>
  <si>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</si>
  <si>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</si>
  <si>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</si>
  <si>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</si>
  <si>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</si>
  <si>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</si>
  <si>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</si>
  <si>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</si>
  <si>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</si>
  <si>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</si>
  <si>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</si>
  <si>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</si>
  <si>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</si>
  <si>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</si>
  <si>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</si>
  <si>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</si>
  <si>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</si>
  <si>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</si>
  <si>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</si>
  <si>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</si>
  <si>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</si>
  <si>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</si>
  <si>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</si>
  <si>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</si>
  <si>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</si>
  <si>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</si>
  <si>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</si>
  <si>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</si>
  <si>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</si>
  <si>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</si>
  <si>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</si>
  <si>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</si>
  <si>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</si>
  <si>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</si>
  <si>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</si>
  <si>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</si>
  <si>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</si>
  <si>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</si>
  <si>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</si>
  <si>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</si>
  <si>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</si>
  <si>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</si>
  <si>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</si>
  <si>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</si>
  <si>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</si>
  <si>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</si>
  <si>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</si>
  <si>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</si>
  <si>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</si>
  <si>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</si>
  <si>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</si>
  <si>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</si>
  <si>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</si>
  <si>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</si>
  <si>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</si>
  <si>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</si>
  <si>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</si>
  <si>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</si>
  <si>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</si>
  <si>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</si>
  <si>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</si>
  <si>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</si>
  <si>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</si>
  <si>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</si>
  <si>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</si>
  <si>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</si>
  <si>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</si>
  <si>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</si>
  <si>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</si>
  <si>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</si>
  <si>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</si>
  <si>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</si>
  <si>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</si>
  <si>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</si>
  <si>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</si>
  <si>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</si>
  <si>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</si>
  <si>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</si>
  <si>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</si>
  <si>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</si>
  <si>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</si>
  <si>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</si>
  <si>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</si>
  <si>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</si>
  <si>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</si>
  <si>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</si>
  <si>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</si>
  <si>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</si>
  <si>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</si>
  <si>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</si>
  <si>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</si>
  <si>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</si>
  <si>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</si>
  <si>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</si>
  <si>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</si>
  <si>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</si>
  <si>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</si>
  <si>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</si>
  <si>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</si>
  <si>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</si>
  <si>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</si>
  <si>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</si>
  <si>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</si>
  <si>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</si>
  <si>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</si>
  <si>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</si>
  <si>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</si>
  <si>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</si>
  <si>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</si>
  <si>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</si>
  <si>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</si>
  <si>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</si>
  <si>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</si>
  <si>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</si>
  <si>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</si>
  <si>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</si>
  <si>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</si>
  <si>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</si>
  <si>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</si>
  <si>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</si>
  <si>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</si>
  <si>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</si>
  <si>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</si>
  <si>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</si>
  <si>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</si>
  <si>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</si>
  <si>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</si>
  <si>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</si>
  <si>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</si>
  <si>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</si>
  <si>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</si>
  <si>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</si>
  <si>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</si>
  <si>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</si>
  <si>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</si>
  <si>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</si>
  <si>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</si>
  <si>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</si>
  <si>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</si>
  <si>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</si>
  <si>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</si>
  <si>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</si>
  <si>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</si>
  <si>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</si>
  <si>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</si>
  <si>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</si>
  <si>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</si>
  <si>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</si>
  <si>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</si>
  <si>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</si>
  <si>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</si>
  <si>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</si>
  <si>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</si>
  <si>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</si>
  <si>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</si>
  <si>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</si>
  <si>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</si>
  <si>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</si>
  <si>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</si>
  <si>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</si>
  <si>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</si>
  <si>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</si>
  <si>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</si>
  <si>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</si>
  <si>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</si>
  <si>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</si>
  <si>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</si>
  <si>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</si>
  <si>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</si>
  <si>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</si>
  <si>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</si>
  <si>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</si>
  <si>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</si>
  <si>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</si>
  <si>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</si>
  <si>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</si>
  <si>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</si>
  <si>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</si>
  <si>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</si>
  <si>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</si>
  <si>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</si>
  <si>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</si>
  <si>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</si>
  <si>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</si>
  <si>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</si>
  <si>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</si>
  <si>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</si>
  <si>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</si>
  <si>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</si>
  <si>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</si>
  <si>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</si>
  <si>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</si>
  <si>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</si>
  <si>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</si>
  <si>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</si>
  <si>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</si>
  <si>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</si>
  <si>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</si>
  <si>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</si>
  <si>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</si>
  <si>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</si>
  <si>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</si>
  <si>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</si>
  <si>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</si>
  <si>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</si>
  <si>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</si>
  <si>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</si>
  <si>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</si>
  <si>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</si>
  <si>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</si>
  <si>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</si>
  <si>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</si>
  <si>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</si>
  <si>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</si>
  <si>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</si>
  <si>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</si>
  <si>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</si>
  <si>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</si>
  <si>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</si>
  <si>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</si>
  <si>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</si>
  <si>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</si>
  <si>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</si>
  <si>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</si>
  <si>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</si>
  <si>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</si>
  <si>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</si>
  <si>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</si>
  <si>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</si>
  <si>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</si>
  <si>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</si>
  <si>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</si>
  <si>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</si>
  <si>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</si>
  <si>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</si>
  <si>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</si>
  <si>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</si>
  <si>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</si>
  <si>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</si>
  <si>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</si>
  <si>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</si>
  <si>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</si>
  <si>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</si>
  <si>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</si>
  <si>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</si>
  <si>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</si>
  <si>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</si>
  <si>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</si>
  <si>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</si>
  <si>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</si>
  <si>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</si>
  <si>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</si>
  <si>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</si>
  <si>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</si>
  <si>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</si>
  <si>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</si>
  <si>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</si>
  <si>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</si>
  <si>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</si>
  <si>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</si>
  <si>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</si>
  <si>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</si>
  <si>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</si>
  <si>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</si>
  <si>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</si>
  <si>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</si>
  <si>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</si>
  <si>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</si>
  <si>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</si>
  <si>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</si>
  <si>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</si>
  <si>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</si>
  <si>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</si>
  <si>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</si>
  <si>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</si>
  <si>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</si>
  <si>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</si>
  <si>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</si>
  <si>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</si>
  <si>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</si>
  <si>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</si>
  <si>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</si>
  <si>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</si>
  <si>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</si>
  <si>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</si>
  <si>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</si>
  <si>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</si>
  <si>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</si>
  <si>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</si>
  <si>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</si>
  <si>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</si>
  <si>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</si>
  <si>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</si>
  <si>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</si>
  <si>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</si>
  <si>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</si>
  <si>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</si>
  <si>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</si>
  <si>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</si>
  <si>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</si>
  <si>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</si>
  <si>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</si>
  <si>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</si>
  <si>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</si>
  <si>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</si>
  <si>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</si>
  <si>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</si>
  <si>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</si>
  <si>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</si>
  <si>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</si>
  <si>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</si>
  <si>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</si>
  <si>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</si>
  <si>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</si>
  <si>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</si>
  <si>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</si>
  <si>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</si>
  <si>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</si>
  <si>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</si>
  <si>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</si>
  <si>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</si>
  <si>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</si>
  <si>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</si>
  <si>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</si>
  <si>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</si>
  <si>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</si>
  <si>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</si>
  <si>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</si>
  <si>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</si>
  <si>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</si>
  <si>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</si>
  <si>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</si>
  <si>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</si>
  <si>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</si>
  <si>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</si>
  <si>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</si>
  <si>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</si>
  <si>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</si>
  <si>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</si>
  <si>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</si>
  <si>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</si>
  <si>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</si>
  <si>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</si>
  <si>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</si>
  <si>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</si>
  <si>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</si>
  <si>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</si>
  <si>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</si>
  <si>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</si>
  <si>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</si>
  <si>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</si>
  <si>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</si>
  <si>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</si>
  <si>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</si>
  <si>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</si>
  <si>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</si>
  <si>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</si>
  <si>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</si>
  <si>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</si>
  <si>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</si>
  <si>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</si>
  <si>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</si>
  <si>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</si>
  <si>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</si>
  <si>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</si>
  <si>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</si>
  <si>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</si>
  <si>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</si>
  <si>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</si>
  <si>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</si>
  <si>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</si>
  <si>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</si>
  <si>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</si>
  <si>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</si>
  <si>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</si>
  <si>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</si>
  <si>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</si>
  <si>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</si>
  <si>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</si>
  <si>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</si>
  <si>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</si>
  <si>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</si>
  <si>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</si>
  <si>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</si>
  <si>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</si>
  <si>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</si>
  <si>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</si>
  <si>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</si>
  <si>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</si>
  <si>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</si>
  <si>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</si>
  <si>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</si>
  <si>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</si>
  <si>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</si>
  <si>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</si>
  <si>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</si>
  <si>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</si>
  <si>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</si>
  <si>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</si>
  <si>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</si>
  <si>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</si>
  <si>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</si>
  <si>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</si>
  <si>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</si>
  <si>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</si>
  <si>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</si>
  <si>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</si>
  <si>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</si>
  <si>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</si>
  <si>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</si>
  <si>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</si>
  <si>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</si>
  <si>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</si>
  <si>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</si>
  <si>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</si>
  <si>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</si>
  <si>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</si>
  <si>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</si>
  <si>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</si>
  <si>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</si>
  <si>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</si>
  <si>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</si>
  <si>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</si>
  <si>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</si>
  <si>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</si>
  <si>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</si>
  <si>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</si>
  <si>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</si>
  <si>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</si>
  <si>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</si>
  <si>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</si>
  <si>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</si>
  <si>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</si>
  <si>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</si>
  <si>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</si>
  <si>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</si>
  <si>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</si>
  <si>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</si>
  <si>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</si>
  <si>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</si>
  <si>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</si>
  <si>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</si>
  <si>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</si>
  <si>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</si>
  <si>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</si>
  <si>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</si>
  <si>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</si>
  <si>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</si>
  <si>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</si>
  <si>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</si>
  <si>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</si>
  <si>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</si>
  <si>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</si>
  <si>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</si>
  <si>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</si>
  <si>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</si>
  <si>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</si>
  <si>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</si>
  <si>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</si>
  <si>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</si>
  <si>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</si>
  <si>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</si>
  <si>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</si>
  <si>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</si>
  <si>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</si>
  <si>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</si>
  <si>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</si>
  <si>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</si>
  <si>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</si>
  <si>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</si>
  <si>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</si>
  <si>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</si>
  <si>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</si>
  <si>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</si>
  <si>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</si>
  <si>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</si>
  <si>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</si>
  <si>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</si>
  <si>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</si>
  <si>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</si>
  <si>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</si>
  <si>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</si>
  <si>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</si>
  <si>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</si>
  <si>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</si>
  <si>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</si>
  <si>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</si>
  <si>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</si>
  <si>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</si>
  <si>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</si>
  <si>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</si>
  <si>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</si>
  <si>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</si>
  <si>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</si>
  <si>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</si>
  <si>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</si>
  <si>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</si>
  <si>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</si>
  <si>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</si>
  <si>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</si>
  <si>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</si>
  <si>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</si>
  <si>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</si>
  <si>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</si>
  <si>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</si>
  <si>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</si>
  <si>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</si>
  <si>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</si>
  <si>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</si>
  <si>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</si>
  <si>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</si>
  <si>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</si>
  <si>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</si>
  <si>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</si>
  <si>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</si>
  <si>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</si>
  <si>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</si>
  <si>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</si>
  <si>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</si>
  <si>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</si>
  <si>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</si>
  <si>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</si>
  <si>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</si>
  <si>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</si>
  <si>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</si>
  <si>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</si>
  <si>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</si>
  <si>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</si>
  <si>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</si>
  <si>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</si>
  <si>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</si>
  <si>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</si>
  <si>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</si>
  <si>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</si>
  <si>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</si>
  <si>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</si>
  <si>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</si>
  <si>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</si>
  <si>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</si>
  <si>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</si>
  <si>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</si>
  <si>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</si>
  <si>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</si>
  <si>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</si>
  <si>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</si>
  <si>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</si>
  <si>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</si>
  <si>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</si>
  <si>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</si>
  <si>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</si>
  <si>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</si>
  <si>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</si>
  <si>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</si>
  <si>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</si>
  <si>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</si>
  <si>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</si>
  <si>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</si>
  <si>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</si>
  <si>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</si>
  <si>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</si>
  <si>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</si>
  <si>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</si>
  <si>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</si>
  <si>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</si>
  <si>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</si>
  <si>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</si>
  <si>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</si>
  <si>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</si>
  <si>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</si>
  <si>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</si>
  <si>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</si>
  <si>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</si>
  <si>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</si>
  <si>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</si>
  <si>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</si>
  <si>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</si>
  <si>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</si>
  <si>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</si>
  <si>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</si>
  <si>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</si>
  <si>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</si>
  <si>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</si>
  <si>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</si>
  <si>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</si>
  <si>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</si>
  <si>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</si>
  <si>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</si>
  <si>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</si>
  <si>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</si>
  <si>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</si>
  <si>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</si>
  <si>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</si>
  <si>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</si>
  <si>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</si>
  <si>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</si>
  <si>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</si>
  <si>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</si>
  <si>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</si>
  <si>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</si>
  <si>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</si>
  <si>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</si>
  <si>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</si>
  <si>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</si>
  <si>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</si>
  <si>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</si>
  <si>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</si>
  <si>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</si>
  <si>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</si>
  <si>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</si>
  <si>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</si>
  <si>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</si>
  <si>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</si>
  <si>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</si>
  <si>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</si>
  <si>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</si>
  <si>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</si>
  <si>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</si>
  <si>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</si>
  <si>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</si>
  <si>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</si>
  <si>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</si>
  <si>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</si>
  <si>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</si>
  <si>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</si>
  <si>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</si>
  <si>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</si>
  <si>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</si>
  <si>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</si>
  <si>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</si>
  <si>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</si>
  <si>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</si>
  <si>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</si>
  <si>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</si>
  <si>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</si>
  <si>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</si>
  <si>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</si>
  <si>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</si>
  <si>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</si>
  <si>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</si>
  <si>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</si>
  <si>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</si>
  <si>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</si>
  <si>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</si>
  <si>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</si>
  <si>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</si>
  <si>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</si>
  <si>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</si>
  <si>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</si>
  <si>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</si>
  <si>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</si>
  <si>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</si>
  <si>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</si>
  <si>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</si>
  <si>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</si>
  <si>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</si>
  <si>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</si>
  <si>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</si>
  <si>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</si>
  <si>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</si>
  <si>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</si>
  <si>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</si>
  <si>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</si>
  <si>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</si>
  <si>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</si>
  <si>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</si>
  <si>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</si>
  <si>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</si>
  <si>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</si>
  <si>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</si>
  <si>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</si>
  <si>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</si>
  <si>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</si>
  <si>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</si>
  <si>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</si>
  <si>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</si>
  <si>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</si>
  <si>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</si>
  <si>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</si>
  <si>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</si>
  <si>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</si>
  <si>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</si>
  <si>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</si>
  <si>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</si>
  <si>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</si>
  <si>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</si>
  <si>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</si>
  <si>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</si>
  <si>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</si>
  <si>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</si>
  <si>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</si>
  <si>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</si>
  <si>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</si>
  <si>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</si>
  <si>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</si>
  <si>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</si>
  <si>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</si>
  <si>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</si>
  <si>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</si>
  <si>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</si>
  <si>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</si>
  <si>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</si>
  <si>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</si>
  <si>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</si>
  <si>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</si>
  <si>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</si>
  <si>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</si>
  <si>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</si>
  <si>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</si>
  <si>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</si>
  <si>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</si>
  <si>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</si>
  <si>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</si>
  <si>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</si>
  <si>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</si>
  <si>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</si>
  <si>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</si>
  <si>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</si>
  <si>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</si>
  <si>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</si>
  <si>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</si>
  <si>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</si>
  <si>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</si>
  <si>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</si>
  <si>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</si>
  <si>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</si>
  <si>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</si>
  <si>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</si>
  <si>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</si>
  <si>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</si>
  <si>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</si>
  <si>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</si>
  <si>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</si>
  <si>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</si>
  <si>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</si>
  <si>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</si>
  <si>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</si>
  <si>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</si>
  <si>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</si>
  <si>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</si>
  <si>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</si>
  <si>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</si>
  <si>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</si>
  <si>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</si>
  <si>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</si>
  <si>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</si>
  <si>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</si>
  <si>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</si>
  <si>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</si>
  <si>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</si>
  <si>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</si>
  <si>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</si>
  <si>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</si>
  <si>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</si>
  <si>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</si>
  <si>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</si>
  <si>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</si>
  <si>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</si>
  <si>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</si>
  <si>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</si>
  <si>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</si>
  <si>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</si>
  <si>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</si>
  <si>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</si>
  <si>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</si>
  <si>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</si>
  <si>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</si>
  <si>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</si>
  <si>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</si>
  <si>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</si>
  <si>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</si>
  <si>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</si>
  <si>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</si>
  <si>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</si>
  <si>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</si>
  <si>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</si>
  <si>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</si>
  <si>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</si>
  <si>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</si>
  <si>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</si>
  <si>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</si>
  <si>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</si>
  <si>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</si>
  <si>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</si>
  <si>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</si>
  <si>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</si>
  <si>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</si>
  <si>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</si>
  <si>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</si>
  <si>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</si>
  <si>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</si>
  <si>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</si>
  <si>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</si>
  <si>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</si>
  <si>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</si>
  <si>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</si>
  <si>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</si>
  <si>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</si>
  <si>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</si>
  <si>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</si>
  <si>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</si>
  <si>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</si>
  <si>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</si>
  <si>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</si>
  <si>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</si>
  <si>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</si>
  <si>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</si>
  <si>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</si>
  <si>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</si>
  <si>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</si>
  <si>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</si>
  <si>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</si>
  <si>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</si>
  <si>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</si>
  <si>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</si>
  <si>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</si>
  <si>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</si>
  <si>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</si>
  <si>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</si>
  <si>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</si>
  <si>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</si>
  <si>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</si>
  <si>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</si>
  <si>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</si>
  <si>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</si>
  <si>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</si>
  <si>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</si>
  <si>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</si>
  <si>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</si>
  <si>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</si>
  <si>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</si>
  <si>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</si>
  <si>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</si>
  <si>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</si>
  <si>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</si>
  <si>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</si>
  <si>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</si>
  <si>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</si>
  <si>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</si>
  <si>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</si>
  <si>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</si>
  <si>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</si>
  <si>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</si>
  <si>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</si>
  <si>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</si>
  <si>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</si>
  <si>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</si>
  <si>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</si>
  <si>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</si>
  <si>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</si>
  <si>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</si>
  <si>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</si>
  <si>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</si>
  <si>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</si>
  <si>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</si>
  <si>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</si>
  <si>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</si>
  <si>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</si>
  <si>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</si>
  <si>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</si>
  <si>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</si>
  <si>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</si>
  <si>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</si>
  <si>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</si>
  <si>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</si>
  <si>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</si>
  <si>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</si>
  <si>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</si>
  <si>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</si>
  <si>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</si>
  <si>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</si>
  <si>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</si>
  <si>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</si>
  <si>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</si>
  <si>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</si>
  <si>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</si>
  <si>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</si>
  <si>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</si>
  <si>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</si>
  <si>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</si>
  <si>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</si>
  <si>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</si>
  <si>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</si>
  <si>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</si>
  <si>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</si>
  <si>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</si>
  <si>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</si>
  <si>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</si>
  <si>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</si>
  <si>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</si>
  <si>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</si>
  <si>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</si>
  <si>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</si>
  <si>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</si>
  <si>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</si>
  <si>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</si>
  <si>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</si>
  <si>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</si>
  <si>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</si>
  <si>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</si>
  <si>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</si>
  <si>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</si>
  <si>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</si>
  <si>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</si>
  <si>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</si>
  <si>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</si>
  <si>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</si>
  <si>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</si>
  <si>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</si>
  <si>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</si>
  <si>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</si>
  <si>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</si>
  <si>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</si>
  <si>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</si>
  <si>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</si>
  <si>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</si>
  <si>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</si>
  <si>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</si>
  <si>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</si>
  <si>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</si>
  <si>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</si>
  <si>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</si>
  <si>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</si>
  <si>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</si>
  <si>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</si>
  <si>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</si>
  <si>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</si>
  <si>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</si>
  <si>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</si>
  <si>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</si>
  <si>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</si>
  <si>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</si>
  <si>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</si>
  <si>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</si>
  <si>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</si>
  <si>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</si>
  <si>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</si>
  <si>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</si>
  <si>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</si>
  <si>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</si>
  <si>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</si>
  <si>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</si>
  <si>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</si>
  <si>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</si>
  <si>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</si>
  <si>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</si>
  <si>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</si>
  <si>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</si>
  <si>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</si>
  <si>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</si>
  <si>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</si>
  <si>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</si>
  <si>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</si>
  <si>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</si>
  <si>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</si>
  <si>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</si>
  <si>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</si>
  <si>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</si>
  <si>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</si>
  <si>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</si>
  <si>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</si>
  <si>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</si>
  <si>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</si>
  <si>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</si>
  <si>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</si>
  <si>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</si>
  <si>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</si>
  <si>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</si>
  <si>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</si>
  <si>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</si>
  <si>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</si>
  <si>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</si>
  <si>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</si>
  <si>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</si>
  <si>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</si>
  <si>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</si>
  <si>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</si>
  <si>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</si>
  <si>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</si>
  <si>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</si>
  <si>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</si>
  <si>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</si>
  <si>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</si>
  <si>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</si>
  <si>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</si>
  <si>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</si>
  <si>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</si>
  <si>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</si>
  <si>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</si>
  <si>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</si>
  <si>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</si>
  <si>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</si>
  <si>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</si>
  <si>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</si>
  <si>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</si>
  <si>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</si>
  <si>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</si>
  <si>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</si>
  <si>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</si>
  <si>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</si>
  <si>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</si>
  <si>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</si>
  <si>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</si>
  <si>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</si>
  <si>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</si>
  <si>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</si>
  <si>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</si>
  <si>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</si>
  <si>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</si>
  <si>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</si>
  <si>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</si>
  <si>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</si>
  <si>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</si>
  <si>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</si>
  <si>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</si>
  <si>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</si>
  <si>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</si>
  <si>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</si>
  <si>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</si>
  <si>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</si>
  <si>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</si>
  <si>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</si>
  <si>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</si>
  <si>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</si>
  <si>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</si>
  <si>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</si>
  <si>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</si>
  <si>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</si>
  <si>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</si>
  <si>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</si>
  <si>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</si>
  <si>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</si>
  <si>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</si>
  <si>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</si>
  <si>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</si>
  <si>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</si>
  <si>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</si>
  <si>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</si>
  <si>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</si>
  <si>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</si>
  <si>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</si>
  <si>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</si>
  <si>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</si>
  <si>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</si>
  <si>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</si>
  <si>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</si>
  <si>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</si>
  <si>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</si>
  <si>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</si>
  <si>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</si>
  <si>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</si>
  <si>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</si>
  <si>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</si>
  <si>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</si>
  <si>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</si>
  <si>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</si>
  <si>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</si>
  <si>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</si>
  <si>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</si>
  <si>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</si>
  <si>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</si>
  <si>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</si>
  <si>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</si>
  <si>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</si>
  <si>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</si>
  <si>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</si>
  <si>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</si>
  <si>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</si>
  <si>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</si>
  <si>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</si>
  <si>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</si>
  <si>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</si>
  <si>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</si>
  <si>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</si>
  <si>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</si>
  <si>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</si>
  <si>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</si>
  <si>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</si>
  <si>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</si>
  <si>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</si>
  <si>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</si>
  <si>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</si>
  <si>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</si>
  <si>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</si>
  <si>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</si>
  <si>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</si>
  <si>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</si>
  <si>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</si>
  <si>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</si>
  <si>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</si>
  <si>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</si>
  <si>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</si>
  <si>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</si>
  <si>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</si>
  <si>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</si>
  <si>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</si>
  <si>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</si>
  <si>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</si>
  <si>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</si>
  <si>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</si>
  <si>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</si>
  <si>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</si>
  <si>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</si>
  <si>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</si>
  <si>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</si>
  <si>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</si>
  <si>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</si>
  <si>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</si>
  <si>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</si>
  <si>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</si>
  <si>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</si>
  <si>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</si>
  <si>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</si>
  <si>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</si>
  <si>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</si>
  <si>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</si>
  <si>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</si>
  <si>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</si>
  <si>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</si>
  <si>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</si>
  <si>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</si>
  <si>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</si>
  <si>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</si>
  <si>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</si>
  <si>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</si>
  <si>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</si>
  <si>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</si>
  <si>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</si>
  <si>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</si>
  <si>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</si>
  <si>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</si>
  <si>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</si>
  <si>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</si>
  <si>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</si>
  <si>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</si>
  <si>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</si>
  <si>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</si>
  <si>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</si>
  <si>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</si>
  <si>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</si>
  <si>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</si>
  <si>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</si>
  <si>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</si>
  <si>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</si>
  <si>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</si>
  <si>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</si>
  <si>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</si>
  <si>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</si>
  <si>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</si>
  <si>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</si>
  <si>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</si>
  <si>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</si>
  <si>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</si>
  <si>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</si>
  <si>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</si>
  <si>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</si>
  <si>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</si>
  <si>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</si>
  <si>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</si>
  <si>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</si>
  <si>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</si>
  <si>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</si>
  <si>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</si>
  <si>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</si>
  <si>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</si>
  <si>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</si>
  <si>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</si>
  <si>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</si>
  <si>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</si>
  <si>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</si>
  <si>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</si>
  <si>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</si>
  <si>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</si>
  <si>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</si>
  <si>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</si>
  <si>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</si>
  <si>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</si>
  <si>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</si>
  <si>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</si>
  <si>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</si>
  <si>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</si>
  <si>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</si>
  <si>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</si>
  <si>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</si>
  <si>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</si>
  <si>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</si>
  <si>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</si>
  <si>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</si>
  <si>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</si>
  <si>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</si>
  <si>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</si>
  <si>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</si>
  <si>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</si>
  <si>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</si>
  <si>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</si>
  <si>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</si>
  <si>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</si>
  <si>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</si>
  <si>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</si>
  <si>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</si>
  <si>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</si>
  <si>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</si>
  <si>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</si>
  <si>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</si>
  <si>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</si>
  <si>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</si>
  <si>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</si>
  <si>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</si>
  <si>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</si>
  <si>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</si>
  <si>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</si>
  <si>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</si>
  <si>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</si>
  <si>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</si>
  <si>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</si>
  <si>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</si>
  <si>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</si>
  <si>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</si>
  <si>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</si>
  <si>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</si>
  <si>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</si>
  <si>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</si>
  <si>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</si>
  <si>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</si>
  <si>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</si>
  <si>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</si>
  <si>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</si>
  <si>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</si>
  <si>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</si>
  <si>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</si>
  <si>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</si>
  <si>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</si>
  <si>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</si>
  <si>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</si>
  <si>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</si>
  <si>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</si>
  <si>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</si>
  <si>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</si>
  <si>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</si>
  <si>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</si>
  <si>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</si>
  <si>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</si>
  <si>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</si>
  <si>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</si>
  <si>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</si>
  <si>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</si>
  <si>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</si>
  <si>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</si>
  <si>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</si>
  <si>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</si>
  <si>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</si>
  <si>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</si>
  <si>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</si>
  <si>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</si>
  <si>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</si>
  <si>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</si>
  <si>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</si>
  <si>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</si>
  <si>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</si>
  <si>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</si>
  <si>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</si>
  <si>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</si>
  <si>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</si>
  <si>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</si>
  <si>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</si>
  <si>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</si>
  <si>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</si>
  <si>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</si>
  <si>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</si>
  <si>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</si>
  <si>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</si>
  <si>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</si>
  <si>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</si>
  <si>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</si>
  <si>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</si>
  <si>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</si>
  <si>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</si>
  <si>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</si>
  <si>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</si>
  <si>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</si>
  <si>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</si>
  <si>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</si>
  <si>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</si>
  <si>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</si>
  <si>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</si>
  <si>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</si>
  <si>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</si>
  <si>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</si>
  <si>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</si>
  <si>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</si>
  <si>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</si>
  <si>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</si>
  <si>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</si>
  <si>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</si>
  <si>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</si>
  <si>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</si>
  <si>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</si>
  <si>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</si>
  <si>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</si>
  <si>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</si>
  <si>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</si>
  <si>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</si>
  <si>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</si>
  <si>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</si>
  <si>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</si>
  <si>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</si>
  <si>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</si>
  <si>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</si>
  <si>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</si>
  <si>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</si>
  <si>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</si>
  <si>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</si>
  <si>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</si>
  <si>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</si>
  <si>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</si>
  <si>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</si>
  <si>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</si>
  <si>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</si>
  <si>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</si>
  <si>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</si>
  <si>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</si>
  <si>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</si>
  <si>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</si>
  <si>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</si>
  <si>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</si>
  <si>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</si>
  <si>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</si>
  <si>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</si>
  <si>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</si>
  <si>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</si>
  <si>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</si>
  <si>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</si>
  <si>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</si>
  <si>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</si>
  <si>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</si>
  <si>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</si>
  <si>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</si>
  <si>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</si>
  <si>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</si>
  <si>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</si>
  <si>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</si>
  <si>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</si>
  <si>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</si>
  <si>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</si>
  <si>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</si>
  <si>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</si>
  <si>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</si>
  <si>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</si>
  <si>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</si>
  <si>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</si>
  <si>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</si>
  <si>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</si>
  <si>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</si>
  <si>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</si>
  <si>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</si>
  <si>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</si>
  <si>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</si>
  <si>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</si>
  <si>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</si>
  <si>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</si>
  <si>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</si>
  <si>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</si>
  <si>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</si>
  <si>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</si>
  <si>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</si>
  <si>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</si>
  <si>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</si>
  <si>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</si>
  <si>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</si>
  <si>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</si>
  <si>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</si>
  <si>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</si>
  <si>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</si>
  <si>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</si>
  <si>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</si>
  <si>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</si>
  <si>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</si>
  <si>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</si>
  <si>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</si>
  <si>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</si>
  <si>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</si>
  <si>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</si>
  <si>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</si>
  <si>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</si>
  <si>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</si>
  <si>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</si>
  <si>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</si>
  <si>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</si>
  <si>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</si>
  <si>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</si>
  <si>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</si>
  <si>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</si>
  <si>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</si>
  <si>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</si>
  <si>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</si>
  <si>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</si>
  <si>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</si>
  <si>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</si>
  <si>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</si>
  <si>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</si>
  <si>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</si>
  <si>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</si>
  <si>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</si>
  <si>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</si>
  <si>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</si>
  <si>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</si>
  <si>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</si>
  <si>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</si>
  <si>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</si>
  <si>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</si>
  <si>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</si>
  <si>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</si>
  <si>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</si>
  <si>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</si>
  <si>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</si>
  <si>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</si>
  <si>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</si>
  <si>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</si>
  <si>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</si>
  <si>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</si>
  <si>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</si>
  <si>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</si>
  <si>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</si>
  <si>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</si>
  <si>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</si>
  <si>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</si>
  <si>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</si>
  <si>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</si>
  <si>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</si>
  <si>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</si>
  <si>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</si>
  <si>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</si>
  <si>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</si>
  <si>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</si>
  <si>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</si>
  <si>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</si>
  <si>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</si>
  <si>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</si>
  <si>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</si>
  <si>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</si>
  <si>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</si>
  <si>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</si>
  <si>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</si>
  <si>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</si>
  <si>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</si>
  <si>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</si>
  <si>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</si>
  <si>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</si>
  <si>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</si>
  <si>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</si>
  <si>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</si>
  <si>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</si>
  <si>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</si>
  <si>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</si>
  <si>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</si>
  <si>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</si>
  <si>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</si>
  <si>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</si>
  <si>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</si>
  <si>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</si>
  <si>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</si>
  <si>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</si>
  <si>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</si>
  <si>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</si>
  <si>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</si>
  <si>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</si>
  <si>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</si>
  <si>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</si>
  <si>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</si>
  <si>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</si>
  <si>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</si>
  <si>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</si>
  <si>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</si>
  <si>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</si>
  <si>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</si>
  <si>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</si>
  <si>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</si>
  <si>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</si>
  <si>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</si>
  <si>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</si>
  <si>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</si>
  <si>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</si>
  <si>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</si>
  <si>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</si>
  <si>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</si>
  <si>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</si>
  <si>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</si>
  <si>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</si>
  <si>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</si>
  <si>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</si>
  <si>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</si>
  <si>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</si>
  <si>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</si>
  <si>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</si>
  <si>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</si>
  <si>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</si>
  <si>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</si>
  <si>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</si>
  <si>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</si>
  <si>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</si>
  <si>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</si>
  <si>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</si>
  <si>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</si>
  <si>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</si>
  <si>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</si>
  <si>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</si>
  <si>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</si>
  <si>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</si>
  <si>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</si>
  <si>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</si>
  <si>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</si>
  <si>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</si>
  <si>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</si>
  <si>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</si>
  <si>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</si>
  <si>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</si>
  <si>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</si>
  <si>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</si>
  <si>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</si>
  <si>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</si>
  <si>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</si>
  <si>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</si>
  <si>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</si>
  <si>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</si>
  <si>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</si>
  <si>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</si>
  <si>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</si>
  <si>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</si>
  <si>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</si>
  <si>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</si>
  <si>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</si>
  <si>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</si>
  <si>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</si>
  <si>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</si>
  <si>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</si>
  <si>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</si>
  <si>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</si>
  <si>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</si>
  <si>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</si>
  <si>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</si>
  <si>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</si>
  <si>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</si>
  <si>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</si>
  <si>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</si>
  <si>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</si>
  <si>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</si>
  <si>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</si>
  <si>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</si>
  <si>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</si>
  <si>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</si>
  <si>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</si>
  <si>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</si>
  <si>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</si>
  <si>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</si>
  <si>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</si>
  <si>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</si>
  <si>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</si>
  <si>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</si>
  <si>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</si>
  <si>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</si>
  <si>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</si>
  <si>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</si>
  <si>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</si>
  <si>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</si>
  <si>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</si>
  <si>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</si>
  <si>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</si>
  <si>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</si>
  <si>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</si>
  <si>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</si>
  <si>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</si>
  <si>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</si>
  <si>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</si>
  <si>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</si>
  <si>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</si>
  <si>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</si>
  <si>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</si>
  <si>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</si>
  <si>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</si>
  <si>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</si>
  <si>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</si>
  <si>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</si>
  <si>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</si>
  <si>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</si>
  <si>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</si>
  <si>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</si>
  <si>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</si>
  <si>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</si>
  <si>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</si>
  <si>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</si>
  <si>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</si>
  <si>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</si>
  <si>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</si>
  <si>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</si>
  <si>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</si>
  <si>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</si>
  <si>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</si>
  <si>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</si>
  <si>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</si>
  <si>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</si>
  <si>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</si>
  <si>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</si>
  <si>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</si>
  <si>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</si>
  <si>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</si>
  <si>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</si>
  <si>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</si>
  <si>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</si>
  <si>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</si>
  <si>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</si>
  <si>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</si>
  <si>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</si>
  <si>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</si>
  <si>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</si>
  <si>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</si>
  <si>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</si>
  <si>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</si>
  <si>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</si>
  <si>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</si>
  <si>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</si>
  <si>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</si>
  <si>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</si>
  <si>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</si>
  <si>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</si>
  <si>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</si>
  <si>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</si>
  <si>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</si>
  <si>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</si>
  <si>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</si>
  <si>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</si>
  <si>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</si>
  <si>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</si>
  <si>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</si>
  <si>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</si>
  <si>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</si>
  <si>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</si>
  <si>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</si>
  <si>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</si>
  <si>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</si>
  <si>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</si>
  <si>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</si>
  <si>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</si>
  <si>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</si>
  <si>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</si>
  <si>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</si>
  <si>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</si>
  <si>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</si>
  <si>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</si>
  <si>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</si>
  <si>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</si>
  <si>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</si>
  <si>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</si>
  <si>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</si>
  <si>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</si>
  <si>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</si>
  <si>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</si>
  <si>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</si>
  <si>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</si>
  <si>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</si>
  <si>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</si>
  <si>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</si>
  <si>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</si>
  <si>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</si>
  <si>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</si>
  <si>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</si>
  <si>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</si>
  <si>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</si>
  <si>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</si>
  <si>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</si>
  <si>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</si>
  <si>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</si>
  <si>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</si>
  <si>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</si>
  <si>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</si>
  <si>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</si>
  <si>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</si>
  <si>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</si>
  <si>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</si>
  <si>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</si>
  <si>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</si>
  <si>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</si>
  <si>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</si>
  <si>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</si>
  <si>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</si>
  <si>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</si>
  <si>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</si>
  <si>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</si>
  <si>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</si>
  <si>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</si>
  <si>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</si>
  <si>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</si>
  <si>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</si>
  <si>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</si>
  <si>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</si>
  <si>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</si>
  <si>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</si>
  <si>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</si>
  <si>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</si>
  <si>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</si>
  <si>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</si>
  <si>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</si>
  <si>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</si>
  <si>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</si>
  <si>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</si>
  <si>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</si>
  <si>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</si>
  <si>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</si>
  <si>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</si>
  <si>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</si>
  <si>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</si>
  <si>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</si>
  <si>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</si>
  <si>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</si>
  <si>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</si>
  <si>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</si>
  <si>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</si>
  <si>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</si>
  <si>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</si>
  <si>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</si>
  <si>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</si>
  <si>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</si>
  <si>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</si>
  <si>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</si>
  <si>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</si>
  <si>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</si>
  <si>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</si>
  <si>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</si>
  <si>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</si>
  <si>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</si>
  <si>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</si>
  <si>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</si>
  <si>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</si>
  <si>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</si>
  <si>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</si>
  <si>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</si>
  <si>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</si>
  <si>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</si>
  <si>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</si>
  <si>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</si>
  <si>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</si>
  <si>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</si>
  <si>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</si>
  <si>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</si>
  <si>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</si>
  <si>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</si>
  <si>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</si>
  <si>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</si>
  <si>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</si>
  <si>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</si>
  <si>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</si>
  <si>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</si>
  <si>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</si>
  <si>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</si>
  <si>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</si>
  <si>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</si>
  <si>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</si>
  <si>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</si>
  <si>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</si>
  <si>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</si>
  <si>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</si>
  <si>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</si>
  <si>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</si>
  <si>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</si>
  <si>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</si>
  <si>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</si>
  <si>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</si>
  <si>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</si>
  <si>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</si>
  <si>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</si>
  <si>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</si>
  <si>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</si>
  <si>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</si>
  <si>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</si>
  <si>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</si>
  <si>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</si>
  <si>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</si>
  <si>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</si>
  <si>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</si>
  <si>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</si>
  <si>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</si>
  <si>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</si>
  <si>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</si>
  <si>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</si>
  <si>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</si>
  <si>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</si>
  <si>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</si>
  <si>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</si>
  <si>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</si>
  <si>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</si>
  <si>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</si>
  <si>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</si>
  <si>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</si>
  <si>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</si>
  <si>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</si>
  <si>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</si>
  <si>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</si>
  <si>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</si>
  <si>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</si>
  <si>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</si>
  <si>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</si>
  <si>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</si>
  <si>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</si>
  <si>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</si>
  <si>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</si>
  <si>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</si>
  <si>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</si>
  <si>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</si>
  <si>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</si>
  <si>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</si>
  <si>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</si>
  <si>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</si>
  <si>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</si>
  <si>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</si>
  <si>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</si>
  <si>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</si>
  <si>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</si>
  <si>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</si>
  <si>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</si>
  <si>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</si>
  <si>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</si>
  <si>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</si>
  <si>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</si>
  <si>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</si>
  <si>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</si>
  <si>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</si>
  <si>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</si>
  <si>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</si>
  <si>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</si>
  <si>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</si>
  <si>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</si>
  <si>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</si>
  <si>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</si>
  <si>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</si>
  <si>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</si>
  <si>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</si>
  <si>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</si>
  <si>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</si>
  <si>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</si>
  <si>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</si>
  <si>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</si>
  <si>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</si>
  <si>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</si>
  <si>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</si>
  <si>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</si>
  <si>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</si>
  <si>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</si>
  <si>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</si>
  <si>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</si>
  <si>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</si>
  <si>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</si>
  <si>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</si>
  <si>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</si>
  <si>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</si>
  <si>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</si>
  <si>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</si>
  <si>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</si>
  <si>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</si>
  <si>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</si>
  <si>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</si>
  <si>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</si>
  <si>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</si>
  <si>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</si>
  <si>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</si>
  <si>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</si>
  <si>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</si>
  <si>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</si>
  <si>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</si>
  <si>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</si>
  <si>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</si>
  <si>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</si>
  <si>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</si>
  <si>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</si>
  <si>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</si>
  <si>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</si>
  <si>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</si>
  <si>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</si>
  <si>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</si>
  <si>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</si>
  <si>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</si>
  <si>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</si>
  <si>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</si>
  <si>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</si>
  <si>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</si>
  <si>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</si>
  <si>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</si>
  <si>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</si>
  <si>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</si>
  <si>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</si>
  <si>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</si>
  <si>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</si>
  <si>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</si>
  <si>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</si>
  <si>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</si>
  <si>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</si>
  <si>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</si>
  <si>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</si>
  <si>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</si>
  <si>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</si>
  <si>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</si>
  <si>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</si>
  <si>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</si>
  <si>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</si>
  <si>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</si>
  <si>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</si>
  <si>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</si>
  <si>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</si>
  <si>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</si>
  <si>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</si>
  <si>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</si>
  <si>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</si>
  <si>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</si>
  <si>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</si>
  <si>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</si>
  <si>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</si>
  <si>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</si>
  <si>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</si>
  <si>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</si>
  <si>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</si>
  <si>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</si>
  <si>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</si>
  <si>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</si>
  <si>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</si>
  <si>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</si>
  <si>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</si>
  <si>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</si>
  <si>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</si>
  <si>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</si>
  <si>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</si>
  <si>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</si>
  <si>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</si>
  <si>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</si>
  <si>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</si>
  <si>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</si>
  <si>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</si>
  <si>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</si>
  <si>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</si>
  <si>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</si>
  <si>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</si>
  <si>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</si>
  <si>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</si>
  <si>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</si>
  <si>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</si>
  <si>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</si>
  <si>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</si>
  <si>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</si>
  <si>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</si>
  <si>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</si>
  <si>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</si>
  <si>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</si>
  <si>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</si>
  <si>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</si>
  <si>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</si>
  <si>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</si>
  <si>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</si>
  <si>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</si>
  <si>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</si>
  <si>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</si>
  <si>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</si>
  <si>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</si>
  <si>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</si>
  <si>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</si>
  <si>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</si>
  <si>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</si>
  <si>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</si>
  <si>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</si>
  <si>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</si>
  <si>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</si>
  <si>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</si>
  <si>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</si>
  <si>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</si>
  <si>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</si>
  <si>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</si>
  <si>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</si>
  <si>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</si>
  <si>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</si>
  <si>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</si>
  <si>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</si>
  <si>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</si>
  <si>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</si>
  <si>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</si>
  <si>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</si>
  <si>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</si>
  <si>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</si>
  <si>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</si>
  <si>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</si>
  <si>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</si>
  <si>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</si>
  <si>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</si>
  <si>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</si>
  <si>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</si>
  <si>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</si>
  <si>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</si>
  <si>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</si>
  <si>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</si>
  <si>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</si>
  <si>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</si>
  <si>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</si>
  <si>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</si>
  <si>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</si>
  <si>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</si>
  <si>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</si>
  <si>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</si>
  <si>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</si>
  <si>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</si>
  <si>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</si>
  <si>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</si>
  <si>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</si>
  <si>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</si>
  <si>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</si>
  <si>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</si>
  <si>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</si>
  <si>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</si>
  <si>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</si>
  <si>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</si>
  <si>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</si>
  <si>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</si>
  <si>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</si>
  <si>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</si>
  <si>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</si>
  <si>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</si>
  <si>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</si>
  <si>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</si>
  <si>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</si>
  <si>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</si>
  <si>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</si>
  <si>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</si>
  <si>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</si>
  <si>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</si>
  <si>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</si>
  <si>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</si>
  <si>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</si>
  <si>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</si>
  <si>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</si>
  <si>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</si>
  <si>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</si>
  <si>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</si>
  <si>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</si>
  <si>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</si>
  <si>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</si>
  <si>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</si>
  <si>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</si>
  <si>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</si>
  <si>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</si>
  <si>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</si>
  <si>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</si>
  <si>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</si>
  <si>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</si>
  <si>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</si>
  <si>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</si>
  <si>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</si>
  <si>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</si>
  <si>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</si>
  <si>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</si>
  <si>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</si>
  <si>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</si>
  <si>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</si>
  <si>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</si>
  <si>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</si>
  <si>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</si>
  <si>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</si>
  <si>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</si>
  <si>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</si>
  <si>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</si>
  <si>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</si>
  <si>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</si>
  <si>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</si>
  <si>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</si>
  <si>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</si>
  <si>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</si>
  <si>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</si>
  <si>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</si>
  <si>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</si>
  <si>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</si>
  <si>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</si>
  <si>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</si>
  <si>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</si>
  <si>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</si>
  <si>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</si>
  <si>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</si>
  <si>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</si>
  <si>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</si>
  <si>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</si>
  <si>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</si>
  <si>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</si>
  <si>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</si>
  <si>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</si>
  <si>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</si>
  <si>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</si>
  <si>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</si>
  <si>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</si>
  <si>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</si>
  <si>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</si>
  <si>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</si>
  <si>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</si>
  <si>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</si>
  <si>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</si>
  <si>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</si>
  <si>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</si>
  <si>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</si>
  <si>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</si>
  <si>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</si>
  <si>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</si>
  <si>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</si>
  <si>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</si>
  <si>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</si>
  <si>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</si>
  <si>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</si>
  <si>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</si>
  <si>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</si>
  <si>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</si>
  <si>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</si>
  <si>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</si>
  <si>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</si>
  <si>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</si>
  <si>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</si>
  <si>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</si>
  <si>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</si>
  <si>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</si>
  <si>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</si>
  <si>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</si>
  <si>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</si>
  <si>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</si>
  <si>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</si>
  <si>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</si>
  <si>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</si>
  <si>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</si>
  <si>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</si>
  <si>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</si>
  <si>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</si>
  <si>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</si>
  <si>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</si>
  <si>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</si>
  <si>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</si>
  <si>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</si>
  <si>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</si>
  <si>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</si>
  <si>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</si>
  <si>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</si>
  <si>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</si>
  <si>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</si>
  <si>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</si>
  <si>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</si>
  <si>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</si>
  <si>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</si>
  <si>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</si>
  <si>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</si>
  <si>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</si>
  <si>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</si>
  <si>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</si>
  <si>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</si>
  <si>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</si>
  <si>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</si>
  <si>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</si>
  <si>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</si>
  <si>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</si>
  <si>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</si>
  <si>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</si>
  <si>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</si>
  <si>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</si>
  <si>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</si>
  <si>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</si>
  <si>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</si>
  <si>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</si>
  <si>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</si>
  <si>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</si>
  <si>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</si>
  <si>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</si>
  <si>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</si>
  <si>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</si>
  <si>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</si>
  <si>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</si>
  <si>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</si>
  <si>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</si>
  <si>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</si>
  <si>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</si>
  <si>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</si>
  <si>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</si>
  <si>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</si>
  <si>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</si>
  <si>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</si>
  <si>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</si>
  <si>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</si>
  <si>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</si>
  <si>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</si>
  <si>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</si>
  <si>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</si>
  <si>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</si>
  <si>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</si>
  <si>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</si>
  <si>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</si>
  <si>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</si>
  <si>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</si>
  <si>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</si>
  <si>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</si>
  <si>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</si>
  <si>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</si>
  <si>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</si>
  <si>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</si>
  <si>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</si>
  <si>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</si>
  <si>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</si>
  <si>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</si>
  <si>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</si>
  <si>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</si>
  <si>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</si>
  <si>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</si>
  <si>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</si>
  <si>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</si>
  <si>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</si>
  <si>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</si>
  <si>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</si>
  <si>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</si>
  <si>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</si>
  <si>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</si>
  <si>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</si>
  <si>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</si>
  <si>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</si>
  <si>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</si>
  <si>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</si>
  <si>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</si>
  <si>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</si>
  <si>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</si>
  <si>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</si>
  <si>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</si>
  <si>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</si>
  <si>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</si>
  <si>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</si>
  <si>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</si>
  <si>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</si>
  <si>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</si>
  <si>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</si>
  <si>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</si>
  <si>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</si>
  <si>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</si>
  <si>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</si>
  <si>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</si>
  <si>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</si>
  <si>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</si>
  <si>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</si>
  <si>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</si>
  <si>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</si>
  <si>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</si>
  <si>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</si>
  <si>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</si>
  <si>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</si>
  <si>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</si>
  <si>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</si>
  <si>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</si>
  <si>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</si>
  <si>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</si>
  <si>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</si>
  <si>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</si>
  <si>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</si>
  <si>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</si>
  <si>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</si>
  <si>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</si>
  <si>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</si>
  <si>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</si>
  <si>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</si>
  <si>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</si>
  <si>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</si>
  <si>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</si>
  <si>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</si>
  <si>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</si>
  <si>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</si>
  <si>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</si>
  <si>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</si>
  <si>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</si>
  <si>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</si>
  <si>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</si>
  <si>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</si>
  <si>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</si>
  <si>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</si>
  <si>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</si>
  <si>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</si>
  <si>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</si>
  <si>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</si>
  <si>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</si>
  <si>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</si>
  <si>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</si>
  <si>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</si>
  <si>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</si>
  <si>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</si>
  <si>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</si>
  <si>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</si>
  <si>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</si>
  <si>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</si>
  <si>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</si>
  <si>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</si>
  <si>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</si>
  <si>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</si>
  <si>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</si>
  <si>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</si>
  <si>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</si>
  <si>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</si>
  <si>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</si>
  <si>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</si>
  <si>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</si>
  <si>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</si>
  <si>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</si>
  <si>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</si>
  <si>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</si>
  <si>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</si>
  <si>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</si>
  <si>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</si>
  <si>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</si>
  <si>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</si>
  <si>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</si>
  <si>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</si>
  <si>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</si>
  <si>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</si>
  <si>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</si>
  <si>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</si>
  <si>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</si>
  <si>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</si>
  <si>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</si>
  <si>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</si>
  <si>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</si>
  <si>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</si>
  <si>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</si>
  <si>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</si>
  <si>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</si>
  <si>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</si>
  <si>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</si>
  <si>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</si>
  <si>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</si>
  <si>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</si>
  <si>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</si>
  <si>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</si>
  <si>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</si>
  <si>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</si>
  <si>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</si>
  <si>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</si>
  <si>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</si>
  <si>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</si>
  <si>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</si>
  <si>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</si>
  <si>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</si>
  <si>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</si>
  <si>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</si>
  <si>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</si>
  <si>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</si>
  <si>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</si>
  <si>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</si>
  <si>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</si>
  <si>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</si>
  <si>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</si>
  <si>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</si>
  <si>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</si>
  <si>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</si>
  <si>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</si>
  <si>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</si>
  <si>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</si>
  <si>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</si>
  <si>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</si>
  <si>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</si>
  <si>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</si>
  <si>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</si>
  <si>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</si>
  <si>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</si>
  <si>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</si>
  <si>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</si>
  <si>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</si>
  <si>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</si>
  <si>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</si>
  <si>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</si>
  <si>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</si>
  <si>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</si>
  <si>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</si>
  <si>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</si>
  <si>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</si>
  <si>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</si>
  <si>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</si>
  <si>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</si>
  <si>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</si>
  <si>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Q226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</si>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</sst>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5" fillId="0" borderId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4" applyNumberFormat="0" applyFill="0" applyAlignment="0" applyProtection="0"/>
    <xf numFmtId="0" fontId="40" fillId="0" borderId="5" applyNumberFormat="0" applyFill="0" applyAlignment="0" applyProtection="0"/>
    <xf numFmtId="0" fontId="41" fillId="0" borderId="6" applyNumberFormat="0" applyFill="0" applyAlignment="0" applyProtection="0"/>
    <xf numFmtId="0" fontId="41" fillId="0" borderId="0" applyNumberFormat="0" applyFill="0" applyBorder="0" applyAlignment="0" applyProtection="0"/>
    <xf numFmtId="0" fontId="42" fillId="3" borderId="0" applyNumberFormat="0" applyBorder="0" applyAlignment="0" applyProtection="0"/>
    <xf numFmtId="0" fontId="43" fillId="4" borderId="0" applyNumberFormat="0" applyBorder="0" applyAlignment="0" applyProtection="0"/>
    <xf numFmtId="0" fontId="44" fillId="5" borderId="0" applyNumberFormat="0" applyBorder="0" applyAlignment="0" applyProtection="0"/>
    <xf numFmtId="0" fontId="45" fillId="6" borderId="7" applyNumberFormat="0" applyAlignment="0" applyProtection="0"/>
    <xf numFmtId="0" fontId="46" fillId="7" borderId="8" applyNumberFormat="0" applyAlignment="0" applyProtection="0"/>
    <xf numFmtId="0" fontId="47" fillId="7" borderId="7" applyNumberFormat="0" applyAlignment="0" applyProtection="0"/>
    <xf numFmtId="0" fontId="48" fillId="0" borderId="9" applyNumberFormat="0" applyFill="0" applyAlignment="0" applyProtection="0"/>
    <xf numFmtId="0" fontId="49" fillId="8" borderId="10" applyNumberFormat="0" applyAlignment="0" applyProtection="0"/>
    <xf numFmtId="0" fontId="50" fillId="0" borderId="0" applyNumberFormat="0" applyFill="0" applyBorder="0" applyAlignment="0" applyProtection="0"/>
    <xf numFmtId="0" fontId="37" fillId="9" borderId="11" applyNumberFormat="0" applyFont="0" applyAlignment="0" applyProtection="0"/>
    <xf numFmtId="0" fontId="51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52" fillId="10" borderId="0" applyNumberFormat="0" applyBorder="0" applyAlignment="0" applyProtection="0"/>
    <xf numFmtId="0" fontId="37" fillId="11" borderId="0" applyNumberFormat="0" applyBorder="0" applyAlignment="0" applyProtection="0"/>
    <xf numFmtId="0" fontId="37" fillId="12" borderId="0" applyNumberFormat="0" applyBorder="0" applyAlignment="0" applyProtection="0"/>
    <xf numFmtId="0" fontId="37" fillId="13" borderId="0" applyNumberFormat="0" applyBorder="0" applyAlignment="0" applyProtection="0"/>
    <xf numFmtId="0" fontId="52" fillId="14" borderId="0" applyNumberFormat="0" applyBorder="0" applyAlignment="0" applyProtection="0"/>
    <xf numFmtId="0" fontId="37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17" borderId="0" applyNumberFormat="0" applyBorder="0" applyAlignment="0" applyProtection="0"/>
    <xf numFmtId="0" fontId="52" fillId="18" borderId="0" applyNumberFormat="0" applyBorder="0" applyAlignment="0" applyProtection="0"/>
    <xf numFmtId="0" fontId="37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52" fillId="22" borderId="0" applyNumberFormat="0" applyBorder="0" applyAlignment="0" applyProtection="0"/>
    <xf numFmtId="0" fontId="37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25" borderId="0" applyNumberFormat="0" applyBorder="0" applyAlignment="0" applyProtection="0"/>
    <xf numFmtId="0" fontId="52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52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</cellStyleXfs>
  <cellXfs count="56">
    <xf numFmtId="0" fontId="0" fillId="0" borderId="0" xfId="0"/>
    <xf numFmtId="0" fontId="34" fillId="0" borderId="0" xfId="0" applyFont="1"/>
    <xf numFmtId="0" fontId="35" fillId="0" borderId="0" xfId="0" applyFont="1"/>
    <xf numFmtId="0" fontId="36" fillId="0" borderId="0" xfId="0" applyFont="1"/>
    <xf numFmtId="0" fontId="53" fillId="0" borderId="0" xfId="0" applyFont="1"/>
    <xf numFmtId="0" fontId="32" fillId="0" borderId="0" xfId="0" applyFont="1"/>
    <xf numFmtId="0" fontId="32" fillId="0" borderId="0" xfId="0" applyFont="1" applyAlignment="1">
      <alignment horizontal="right"/>
    </xf>
    <xf numFmtId="0" fontId="54" fillId="0" borderId="0" xfId="0" applyFont="1"/>
    <xf numFmtId="0" fontId="35" fillId="2" borderId="1" xfId="0" applyFont="1" applyFill="1" applyBorder="1" applyAlignment="1">
      <alignment horizontal="center"/>
    </xf>
    <xf numFmtId="0" fontId="35" fillId="2" borderId="2" xfId="0" applyFont="1" applyFill="1" applyBorder="1"/>
    <xf numFmtId="0" fontId="35" fillId="2" borderId="2" xfId="0" applyFont="1" applyFill="1" applyBorder="1" applyAlignment="1">
      <alignment horizontal="center"/>
    </xf>
    <xf numFmtId="0" fontId="35" fillId="2" borderId="2" xfId="0" applyFont="1" applyFill="1" applyBorder="1" applyAlignment="1">
      <alignment horizontal="right"/>
    </xf>
    <xf numFmtId="0" fontId="32" fillId="2" borderId="3" xfId="0" applyFont="1" applyFill="1" applyBorder="1"/>
    <xf numFmtId="0" fontId="32" fillId="0" borderId="0" xfId="0" applyFont="1" applyAlignment="1">
      <alignment horizontal="center"/>
    </xf>
    <xf numFmtId="0" fontId="55" fillId="0" borderId="0" xfId="1"/>
    <xf numFmtId="164" fontId="32" fillId="0" borderId="0" xfId="0" applyNumberFormat="1" applyFont="1"/>
    <xf numFmtId="16" fontId="32" fillId="0" borderId="0" xfId="0" applyNumberFormat="1" applyFont="1"/>
    <xf numFmtId="0" fontId="56" fillId="0" borderId="0" xfId="0" applyFont="1"/>
    <xf numFmtId="0" fontId="32" fillId="0" borderId="0" xfId="0" quotePrefix="1" applyFont="1"/>
    <xf numFmtId="0" fontId="54" fillId="0" borderId="0" xfId="0" applyFont="1" applyAlignment="1">
      <alignment horizontal="right"/>
    </xf>
    <xf numFmtId="0" fontId="32" fillId="2" borderId="2" xfId="0" applyFont="1" applyFill="1" applyBorder="1"/>
    <xf numFmtId="0" fontId="35" fillId="2" borderId="3" xfId="0" applyFont="1" applyFill="1" applyBorder="1"/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/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64" fontId="22" fillId="0" borderId="0" xfId="0" applyNumberFormat="1" applyFont="1"/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/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/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4799979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319.2</v>
          </cell>
        </row>
        <row r="4">
          <cell r="I4">
            <v>3861362.4</v>
          </cell>
        </row>
        <row r="5">
          <cell r="I5">
            <v>126843</v>
          </cell>
        </row>
        <row r="6">
          <cell r="I6">
            <v>46547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204</v>
          </cell>
        </row>
        <row r="5">
          <cell r="I5">
            <v>2184636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330.87</v>
          </cell>
        </row>
        <row r="5">
          <cell r="G5">
            <v>1568745.26187513</v>
          </cell>
        </row>
        <row r="6">
          <cell r="G6">
            <v>16178</v>
          </cell>
        </row>
        <row r="7">
          <cell r="G7">
            <v>65136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86.07</v>
          </cell>
        </row>
        <row r="5">
          <cell r="I5">
            <v>363401.49625049997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156.4</v>
          </cell>
        </row>
        <row r="5">
          <cell r="G5">
            <v>373900.89920039999</v>
          </cell>
        </row>
        <row r="6">
          <cell r="G6">
            <v>7177.0430000000006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74.88</v>
          </cell>
        </row>
        <row r="4">
          <cell r="H4">
            <v>155587.93892928</v>
          </cell>
        </row>
        <row r="5">
          <cell r="H5">
            <v>9086</v>
          </cell>
        </row>
        <row r="6">
          <cell r="H6">
            <v>10615</v>
          </cell>
        </row>
      </sheetData>
      <sheetData sheetId="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51" activePane="bottomRight" state="frozen"/>
      <selection pane="topRight" activeCell="C1" sqref="C1"/>
      <selection pane="bottomLeft" activeCell="A3" sqref="A3"/>
      <selection pane="bottomRight" activeCell="I64" sqref="I64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197.53</v>
      </c>
      <c r="F4" s="15">
        <f>+[1]Main!$I$4</f>
        <v>4799979</v>
      </c>
      <c r="G4" s="15">
        <f>+[1]Main!$I$6-[1]Main!$I$5</f>
        <v>-54088</v>
      </c>
      <c r="H4" s="15">
        <f>F4+G4</f>
        <v>4745891</v>
      </c>
      <c r="I4" s="53" t="s">
        <v>3154</v>
      </c>
      <c r="J4" s="16">
        <v>46168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7" t="s">
        <v>3153</v>
      </c>
      <c r="J5" s="16">
        <v>46141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7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319.2</v>
      </c>
      <c r="F7" s="15">
        <f>+[4]Main!$I$4</f>
        <v>3861362.4</v>
      </c>
      <c r="G7" s="15">
        <f>+[4]Main!$I$6-[4]Main!$I$5</f>
        <v>-80296</v>
      </c>
      <c r="H7" s="15">
        <f t="shared" si="0"/>
        <v>3781066.4</v>
      </c>
      <c r="I7" s="50" t="s">
        <v>3148</v>
      </c>
      <c r="J7" s="16">
        <v>46135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204</v>
      </c>
      <c r="F8" s="15">
        <f>+[5]Main!$I$5</f>
        <v>2184636</v>
      </c>
      <c r="G8" s="15">
        <f>+[5]Main!$I$7-[5]Main!$I$6</f>
        <v>-57381</v>
      </c>
      <c r="H8" s="15">
        <f t="shared" si="0"/>
        <v>2127255</v>
      </c>
      <c r="I8" s="51" t="s">
        <v>3148</v>
      </c>
      <c r="J8" s="16">
        <v>46142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8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419.17</v>
      </c>
      <c r="F10" s="15">
        <f>+[7]Main!$K$4</f>
        <v>1351823.25</v>
      </c>
      <c r="G10" s="15">
        <f>+[7]Main!$K$6-[7]Main!$K$5</f>
        <v>-33945</v>
      </c>
      <c r="H10" s="15">
        <f t="shared" si="0"/>
        <v>1317878.25</v>
      </c>
      <c r="I10" s="49" t="s">
        <v>3148</v>
      </c>
      <c r="J10" s="16">
        <v>46133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330.87</v>
      </c>
      <c r="F11" s="15">
        <f>+[8]Main!$G$5</f>
        <v>1568745.26187513</v>
      </c>
      <c r="G11" s="15">
        <f>+[8]Main!$G$7-[8]Main!$G$6</f>
        <v>48958</v>
      </c>
      <c r="H11" s="15">
        <f t="shared" si="0"/>
        <v>1617703.26187513</v>
      </c>
      <c r="I11" s="49" t="s">
        <v>3148</v>
      </c>
      <c r="J11" s="16">
        <v>46085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6" t="s">
        <v>3152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1975</v>
      </c>
      <c r="F13" s="15">
        <f>+[10]Main!$H$4*FX!C2</f>
        <v>1536411.75</v>
      </c>
      <c r="G13" s="15">
        <f>+([10]Main!$H$6-[10]Main!$H$5)*FX!C2</f>
        <v>-62263.199999999997</v>
      </c>
      <c r="H13" s="15">
        <f t="shared" si="0"/>
        <v>1474148.55</v>
      </c>
      <c r="I13" s="45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86.07</v>
      </c>
      <c r="F17" s="15">
        <f>+[14]Main!$I$5</f>
        <v>363401.49625049997</v>
      </c>
      <c r="G17" s="15">
        <f>+[14]Main!$I$7-[14]Main!$I$6</f>
        <v>5400.476999999999</v>
      </c>
      <c r="H17" s="15">
        <f t="shared" si="3"/>
        <v>368801.97325049998</v>
      </c>
      <c r="I17" s="41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156.4</v>
      </c>
      <c r="F18" s="15">
        <f>+[15]Main!$G$5</f>
        <v>373900.89920039999</v>
      </c>
      <c r="G18" s="15">
        <f>+[15]Main!$G$7-[15]Main!$G$6</f>
        <v>-7177.0430000000006</v>
      </c>
      <c r="H18" s="15">
        <f t="shared" si="3"/>
        <v>366723.85620039998</v>
      </c>
      <c r="I18" s="54" t="s">
        <v>3148</v>
      </c>
      <c r="J18" s="16">
        <v>46146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74.88</v>
      </c>
      <c r="F33" s="15">
        <f>+[30]Main!$H$4</f>
        <v>155587.93892928</v>
      </c>
      <c r="G33" s="15">
        <f>+[30]Main!$H$6-[30]Main!$H$5</f>
        <v>1529</v>
      </c>
      <c r="H33" s="15">
        <f>F33+G33</f>
        <v>157116.93892928</v>
      </c>
      <c r="I33" s="55" t="s">
        <v>2709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8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52" t="s">
        <v>3148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8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2026-03-07T15:09:10Z</dcterms:modified>
</cp:coreProperties>
</file>