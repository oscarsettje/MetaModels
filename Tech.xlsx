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3484D4F-ADF8-4AE3-86E6-4F7525661DC5}" xr6:coauthVersionLast="47" xr6:coauthVersionMax="47" xr10:uidLastSave="{00000000-0000-0000-0000-000000000000}"/>
  <bookViews>
    <workbookView xWindow="-120" yWindow="-120" windowWidth="38640" windowHeight="2106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208" i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23" i="3" l="1"/>
  <c r="H92" i="1"/>
  <c r="H133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E35" i="1"/>
  <c r="G33" i="1"/>
  <c r="F33" i="1"/>
  <c r="E33" i="1"/>
  <c r="E15" i="3"/>
  <c r="H35" i="1" l="1"/>
  <c r="H67" i="1"/>
  <c r="H33" i="1"/>
  <c r="H20" i="3"/>
  <c r="H15" i="3"/>
  <c r="H60" i="1"/>
  <c r="H50" i="3"/>
  <c r="H52" i="3"/>
  <c r="G58" i="1"/>
  <c r="F58" i="1"/>
  <c r="E58" i="1"/>
  <c r="H58" i="1" l="1"/>
  <c r="G248" i="1" l="1"/>
  <c r="F248" i="1"/>
  <c r="E248" i="1"/>
  <c r="H248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2" i="1"/>
  <c r="F322" i="1"/>
  <c r="E322" i="1"/>
  <c r="G321" i="1"/>
  <c r="F321" i="1"/>
  <c r="E321" i="1"/>
  <c r="H54" i="1" l="1"/>
  <c r="H41" i="1"/>
  <c r="H43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130" i="1"/>
  <c r="F130" i="1"/>
  <c r="E130" i="1"/>
  <c r="G19" i="1"/>
  <c r="E19" i="1"/>
  <c r="F19" i="1"/>
  <c r="G62" i="1"/>
  <c r="F62" i="1"/>
  <c r="E62" i="1"/>
  <c r="H130" i="1" l="1"/>
  <c r="H46" i="1"/>
  <c r="H204" i="1"/>
  <c r="H42" i="1"/>
  <c r="H74" i="1"/>
  <c r="H19" i="1"/>
  <c r="H62" i="1"/>
  <c r="G16" i="1"/>
  <c r="F16" i="1"/>
  <c r="E16" i="1"/>
  <c r="G147" i="1"/>
  <c r="F147" i="1"/>
  <c r="E147" i="1"/>
  <c r="G65" i="1"/>
  <c r="E65" i="1"/>
  <c r="F65" i="1"/>
  <c r="G44" i="1"/>
  <c r="F44" i="1"/>
  <c r="E44" i="1"/>
  <c r="G38" i="1"/>
  <c r="F38" i="1"/>
  <c r="E38" i="1"/>
  <c r="G91" i="1"/>
  <c r="F91" i="1"/>
  <c r="E91" i="1"/>
  <c r="G48" i="1"/>
  <c r="F48" i="1"/>
  <c r="E48" i="1"/>
  <c r="G154" i="1"/>
  <c r="F154" i="1"/>
  <c r="E154" i="1"/>
  <c r="H38" i="1" l="1"/>
  <c r="H44" i="1"/>
  <c r="H91" i="1"/>
  <c r="H16" i="1"/>
  <c r="H147" i="1"/>
  <c r="H65" i="1"/>
  <c r="H48" i="1"/>
  <c r="H154" i="1"/>
  <c r="G155" i="1"/>
  <c r="F155" i="1"/>
  <c r="E155" i="1"/>
  <c r="G88" i="1"/>
  <c r="F88" i="1"/>
  <c r="E88" i="1"/>
  <c r="H155" i="1" l="1"/>
  <c r="H88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7" i="1"/>
  <c r="H12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</calcChain>
</file>

<file path=xl/sharedStrings.xml><?xml version="1.0" encoding="utf-8"?>
<sst xmlns="http://schemas.openxmlformats.org/spreadsheetml/2006/main" count="5039" uniqueCount="3149">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</sst>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4" applyNumberFormat="0" applyFill="0" applyAlignment="0" applyProtection="0"/>
    <xf numFmtId="0" fontId="19" fillId="0" borderId="5" applyNumberFormat="0" applyFill="0" applyAlignment="0" applyProtection="0"/>
    <xf numFmtId="0" fontId="20" fillId="0" borderId="6" applyNumberFormat="0" applyFill="0" applyAlignment="0" applyProtection="0"/>
    <xf numFmtId="0" fontId="2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6" borderId="7" applyNumberFormat="0" applyAlignment="0" applyProtection="0"/>
    <xf numFmtId="0" fontId="25" fillId="7" borderId="8" applyNumberFormat="0" applyAlignment="0" applyProtection="0"/>
    <xf numFmtId="0" fontId="26" fillId="7" borderId="7" applyNumberFormat="0" applyAlignment="0" applyProtection="0"/>
    <xf numFmtId="0" fontId="27" fillId="0" borderId="9" applyNumberFormat="0" applyFill="0" applyAlignment="0" applyProtection="0"/>
    <xf numFmtId="0" fontId="28" fillId="8" borderId="10" applyNumberFormat="0" applyAlignment="0" applyProtection="0"/>
    <xf numFmtId="0" fontId="29" fillId="0" borderId="0" applyNumberFormat="0" applyFill="0" applyBorder="0" applyAlignment="0" applyProtection="0"/>
    <xf numFmtId="0" fontId="16" fillId="9" borderId="11" applyNumberFormat="0" applyFont="0" applyAlignment="0" applyProtection="0"/>
    <xf numFmtId="0" fontId="3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31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3" borderId="0" applyNumberFormat="0" applyBorder="0" applyAlignment="0" applyProtection="0"/>
    <xf numFmtId="0" fontId="31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31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31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31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31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3" borderId="0" applyNumberFormat="0" applyBorder="0" applyAlignment="0" applyProtection="0"/>
  </cellStyleXfs>
  <cellXfs count="33">
    <xf numFmtId="0" fontId="0" fillId="0" borderId="0" xfId="0"/>
    <xf numFmtId="0" fontId="13" fillId="0" borderId="0" xfId="0" applyFont="1"/>
    <xf numFmtId="0" fontId="14" fillId="0" borderId="0" xfId="0" applyFont="1"/>
    <xf numFmtId="0" fontId="15" fillId="0" borderId="0" xfId="0" applyFont="1"/>
    <xf numFmtId="0" fontId="32" fillId="0" borderId="0" xfId="0" applyFont="1"/>
    <xf numFmtId="0" fontId="10" fillId="0" borderId="0" xfId="0" applyFont="1"/>
    <xf numFmtId="0" fontId="10" fillId="0" borderId="0" xfId="0" applyFont="1" applyAlignment="1">
      <alignment horizontal="right"/>
    </xf>
    <xf numFmtId="0" fontId="33" fillId="0" borderId="0" xfId="0" applyFont="1"/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right"/>
    </xf>
    <xf numFmtId="0" fontId="10" fillId="2" borderId="3" xfId="0" applyFont="1" applyFill="1" applyBorder="1"/>
    <xf numFmtId="0" fontId="10" fillId="0" borderId="0" xfId="0" applyFont="1" applyAlignment="1">
      <alignment horizontal="center"/>
    </xf>
    <xf numFmtId="0" fontId="34" fillId="0" borderId="0" xfId="1" applyFont="1"/>
    <xf numFmtId="164" fontId="10" fillId="0" borderId="0" xfId="0" applyNumberFormat="1" applyFont="1"/>
    <xf numFmtId="16" fontId="10" fillId="0" borderId="0" xfId="0" applyNumberFormat="1" applyFont="1"/>
    <xf numFmtId="0" fontId="35" fillId="0" borderId="0" xfId="0" applyFont="1"/>
    <xf numFmtId="0" fontId="10" fillId="0" borderId="0" xfId="0" quotePrefix="1" applyFont="1"/>
    <xf numFmtId="0" fontId="33" fillId="0" borderId="0" xfId="0" applyFont="1" applyAlignment="1">
      <alignment horizontal="right"/>
    </xf>
    <xf numFmtId="0" fontId="10" fillId="2" borderId="2" xfId="0" applyFont="1" applyFill="1" applyBorder="1"/>
    <xf numFmtId="0" fontId="14" fillId="2" borderId="3" xfId="0" applyFont="1" applyFill="1" applyBorder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" fontId="2" fillId="0" borderId="0" xfId="0" applyNumberFormat="1" applyFont="1"/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103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156.6</v>
          </cell>
        </row>
        <row r="4">
          <cell r="H4">
            <v>254137.32169740001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66.489999999999995</v>
          </cell>
        </row>
        <row r="4">
          <cell r="G4">
            <v>264813.59670739999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2711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3148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1129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2586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770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2586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2586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1" si="4">F20+G20</f>
        <v>273265.85399999999</v>
      </c>
      <c r="I20" s="25" t="s">
        <v>2586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2586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156.6</v>
      </c>
      <c r="F22" s="15">
        <f>+[19]Main!$H$4</f>
        <v>254137.32169740001</v>
      </c>
      <c r="G22" s="15">
        <f>+[19]Main!$H$6-[19]Main!$H$5</f>
        <v>-2824</v>
      </c>
      <c r="H22" s="15">
        <f t="shared" si="4"/>
        <v>251313.32169740001</v>
      </c>
      <c r="I22" s="29" t="s">
        <v>2586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2711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66.489999999999995</v>
      </c>
      <c r="F24" s="15">
        <f>+[21]Main!$G$4</f>
        <v>264813.59670739999</v>
      </c>
      <c r="G24" s="15">
        <f>+[21]Main!$G$6-[21]Main!$G$5</f>
        <v>13316</v>
      </c>
      <c r="H24" s="15">
        <f t="shared" si="4"/>
        <v>278129.59670739999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6" t="s">
        <v>49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56.2</v>
      </c>
      <c r="F33" s="15">
        <f>+[30]Main!$I$5*FX!C3</f>
        <v>187067.70580176005</v>
      </c>
      <c r="G33" s="15">
        <f>+([30]Main!$I$7-[30]Main!$I$6)*FX!C3</f>
        <v>-11416.8614</v>
      </c>
      <c r="H33" s="15">
        <f>+F33+G33</f>
        <v>175650.84440176006</v>
      </c>
      <c r="I33" s="30" t="s">
        <v>2586</v>
      </c>
      <c r="J33" s="16">
        <v>45978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5475.01</v>
      </c>
      <c r="F37" s="15">
        <f>+[32]Main!$I$4</f>
        <v>177444.44447385002</v>
      </c>
      <c r="G37" s="15">
        <f>+[32]Main!$I$6-[32]Main!$I$5</f>
        <v>877</v>
      </c>
      <c r="H37" s="15">
        <f>F37+G37</f>
        <v>178321.44447385002</v>
      </c>
      <c r="I37" s="32" t="s">
        <v>2586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1737.97</v>
      </c>
      <c r="F45" s="15">
        <f>+[39]Main!$H$5</f>
        <v>88110.626320859999</v>
      </c>
      <c r="G45" s="15">
        <f>+[39]Main!$H$7-[39]Main!$H$6</f>
        <v>-7896</v>
      </c>
      <c r="H45" s="15">
        <f t="shared" si="5"/>
        <v>80214.626320859999</v>
      </c>
      <c r="I45" s="6" t="s">
        <v>48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8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2586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446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443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449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770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709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770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173.3</v>
      </c>
      <c r="F97" s="15">
        <f>+[65]Main!$I$4</f>
        <v>43360.925609900005</v>
      </c>
      <c r="G97" s="15">
        <f>+[65]Main!$I$6-[65]Main!$I$5</f>
        <v>-1230</v>
      </c>
      <c r="H97" s="15">
        <f>+F97+G97</f>
        <v>42130.925609900005</v>
      </c>
      <c r="I97" s="6" t="s">
        <v>431</v>
      </c>
      <c r="J97" s="5"/>
      <c r="K97" s="5"/>
      <c r="L97" s="5"/>
      <c r="M97" s="5"/>
      <c r="N97" s="5"/>
      <c r="O97" s="5"/>
      <c r="P97" s="5"/>
      <c r="Q97" s="5"/>
      <c r="R97" s="5"/>
      <c r="S97" s="5" t="s">
        <v>447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770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770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1129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93.14</v>
      </c>
      <c r="F107" s="15">
        <f>+[67]Main!$H$4</f>
        <v>42564.98</v>
      </c>
      <c r="G107" s="15">
        <f>+[67]Main!$H$6-[67]Main!$H$5</f>
        <v>2998</v>
      </c>
      <c r="H107" s="15">
        <f>+F107+G107</f>
        <v>45562.98</v>
      </c>
      <c r="I107" s="6" t="s">
        <v>2586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448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1129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710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447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2586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710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770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si="7"/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7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ref="A139:A202" si="8">+A138+1</f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1129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1129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462.43</v>
      </c>
      <c r="F154" s="15">
        <f>+[73]Main!$I$4</f>
        <v>17586.234171780001</v>
      </c>
      <c r="G154" s="15">
        <f>+[73]Main!$I$6-[73]Main!$I$5</f>
        <v>1000.3120000000001</v>
      </c>
      <c r="H154" s="15">
        <f>+F154+G154</f>
        <v>18586.546171780003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444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7.44</v>
      </c>
      <c r="F155" s="15">
        <f>+[74]Main!$I$4</f>
        <v>12572.354291040001</v>
      </c>
      <c r="G155" s="15">
        <f>+[74]Main!$I$6-[74]Main!$I$5</f>
        <v>682.92700000000013</v>
      </c>
      <c r="H155" s="15">
        <f>+F155+G155</f>
        <v>13255.281291040001</v>
      </c>
      <c r="I155" s="6" t="s">
        <v>2586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445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770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770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1129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si="8"/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8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ref="A203:A266" si="9">+A202+1</f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707</v>
      </c>
      <c r="C208" s="5" t="s">
        <v>708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2586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471</v>
      </c>
      <c r="C209" s="5" t="s">
        <v>472</v>
      </c>
      <c r="D209" s="5" t="s">
        <v>1129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473</v>
      </c>
      <c r="C210" s="5" t="s">
        <v>474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475</v>
      </c>
      <c r="C211" s="5" t="s">
        <v>476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477</v>
      </c>
      <c r="C212" s="5" t="s">
        <v>478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480</v>
      </c>
      <c r="C213" s="5" t="s">
        <v>479</v>
      </c>
      <c r="D213" s="5" t="s">
        <v>1129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481</v>
      </c>
      <c r="C214" s="5" t="s">
        <v>482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483</v>
      </c>
      <c r="C215" s="5" t="s">
        <v>484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485</v>
      </c>
      <c r="C216" s="5" t="s">
        <v>486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487</v>
      </c>
      <c r="C217" s="5" t="s">
        <v>488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489</v>
      </c>
      <c r="C218" s="5" t="s">
        <v>490</v>
      </c>
      <c r="D218" s="5" t="s">
        <v>770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491</v>
      </c>
      <c r="C219" s="5" t="s">
        <v>492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493</v>
      </c>
      <c r="C220" s="5" t="s">
        <v>494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495</v>
      </c>
      <c r="C221" s="5" t="s">
        <v>496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497</v>
      </c>
      <c r="C222" s="5" t="s">
        <v>498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499</v>
      </c>
      <c r="C223" s="5" t="s">
        <v>500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501</v>
      </c>
      <c r="C224" s="5" t="s">
        <v>501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502</v>
      </c>
      <c r="C225" s="5" t="s">
        <v>503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504</v>
      </c>
      <c r="C226" s="5" t="s">
        <v>505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506</v>
      </c>
      <c r="C227" s="5" t="s">
        <v>507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508</v>
      </c>
      <c r="C228" s="5" t="s">
        <v>509</v>
      </c>
      <c r="D228" s="5" t="s">
        <v>510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511</v>
      </c>
      <c r="C229" s="5" t="s">
        <v>512</v>
      </c>
      <c r="D229" s="5" t="s">
        <v>513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514</v>
      </c>
      <c r="C230" s="5" t="s">
        <v>515</v>
      </c>
      <c r="D230" s="5" t="s">
        <v>1129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516</v>
      </c>
      <c r="C231" s="5" t="s">
        <v>517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518</v>
      </c>
      <c r="C232" s="5" t="s">
        <v>519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520</v>
      </c>
      <c r="C233" s="5" t="s">
        <v>521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522</v>
      </c>
      <c r="C234" s="5" t="s">
        <v>523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524</v>
      </c>
      <c r="C235" s="5" t="s">
        <v>525</v>
      </c>
      <c r="D235" s="5" t="s">
        <v>770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526</v>
      </c>
      <c r="C236" s="5" t="s">
        <v>527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528</v>
      </c>
      <c r="C237" s="5" t="s">
        <v>529</v>
      </c>
      <c r="D237" s="5" t="s">
        <v>770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530</v>
      </c>
      <c r="C238" s="5" t="s">
        <v>531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532</v>
      </c>
      <c r="C239" s="5" t="s">
        <v>533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534</v>
      </c>
      <c r="C240" s="5" t="s">
        <v>535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536</v>
      </c>
      <c r="C241" s="5" t="s">
        <v>537</v>
      </c>
      <c r="D241" s="5" t="s">
        <v>538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539</v>
      </c>
      <c r="C242" s="5" t="s">
        <v>540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541</v>
      </c>
      <c r="C243" s="5" t="s">
        <v>542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543</v>
      </c>
      <c r="C244" s="5" t="s">
        <v>544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545</v>
      </c>
      <c r="C245" s="5" t="s">
        <v>546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547</v>
      </c>
      <c r="C246" s="5" t="s">
        <v>548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549</v>
      </c>
      <c r="C247" s="5" t="s">
        <v>550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2587</v>
      </c>
      <c r="C248" s="5" t="s">
        <v>2588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551</v>
      </c>
      <c r="C249" s="5" t="s">
        <v>552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553</v>
      </c>
      <c r="C250" s="5" t="s">
        <v>554</v>
      </c>
      <c r="D250" s="5" t="s">
        <v>1129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555</v>
      </c>
      <c r="C251" s="5" t="s">
        <v>556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557</v>
      </c>
      <c r="C252" s="5" t="s">
        <v>558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559</v>
      </c>
      <c r="C253" s="5" t="s">
        <v>560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561</v>
      </c>
      <c r="C254" s="5" t="s">
        <v>562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563</v>
      </c>
      <c r="C255" s="5" t="s">
        <v>564</v>
      </c>
      <c r="D255" s="5" t="s">
        <v>770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565</v>
      </c>
      <c r="C256" s="5" t="s">
        <v>566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567</v>
      </c>
      <c r="C257" s="5" t="s">
        <v>568</v>
      </c>
      <c r="D257" s="5" t="s">
        <v>1129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569</v>
      </c>
      <c r="C258" s="5" t="s">
        <v>570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571</v>
      </c>
      <c r="C259" s="5" t="s">
        <v>572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573</v>
      </c>
      <c r="C260" s="5" t="s">
        <v>574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575</v>
      </c>
      <c r="C261" s="5" t="s">
        <v>576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577</v>
      </c>
      <c r="C262" s="5" t="s">
        <v>578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579</v>
      </c>
      <c r="C263" s="5" t="s">
        <v>580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581</v>
      </c>
      <c r="C264" s="5" t="s">
        <v>582</v>
      </c>
      <c r="D264" s="5" t="s">
        <v>770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si="9"/>
        <v>262</v>
      </c>
      <c r="B265" s="5" t="s">
        <v>583</v>
      </c>
      <c r="C265" s="5" t="s">
        <v>584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9"/>
        <v>263</v>
      </c>
      <c r="B266" s="5" t="s">
        <v>585</v>
      </c>
      <c r="C266" s="5" t="s">
        <v>586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ref="A267:A330" si="10">+A266+1</f>
        <v>264</v>
      </c>
      <c r="B267" s="5" t="s">
        <v>587</v>
      </c>
      <c r="C267" s="5" t="s">
        <v>588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589</v>
      </c>
      <c r="C268" s="5" t="s">
        <v>590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591</v>
      </c>
      <c r="C269" s="5" t="s">
        <v>592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593</v>
      </c>
      <c r="C270" s="5" t="s">
        <v>594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595</v>
      </c>
      <c r="C271" s="5" t="s">
        <v>596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597</v>
      </c>
      <c r="C272" s="5" t="s">
        <v>598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599</v>
      </c>
      <c r="C273" s="5" t="s">
        <v>600</v>
      </c>
      <c r="D273" s="5" t="s">
        <v>1129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601</v>
      </c>
      <c r="C274" s="5" t="s">
        <v>602</v>
      </c>
      <c r="D274" s="5" t="s">
        <v>603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604</v>
      </c>
      <c r="C275" s="5" t="s">
        <v>605</v>
      </c>
      <c r="D275" s="5" t="s">
        <v>1129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606</v>
      </c>
      <c r="C276" s="5" t="s">
        <v>607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608</v>
      </c>
      <c r="C277" s="5" t="s">
        <v>609</v>
      </c>
      <c r="D277" s="5" t="s">
        <v>1129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610</v>
      </c>
      <c r="C278" s="5" t="s">
        <v>611</v>
      </c>
      <c r="D278" s="5" t="s">
        <v>612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613</v>
      </c>
      <c r="C279" s="5" t="s">
        <v>614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615</v>
      </c>
      <c r="C280" s="5" t="s">
        <v>616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617</v>
      </c>
      <c r="C281" s="5" t="s">
        <v>618</v>
      </c>
      <c r="D281" s="5" t="s">
        <v>538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619</v>
      </c>
      <c r="C282" s="5" t="s">
        <v>620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622</v>
      </c>
      <c r="C283" s="5" t="s">
        <v>621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623</v>
      </c>
      <c r="C284" s="5" t="s">
        <v>624</v>
      </c>
      <c r="D284" s="5" t="s">
        <v>625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626</v>
      </c>
      <c r="C285" s="5" t="s">
        <v>627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629</v>
      </c>
      <c r="C286" s="5" t="s">
        <v>628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630</v>
      </c>
      <c r="C287" s="5" t="s">
        <v>631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632</v>
      </c>
      <c r="C288" s="5" t="s">
        <v>633</v>
      </c>
      <c r="D288" s="5" t="s">
        <v>1129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634</v>
      </c>
      <c r="C289" s="5" t="s">
        <v>635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636</v>
      </c>
      <c r="C290" s="5" t="s">
        <v>637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638</v>
      </c>
      <c r="C291" s="5" t="s">
        <v>639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640</v>
      </c>
      <c r="C292" s="5" t="s">
        <v>641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642</v>
      </c>
      <c r="C293" s="5" t="s">
        <v>643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644</v>
      </c>
      <c r="C294" s="5" t="s">
        <v>645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646</v>
      </c>
      <c r="C295" s="5" t="s">
        <v>647</v>
      </c>
      <c r="D295" s="5" t="s">
        <v>770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648</v>
      </c>
      <c r="C296" s="5" t="s">
        <v>649</v>
      </c>
      <c r="D296" s="5" t="s">
        <v>1129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650</v>
      </c>
      <c r="C297" s="5" t="s">
        <v>651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652</v>
      </c>
      <c r="C298" s="5" t="s">
        <v>653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655</v>
      </c>
      <c r="C299" s="5" t="s">
        <v>654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656</v>
      </c>
      <c r="C300" s="5" t="s">
        <v>657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659</v>
      </c>
      <c r="C301" s="5" t="s">
        <v>658</v>
      </c>
      <c r="D301" s="5" t="s">
        <v>770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660</v>
      </c>
      <c r="C302" s="5" t="s">
        <v>661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662</v>
      </c>
      <c r="C303" s="5" t="s">
        <v>663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664</v>
      </c>
      <c r="C304" s="5" t="s">
        <v>665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666</v>
      </c>
      <c r="C305" s="5" t="s">
        <v>667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668</v>
      </c>
      <c r="C306" s="5" t="s">
        <v>669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670</v>
      </c>
      <c r="C307" s="5" t="s">
        <v>671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672</v>
      </c>
      <c r="C308" s="5" t="s">
        <v>672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673</v>
      </c>
      <c r="C309" s="5" t="s">
        <v>674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675</v>
      </c>
      <c r="C310" s="5" t="s">
        <v>676</v>
      </c>
      <c r="D310" s="5" t="s">
        <v>770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677</v>
      </c>
      <c r="C311" s="5" t="s">
        <v>678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679</v>
      </c>
      <c r="C312" s="5" t="s">
        <v>680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683</v>
      </c>
      <c r="C313" s="5" t="s">
        <v>684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685</v>
      </c>
      <c r="C314" s="5" t="s">
        <v>686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687</v>
      </c>
      <c r="C315" s="5" t="s">
        <v>688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689</v>
      </c>
      <c r="C316" s="5" t="s">
        <v>690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691</v>
      </c>
      <c r="C317" s="5" t="s">
        <v>692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693</v>
      </c>
      <c r="C318" s="5" t="s">
        <v>694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695</v>
      </c>
      <c r="C319" s="5" t="s">
        <v>696</v>
      </c>
      <c r="D319" s="5" t="s">
        <v>510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697</v>
      </c>
      <c r="C320" s="5" t="s">
        <v>698</v>
      </c>
      <c r="D320" s="5" t="s">
        <v>1129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699</v>
      </c>
      <c r="C321" s="5" t="s">
        <v>700</v>
      </c>
      <c r="D321" s="5" t="s">
        <v>45</v>
      </c>
      <c r="E321" s="15">
        <f>+[78]Main!$I$3</f>
        <v>12.26</v>
      </c>
      <c r="F321" s="15">
        <f>+[78]Main!$I$5</f>
        <v>2157.6645436399999</v>
      </c>
      <c r="G321" s="15">
        <f>+[78]Main!$I$7-[78]Main!$I$6</f>
        <v>280.74099999999999</v>
      </c>
      <c r="H321" s="15">
        <f>+F321+G321</f>
        <v>2438.4055436399999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701</v>
      </c>
      <c r="C322" s="5" t="s">
        <v>702</v>
      </c>
      <c r="D322" s="5" t="s">
        <v>45</v>
      </c>
      <c r="E322" s="15">
        <f>+[79]Main!$I$2</f>
        <v>7.36</v>
      </c>
      <c r="F322" s="15">
        <f>+[79]Main!$I$4</f>
        <v>1581.06035488</v>
      </c>
      <c r="G322" s="15">
        <f>+[79]Main!$I$6-[79]Main!$I$5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703</v>
      </c>
      <c r="C323" s="5" t="s">
        <v>704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705</v>
      </c>
      <c r="C324" s="5" t="s">
        <v>706</v>
      </c>
      <c r="D324" s="5" t="s">
        <v>510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si="10"/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0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ref="A331:A394" si="11">+A330+1</f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si="11"/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1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ref="A395:A458" si="12">+A394+1</f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si="12"/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2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ref="A459:A522" si="13">+A458+1</f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si="13"/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3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ref="A523:A586" si="14">+A522+1</f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4"/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4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ref="A587:A650" si="15">+A586+1</f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5"/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5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ref="A651:A714" si="16">+A650+1</f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6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6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ref="A715:A778" si="17">+A714+1</f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7"/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7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ref="A779:A842" si="18">+A778+1</f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8"/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8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ref="A843:A906" si="19">+A842+1</f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19"/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19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ref="A907:A970" si="20">+A906+1</f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0"/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0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ref="A971:A1034" si="21">+A970+1</f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1"/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1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ref="A1035:A1098" si="22">+A1034+1</f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2"/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2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ref="A1099:A1101" si="23">+A1098+1</f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2" r:id="rId19" xr:uid="{ADC65BE2-5B3F-4EB3-89B1-58E7D9C5B4C1}"/>
    <hyperlink ref="B107" r:id="rId20" xr:uid="{42D9B4C2-49DB-4976-8CCA-C4017A3941C0}"/>
    <hyperlink ref="B55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48" r:id="rId48" xr:uid="{135277CF-6DC3-47F7-8FC6-007EBD401D21}"/>
    <hyperlink ref="B91" r:id="rId49" xr:uid="{B5BADCA7-FA1F-4469-8A4E-6DBF15BC2D45}"/>
    <hyperlink ref="B38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62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8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+[80]Main!$I$2</f>
        <v>251.74</v>
      </c>
      <c r="F4" s="15">
        <f>+[80]Main!$I$4</f>
        <v>283312.98862612003</v>
      </c>
      <c r="G4" s="15">
        <f>+[80]Main!$I$6-[80]Main!$I$5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+[81]Main!$J$2</f>
        <v>334.9</v>
      </c>
      <c r="F4" s="15">
        <f>+[81]Main!$J$4</f>
        <v>622169.62413309992</v>
      </c>
      <c r="G4" s="15">
        <f>+[81]Main!$J$6-[81]Main!$J$5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+[82]Main!$I$2</f>
        <v>519.49</v>
      </c>
      <c r="F5" s="15">
        <f>+[82]Main!$I$4</f>
        <v>473623.45178194001</v>
      </c>
      <c r="G5" s="15">
        <f>+[82]Main!$I$6-[82]Main!$I$5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+[83]Main!$J$2</f>
        <v>494.32</v>
      </c>
      <c r="F7" s="15">
        <f>+[83]Main!$J$4</f>
        <v>151607.94399999999</v>
      </c>
      <c r="G7" s="15">
        <f>+[83]Main!$J$6-[83]Main!$J$5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+[84]Main!$I$2</f>
        <v>185.7</v>
      </c>
      <c r="F10" s="15">
        <f>+[84]Main!$I$4</f>
        <v>106522.39852469999</v>
      </c>
      <c r="G10" s="15">
        <f>+[84]Main!$I$6-[84]Main!$I$5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+[85]Main!$I$2</f>
        <v>86.25</v>
      </c>
      <c r="F14" s="15">
        <f>+[85]Main!$I$4</f>
        <v>49517.989724999999</v>
      </c>
      <c r="G14" s="15">
        <f>+[85]Main!$I$6-[85]Main!$I$5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+[86]Main!$I$2</f>
        <v>220.4</v>
      </c>
      <c r="F15" s="15">
        <f>+[86]Main!$I$4</f>
        <v>45785.921346000003</v>
      </c>
      <c r="G15" s="15">
        <f>+[86]Main!$I$6-[86]Main!$I$5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+[87]Main!$J$2</f>
        <v>544.77</v>
      </c>
      <c r="F16" s="15">
        <f>+[87]Main!$J$4</f>
        <v>42149.669331149998</v>
      </c>
      <c r="G16" s="15">
        <f>+[87]Main!$J$6-[87]Main!$J$5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+[88]Main!$J$2</f>
        <v>208.42</v>
      </c>
      <c r="F20" s="15">
        <f>+[88]Main!$J$4</f>
        <v>22709.220190600001</v>
      </c>
      <c r="G20" s="15">
        <f>+[88]Main!$J$6-[88]Main!$J$5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+[89]Main!$K$2</f>
        <v>39.04</v>
      </c>
      <c r="F50" s="15">
        <f>+[89]Main!$K$4</f>
        <v>14227.016843519999</v>
      </c>
      <c r="G50" s="15">
        <f>+[89]Main!$K$6-[89]Main!$K$5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+[90]Main!$H$2</f>
        <v>41.35</v>
      </c>
      <c r="F52" s="15">
        <f>+[90]Main!$H$4</f>
        <v>6320.9364066999997</v>
      </c>
      <c r="G52" s="15">
        <f>+[90]Main!$H$6-[90]Main!$H$5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2025-09-17T12:51:49Z</dcterms:modified>
</cp:coreProperties>
</file>