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780900CF-CA89-47C7-9605-63DD1FBBA959}" xr6:coauthVersionLast="47" xr6:coauthVersionMax="47" xr10:uidLastSave="{00000000-0000-0000-0000-000000000000}"/>
  <bookViews>
    <workbookView xWindow="225" yWindow="2730" windowWidth="38175" windowHeight="15240" activeTab="1" xr2:uid="{A6ACE955-0C4C-4110-BBCD-1B981A886B38}"/>
  </bookViews>
  <sheets>
    <sheet name="Main" sheetId="1" r:id="rId1"/>
    <sheet name="Agriculture" sheetId="2" r:id="rId2"/>
    <sheet name="Mining" sheetId="3" r:id="rId3"/>
    <sheet name="FX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5" i="3"/>
  <c r="G7" i="3"/>
  <c r="F7" i="3"/>
  <c r="E7" i="3"/>
  <c r="G15" i="2"/>
  <c r="F15" i="2"/>
  <c r="E1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G4" i="2"/>
  <c r="F4" i="2"/>
  <c r="E4" i="2"/>
  <c r="H7" i="3" l="1"/>
  <c r="H15" i="2"/>
  <c r="H4" i="2"/>
</calcChain>
</file>

<file path=xl/sharedStrings.xml><?xml version="1.0" encoding="utf-8"?>
<sst xmlns="http://schemas.openxmlformats.org/spreadsheetml/2006/main" count="777" uniqueCount="668">
  <si>
    <t>Materials</t>
  </si>
  <si>
    <t>numbers in mio USD</t>
  </si>
  <si>
    <t>#</t>
  </si>
  <si>
    <t>Name</t>
  </si>
  <si>
    <t>Tickr</t>
  </si>
  <si>
    <t xml:space="preserve">Country </t>
  </si>
  <si>
    <t>Price</t>
  </si>
  <si>
    <t>MC</t>
  </si>
  <si>
    <t>Net Debt</t>
  </si>
  <si>
    <t>EV</t>
  </si>
  <si>
    <t>Lst Updte</t>
  </si>
  <si>
    <t>Nxt Reslt</t>
  </si>
  <si>
    <t>Deere &amp; Co</t>
  </si>
  <si>
    <t>DE</t>
  </si>
  <si>
    <t>US</t>
  </si>
  <si>
    <t>Q424</t>
  </si>
  <si>
    <t>Corteva Inc</t>
  </si>
  <si>
    <t>Zoetis Inc</t>
  </si>
  <si>
    <t>Nutrien Ltd</t>
  </si>
  <si>
    <t>Tyson Foods Inc</t>
  </si>
  <si>
    <t>TSN</t>
  </si>
  <si>
    <t>Archer-Daniels-Midland Co</t>
  </si>
  <si>
    <t>Bayer Ag</t>
  </si>
  <si>
    <t>Cf Industries Holdings Inc</t>
  </si>
  <si>
    <t>Kubota Corp</t>
  </si>
  <si>
    <t>Bunge Global Sa</t>
  </si>
  <si>
    <t>Mowi Asa</t>
  </si>
  <si>
    <t>Cnh Industrial Nv</t>
  </si>
  <si>
    <t>CNH</t>
  </si>
  <si>
    <t xml:space="preserve">Wilmar International </t>
  </si>
  <si>
    <t>Mosaic Co/The</t>
  </si>
  <si>
    <t>Toro Co/The</t>
  </si>
  <si>
    <t>Fmc Corp</t>
  </si>
  <si>
    <t>Agco Corp</t>
  </si>
  <si>
    <t>Darling Ingredients Inc</t>
  </si>
  <si>
    <t>Treasury Wine Estates</t>
  </si>
  <si>
    <t>Yara International Asa</t>
  </si>
  <si>
    <t>China Mengniu Dairy Co</t>
  </si>
  <si>
    <t>Salmar Asa</t>
  </si>
  <si>
    <t>Charoen Pokphand Foods</t>
  </si>
  <si>
    <t>Rumo Sa</t>
  </si>
  <si>
    <t>Balchem Corp</t>
  </si>
  <si>
    <t xml:space="preserve">Elanco Animal Health </t>
  </si>
  <si>
    <t xml:space="preserve">Sime Darby Plantation </t>
  </si>
  <si>
    <t>Incitec Pivot Ltd</t>
  </si>
  <si>
    <t>Bakkafrost P/F</t>
  </si>
  <si>
    <t>Bucher Industries Ag</t>
  </si>
  <si>
    <t>Nh Foods Ltd</t>
  </si>
  <si>
    <t>Icl Group Ltd</t>
  </si>
  <si>
    <t>Pilgrim's Pride Corp</t>
  </si>
  <si>
    <t>Ioi Corp Bhd</t>
  </si>
  <si>
    <t xml:space="preserve">Kuala Lumpur Kepong </t>
  </si>
  <si>
    <t>Charoen Pokphand Indonesia</t>
  </si>
  <si>
    <t>K+s Ag</t>
  </si>
  <si>
    <t>Neogen Corp</t>
  </si>
  <si>
    <t>Ppb Group Bhd</t>
  </si>
  <si>
    <t>Oci Nv</t>
  </si>
  <si>
    <t>Nippon Suisan Kaisha</t>
  </si>
  <si>
    <t xml:space="preserve">Taiwan Fertilizer Co </t>
  </si>
  <si>
    <t xml:space="preserve">Leroy Seafood Group </t>
  </si>
  <si>
    <t>Genus Plc</t>
  </si>
  <si>
    <t xml:space="preserve">Golden Agri-Resources </t>
  </si>
  <si>
    <t>Schouw &amp; Co A/S</t>
  </si>
  <si>
    <t xml:space="preserve">Main </t>
  </si>
  <si>
    <t>Main</t>
  </si>
  <si>
    <t>CTVA</t>
  </si>
  <si>
    <t>BHP Group</t>
  </si>
  <si>
    <t>BHP</t>
  </si>
  <si>
    <t>Australia</t>
  </si>
  <si>
    <t>China Shenhua Energy</t>
  </si>
  <si>
    <t>601088.SS</t>
  </si>
  <si>
    <t>China</t>
  </si>
  <si>
    <t>Rio Tinto</t>
  </si>
  <si>
    <t>RIO</t>
  </si>
  <si>
    <t>United Kingdom</t>
  </si>
  <si>
    <t>Southern Copper</t>
  </si>
  <si>
    <t>SCCO</t>
  </si>
  <si>
    <t>United States</t>
  </si>
  <si>
    <t>Zijin Mining</t>
  </si>
  <si>
    <t>601899.SS</t>
  </si>
  <si>
    <t>Newmont</t>
  </si>
  <si>
    <t>NEM</t>
  </si>
  <si>
    <t>Agnico Eagle Mines</t>
  </si>
  <si>
    <t>AEM</t>
  </si>
  <si>
    <t>Canada</t>
  </si>
  <si>
    <t>Freeport-McMoRan</t>
  </si>
  <si>
    <t>FCX</t>
  </si>
  <si>
    <t>Ma'aden</t>
  </si>
  <si>
    <t>1211.SR</t>
  </si>
  <si>
    <t>Saudi Arabia</t>
  </si>
  <si>
    <t>Bayan Resources</t>
  </si>
  <si>
    <t>BYAN.JK</t>
  </si>
  <si>
    <t>Indonesia</t>
  </si>
  <si>
    <t>Vale</t>
  </si>
  <si>
    <t>VALE</t>
  </si>
  <si>
    <t>Brazil</t>
  </si>
  <si>
    <t>Glencore</t>
  </si>
  <si>
    <t>GLCNF</t>
  </si>
  <si>
    <t>Switzerland</t>
  </si>
  <si>
    <t>Grupo MÃ©xico</t>
  </si>
  <si>
    <t>GMBXF</t>
  </si>
  <si>
    <t>Mexico</t>
  </si>
  <si>
    <t>Wheaton Precious Metals</t>
  </si>
  <si>
    <t>WPM</t>
  </si>
  <si>
    <t>Barrick Gold</t>
  </si>
  <si>
    <t>GOLD</t>
  </si>
  <si>
    <t>Anglo American</t>
  </si>
  <si>
    <t>AAL.L</t>
  </si>
  <si>
    <t>Franco-Nevada</t>
  </si>
  <si>
    <t>FNV</t>
  </si>
  <si>
    <t>Fortescue</t>
  </si>
  <si>
    <t>FMG.AX</t>
  </si>
  <si>
    <t>Coal India</t>
  </si>
  <si>
    <t>COALINDIA.NS</t>
  </si>
  <si>
    <t>India</t>
  </si>
  <si>
    <t>Nutrien</t>
  </si>
  <si>
    <t>NTR</t>
  </si>
  <si>
    <t>Nornickel</t>
  </si>
  <si>
    <t>GMKN.ME</t>
  </si>
  <si>
    <t>Russia</t>
  </si>
  <si>
    <t>Gold Fields</t>
  </si>
  <si>
    <t>GFI</t>
  </si>
  <si>
    <t>South Africa</t>
  </si>
  <si>
    <t>AngloGold Ashanti</t>
  </si>
  <si>
    <t>AU</t>
  </si>
  <si>
    <t>Antofagasta</t>
  </si>
  <si>
    <t>ANTO.L</t>
  </si>
  <si>
    <t>Vedanta</t>
  </si>
  <si>
    <t>VEDL.NS</t>
  </si>
  <si>
    <t>Shandong Gold Mining</t>
  </si>
  <si>
    <t>600547.SS</t>
  </si>
  <si>
    <t>Kinross Gold</t>
  </si>
  <si>
    <t>KGC</t>
  </si>
  <si>
    <t>Cameco</t>
  </si>
  <si>
    <t>CCJ</t>
  </si>
  <si>
    <t>Teck Resources</t>
  </si>
  <si>
    <t>TECK</t>
  </si>
  <si>
    <t>Northern Star</t>
  </si>
  <si>
    <t>NST.AX</t>
  </si>
  <si>
    <t>Yankuang Energy (Yanzhou Coal Mining)</t>
  </si>
  <si>
    <t>600188.SS</t>
  </si>
  <si>
    <t>Alamos Gold</t>
  </si>
  <si>
    <t>AGI</t>
  </si>
  <si>
    <t>Royal Gold</t>
  </si>
  <si>
    <t>RGLD</t>
  </si>
  <si>
    <t>Ivanhoe Mines</t>
  </si>
  <si>
    <t>IVN.TO</t>
  </si>
  <si>
    <t>Severstal</t>
  </si>
  <si>
    <t>CHMF.ME</t>
  </si>
  <si>
    <t>Harmony Gold</t>
  </si>
  <si>
    <t>HMY</t>
  </si>
  <si>
    <t>Evolution Mining</t>
  </si>
  <si>
    <t>EVN.AX</t>
  </si>
  <si>
    <t>First Quantum Minerals</t>
  </si>
  <si>
    <t>FM.TO</t>
  </si>
  <si>
    <t>Kazatomprom</t>
  </si>
  <si>
    <t>0ZQ.F</t>
  </si>
  <si>
    <t>Kazakhstan</t>
  </si>
  <si>
    <t>Pan American Silver</t>
  </si>
  <si>
    <t>PAAS</t>
  </si>
  <si>
    <t>Fresnillo</t>
  </si>
  <si>
    <t>FNLPF</t>
  </si>
  <si>
    <t>Lundin Gold</t>
  </si>
  <si>
    <t>LUG.TO</t>
  </si>
  <si>
    <t>Washington H. Soul Pattinson and Company (Soul Patts)</t>
  </si>
  <si>
    <t>SOL.AX</t>
  </si>
  <si>
    <t>Boliden</t>
  </si>
  <si>
    <t>BOL.ST</t>
  </si>
  <si>
    <t>Sweden</t>
  </si>
  <si>
    <t>Ganfeng Lithium</t>
  </si>
  <si>
    <t>002460.SZ</t>
  </si>
  <si>
    <t>South32</t>
  </si>
  <si>
    <t>S32.AX</t>
  </si>
  <si>
    <t>Metso</t>
  </si>
  <si>
    <t>METSO.HE</t>
  </si>
  <si>
    <t>Finland</t>
  </si>
  <si>
    <t>National Mineral Development Corporation</t>
  </si>
  <si>
    <t>NMDC.NS</t>
  </si>
  <si>
    <t>Endeavour Mining</t>
  </si>
  <si>
    <t>EDV.TO</t>
  </si>
  <si>
    <t>Lundin Mining</t>
  </si>
  <si>
    <t>LUN.TO</t>
  </si>
  <si>
    <t>Impala Platinum</t>
  </si>
  <si>
    <t>IMP.JO</t>
  </si>
  <si>
    <t>KGHM Polska MiedÅº</t>
  </si>
  <si>
    <t>KGH.WA</t>
  </si>
  <si>
    <t>Poland</t>
  </si>
  <si>
    <t>Tianqi Lithium</t>
  </si>
  <si>
    <t>002466.SZ</t>
  </si>
  <si>
    <t>CSN MineraÃ§Ã£o</t>
  </si>
  <si>
    <t>CMIN3.SA</t>
  </si>
  <si>
    <t>Sumitomo Metal Mining</t>
  </si>
  <si>
    <t>5713.T</t>
  </si>
  <si>
    <t>Japan</t>
  </si>
  <si>
    <t>United Tractors</t>
  </si>
  <si>
    <t>UNTR.JK</t>
  </si>
  <si>
    <t>Lynas</t>
  </si>
  <si>
    <t>LYC.AX</t>
  </si>
  <si>
    <t>Triple Flag Precious Metals</t>
  </si>
  <si>
    <t>TFPM</t>
  </si>
  <si>
    <t>Osisko Gold Royalties</t>
  </si>
  <si>
    <t>OR</t>
  </si>
  <si>
    <t>B2Gold</t>
  </si>
  <si>
    <t>BTG</t>
  </si>
  <si>
    <t>Yancoal</t>
  </si>
  <si>
    <t>YAL.AX</t>
  </si>
  <si>
    <t>Iamgold</t>
  </si>
  <si>
    <t>IAG</t>
  </si>
  <si>
    <t>MP Materials</t>
  </si>
  <si>
    <t>MP</t>
  </si>
  <si>
    <t>De Grey Mining</t>
  </si>
  <si>
    <t>DEG.AX</t>
  </si>
  <si>
    <t>NLC India</t>
  </si>
  <si>
    <t>NLCINDIA.NS</t>
  </si>
  <si>
    <t>Core Natural Resources</t>
  </si>
  <si>
    <t>CNR</t>
  </si>
  <si>
    <t>Buenaventura Mining Company</t>
  </si>
  <si>
    <t>BVN</t>
  </si>
  <si>
    <t>Peru</t>
  </si>
  <si>
    <t>Coeur Mining</t>
  </si>
  <si>
    <t>CDE</t>
  </si>
  <si>
    <t>Hecla Mining</t>
  </si>
  <si>
    <t>HL</t>
  </si>
  <si>
    <t>Alliance Resource Partners</t>
  </si>
  <si>
    <t>ARLP</t>
  </si>
  <si>
    <t>Orla Mining</t>
  </si>
  <si>
    <t>ORLA</t>
  </si>
  <si>
    <t>Capstone Copper</t>
  </si>
  <si>
    <t>CS.TO</t>
  </si>
  <si>
    <t>Equinox Gold</t>
  </si>
  <si>
    <t>EQX</t>
  </si>
  <si>
    <t>First Majestic Silver</t>
  </si>
  <si>
    <t>AG</t>
  </si>
  <si>
    <t>Perseus Mining</t>
  </si>
  <si>
    <t>PRU.AX</t>
  </si>
  <si>
    <t>Pilbara Minerals</t>
  </si>
  <si>
    <t>PLS.AX</t>
  </si>
  <si>
    <t>Sibanye-Stillwater</t>
  </si>
  <si>
    <t>SBSW</t>
  </si>
  <si>
    <t>New Gold</t>
  </si>
  <si>
    <t>NGD</t>
  </si>
  <si>
    <t>Coronado Global Resources</t>
  </si>
  <si>
    <t>CRN.AX</t>
  </si>
  <si>
    <t>Hudbay Minerals</t>
  </si>
  <si>
    <t>HBM</t>
  </si>
  <si>
    <t>NexGen Energy</t>
  </si>
  <si>
    <t>NXE</t>
  </si>
  <si>
    <t>Whitehaven Coal</t>
  </si>
  <si>
    <t>WHC.AX</t>
  </si>
  <si>
    <t>China Gold International Resources</t>
  </si>
  <si>
    <t>CGG.TO</t>
  </si>
  <si>
    <t>Torex Gold Resources</t>
  </si>
  <si>
    <t>TXG.TO</t>
  </si>
  <si>
    <t>Koza Gold</t>
  </si>
  <si>
    <t>KOZAL.IS</t>
  </si>
  <si>
    <t>Turkey</t>
  </si>
  <si>
    <t>Greatland Gold</t>
  </si>
  <si>
    <t>GGP.L</t>
  </si>
  <si>
    <t>OceanaGold</t>
  </si>
  <si>
    <t>OGC.TO</t>
  </si>
  <si>
    <t>Warrior Met Coal</t>
  </si>
  <si>
    <t>HCC</t>
  </si>
  <si>
    <t>Dundee Precious Metals</t>
  </si>
  <si>
    <t>DPM.TO</t>
  </si>
  <si>
    <t>Hindustan Copper</t>
  </si>
  <si>
    <t>HINDCOPPER.NS</t>
  </si>
  <si>
    <t>Sandstorm Gold</t>
  </si>
  <si>
    <t>SAND</t>
  </si>
  <si>
    <t>Regis Resources</t>
  </si>
  <si>
    <t>RRL.AX</t>
  </si>
  <si>
    <t>K92 Mining</t>
  </si>
  <si>
    <t>KNT.TO</t>
  </si>
  <si>
    <t>Gold Road Resources</t>
  </si>
  <si>
    <t>GOR.AX</t>
  </si>
  <si>
    <t>Mineral Resources</t>
  </si>
  <si>
    <t>MIN.AX</t>
  </si>
  <si>
    <t>Exxaro Resources</t>
  </si>
  <si>
    <t>EXX.JO</t>
  </si>
  <si>
    <t>Hochschild Mining</t>
  </si>
  <si>
    <t>HOC.L</t>
  </si>
  <si>
    <t>New Hope Corporation</t>
  </si>
  <si>
    <t>NHC.AX</t>
  </si>
  <si>
    <t>Ramelius Resources</t>
  </si>
  <si>
    <t>RMS.AX</t>
  </si>
  <si>
    <t>Fortuna Mining</t>
  </si>
  <si>
    <t>FSM</t>
  </si>
  <si>
    <t>Vault Minerals</t>
  </si>
  <si>
    <t>VAU.AX</t>
  </si>
  <si>
    <t>Merdeka Copper Gold</t>
  </si>
  <si>
    <t>MDKA.JK</t>
  </si>
  <si>
    <t>Uranium Energy</t>
  </si>
  <si>
    <t>UEC</t>
  </si>
  <si>
    <t>Calibre Mining</t>
  </si>
  <si>
    <t>CXB.TO</t>
  </si>
  <si>
    <t>African Rainbow Minerals</t>
  </si>
  <si>
    <t>ARI.JO</t>
  </si>
  <si>
    <t>Wesdome Gold Mines</t>
  </si>
  <si>
    <t>WDO.TO</t>
  </si>
  <si>
    <t>Westgold Resources Limited</t>
  </si>
  <si>
    <t>WGX.AX</t>
  </si>
  <si>
    <t>SilverCrest Metals</t>
  </si>
  <si>
    <t>SILV</t>
  </si>
  <si>
    <t>IGO Limited</t>
  </si>
  <si>
    <t>IGO.AX</t>
  </si>
  <si>
    <t>Codan Limited</t>
  </si>
  <si>
    <t>CDA.AX</t>
  </si>
  <si>
    <t>KIOCL</t>
  </si>
  <si>
    <t>KIOCL.NS</t>
  </si>
  <si>
    <t>BEML</t>
  </si>
  <si>
    <t>BEML.NS</t>
  </si>
  <si>
    <t>MAG Silver</t>
  </si>
  <si>
    <t>MAG</t>
  </si>
  <si>
    <t>Mitsui Mining &amp;amp</t>
  </si>
  <si>
    <t>Alpha Metallurgical Resources</t>
  </si>
  <si>
    <t>AMR</t>
  </si>
  <si>
    <t>Eramet</t>
  </si>
  <si>
    <t>ERA.PA</t>
  </si>
  <si>
    <t>Champion Iron</t>
  </si>
  <si>
    <t>CIA.AX</t>
  </si>
  <si>
    <t>Vale Indonesia</t>
  </si>
  <si>
    <t>INCO.JK</t>
  </si>
  <si>
    <t>Peabody Energy</t>
  </si>
  <si>
    <t>BTU</t>
  </si>
  <si>
    <t>CGN Mining Company</t>
  </si>
  <si>
    <t>1164.HK</t>
  </si>
  <si>
    <t>DRDGOLD</t>
  </si>
  <si>
    <t>DRD</t>
  </si>
  <si>
    <t>Centerra Gold</t>
  </si>
  <si>
    <t>CGAU</t>
  </si>
  <si>
    <t>Polymetal</t>
  </si>
  <si>
    <t>PM6A.F</t>
  </si>
  <si>
    <t>Nickel Industries Limited</t>
  </si>
  <si>
    <t>NIC.AX</t>
  </si>
  <si>
    <t>Al Masane Al Kobra Mining Company</t>
  </si>
  <si>
    <t>1322.SR</t>
  </si>
  <si>
    <t>Allied Gold Corporation</t>
  </si>
  <si>
    <t>AAUC.TO</t>
  </si>
  <si>
    <t>Mechel PAO</t>
  </si>
  <si>
    <t>MTL</t>
  </si>
  <si>
    <t>Paladin Energy</t>
  </si>
  <si>
    <t>PDN.AX</t>
  </si>
  <si>
    <t>Skeena Resources</t>
  </si>
  <si>
    <t>SKE</t>
  </si>
  <si>
    <t>Deterra Royalties</t>
  </si>
  <si>
    <t>DRR.AX</t>
  </si>
  <si>
    <t>Seabridge Gold</t>
  </si>
  <si>
    <t>SA</t>
  </si>
  <si>
    <t>Denison Mines</t>
  </si>
  <si>
    <t>DNN</t>
  </si>
  <si>
    <t>Aya Gold &amp;amp</t>
  </si>
  <si>
    <t>Ero Copper</t>
  </si>
  <si>
    <t>ERO</t>
  </si>
  <si>
    <t>Gujarat Mineral Development</t>
  </si>
  <si>
    <t>GMDCLTD.NS</t>
  </si>
  <si>
    <t>Endeavour Silver</t>
  </si>
  <si>
    <t>EXK</t>
  </si>
  <si>
    <t>Foran Mining</t>
  </si>
  <si>
    <t>FOM.TO</t>
  </si>
  <si>
    <t>Bellevue Gold</t>
  </si>
  <si>
    <t>BGL.AX</t>
  </si>
  <si>
    <t>Iluka Resources</t>
  </si>
  <si>
    <t>ILU.AX</t>
  </si>
  <si>
    <t>Montage Gold Corp.</t>
  </si>
  <si>
    <t>MAU.V</t>
  </si>
  <si>
    <t>Sigma Lithium</t>
  </si>
  <si>
    <t>SGML</t>
  </si>
  <si>
    <t>Aris Mining</t>
  </si>
  <si>
    <t>ARMN</t>
  </si>
  <si>
    <t>TMC the metals company</t>
  </si>
  <si>
    <t>TMC</t>
  </si>
  <si>
    <t>Imdex Limited</t>
  </si>
  <si>
    <t>IMD.AX</t>
  </si>
  <si>
    <t>NovaGold Resources</t>
  </si>
  <si>
    <t>NG</t>
  </si>
  <si>
    <t>Liontown Resources</t>
  </si>
  <si>
    <t>LTR.AX</t>
  </si>
  <si>
    <t>Rupert Resources</t>
  </si>
  <si>
    <t>RUP.TO</t>
  </si>
  <si>
    <t>Collective Mining</t>
  </si>
  <si>
    <t>CNL</t>
  </si>
  <si>
    <t>Energy Fuels</t>
  </si>
  <si>
    <t>UUUU</t>
  </si>
  <si>
    <t>Perpetua Resources</t>
  </si>
  <si>
    <t>PPTA</t>
  </si>
  <si>
    <t>Nexa Resources</t>
  </si>
  <si>
    <t>NEXA</t>
  </si>
  <si>
    <t>Altius Minerals</t>
  </si>
  <si>
    <t>ALS.TO</t>
  </si>
  <si>
    <t>MOIL</t>
  </si>
  <si>
    <t>MOIL.NS</t>
  </si>
  <si>
    <t>Jastrzebska SpÃ³lka Weglowa</t>
  </si>
  <si>
    <t>JSW.WA</t>
  </si>
  <si>
    <t>NRW Holdings Limited</t>
  </si>
  <si>
    <t>NWH.AX</t>
  </si>
  <si>
    <t>Boss Energy</t>
  </si>
  <si>
    <t>BOE.AX</t>
  </si>
  <si>
    <t>CompaÃ±Ã­a de Acero del PacÃ­fico</t>
  </si>
  <si>
    <t>CAP.SN</t>
  </si>
  <si>
    <t>Ivanhoe Electric</t>
  </si>
  <si>
    <t>IE</t>
  </si>
  <si>
    <t>Nittetsu Mining</t>
  </si>
  <si>
    <t>1515.T</t>
  </si>
  <si>
    <t>Pantoro Limited</t>
  </si>
  <si>
    <t>PNR.AX</t>
  </si>
  <si>
    <t>Predictive Discovery Limited</t>
  </si>
  <si>
    <t>PDI.AX</t>
  </si>
  <si>
    <t>Discovery Silver Corp.</t>
  </si>
  <si>
    <t>DSV.TO</t>
  </si>
  <si>
    <t>Resolute Mining</t>
  </si>
  <si>
    <t>RSG.AX</t>
  </si>
  <si>
    <t>Taseko Mines</t>
  </si>
  <si>
    <t>TGB</t>
  </si>
  <si>
    <t>Vizsla Silver</t>
  </si>
  <si>
    <t>VZLA</t>
  </si>
  <si>
    <t>G2 Goldfields</t>
  </si>
  <si>
    <t>GTWO.TO</t>
  </si>
  <si>
    <t>Lithium Americas</t>
  </si>
  <si>
    <t>LAC</t>
  </si>
  <si>
    <t>Deep Yellow</t>
  </si>
  <si>
    <t>DYL.AX</t>
  </si>
  <si>
    <t>Hallador Energy Company</t>
  </si>
  <si>
    <t>HNRG</t>
  </si>
  <si>
    <t>ASA Gold and Precious Metals</t>
  </si>
  <si>
    <t>ASA</t>
  </si>
  <si>
    <t>Energy Resources of Australia</t>
  </si>
  <si>
    <t>ERA.AX</t>
  </si>
  <si>
    <t>Northern Dynasty Minerals</t>
  </si>
  <si>
    <t>NAK</t>
  </si>
  <si>
    <t>WA1 Resources</t>
  </si>
  <si>
    <t>WA1.AX</t>
  </si>
  <si>
    <t>IsoEnergy</t>
  </si>
  <si>
    <t>ISO.V</t>
  </si>
  <si>
    <t>Solaris Resources</t>
  </si>
  <si>
    <t>SLSR</t>
  </si>
  <si>
    <t>Major Drilling Group International</t>
  </si>
  <si>
    <t>MDI.TO</t>
  </si>
  <si>
    <t>Compass Minerals</t>
  </si>
  <si>
    <t>CMP</t>
  </si>
  <si>
    <t>BCI Minerals Limited</t>
  </si>
  <si>
    <t>BCI.AX</t>
  </si>
  <si>
    <t>Develop Global Limited</t>
  </si>
  <si>
    <t>DVP.AX</t>
  </si>
  <si>
    <t>Ramaco Resources</t>
  </si>
  <si>
    <t>METC</t>
  </si>
  <si>
    <t>McEwen Mining</t>
  </si>
  <si>
    <t>MUX</t>
  </si>
  <si>
    <t>Prakash Industries</t>
  </si>
  <si>
    <t>PRAKASH.NS</t>
  </si>
  <si>
    <t>RPMGlobal Holdings Limited</t>
  </si>
  <si>
    <t>RUL.AX</t>
  </si>
  <si>
    <t>Central Asia Metals</t>
  </si>
  <si>
    <t>CAML.L</t>
  </si>
  <si>
    <t>Mandalay Resources</t>
  </si>
  <si>
    <t>MND.TO</t>
  </si>
  <si>
    <t>Macmahon Holdings</t>
  </si>
  <si>
    <t>MAH.AX</t>
  </si>
  <si>
    <t>Americas Gold and Silver Corp</t>
  </si>
  <si>
    <t>USAS</t>
  </si>
  <si>
    <t>Marimaca Copper</t>
  </si>
  <si>
    <t>MARI.TO</t>
  </si>
  <si>
    <t>Galiano Gold</t>
  </si>
  <si>
    <t>GAU</t>
  </si>
  <si>
    <t>Dakota Gold</t>
  </si>
  <si>
    <t>DC</t>
  </si>
  <si>
    <t>Latin Resources</t>
  </si>
  <si>
    <t>LRS.AX</t>
  </si>
  <si>
    <t>United States Antimony Corporation</t>
  </si>
  <si>
    <t>UAMY</t>
  </si>
  <si>
    <t>Metalla Royalty &amp; Streaming</t>
  </si>
  <si>
    <t>MTA</t>
  </si>
  <si>
    <t>Sovereign Metals</t>
  </si>
  <si>
    <t>SVM.AX</t>
  </si>
  <si>
    <t>NACCO Industries</t>
  </si>
  <si>
    <t>NC</t>
  </si>
  <si>
    <t>Chrysos Corporation Limited</t>
  </si>
  <si>
    <t>C79.AX</t>
  </si>
  <si>
    <t>Arafura Rare Earths</t>
  </si>
  <si>
    <t>ARU.AX</t>
  </si>
  <si>
    <t>Gold Royalty Corp</t>
  </si>
  <si>
    <t>GROY</t>
  </si>
  <si>
    <t>Kingsgate Consolidated Limited</t>
  </si>
  <si>
    <t>KCN.AX</t>
  </si>
  <si>
    <t>Avino Silver &amp;amp</t>
  </si>
  <si>
    <t>Emeco Holdings</t>
  </si>
  <si>
    <t>EHL.AX</t>
  </si>
  <si>
    <t>Mount Gibson Iron</t>
  </si>
  <si>
    <t>MGX.AX</t>
  </si>
  <si>
    <t>Bannerman Energy</t>
  </si>
  <si>
    <t>BMN.AX</t>
  </si>
  <si>
    <t>Probe Gold Inc.</t>
  </si>
  <si>
    <t>PRB.TO</t>
  </si>
  <si>
    <t>i-80 Gold</t>
  </si>
  <si>
    <t>IAUX</t>
  </si>
  <si>
    <t>Nouveau Monde Graphite</t>
  </si>
  <si>
    <t>NMG</t>
  </si>
  <si>
    <t>Caledonia Mining</t>
  </si>
  <si>
    <t>CMCL</t>
  </si>
  <si>
    <t>Aurelia Metals</t>
  </si>
  <si>
    <t>AMI.AX</t>
  </si>
  <si>
    <t>Magnetic Resources NL</t>
  </si>
  <si>
    <t>MAU.AX</t>
  </si>
  <si>
    <t>Standard Lithium</t>
  </si>
  <si>
    <t>SLI</t>
  </si>
  <si>
    <t>Chalice Mining</t>
  </si>
  <si>
    <t>CHN.AX</t>
  </si>
  <si>
    <t>New Found Gold</t>
  </si>
  <si>
    <t>NFGC</t>
  </si>
  <si>
    <t>Integra Resources</t>
  </si>
  <si>
    <t>ITRG</t>
  </si>
  <si>
    <t>Metals Exploration</t>
  </si>
  <si>
    <t>MTL.L</t>
  </si>
  <si>
    <t>Ur-Energy</t>
  </si>
  <si>
    <t>URG</t>
  </si>
  <si>
    <t>Idaho Strategic Resources</t>
  </si>
  <si>
    <t>IDR</t>
  </si>
  <si>
    <t>enCore Energy</t>
  </si>
  <si>
    <t>EU</t>
  </si>
  <si>
    <t>EMX Royalty</t>
  </si>
  <si>
    <t>EMX</t>
  </si>
  <si>
    <t>Trilogy Metals</t>
  </si>
  <si>
    <t>TMQ</t>
  </si>
  <si>
    <t>Osisko Development</t>
  </si>
  <si>
    <t>ODV</t>
  </si>
  <si>
    <t>Patriot Battery Metals</t>
  </si>
  <si>
    <t>PMET.TO</t>
  </si>
  <si>
    <t>Western Copper and Gold</t>
  </si>
  <si>
    <t>WRN</t>
  </si>
  <si>
    <t>Nordic Mining ASA</t>
  </si>
  <si>
    <t>NOM.OL</t>
  </si>
  <si>
    <t>ioneer</t>
  </si>
  <si>
    <t>IONR</t>
  </si>
  <si>
    <t>Base Resources Limited</t>
  </si>
  <si>
    <t>BSE.AX</t>
  </si>
  <si>
    <t>Lithium Royalty Corp.</t>
  </si>
  <si>
    <t>LIRC.TO</t>
  </si>
  <si>
    <t>New Pacific Metals</t>
  </si>
  <si>
    <t>NEWP</t>
  </si>
  <si>
    <t>Metro Mining</t>
  </si>
  <si>
    <t>MMI.AX</t>
  </si>
  <si>
    <t>Jupiter Mines Limited</t>
  </si>
  <si>
    <t>JMS.AX</t>
  </si>
  <si>
    <t>Lubelski Wegiel Bogdanka</t>
  </si>
  <si>
    <t>LWB.WA</t>
  </si>
  <si>
    <t>Capital Limited</t>
  </si>
  <si>
    <t>CAPD.L</t>
  </si>
  <si>
    <t>HMS Bergbau</t>
  </si>
  <si>
    <t>HMU.DE</t>
  </si>
  <si>
    <t>GoldMining Inc.</t>
  </si>
  <si>
    <t>GLDG</t>
  </si>
  <si>
    <t>Vox Royalty</t>
  </si>
  <si>
    <t>VOXR</t>
  </si>
  <si>
    <t>Prime Mining Corp.</t>
  </si>
  <si>
    <t>PRYM.TO</t>
  </si>
  <si>
    <t>GreenX Metals</t>
  </si>
  <si>
    <t>GRX.AX</t>
  </si>
  <si>
    <t>Contango Ore</t>
  </si>
  <si>
    <t>CTGO</t>
  </si>
  <si>
    <t>Grange Resources</t>
  </si>
  <si>
    <t>GRR.AX</t>
  </si>
  <si>
    <t>Piedmont Lithium</t>
  </si>
  <si>
    <t>PLL</t>
  </si>
  <si>
    <t>Strickland Metals Limited</t>
  </si>
  <si>
    <t>STK.AX</t>
  </si>
  <si>
    <t>Los Andes Copper</t>
  </si>
  <si>
    <t>LA.V</t>
  </si>
  <si>
    <t>Sierra Metals</t>
  </si>
  <si>
    <t>SMT.TO</t>
  </si>
  <si>
    <t>Global Atomic</t>
  </si>
  <si>
    <t>GLO.TO</t>
  </si>
  <si>
    <t>U.S. Gold Corp</t>
  </si>
  <si>
    <t>USAU</t>
  </si>
  <si>
    <t>Fenix Resources</t>
  </si>
  <si>
    <t>FEX.AX</t>
  </si>
  <si>
    <t>U.S. GoldMining</t>
  </si>
  <si>
    <t>USGO</t>
  </si>
  <si>
    <t>International Tower Hill Mines</t>
  </si>
  <si>
    <t>THM</t>
  </si>
  <si>
    <t>Platinum Group Metals</t>
  </si>
  <si>
    <t>PLG</t>
  </si>
  <si>
    <t>Scully Royalty</t>
  </si>
  <si>
    <t>SRL</t>
  </si>
  <si>
    <t>Arizona Metals</t>
  </si>
  <si>
    <t>AMC.TO</t>
  </si>
  <si>
    <t>Talga Group</t>
  </si>
  <si>
    <t>TLG.AX</t>
  </si>
  <si>
    <t>Laramide Resources</t>
  </si>
  <si>
    <t>LAM.TO</t>
  </si>
  <si>
    <t>AIC Mines Limited</t>
  </si>
  <si>
    <t>A1M.AX</t>
  </si>
  <si>
    <t>Ascot Resources</t>
  </si>
  <si>
    <t>AOT.TO</t>
  </si>
  <si>
    <t>Quantum Graphite</t>
  </si>
  <si>
    <t>QGL.AX</t>
  </si>
  <si>
    <t>Aeris Resources</t>
  </si>
  <si>
    <t>AIS.AX</t>
  </si>
  <si>
    <t>29Metals</t>
  </si>
  <si>
    <t>29M.AX</t>
  </si>
  <si>
    <t>Vista Gold</t>
  </si>
  <si>
    <t>VGZ</t>
  </si>
  <si>
    <t>NioCorp Developments</t>
  </si>
  <si>
    <t>NB</t>
  </si>
  <si>
    <t>Renascor Resources</t>
  </si>
  <si>
    <t>RNU.AX</t>
  </si>
  <si>
    <t>American Battery Technology Company</t>
  </si>
  <si>
    <t>ABAT</t>
  </si>
  <si>
    <t>Tanzanian Gold Corporation</t>
  </si>
  <si>
    <t>TRX</t>
  </si>
  <si>
    <t>Forsys Metals</t>
  </si>
  <si>
    <t>FSY.TO</t>
  </si>
  <si>
    <t>Hycroft Mining</t>
  </si>
  <si>
    <t>HYMC</t>
  </si>
  <si>
    <t>Alligator Energy</t>
  </si>
  <si>
    <t>AGE.AX</t>
  </si>
  <si>
    <t>Atlas Lithium</t>
  </si>
  <si>
    <t>ATLX</t>
  </si>
  <si>
    <t>Mega Uranium</t>
  </si>
  <si>
    <t>MGA.TO</t>
  </si>
  <si>
    <t>Peninsula Energy</t>
  </si>
  <si>
    <t>PEN.AX</t>
  </si>
  <si>
    <t>Aura Energy</t>
  </si>
  <si>
    <t>AURA.L</t>
  </si>
  <si>
    <t>Encounter Resources</t>
  </si>
  <si>
    <t>ENR.AX</t>
  </si>
  <si>
    <t>Fury Gold Mines</t>
  </si>
  <si>
    <t>FURY</t>
  </si>
  <si>
    <t>Petropavlovsk</t>
  </si>
  <si>
    <t>POG.L</t>
  </si>
  <si>
    <t>Elevate Uranium</t>
  </si>
  <si>
    <t>EL8.AX</t>
  </si>
  <si>
    <t>Nova Minerals</t>
  </si>
  <si>
    <t>NVA</t>
  </si>
  <si>
    <t>Orosur Mining</t>
  </si>
  <si>
    <t>OMI.V</t>
  </si>
  <si>
    <t>Comstock Mining</t>
  </si>
  <si>
    <t>LODE</t>
  </si>
  <si>
    <t>Solitario Zinc</t>
  </si>
  <si>
    <t>XPL</t>
  </si>
  <si>
    <t>Silver One Resources</t>
  </si>
  <si>
    <t>SVE.V</t>
  </si>
  <si>
    <t>Bear Creek Mining</t>
  </si>
  <si>
    <t>BCM.V</t>
  </si>
  <si>
    <t>Westwater Resources</t>
  </si>
  <si>
    <t>WWR</t>
  </si>
  <si>
    <t>Investigator Resources</t>
  </si>
  <si>
    <t>IVR.AX</t>
  </si>
  <si>
    <t>Almaden Minerals</t>
  </si>
  <si>
    <t>AAU</t>
  </si>
  <si>
    <t>Austin Gold</t>
  </si>
  <si>
    <t>AUST</t>
  </si>
  <si>
    <t>Poseidon Nickel</t>
  </si>
  <si>
    <t>POS.AX</t>
  </si>
  <si>
    <t>Toro Energy</t>
  </si>
  <si>
    <t>TOE.AX</t>
  </si>
  <si>
    <t>Superior Resources</t>
  </si>
  <si>
    <t>SPQ.AX</t>
  </si>
  <si>
    <t>GTI Energy</t>
  </si>
  <si>
    <t>GTR.AX</t>
  </si>
  <si>
    <t>Aurora Energy Metals</t>
  </si>
  <si>
    <t>1AE.AX</t>
  </si>
  <si>
    <t>Golden Minerals</t>
  </si>
  <si>
    <t>AUMN</t>
  </si>
  <si>
    <t>Sabre Resources</t>
  </si>
  <si>
    <t>SBR.AX</t>
  </si>
  <si>
    <t>Trillium Gold Mines</t>
  </si>
  <si>
    <t>TGM.V</t>
  </si>
  <si>
    <t>Great Panther Mining</t>
  </si>
  <si>
    <t>GPLDF</t>
  </si>
  <si>
    <t>Q125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</si>
</sst>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;\(#,##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/>
    <xf numFmtId="0" fontId="5" fillId="0" borderId="0" xfId="1" applyFont="1"/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E.xlsx" TargetMode="External"/><Relationship Id="rId2" Type="http://schemas.openxmlformats.org/officeDocument/2006/relationships/externalLinkPath" Target="file:///E:\1.Finance\Anaylsen\Models\DE.xlsx" TargetMode="External"/><Relationship Id="rId1" Type="http://schemas.openxmlformats.org/officeDocument/2006/relationships/externalLinkPath" Target="/1.Finance/Anaylsen/Models/D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NH.xlsx" TargetMode="External"/><Relationship Id="rId2" Type="http://schemas.openxmlformats.org/officeDocument/2006/relationships/externalLinkPath" Target="file:///E:\1.Finance\Anaylsen\Models\CNH.xlsx" TargetMode="External"/><Relationship Id="rId1" Type="http://schemas.openxmlformats.org/officeDocument/2006/relationships/externalLinkPath" Target="/1.Finance/Anaylsen/Models/CN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CCO.xlsx" TargetMode="External"/><Relationship Id="rId2" Type="http://schemas.openxmlformats.org/officeDocument/2006/relationships/externalLinkPath" Target="file:///E:\1.Finance\Anaylsen\Models\SCCO.xlsx" TargetMode="External"/><Relationship Id="rId1" Type="http://schemas.openxmlformats.org/officeDocument/2006/relationships/externalLinkPath" Target="/1.Finance/Anaylsen/Models/SC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485.5</v>
          </cell>
        </row>
        <row r="4">
          <cell r="H4">
            <v>131849.79941100001</v>
          </cell>
        </row>
        <row r="5">
          <cell r="H5">
            <v>8478</v>
          </cell>
        </row>
        <row r="6">
          <cell r="H6">
            <v>65193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13.78</v>
          </cell>
        </row>
        <row r="4">
          <cell r="H4">
            <v>17217.167902739999</v>
          </cell>
        </row>
        <row r="5">
          <cell r="H5">
            <v>2398</v>
          </cell>
        </row>
        <row r="6">
          <cell r="H6">
            <v>26070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102.1</v>
          </cell>
        </row>
        <row r="4">
          <cell r="J4">
            <v>81290.601320499991</v>
          </cell>
        </row>
        <row r="5">
          <cell r="J5">
            <v>4334.5</v>
          </cell>
        </row>
        <row r="6">
          <cell r="J6">
            <v>7247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Models\CTVA.xlsx" TargetMode="External"/><Relationship Id="rId2" Type="http://schemas.openxmlformats.org/officeDocument/2006/relationships/hyperlink" Target="..\Models\DE.xlsx" TargetMode="External"/><Relationship Id="rId1" Type="http://schemas.openxmlformats.org/officeDocument/2006/relationships/hyperlink" Target="..\Models\CNH.xlsx" TargetMode="External"/><Relationship Id="rId4" Type="http://schemas.openxmlformats.org/officeDocument/2006/relationships/hyperlink" Target="..\Models\TSN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\Models\SCC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7DE1-4A0E-410C-8501-AF665C4CCE03}">
  <dimension ref="A1:E12"/>
  <sheetViews>
    <sheetView workbookViewId="0"/>
  </sheetViews>
  <sheetFormatPr defaultRowHeight="15" x14ac:dyDescent="0.25"/>
  <sheetData>
    <row r="1" spans="1:5" x14ac:dyDescent="0.25">
      <c r="A1" s="3" t="s">
        <v>0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3C00-FF04-4982-B10E-CD93454556D9}">
  <dimension ref="A1:AS499"/>
  <sheetViews>
    <sheetView tabSelected="1" zoomScale="200" zoomScaleNormal="200" workbookViewId="0"/>
  </sheetViews>
  <sheetFormatPr defaultRowHeight="13.5" x14ac:dyDescent="0.25"/>
  <cols>
    <col min="1" max="1" width="5.28515625" style="5" customWidth="1"/>
    <col min="2" max="2" width="27.7109375" style="5" bestFit="1" customWidth="1"/>
    <col min="3" max="16384" width="9.140625" style="5"/>
  </cols>
  <sheetData>
    <row r="1" spans="1:45" x14ac:dyDescent="0.25">
      <c r="A1" s="4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7" t="s">
        <v>10</v>
      </c>
      <c r="J3" s="7" t="s">
        <v>11</v>
      </c>
      <c r="K3" s="9"/>
      <c r="L3" s="1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11">
        <v>1</v>
      </c>
      <c r="B4" s="4" t="s">
        <v>12</v>
      </c>
      <c r="C4" s="3" t="s">
        <v>13</v>
      </c>
      <c r="D4" s="3" t="s">
        <v>14</v>
      </c>
      <c r="E4" s="12">
        <f>+[1]Main!$H$2</f>
        <v>485.5</v>
      </c>
      <c r="F4" s="13">
        <f>+[1]Main!$H$4</f>
        <v>131849.79941100001</v>
      </c>
      <c r="G4" s="13">
        <f>+[1]Main!$H$6-[1]Main!$H$5</f>
        <v>56715</v>
      </c>
      <c r="H4" s="13">
        <f>+F4+G4</f>
        <v>188564.79941100001</v>
      </c>
      <c r="I4" s="14" t="s">
        <v>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11">
        <f>1+A4</f>
        <v>2</v>
      </c>
      <c r="B5" s="4" t="s">
        <v>16</v>
      </c>
      <c r="C5" s="3" t="s">
        <v>65</v>
      </c>
      <c r="D5" s="3" t="s">
        <v>14</v>
      </c>
      <c r="E5" s="12"/>
      <c r="F5" s="13"/>
      <c r="G5" s="13"/>
      <c r="H5" s="13"/>
      <c r="I5" s="1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11">
        <f t="shared" ref="A6:A49" si="0">1+A5</f>
        <v>3</v>
      </c>
      <c r="B6" s="3" t="s">
        <v>17</v>
      </c>
      <c r="C6" s="3"/>
      <c r="D6" s="3"/>
      <c r="E6" s="12"/>
      <c r="F6" s="13"/>
      <c r="G6" s="13"/>
      <c r="H6" s="13"/>
      <c r="I6" s="1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11">
        <f t="shared" si="0"/>
        <v>4</v>
      </c>
      <c r="B7" s="3" t="s">
        <v>18</v>
      </c>
      <c r="C7" s="3"/>
      <c r="D7" s="3"/>
      <c r="E7" s="12"/>
      <c r="F7" s="13"/>
      <c r="G7" s="13"/>
      <c r="H7" s="13"/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11">
        <f t="shared" si="0"/>
        <v>5</v>
      </c>
      <c r="B8" s="4" t="s">
        <v>19</v>
      </c>
      <c r="C8" s="3" t="s">
        <v>20</v>
      </c>
      <c r="D8" s="3" t="s">
        <v>14</v>
      </c>
      <c r="E8" s="12"/>
      <c r="F8" s="13"/>
      <c r="G8" s="13"/>
      <c r="H8" s="13"/>
      <c r="I8" s="1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11">
        <f t="shared" si="0"/>
        <v>6</v>
      </c>
      <c r="B9" s="3" t="s">
        <v>21</v>
      </c>
      <c r="C9" s="3"/>
      <c r="D9" s="3"/>
      <c r="E9" s="12"/>
      <c r="F9" s="13"/>
      <c r="G9" s="13"/>
      <c r="H9" s="13"/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5">
      <c r="A10" s="11">
        <f t="shared" si="0"/>
        <v>7</v>
      </c>
      <c r="B10" s="3" t="s">
        <v>22</v>
      </c>
      <c r="C10" s="3"/>
      <c r="D10" s="3"/>
      <c r="E10" s="12"/>
      <c r="F10" s="13"/>
      <c r="G10" s="13"/>
      <c r="H10" s="13"/>
      <c r="I10" s="1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11">
        <f t="shared" si="0"/>
        <v>8</v>
      </c>
      <c r="B11" s="3" t="s">
        <v>23</v>
      </c>
      <c r="C11" s="3"/>
      <c r="D11" s="3"/>
      <c r="E11" s="12"/>
      <c r="F11" s="13"/>
      <c r="G11" s="13"/>
      <c r="H11" s="13"/>
      <c r="I11" s="1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11">
        <f t="shared" si="0"/>
        <v>9</v>
      </c>
      <c r="B12" s="3" t="s">
        <v>24</v>
      </c>
      <c r="C12" s="3"/>
      <c r="D12" s="3"/>
      <c r="E12" s="12"/>
      <c r="F12" s="13"/>
      <c r="G12" s="13"/>
      <c r="H12" s="13"/>
      <c r="I12" s="1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11">
        <f t="shared" si="0"/>
        <v>10</v>
      </c>
      <c r="B13" s="3" t="s">
        <v>25</v>
      </c>
      <c r="C13" s="3"/>
      <c r="D13" s="3"/>
      <c r="E13" s="12"/>
      <c r="F13" s="13"/>
      <c r="G13" s="13"/>
      <c r="H13" s="13"/>
      <c r="I13" s="1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11">
        <f t="shared" si="0"/>
        <v>11</v>
      </c>
      <c r="B14" s="3" t="s">
        <v>26</v>
      </c>
      <c r="C14" s="3"/>
      <c r="D14" s="3"/>
      <c r="E14" s="12"/>
      <c r="F14" s="13"/>
      <c r="G14" s="13"/>
      <c r="H14" s="13"/>
      <c r="I14" s="1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11">
        <f t="shared" si="0"/>
        <v>12</v>
      </c>
      <c r="B15" s="4" t="s">
        <v>27</v>
      </c>
      <c r="C15" s="3" t="s">
        <v>28</v>
      </c>
      <c r="D15" s="3" t="s">
        <v>14</v>
      </c>
      <c r="E15" s="12">
        <f>+[2]Main!$H$2</f>
        <v>13.78</v>
      </c>
      <c r="F15" s="13">
        <f>+[2]Main!$H$4</f>
        <v>17217.167902739999</v>
      </c>
      <c r="G15" s="13">
        <f>+[2]Main!$H$6-[2]Main!$H$5</f>
        <v>23672</v>
      </c>
      <c r="H15" s="13">
        <f>+F15+G15</f>
        <v>40889.167902739995</v>
      </c>
      <c r="I15" s="14" t="s">
        <v>667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25">
      <c r="A16" s="11">
        <f t="shared" si="0"/>
        <v>13</v>
      </c>
      <c r="B16" s="3" t="s">
        <v>29</v>
      </c>
      <c r="C16" s="3"/>
      <c r="D16" s="3"/>
      <c r="E16" s="12"/>
      <c r="F16" s="13"/>
      <c r="G16" s="13"/>
      <c r="H16" s="13"/>
      <c r="I16" s="1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11">
        <f t="shared" si="0"/>
        <v>14</v>
      </c>
      <c r="B17" s="3" t="s">
        <v>30</v>
      </c>
      <c r="C17" s="3"/>
      <c r="D17" s="3"/>
      <c r="E17" s="12"/>
      <c r="F17" s="13"/>
      <c r="G17" s="13"/>
      <c r="H17" s="13"/>
      <c r="I17" s="1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11">
        <f t="shared" si="0"/>
        <v>15</v>
      </c>
      <c r="B18" s="3" t="s">
        <v>31</v>
      </c>
      <c r="C18" s="3"/>
      <c r="D18" s="3"/>
      <c r="E18" s="12"/>
      <c r="F18" s="13"/>
      <c r="G18" s="13"/>
      <c r="H18" s="13"/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11">
        <f t="shared" si="0"/>
        <v>16</v>
      </c>
      <c r="B19" s="3" t="s">
        <v>32</v>
      </c>
      <c r="C19" s="3"/>
      <c r="D19" s="3"/>
      <c r="E19" s="12"/>
      <c r="F19" s="13"/>
      <c r="G19" s="13"/>
      <c r="H19" s="13"/>
      <c r="I19" s="1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11">
        <f t="shared" si="0"/>
        <v>17</v>
      </c>
      <c r="B20" s="3" t="s">
        <v>33</v>
      </c>
      <c r="C20" s="3"/>
      <c r="D20" s="3"/>
      <c r="E20" s="12"/>
      <c r="F20" s="13"/>
      <c r="G20" s="13"/>
      <c r="H20" s="13"/>
      <c r="I20" s="1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11">
        <f t="shared" si="0"/>
        <v>18</v>
      </c>
      <c r="B21" s="3" t="s">
        <v>34</v>
      </c>
      <c r="C21" s="3"/>
      <c r="D21" s="3"/>
      <c r="E21" s="12"/>
      <c r="F21" s="13"/>
      <c r="G21" s="13"/>
      <c r="H21" s="13"/>
      <c r="I21" s="1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11">
        <f t="shared" si="0"/>
        <v>19</v>
      </c>
      <c r="B22" s="3" t="s">
        <v>35</v>
      </c>
      <c r="C22" s="3"/>
      <c r="D22" s="3"/>
      <c r="E22" s="12"/>
      <c r="F22" s="13"/>
      <c r="G22" s="13"/>
      <c r="H22" s="13"/>
      <c r="I22" s="1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11">
        <f t="shared" si="0"/>
        <v>20</v>
      </c>
      <c r="B23" s="3" t="s">
        <v>36</v>
      </c>
      <c r="C23" s="3"/>
      <c r="D23" s="3"/>
      <c r="E23" s="12"/>
      <c r="F23" s="13"/>
      <c r="G23" s="13"/>
      <c r="H23" s="13"/>
      <c r="I23" s="1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5">
      <c r="A24" s="11">
        <f t="shared" si="0"/>
        <v>21</v>
      </c>
      <c r="B24" s="3" t="s">
        <v>37</v>
      </c>
      <c r="C24" s="3"/>
      <c r="D24" s="3"/>
      <c r="E24" s="12"/>
      <c r="F24" s="13"/>
      <c r="G24" s="13"/>
      <c r="H24" s="13"/>
      <c r="I24" s="1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11">
        <f t="shared" si="0"/>
        <v>22</v>
      </c>
      <c r="B25" s="3" t="s">
        <v>38</v>
      </c>
      <c r="C25" s="3"/>
      <c r="D25" s="3"/>
      <c r="E25" s="12"/>
      <c r="F25" s="13"/>
      <c r="G25" s="13"/>
      <c r="H25" s="13"/>
      <c r="I25" s="1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11">
        <f t="shared" si="0"/>
        <v>23</v>
      </c>
      <c r="B26" s="3" t="s">
        <v>39</v>
      </c>
      <c r="C26" s="3"/>
      <c r="D26" s="3"/>
      <c r="E26" s="12"/>
      <c r="F26" s="13"/>
      <c r="G26" s="13"/>
      <c r="H26" s="13"/>
      <c r="I26" s="1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11">
        <f t="shared" si="0"/>
        <v>24</v>
      </c>
      <c r="B27" s="3" t="s">
        <v>40</v>
      </c>
      <c r="C27" s="3"/>
      <c r="D27" s="3"/>
      <c r="E27" s="12"/>
      <c r="F27" s="13"/>
      <c r="G27" s="13"/>
      <c r="H27" s="13"/>
      <c r="I27" s="1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11">
        <f t="shared" si="0"/>
        <v>25</v>
      </c>
      <c r="B28" s="3" t="s">
        <v>41</v>
      </c>
      <c r="C28" s="3"/>
      <c r="D28" s="3"/>
      <c r="E28" s="12"/>
      <c r="F28" s="13"/>
      <c r="G28" s="13"/>
      <c r="H28" s="13"/>
      <c r="I28" s="1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11">
        <f t="shared" si="0"/>
        <v>26</v>
      </c>
      <c r="B29" s="3" t="s">
        <v>42</v>
      </c>
      <c r="C29" s="3"/>
      <c r="D29" s="3"/>
      <c r="E29" s="12"/>
      <c r="F29" s="13"/>
      <c r="G29" s="13"/>
      <c r="H29" s="13"/>
      <c r="I29" s="1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11">
        <f t="shared" si="0"/>
        <v>27</v>
      </c>
      <c r="B30" s="3" t="s">
        <v>43</v>
      </c>
      <c r="C30" s="3"/>
      <c r="D30" s="3"/>
      <c r="E30" s="12"/>
      <c r="F30" s="13"/>
      <c r="G30" s="13"/>
      <c r="H30" s="13"/>
      <c r="I30" s="1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11">
        <f t="shared" si="0"/>
        <v>28</v>
      </c>
      <c r="B31" s="3" t="s">
        <v>44</v>
      </c>
      <c r="C31" s="3"/>
      <c r="D31" s="3"/>
      <c r="E31" s="12"/>
      <c r="F31" s="13"/>
      <c r="G31" s="13"/>
      <c r="H31" s="13"/>
      <c r="I31" s="1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11">
        <f t="shared" si="0"/>
        <v>29</v>
      </c>
      <c r="B32" s="3" t="s">
        <v>45</v>
      </c>
      <c r="C32" s="3"/>
      <c r="D32" s="3"/>
      <c r="E32" s="12"/>
      <c r="F32" s="13"/>
      <c r="G32" s="13"/>
      <c r="H32" s="13"/>
      <c r="I32" s="1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11">
        <f t="shared" si="0"/>
        <v>30</v>
      </c>
      <c r="B33" s="3" t="s">
        <v>46</v>
      </c>
      <c r="C33" s="3"/>
      <c r="D33" s="3"/>
      <c r="E33" s="12"/>
      <c r="F33" s="13"/>
      <c r="G33" s="13"/>
      <c r="H33" s="13"/>
      <c r="I33" s="1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11">
        <f t="shared" si="0"/>
        <v>31</v>
      </c>
      <c r="B34" s="3" t="s">
        <v>47</v>
      </c>
      <c r="C34" s="3"/>
      <c r="D34" s="3"/>
      <c r="E34" s="12"/>
      <c r="F34" s="13"/>
      <c r="G34" s="13"/>
      <c r="H34" s="13"/>
      <c r="I34" s="1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11">
        <f t="shared" si="0"/>
        <v>32</v>
      </c>
      <c r="B35" s="3" t="s">
        <v>48</v>
      </c>
      <c r="C35" s="3"/>
      <c r="D35" s="3"/>
      <c r="E35" s="12"/>
      <c r="F35" s="13"/>
      <c r="G35" s="13"/>
      <c r="H35" s="13"/>
      <c r="I35" s="1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11">
        <f t="shared" si="0"/>
        <v>33</v>
      </c>
      <c r="B36" s="3" t="s">
        <v>49</v>
      </c>
      <c r="C36" s="3"/>
      <c r="D36" s="3"/>
      <c r="E36" s="12"/>
      <c r="F36" s="13"/>
      <c r="G36" s="13"/>
      <c r="H36" s="13"/>
      <c r="I36" s="1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11">
        <f t="shared" si="0"/>
        <v>34</v>
      </c>
      <c r="B37" s="3" t="s">
        <v>50</v>
      </c>
      <c r="C37" s="3"/>
      <c r="D37" s="3"/>
      <c r="E37" s="12"/>
      <c r="F37" s="13"/>
      <c r="G37" s="13"/>
      <c r="H37" s="13"/>
      <c r="I37" s="1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11">
        <f t="shared" si="0"/>
        <v>35</v>
      </c>
      <c r="B38" s="3" t="s">
        <v>51</v>
      </c>
      <c r="C38" s="3"/>
      <c r="D38" s="3"/>
      <c r="E38" s="12"/>
      <c r="F38" s="13"/>
      <c r="G38" s="13"/>
      <c r="H38" s="13"/>
      <c r="I38" s="1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11">
        <f t="shared" si="0"/>
        <v>36</v>
      </c>
      <c r="B39" s="3" t="s">
        <v>52</v>
      </c>
      <c r="C39" s="3"/>
      <c r="D39" s="3"/>
      <c r="E39" s="12"/>
      <c r="F39" s="13"/>
      <c r="G39" s="13"/>
      <c r="H39" s="13"/>
      <c r="I39" s="1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11">
        <f t="shared" si="0"/>
        <v>37</v>
      </c>
      <c r="B40" s="3" t="s">
        <v>53</v>
      </c>
      <c r="C40" s="3"/>
      <c r="D40" s="3"/>
      <c r="E40" s="12"/>
      <c r="F40" s="13"/>
      <c r="G40" s="13"/>
      <c r="H40" s="13"/>
      <c r="I40" s="1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11">
        <f t="shared" si="0"/>
        <v>38</v>
      </c>
      <c r="B41" s="3" t="s">
        <v>54</v>
      </c>
      <c r="C41" s="3"/>
      <c r="D41" s="3"/>
      <c r="E41" s="12"/>
      <c r="F41" s="13"/>
      <c r="G41" s="13"/>
      <c r="H41" s="13"/>
      <c r="I41" s="1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11">
        <f t="shared" si="0"/>
        <v>39</v>
      </c>
      <c r="B42" s="3" t="s">
        <v>55</v>
      </c>
      <c r="C42" s="3"/>
      <c r="D42" s="3"/>
      <c r="E42" s="12"/>
      <c r="F42" s="13"/>
      <c r="G42" s="13"/>
      <c r="H42" s="13"/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11">
        <f t="shared" si="0"/>
        <v>40</v>
      </c>
      <c r="B43" s="3" t="s">
        <v>56</v>
      </c>
      <c r="C43" s="3"/>
      <c r="D43" s="3"/>
      <c r="E43" s="12"/>
      <c r="F43" s="13"/>
      <c r="G43" s="13"/>
      <c r="H43" s="13"/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11">
        <f t="shared" si="0"/>
        <v>41</v>
      </c>
      <c r="B44" s="3" t="s">
        <v>57</v>
      </c>
      <c r="C44" s="3"/>
      <c r="D44" s="3"/>
      <c r="E44" s="12"/>
      <c r="F44" s="13"/>
      <c r="G44" s="13"/>
      <c r="H44" s="13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11">
        <f t="shared" si="0"/>
        <v>42</v>
      </c>
      <c r="B45" s="3" t="s">
        <v>58</v>
      </c>
      <c r="C45" s="3"/>
      <c r="D45" s="3"/>
      <c r="E45" s="12"/>
      <c r="F45" s="13"/>
      <c r="G45" s="13"/>
      <c r="H45" s="13"/>
      <c r="I45" s="1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11">
        <f t="shared" si="0"/>
        <v>43</v>
      </c>
      <c r="B46" s="3" t="s">
        <v>59</v>
      </c>
      <c r="C46" s="3"/>
      <c r="D46" s="3"/>
      <c r="E46" s="12"/>
      <c r="F46" s="13"/>
      <c r="G46" s="13"/>
      <c r="H46" s="13"/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11">
        <f t="shared" si="0"/>
        <v>44</v>
      </c>
      <c r="B47" s="3" t="s">
        <v>60</v>
      </c>
      <c r="C47" s="3"/>
      <c r="D47" s="3"/>
      <c r="E47" s="12"/>
      <c r="F47" s="13"/>
      <c r="G47" s="13"/>
      <c r="H47" s="13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11">
        <f t="shared" si="0"/>
        <v>45</v>
      </c>
      <c r="B48" s="3" t="s">
        <v>61</v>
      </c>
      <c r="C48" s="3"/>
      <c r="D48" s="3"/>
      <c r="E48" s="12"/>
      <c r="F48" s="13"/>
      <c r="G48" s="13"/>
      <c r="H48" s="13"/>
      <c r="I48" s="1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11">
        <f t="shared" si="0"/>
        <v>46</v>
      </c>
      <c r="B49" s="3" t="s">
        <v>62</v>
      </c>
      <c r="C49" s="3"/>
      <c r="D49" s="3"/>
      <c r="E49" s="12"/>
      <c r="F49" s="13"/>
      <c r="G49" s="13"/>
      <c r="H49" s="13"/>
      <c r="I49" s="1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1:4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1:4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1:4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1:4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1:4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1:4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1:4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1:4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1:4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1:4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1:4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</row>
    <row r="364" spans="1:4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1:4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1:4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1:4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4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4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1:4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1:4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</row>
    <row r="378" spans="1:4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1:4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1:4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1:4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1:4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</row>
    <row r="386" spans="1:4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</row>
    <row r="388" spans="1:4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1:4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</row>
    <row r="390" spans="1:4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1:4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</row>
    <row r="392" spans="1:4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</row>
    <row r="393" spans="1:4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</row>
    <row r="394" spans="1:4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1:4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</row>
    <row r="396" spans="1:4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</row>
    <row r="397" spans="1:4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1:4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1:4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</row>
    <row r="400" spans="1:4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1:4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</row>
    <row r="402" spans="1:4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1:4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</row>
    <row r="404" spans="1:4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1:4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1:4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</row>
    <row r="408" spans="1:4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</row>
    <row r="409" spans="1:4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</row>
    <row r="410" spans="1:4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1:4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</row>
    <row r="412" spans="1:4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</row>
    <row r="414" spans="1:4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1:4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</row>
    <row r="416" spans="1:4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</row>
    <row r="417" spans="1:4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</row>
    <row r="418" spans="1:4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1:4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</row>
    <row r="420" spans="1:4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</row>
    <row r="421" spans="1:4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</row>
    <row r="422" spans="1:4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1:4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</row>
    <row r="424" spans="1:4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1:4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</row>
    <row r="426" spans="1:4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1:4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</row>
    <row r="428" spans="1:4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1:4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</row>
    <row r="430" spans="1:4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</row>
    <row r="431" spans="1:4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</row>
    <row r="432" spans="1:4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1:4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1:4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1:4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</row>
    <row r="436" spans="1:4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1:4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</row>
    <row r="438" spans="1:4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</row>
    <row r="439" spans="1:4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</row>
    <row r="440" spans="1:4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</row>
    <row r="441" spans="1:4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</row>
    <row r="442" spans="1:4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</row>
    <row r="444" spans="1:4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1:4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</row>
    <row r="446" spans="1:4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1:4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</row>
    <row r="448" spans="1:4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1:4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</row>
    <row r="450" spans="1:4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</row>
    <row r="451" spans="1:4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</row>
    <row r="452" spans="1:4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1:4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</row>
    <row r="454" spans="1:4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1:4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</row>
    <row r="456" spans="1:4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1:4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</row>
    <row r="458" spans="1:4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1:4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1:4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1:4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</row>
    <row r="462" spans="1:4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</row>
    <row r="463" spans="1:4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1:4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1:4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1:4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1:4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1:4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1:4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1:4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</row>
    <row r="473" spans="1:4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</row>
    <row r="474" spans="1:4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1:4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1:4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1:4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1:4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</row>
    <row r="483" spans="1:4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1:4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</row>
    <row r="486" spans="1:4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1:4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1:4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1:4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1:4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1:4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1:4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1:4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1:4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1:4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1:4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1:4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</row>
  </sheetData>
  <hyperlinks>
    <hyperlink ref="B15" r:id="rId1" xr:uid="{39C0EE38-B7A8-4D38-853C-E38BF510A220}"/>
    <hyperlink ref="B4" r:id="rId2" xr:uid="{4034DBF4-88C9-4729-9B22-457B5FBAAC83}"/>
    <hyperlink ref="B5" r:id="rId3" xr:uid="{A5BDD7AF-1540-423E-9520-145C79FD78E4}"/>
    <hyperlink ref="B8" r:id="rId4" xr:uid="{D3E03002-1D25-4EA9-BBA1-78E3EC8F6705}"/>
    <hyperlink ref="A1" location="Main!A1" display="Main " xr:uid="{DC30D730-7088-41A5-BE3A-8AEC8A8A41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B062-D8A3-4E26-B04D-F79BE8375020}">
  <dimension ref="A1:S308"/>
  <sheetViews>
    <sheetView zoomScale="200" zoomScaleNormal="200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4.28515625" customWidth="1"/>
    <col min="2" max="2" width="20.85546875" customWidth="1"/>
    <col min="3" max="3" width="15.7109375" bestFit="1" customWidth="1"/>
    <col min="4" max="4" width="15.140625" bestFit="1" customWidth="1"/>
  </cols>
  <sheetData>
    <row r="1" spans="1:19" x14ac:dyDescent="0.25">
      <c r="A1" s="4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7" t="s">
        <v>10</v>
      </c>
      <c r="J3" s="7" t="s">
        <v>11</v>
      </c>
      <c r="K3" s="9"/>
      <c r="L3" s="10"/>
      <c r="M3" s="3"/>
      <c r="N3" s="3"/>
      <c r="O3" s="3"/>
      <c r="P3" s="3"/>
      <c r="Q3" s="3"/>
      <c r="R3" s="3"/>
      <c r="S3" s="3"/>
    </row>
    <row r="4" spans="1:19" x14ac:dyDescent="0.25">
      <c r="A4" s="11">
        <v>1</v>
      </c>
      <c r="B4" s="3" t="s">
        <v>66</v>
      </c>
      <c r="C4" s="3" t="s">
        <v>67</v>
      </c>
      <c r="D4" s="3" t="s">
        <v>68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11">
        <f>1+A4</f>
        <v>2</v>
      </c>
      <c r="B5" s="3" t="s">
        <v>69</v>
      </c>
      <c r="C5" s="3" t="s">
        <v>70</v>
      </c>
      <c r="D5" s="3" t="s">
        <v>71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11">
        <f t="shared" ref="A6:A69" si="0">1+A5</f>
        <v>3</v>
      </c>
      <c r="B6" s="3" t="s">
        <v>72</v>
      </c>
      <c r="C6" s="3" t="s">
        <v>73</v>
      </c>
      <c r="D6" s="3" t="s">
        <v>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11">
        <f t="shared" si="0"/>
        <v>4</v>
      </c>
      <c r="B7" s="4" t="s">
        <v>75</v>
      </c>
      <c r="C7" s="3" t="s">
        <v>76</v>
      </c>
      <c r="D7" s="3" t="s">
        <v>77</v>
      </c>
      <c r="E7" s="3">
        <f>+[3]Main!$J$2</f>
        <v>102.1</v>
      </c>
      <c r="F7" s="3">
        <f>+[3]Main!$J$4</f>
        <v>81290.601320499991</v>
      </c>
      <c r="G7" s="3">
        <f>+[3]Main!$J$6-[3]Main!$J$5</f>
        <v>2912.5</v>
      </c>
      <c r="H7" s="3">
        <f>+F7+G7</f>
        <v>84203.101320499991</v>
      </c>
      <c r="I7" s="15" t="s">
        <v>667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11">
        <f t="shared" si="0"/>
        <v>5</v>
      </c>
      <c r="B8" s="3" t="s">
        <v>78</v>
      </c>
      <c r="C8" s="3" t="s">
        <v>79</v>
      </c>
      <c r="D8" s="3" t="s">
        <v>71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11">
        <f t="shared" si="0"/>
        <v>6</v>
      </c>
      <c r="B9" s="3" t="s">
        <v>80</v>
      </c>
      <c r="C9" s="3" t="s">
        <v>81</v>
      </c>
      <c r="D9" s="3" t="s">
        <v>77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5">
      <c r="A10" s="11">
        <f t="shared" si="0"/>
        <v>7</v>
      </c>
      <c r="B10" s="3" t="s">
        <v>82</v>
      </c>
      <c r="C10" s="3" t="s">
        <v>83</v>
      </c>
      <c r="D10" s="3" t="s">
        <v>84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11">
        <f t="shared" si="0"/>
        <v>8</v>
      </c>
      <c r="B11" s="3" t="s">
        <v>85</v>
      </c>
      <c r="C11" s="3" t="s">
        <v>86</v>
      </c>
      <c r="D11" s="3" t="s">
        <v>77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11">
        <f t="shared" si="0"/>
        <v>9</v>
      </c>
      <c r="B12" s="3" t="s">
        <v>87</v>
      </c>
      <c r="C12" s="3" t="s">
        <v>88</v>
      </c>
      <c r="D12" s="3" t="s">
        <v>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11">
        <f t="shared" si="0"/>
        <v>10</v>
      </c>
      <c r="B13" s="3" t="s">
        <v>90</v>
      </c>
      <c r="C13" s="3" t="s">
        <v>91</v>
      </c>
      <c r="D13" s="3" t="s">
        <v>92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25">
      <c r="A14" s="11">
        <f t="shared" si="0"/>
        <v>11</v>
      </c>
      <c r="B14" s="3" t="s">
        <v>93</v>
      </c>
      <c r="C14" s="3" t="s">
        <v>94</v>
      </c>
      <c r="D14" s="3" t="s">
        <v>95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11">
        <f t="shared" si="0"/>
        <v>12</v>
      </c>
      <c r="B15" s="3" t="s">
        <v>96</v>
      </c>
      <c r="C15" s="3" t="s">
        <v>97</v>
      </c>
      <c r="D15" s="3" t="s">
        <v>98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A16" s="11">
        <f t="shared" si="0"/>
        <v>13</v>
      </c>
      <c r="B16" s="3" t="s">
        <v>99</v>
      </c>
      <c r="C16" s="3" t="s">
        <v>100</v>
      </c>
      <c r="D16" s="3" t="s">
        <v>101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11">
        <f t="shared" si="0"/>
        <v>14</v>
      </c>
      <c r="B17" s="3" t="s">
        <v>102</v>
      </c>
      <c r="C17" s="3" t="s">
        <v>103</v>
      </c>
      <c r="D17" s="3" t="s">
        <v>84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11">
        <f t="shared" si="0"/>
        <v>15</v>
      </c>
      <c r="B18" s="3" t="s">
        <v>104</v>
      </c>
      <c r="C18" s="3" t="s">
        <v>105</v>
      </c>
      <c r="D18" s="3" t="s">
        <v>84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11">
        <f t="shared" si="0"/>
        <v>16</v>
      </c>
      <c r="B19" s="3" t="s">
        <v>106</v>
      </c>
      <c r="C19" s="3" t="s">
        <v>107</v>
      </c>
      <c r="D19" s="3" t="s">
        <v>74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11">
        <f t="shared" si="0"/>
        <v>17</v>
      </c>
      <c r="B20" s="3" t="s">
        <v>108</v>
      </c>
      <c r="C20" s="3" t="s">
        <v>109</v>
      </c>
      <c r="D20" s="3" t="s">
        <v>84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11">
        <f t="shared" si="0"/>
        <v>18</v>
      </c>
      <c r="B21" s="3" t="s">
        <v>110</v>
      </c>
      <c r="C21" s="3" t="s">
        <v>111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11">
        <f t="shared" si="0"/>
        <v>19</v>
      </c>
      <c r="B22" s="3" t="s">
        <v>112</v>
      </c>
      <c r="C22" s="3" t="s">
        <v>113</v>
      </c>
      <c r="D22" s="3" t="s">
        <v>114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11">
        <f t="shared" si="0"/>
        <v>20</v>
      </c>
      <c r="B23" s="3" t="s">
        <v>115</v>
      </c>
      <c r="C23" s="3" t="s">
        <v>116</v>
      </c>
      <c r="D23" s="3" t="s">
        <v>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11">
        <f t="shared" si="0"/>
        <v>21</v>
      </c>
      <c r="B24" s="3" t="s">
        <v>117</v>
      </c>
      <c r="C24" s="3" t="s">
        <v>118</v>
      </c>
      <c r="D24" s="3" t="s">
        <v>119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11">
        <f t="shared" si="0"/>
        <v>22</v>
      </c>
      <c r="B25" s="3" t="s">
        <v>120</v>
      </c>
      <c r="C25" s="3" t="s">
        <v>121</v>
      </c>
      <c r="D25" s="3" t="s">
        <v>122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11">
        <f t="shared" si="0"/>
        <v>23</v>
      </c>
      <c r="B26" s="3" t="s">
        <v>123</v>
      </c>
      <c r="C26" s="3" t="s">
        <v>124</v>
      </c>
      <c r="D26" s="3" t="s">
        <v>122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11">
        <f t="shared" si="0"/>
        <v>24</v>
      </c>
      <c r="B27" s="3" t="s">
        <v>125</v>
      </c>
      <c r="C27" s="3" t="s">
        <v>126</v>
      </c>
      <c r="D27" s="3" t="s">
        <v>74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11">
        <f t="shared" si="0"/>
        <v>25</v>
      </c>
      <c r="B28" s="3" t="s">
        <v>127</v>
      </c>
      <c r="C28" s="3" t="s">
        <v>128</v>
      </c>
      <c r="D28" s="3" t="s">
        <v>114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11">
        <f t="shared" si="0"/>
        <v>26</v>
      </c>
      <c r="B29" s="3" t="s">
        <v>129</v>
      </c>
      <c r="C29" s="3" t="s">
        <v>130</v>
      </c>
      <c r="D29" s="3" t="s">
        <v>71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11">
        <f t="shared" si="0"/>
        <v>27</v>
      </c>
      <c r="B30" s="3" t="s">
        <v>131</v>
      </c>
      <c r="C30" s="3" t="s">
        <v>132</v>
      </c>
      <c r="D30" s="3" t="s">
        <v>84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11">
        <f t="shared" si="0"/>
        <v>28</v>
      </c>
      <c r="B31" s="3" t="s">
        <v>133</v>
      </c>
      <c r="C31" s="3" t="s">
        <v>134</v>
      </c>
      <c r="D31" s="3" t="s">
        <v>84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11">
        <f t="shared" si="0"/>
        <v>29</v>
      </c>
      <c r="B32" s="3" t="s">
        <v>135</v>
      </c>
      <c r="C32" s="3" t="s">
        <v>136</v>
      </c>
      <c r="D32" s="3" t="s">
        <v>84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11">
        <f t="shared" si="0"/>
        <v>30</v>
      </c>
      <c r="B33" s="3" t="s">
        <v>137</v>
      </c>
      <c r="C33" s="3" t="s">
        <v>138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11">
        <f t="shared" si="0"/>
        <v>31</v>
      </c>
      <c r="B34" s="3" t="s">
        <v>139</v>
      </c>
      <c r="C34" s="3" t="s">
        <v>140</v>
      </c>
      <c r="D34" s="3" t="s">
        <v>71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11">
        <f t="shared" si="0"/>
        <v>32</v>
      </c>
      <c r="B35" s="3" t="s">
        <v>141</v>
      </c>
      <c r="C35" s="3" t="s">
        <v>142</v>
      </c>
      <c r="D35" s="3" t="s">
        <v>84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11">
        <f t="shared" si="0"/>
        <v>33</v>
      </c>
      <c r="B36" s="3" t="s">
        <v>143</v>
      </c>
      <c r="C36" s="3" t="s">
        <v>144</v>
      </c>
      <c r="D36" s="3" t="s">
        <v>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11">
        <f t="shared" si="0"/>
        <v>34</v>
      </c>
      <c r="B37" s="3" t="s">
        <v>145</v>
      </c>
      <c r="C37" s="3" t="s">
        <v>146</v>
      </c>
      <c r="D37" s="3" t="s">
        <v>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11">
        <f t="shared" si="0"/>
        <v>35</v>
      </c>
      <c r="B38" s="3" t="s">
        <v>147</v>
      </c>
      <c r="C38" s="3" t="s">
        <v>148</v>
      </c>
      <c r="D38" s="3" t="s">
        <v>119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11">
        <f t="shared" si="0"/>
        <v>36</v>
      </c>
      <c r="B39" s="3" t="s">
        <v>149</v>
      </c>
      <c r="C39" s="3" t="s">
        <v>150</v>
      </c>
      <c r="D39" s="3" t="s">
        <v>122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11">
        <f t="shared" si="0"/>
        <v>37</v>
      </c>
      <c r="B40" s="3" t="s">
        <v>151</v>
      </c>
      <c r="C40" s="3" t="s">
        <v>152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11">
        <f t="shared" si="0"/>
        <v>38</v>
      </c>
      <c r="B41" s="3" t="s">
        <v>153</v>
      </c>
      <c r="C41" s="3" t="s">
        <v>154</v>
      </c>
      <c r="D41" s="3" t="s">
        <v>84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11">
        <f t="shared" si="0"/>
        <v>39</v>
      </c>
      <c r="B42" s="3" t="s">
        <v>155</v>
      </c>
      <c r="C42" s="3" t="s">
        <v>156</v>
      </c>
      <c r="D42" s="3" t="s">
        <v>157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11">
        <f t="shared" si="0"/>
        <v>40</v>
      </c>
      <c r="B43" s="3" t="s">
        <v>158</v>
      </c>
      <c r="C43" s="3" t="s">
        <v>159</v>
      </c>
      <c r="D43" s="3" t="s">
        <v>84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11">
        <f t="shared" si="0"/>
        <v>41</v>
      </c>
      <c r="B44" s="3" t="s">
        <v>160</v>
      </c>
      <c r="C44" s="3" t="s">
        <v>161</v>
      </c>
      <c r="D44" s="3" t="s">
        <v>101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11">
        <f t="shared" si="0"/>
        <v>42</v>
      </c>
      <c r="B45" s="3" t="s">
        <v>162</v>
      </c>
      <c r="C45" s="3" t="s">
        <v>163</v>
      </c>
      <c r="D45" s="3" t="s">
        <v>84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11">
        <f t="shared" si="0"/>
        <v>43</v>
      </c>
      <c r="B46" s="3" t="s">
        <v>164</v>
      </c>
      <c r="C46" s="3" t="s">
        <v>165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11">
        <f t="shared" si="0"/>
        <v>44</v>
      </c>
      <c r="B47" s="3" t="s">
        <v>166</v>
      </c>
      <c r="C47" s="3" t="s">
        <v>167</v>
      </c>
      <c r="D47" s="3" t="s">
        <v>168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11">
        <f t="shared" si="0"/>
        <v>45</v>
      </c>
      <c r="B48" s="3" t="s">
        <v>169</v>
      </c>
      <c r="C48" s="3" t="s">
        <v>170</v>
      </c>
      <c r="D48" s="3" t="s">
        <v>71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11">
        <f t="shared" si="0"/>
        <v>46</v>
      </c>
      <c r="B49" s="3" t="s">
        <v>171</v>
      </c>
      <c r="C49" s="3" t="s">
        <v>172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11">
        <f t="shared" si="0"/>
        <v>47</v>
      </c>
      <c r="B50" s="3" t="s">
        <v>173</v>
      </c>
      <c r="C50" s="3" t="s">
        <v>174</v>
      </c>
      <c r="D50" s="3" t="s">
        <v>175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11">
        <f t="shared" si="0"/>
        <v>48</v>
      </c>
      <c r="B51" s="3" t="s">
        <v>176</v>
      </c>
      <c r="C51" s="3" t="s">
        <v>177</v>
      </c>
      <c r="D51" s="3" t="s">
        <v>114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5">
      <c r="A52" s="11">
        <f t="shared" si="0"/>
        <v>49</v>
      </c>
      <c r="B52" s="3" t="s">
        <v>178</v>
      </c>
      <c r="C52" s="3" t="s">
        <v>179</v>
      </c>
      <c r="D52" s="3" t="s">
        <v>74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11">
        <f t="shared" si="0"/>
        <v>50</v>
      </c>
      <c r="B53" s="3" t="s">
        <v>180</v>
      </c>
      <c r="C53" s="3" t="s">
        <v>181</v>
      </c>
      <c r="D53" s="3" t="s">
        <v>84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5">
      <c r="A54" s="11">
        <f t="shared" si="0"/>
        <v>51</v>
      </c>
      <c r="B54" s="3" t="s">
        <v>182</v>
      </c>
      <c r="C54" s="3" t="s">
        <v>183</v>
      </c>
      <c r="D54" s="3" t="s">
        <v>122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5">
      <c r="A55" s="11">
        <f t="shared" si="0"/>
        <v>52</v>
      </c>
      <c r="B55" s="3" t="s">
        <v>184</v>
      </c>
      <c r="C55" s="3" t="s">
        <v>185</v>
      </c>
      <c r="D55" s="3" t="s">
        <v>186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5">
      <c r="A56" s="11">
        <f t="shared" si="0"/>
        <v>53</v>
      </c>
      <c r="B56" s="3" t="s">
        <v>187</v>
      </c>
      <c r="C56" s="3" t="s">
        <v>188</v>
      </c>
      <c r="D56" s="3" t="s">
        <v>71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5">
      <c r="A57" s="11">
        <f t="shared" si="0"/>
        <v>54</v>
      </c>
      <c r="B57" s="3" t="s">
        <v>189</v>
      </c>
      <c r="C57" s="3" t="s">
        <v>190</v>
      </c>
      <c r="D57" s="3" t="s">
        <v>95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5">
      <c r="A58" s="11">
        <f t="shared" si="0"/>
        <v>55</v>
      </c>
      <c r="B58" s="3" t="s">
        <v>191</v>
      </c>
      <c r="C58" s="3" t="s">
        <v>192</v>
      </c>
      <c r="D58" s="3" t="s">
        <v>193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5">
      <c r="A59" s="11">
        <f t="shared" si="0"/>
        <v>56</v>
      </c>
      <c r="B59" s="3" t="s">
        <v>194</v>
      </c>
      <c r="C59" s="3" t="s">
        <v>195</v>
      </c>
      <c r="D59" s="3" t="s">
        <v>92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5">
      <c r="A60" s="11">
        <f t="shared" si="0"/>
        <v>57</v>
      </c>
      <c r="B60" s="3" t="s">
        <v>196</v>
      </c>
      <c r="C60" s="3" t="s">
        <v>197</v>
      </c>
      <c r="D60" s="3" t="s">
        <v>68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5">
      <c r="A61" s="11">
        <f t="shared" si="0"/>
        <v>58</v>
      </c>
      <c r="B61" s="3" t="s">
        <v>198</v>
      </c>
      <c r="C61" s="3" t="s">
        <v>199</v>
      </c>
      <c r="D61" s="3" t="s">
        <v>84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25">
      <c r="A62" s="11">
        <f t="shared" si="0"/>
        <v>59</v>
      </c>
      <c r="B62" s="3" t="s">
        <v>200</v>
      </c>
      <c r="C62" s="3" t="s">
        <v>201</v>
      </c>
      <c r="D62" s="3" t="s">
        <v>84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25">
      <c r="A63" s="11">
        <f t="shared" si="0"/>
        <v>60</v>
      </c>
      <c r="B63" s="3" t="s">
        <v>202</v>
      </c>
      <c r="C63" s="3" t="s">
        <v>203</v>
      </c>
      <c r="D63" s="3" t="s">
        <v>84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25">
      <c r="A64" s="11">
        <f t="shared" si="0"/>
        <v>61</v>
      </c>
      <c r="B64" s="3" t="s">
        <v>204</v>
      </c>
      <c r="C64" s="3" t="s">
        <v>205</v>
      </c>
      <c r="D64" s="3" t="s">
        <v>68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25">
      <c r="A65" s="11">
        <f t="shared" si="0"/>
        <v>62</v>
      </c>
      <c r="B65" s="3" t="s">
        <v>206</v>
      </c>
      <c r="C65" s="3" t="s">
        <v>207</v>
      </c>
      <c r="D65" s="3" t="s">
        <v>84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25">
      <c r="A66" s="11">
        <f t="shared" si="0"/>
        <v>63</v>
      </c>
      <c r="B66" s="3" t="s">
        <v>208</v>
      </c>
      <c r="C66" s="3" t="s">
        <v>209</v>
      </c>
      <c r="D66" s="3" t="s">
        <v>77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25">
      <c r="A67" s="11">
        <f t="shared" si="0"/>
        <v>64</v>
      </c>
      <c r="B67" s="3" t="s">
        <v>210</v>
      </c>
      <c r="C67" s="3" t="s">
        <v>211</v>
      </c>
      <c r="D67" s="3" t="s">
        <v>68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25">
      <c r="A68" s="11">
        <f t="shared" si="0"/>
        <v>65</v>
      </c>
      <c r="B68" s="3" t="s">
        <v>212</v>
      </c>
      <c r="C68" s="3" t="s">
        <v>213</v>
      </c>
      <c r="D68" s="3" t="s">
        <v>114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25">
      <c r="A69" s="11">
        <f t="shared" si="0"/>
        <v>66</v>
      </c>
      <c r="B69" s="3" t="s">
        <v>214</v>
      </c>
      <c r="C69" s="3" t="s">
        <v>215</v>
      </c>
      <c r="D69" s="3" t="s">
        <v>77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25">
      <c r="A70" s="11">
        <f t="shared" ref="A70:A133" si="1">1+A69</f>
        <v>67</v>
      </c>
      <c r="B70" s="3" t="s">
        <v>216</v>
      </c>
      <c r="C70" s="3" t="s">
        <v>217</v>
      </c>
      <c r="D70" s="3" t="s">
        <v>218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25">
      <c r="A71" s="11">
        <f t="shared" si="1"/>
        <v>68</v>
      </c>
      <c r="B71" s="3" t="s">
        <v>219</v>
      </c>
      <c r="C71" s="3" t="s">
        <v>220</v>
      </c>
      <c r="D71" s="3" t="s">
        <v>77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25">
      <c r="A72" s="11">
        <f t="shared" si="1"/>
        <v>69</v>
      </c>
      <c r="B72" s="3" t="s">
        <v>221</v>
      </c>
      <c r="C72" s="3" t="s">
        <v>222</v>
      </c>
      <c r="D72" s="3" t="s">
        <v>77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25">
      <c r="A73" s="11">
        <f t="shared" si="1"/>
        <v>70</v>
      </c>
      <c r="B73" s="3" t="s">
        <v>223</v>
      </c>
      <c r="C73" s="3" t="s">
        <v>224</v>
      </c>
      <c r="D73" s="3" t="s">
        <v>77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25">
      <c r="A74" s="11">
        <f t="shared" si="1"/>
        <v>71</v>
      </c>
      <c r="B74" s="3" t="s">
        <v>225</v>
      </c>
      <c r="C74" s="3" t="s">
        <v>226</v>
      </c>
      <c r="D74" s="3" t="s">
        <v>84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25">
      <c r="A75" s="11">
        <f t="shared" si="1"/>
        <v>72</v>
      </c>
      <c r="B75" s="3" t="s">
        <v>227</v>
      </c>
      <c r="C75" s="3" t="s">
        <v>228</v>
      </c>
      <c r="D75" s="3" t="s">
        <v>84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25">
      <c r="A76" s="11">
        <f t="shared" si="1"/>
        <v>73</v>
      </c>
      <c r="B76" s="3" t="s">
        <v>229</v>
      </c>
      <c r="C76" s="3" t="s">
        <v>230</v>
      </c>
      <c r="D76" s="3" t="s">
        <v>84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11">
        <f t="shared" si="1"/>
        <v>74</v>
      </c>
      <c r="B77" s="3" t="s">
        <v>231</v>
      </c>
      <c r="C77" s="3" t="s">
        <v>232</v>
      </c>
      <c r="D77" s="3" t="s">
        <v>84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25">
      <c r="A78" s="11">
        <f t="shared" si="1"/>
        <v>75</v>
      </c>
      <c r="B78" s="3" t="s">
        <v>233</v>
      </c>
      <c r="C78" s="3" t="s">
        <v>234</v>
      </c>
      <c r="D78" s="3" t="s">
        <v>68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11">
        <f t="shared" si="1"/>
        <v>76</v>
      </c>
      <c r="B79" s="3" t="s">
        <v>235</v>
      </c>
      <c r="C79" s="3" t="s">
        <v>236</v>
      </c>
      <c r="D79" s="3" t="s">
        <v>68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11">
        <f t="shared" si="1"/>
        <v>77</v>
      </c>
      <c r="B80" s="3" t="s">
        <v>237</v>
      </c>
      <c r="C80" s="3" t="s">
        <v>238</v>
      </c>
      <c r="D80" s="3" t="s">
        <v>122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5">
      <c r="A81" s="11">
        <f t="shared" si="1"/>
        <v>78</v>
      </c>
      <c r="B81" s="3" t="s">
        <v>239</v>
      </c>
      <c r="C81" s="3" t="s">
        <v>240</v>
      </c>
      <c r="D81" s="3" t="s">
        <v>84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25">
      <c r="A82" s="11">
        <f t="shared" si="1"/>
        <v>79</v>
      </c>
      <c r="B82" s="3" t="s">
        <v>241</v>
      </c>
      <c r="C82" s="3" t="s">
        <v>242</v>
      </c>
      <c r="D82" s="3" t="s">
        <v>68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5">
      <c r="A83" s="11">
        <f t="shared" si="1"/>
        <v>80</v>
      </c>
      <c r="B83" s="3" t="s">
        <v>243</v>
      </c>
      <c r="C83" s="3" t="s">
        <v>244</v>
      </c>
      <c r="D83" s="3" t="s">
        <v>84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25">
      <c r="A84" s="11">
        <f t="shared" si="1"/>
        <v>81</v>
      </c>
      <c r="B84" s="3" t="s">
        <v>245</v>
      </c>
      <c r="C84" s="3" t="s">
        <v>246</v>
      </c>
      <c r="D84" s="3" t="s">
        <v>84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5">
      <c r="A85" s="11">
        <f t="shared" si="1"/>
        <v>82</v>
      </c>
      <c r="B85" s="3" t="s">
        <v>247</v>
      </c>
      <c r="C85" s="3" t="s">
        <v>248</v>
      </c>
      <c r="D85" s="3" t="s">
        <v>68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25">
      <c r="A86" s="11">
        <f t="shared" si="1"/>
        <v>83</v>
      </c>
      <c r="B86" s="3" t="s">
        <v>249</v>
      </c>
      <c r="C86" s="3" t="s">
        <v>250</v>
      </c>
      <c r="D86" s="3" t="s">
        <v>84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5">
      <c r="A87" s="11">
        <f t="shared" si="1"/>
        <v>84</v>
      </c>
      <c r="B87" s="3" t="s">
        <v>251</v>
      </c>
      <c r="C87" s="3" t="s">
        <v>252</v>
      </c>
      <c r="D87" s="3" t="s">
        <v>84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25">
      <c r="A88" s="11">
        <f t="shared" si="1"/>
        <v>85</v>
      </c>
      <c r="B88" s="3" t="s">
        <v>253</v>
      </c>
      <c r="C88" s="3" t="s">
        <v>254</v>
      </c>
      <c r="D88" s="3" t="s">
        <v>255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25">
      <c r="A89" s="11">
        <f t="shared" si="1"/>
        <v>86</v>
      </c>
      <c r="B89" s="3" t="s">
        <v>256</v>
      </c>
      <c r="C89" s="3" t="s">
        <v>257</v>
      </c>
      <c r="D89" s="3" t="s">
        <v>74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25">
      <c r="A90" s="11">
        <f t="shared" si="1"/>
        <v>87</v>
      </c>
      <c r="B90" s="3" t="s">
        <v>258</v>
      </c>
      <c r="C90" s="3" t="s">
        <v>259</v>
      </c>
      <c r="D90" s="3" t="s">
        <v>84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25">
      <c r="A91" s="11">
        <f t="shared" si="1"/>
        <v>88</v>
      </c>
      <c r="B91" s="3" t="s">
        <v>260</v>
      </c>
      <c r="C91" s="3" t="s">
        <v>261</v>
      </c>
      <c r="D91" s="3" t="s">
        <v>77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25">
      <c r="A92" s="11">
        <f t="shared" si="1"/>
        <v>89</v>
      </c>
      <c r="B92" s="3" t="s">
        <v>262</v>
      </c>
      <c r="C92" s="3" t="s">
        <v>263</v>
      </c>
      <c r="D92" s="3" t="s">
        <v>84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25">
      <c r="A93" s="11">
        <f t="shared" si="1"/>
        <v>90</v>
      </c>
      <c r="B93" s="3" t="s">
        <v>264</v>
      </c>
      <c r="C93" s="3" t="s">
        <v>265</v>
      </c>
      <c r="D93" s="3" t="s">
        <v>114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25">
      <c r="A94" s="11">
        <f t="shared" si="1"/>
        <v>91</v>
      </c>
      <c r="B94" s="3" t="s">
        <v>266</v>
      </c>
      <c r="C94" s="3" t="s">
        <v>267</v>
      </c>
      <c r="D94" s="3" t="s">
        <v>84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25">
      <c r="A95" s="11">
        <f t="shared" si="1"/>
        <v>92</v>
      </c>
      <c r="B95" s="3" t="s">
        <v>268</v>
      </c>
      <c r="C95" s="3" t="s">
        <v>269</v>
      </c>
      <c r="D95" s="3" t="s">
        <v>68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25">
      <c r="A96" s="11">
        <f t="shared" si="1"/>
        <v>93</v>
      </c>
      <c r="B96" s="3" t="s">
        <v>270</v>
      </c>
      <c r="C96" s="3" t="s">
        <v>271</v>
      </c>
      <c r="D96" s="3" t="s">
        <v>84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25">
      <c r="A97" s="11">
        <f t="shared" si="1"/>
        <v>94</v>
      </c>
      <c r="B97" s="3" t="s">
        <v>272</v>
      </c>
      <c r="C97" s="3" t="s">
        <v>273</v>
      </c>
      <c r="D97" s="3" t="s">
        <v>68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25">
      <c r="A98" s="11">
        <f t="shared" si="1"/>
        <v>95</v>
      </c>
      <c r="B98" s="3" t="s">
        <v>274</v>
      </c>
      <c r="C98" s="3" t="s">
        <v>275</v>
      </c>
      <c r="D98" s="3" t="s">
        <v>68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25">
      <c r="A99" s="11">
        <f t="shared" si="1"/>
        <v>96</v>
      </c>
      <c r="B99" s="3" t="s">
        <v>276</v>
      </c>
      <c r="C99" s="3" t="s">
        <v>277</v>
      </c>
      <c r="D99" s="3" t="s">
        <v>122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25">
      <c r="A100" s="11">
        <f t="shared" si="1"/>
        <v>97</v>
      </c>
      <c r="B100" s="3" t="s">
        <v>278</v>
      </c>
      <c r="C100" s="3" t="s">
        <v>279</v>
      </c>
      <c r="D100" s="3" t="s">
        <v>74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25">
      <c r="A101" s="11">
        <f t="shared" si="1"/>
        <v>98</v>
      </c>
      <c r="B101" s="3" t="s">
        <v>280</v>
      </c>
      <c r="C101" s="3" t="s">
        <v>281</v>
      </c>
      <c r="D101" s="3" t="s">
        <v>68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25">
      <c r="A102" s="11">
        <f t="shared" si="1"/>
        <v>99</v>
      </c>
      <c r="B102" s="3" t="s">
        <v>282</v>
      </c>
      <c r="C102" s="3" t="s">
        <v>283</v>
      </c>
      <c r="D102" s="3" t="s">
        <v>68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25">
      <c r="A103" s="11">
        <f t="shared" si="1"/>
        <v>100</v>
      </c>
      <c r="B103" s="3" t="s">
        <v>284</v>
      </c>
      <c r="C103" s="3" t="s">
        <v>285</v>
      </c>
      <c r="D103" s="3" t="s">
        <v>84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25">
      <c r="A104" s="11">
        <f t="shared" si="1"/>
        <v>101</v>
      </c>
      <c r="B104" s="3" t="s">
        <v>286</v>
      </c>
      <c r="C104" s="3" t="s">
        <v>287</v>
      </c>
      <c r="D104" s="3" t="s">
        <v>68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25">
      <c r="A105" s="11">
        <f t="shared" si="1"/>
        <v>102</v>
      </c>
      <c r="B105" s="3" t="s">
        <v>288</v>
      </c>
      <c r="C105" s="3" t="s">
        <v>289</v>
      </c>
      <c r="D105" s="3" t="s">
        <v>92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25">
      <c r="A106" s="11">
        <f t="shared" si="1"/>
        <v>103</v>
      </c>
      <c r="B106" s="3" t="s">
        <v>290</v>
      </c>
      <c r="C106" s="3" t="s">
        <v>291</v>
      </c>
      <c r="D106" s="3" t="s">
        <v>77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25">
      <c r="A107" s="11">
        <f t="shared" si="1"/>
        <v>104</v>
      </c>
      <c r="B107" s="3" t="s">
        <v>292</v>
      </c>
      <c r="C107" s="3" t="s">
        <v>293</v>
      </c>
      <c r="D107" s="3" t="s">
        <v>84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25">
      <c r="A108" s="11">
        <f t="shared" si="1"/>
        <v>105</v>
      </c>
      <c r="B108" s="3" t="s">
        <v>294</v>
      </c>
      <c r="C108" s="3" t="s">
        <v>295</v>
      </c>
      <c r="D108" s="3" t="s">
        <v>122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25">
      <c r="A109" s="11">
        <f t="shared" si="1"/>
        <v>106</v>
      </c>
      <c r="B109" s="3" t="s">
        <v>296</v>
      </c>
      <c r="C109" s="3" t="s">
        <v>297</v>
      </c>
      <c r="D109" s="3" t="s">
        <v>84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25">
      <c r="A110" s="11">
        <f t="shared" si="1"/>
        <v>107</v>
      </c>
      <c r="B110" s="3" t="s">
        <v>298</v>
      </c>
      <c r="C110" s="3" t="s">
        <v>299</v>
      </c>
      <c r="D110" s="3" t="s">
        <v>68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25">
      <c r="A111" s="11">
        <f t="shared" si="1"/>
        <v>108</v>
      </c>
      <c r="B111" s="3" t="s">
        <v>300</v>
      </c>
      <c r="C111" s="3" t="s">
        <v>301</v>
      </c>
      <c r="D111" s="3" t="s">
        <v>84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25">
      <c r="A112" s="11">
        <f t="shared" si="1"/>
        <v>109</v>
      </c>
      <c r="B112" s="3" t="s">
        <v>302</v>
      </c>
      <c r="C112" s="3" t="s">
        <v>303</v>
      </c>
      <c r="D112" s="3" t="s">
        <v>68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25">
      <c r="A113" s="11">
        <f t="shared" si="1"/>
        <v>110</v>
      </c>
      <c r="B113" s="3" t="s">
        <v>304</v>
      </c>
      <c r="C113" s="3" t="s">
        <v>305</v>
      </c>
      <c r="D113" s="3" t="s">
        <v>68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25">
      <c r="A114" s="11">
        <f t="shared" si="1"/>
        <v>111</v>
      </c>
      <c r="B114" s="3" t="s">
        <v>306</v>
      </c>
      <c r="C114" s="3" t="s">
        <v>307</v>
      </c>
      <c r="D114" s="3" t="s">
        <v>114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25">
      <c r="A115" s="11">
        <f t="shared" si="1"/>
        <v>112</v>
      </c>
      <c r="B115" s="3" t="s">
        <v>308</v>
      </c>
      <c r="C115" s="3" t="s">
        <v>309</v>
      </c>
      <c r="D115" s="3" t="s">
        <v>114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25">
      <c r="A116" s="11">
        <f t="shared" si="1"/>
        <v>113</v>
      </c>
      <c r="B116" s="3" t="s">
        <v>310</v>
      </c>
      <c r="C116" s="3" t="s">
        <v>311</v>
      </c>
      <c r="D116" s="3" t="s">
        <v>84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25">
      <c r="A117" s="11">
        <f t="shared" si="1"/>
        <v>114</v>
      </c>
      <c r="B117" s="3" t="s">
        <v>312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25">
      <c r="A118" s="11">
        <f t="shared" si="1"/>
        <v>115</v>
      </c>
      <c r="B118" s="3" t="s">
        <v>313</v>
      </c>
      <c r="C118" s="3" t="s">
        <v>314</v>
      </c>
      <c r="D118" s="1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25">
      <c r="A119" s="11">
        <f t="shared" si="1"/>
        <v>116</v>
      </c>
      <c r="B119" s="3" t="s">
        <v>315</v>
      </c>
      <c r="C119" s="3" t="s">
        <v>316</v>
      </c>
      <c r="D119" s="1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25">
      <c r="A120" s="11">
        <f t="shared" si="1"/>
        <v>117</v>
      </c>
      <c r="B120" s="3" t="s">
        <v>317</v>
      </c>
      <c r="C120" s="3" t="s">
        <v>318</v>
      </c>
      <c r="D120" s="1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25">
      <c r="A121" s="11">
        <f t="shared" si="1"/>
        <v>118</v>
      </c>
      <c r="B121" s="3" t="s">
        <v>319</v>
      </c>
      <c r="C121" s="3" t="s">
        <v>320</v>
      </c>
      <c r="D121" s="1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25">
      <c r="A122" s="11">
        <f t="shared" si="1"/>
        <v>119</v>
      </c>
      <c r="B122" s="3" t="s">
        <v>321</v>
      </c>
      <c r="C122" s="3" t="s">
        <v>322</v>
      </c>
      <c r="D122" s="1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25">
      <c r="A123" s="11">
        <f t="shared" si="1"/>
        <v>120</v>
      </c>
      <c r="B123" s="3" t="s">
        <v>323</v>
      </c>
      <c r="C123" s="3" t="s">
        <v>324</v>
      </c>
      <c r="D123" s="1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25">
      <c r="A124" s="11">
        <f t="shared" si="1"/>
        <v>121</v>
      </c>
      <c r="B124" s="3" t="s">
        <v>325</v>
      </c>
      <c r="C124" s="3" t="s">
        <v>326</v>
      </c>
      <c r="D124" s="1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25">
      <c r="A125" s="11">
        <f t="shared" si="1"/>
        <v>122</v>
      </c>
      <c r="B125" s="3" t="s">
        <v>327</v>
      </c>
      <c r="C125" s="3" t="s">
        <v>328</v>
      </c>
      <c r="D125" s="1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25">
      <c r="A126" s="11">
        <f t="shared" si="1"/>
        <v>123</v>
      </c>
      <c r="B126" s="3" t="s">
        <v>329</v>
      </c>
      <c r="C126" s="3" t="s">
        <v>330</v>
      </c>
      <c r="D126" s="1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25">
      <c r="A127" s="11">
        <f t="shared" si="1"/>
        <v>124</v>
      </c>
      <c r="B127" s="3" t="s">
        <v>331</v>
      </c>
      <c r="C127" s="3" t="s">
        <v>332</v>
      </c>
      <c r="D127" s="1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25">
      <c r="A128" s="11">
        <f t="shared" si="1"/>
        <v>125</v>
      </c>
      <c r="B128" s="3" t="s">
        <v>333</v>
      </c>
      <c r="C128" s="3" t="s">
        <v>334</v>
      </c>
      <c r="D128" s="1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25">
      <c r="A129" s="11">
        <f t="shared" si="1"/>
        <v>126</v>
      </c>
      <c r="B129" s="3" t="s">
        <v>335</v>
      </c>
      <c r="C129" s="3" t="s">
        <v>336</v>
      </c>
      <c r="D129" s="1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25">
      <c r="A130" s="11">
        <f t="shared" si="1"/>
        <v>127</v>
      </c>
      <c r="B130" s="3" t="s">
        <v>337</v>
      </c>
      <c r="C130" s="3" t="s">
        <v>338</v>
      </c>
      <c r="D130" s="1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25">
      <c r="A131" s="11">
        <f t="shared" si="1"/>
        <v>128</v>
      </c>
      <c r="B131" s="3" t="s">
        <v>339</v>
      </c>
      <c r="C131" s="3" t="s">
        <v>340</v>
      </c>
      <c r="D131" s="1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25">
      <c r="A132" s="11">
        <f t="shared" si="1"/>
        <v>129</v>
      </c>
      <c r="B132" s="3" t="s">
        <v>341</v>
      </c>
      <c r="C132" s="3" t="s">
        <v>342</v>
      </c>
      <c r="D132" s="1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25">
      <c r="A133" s="11">
        <f t="shared" si="1"/>
        <v>130</v>
      </c>
      <c r="B133" s="3" t="s">
        <v>343</v>
      </c>
      <c r="C133" s="3" t="s">
        <v>344</v>
      </c>
      <c r="D133" s="1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25">
      <c r="A134" s="11">
        <f t="shared" ref="A134:A197" si="2">1+A133</f>
        <v>131</v>
      </c>
      <c r="B134" s="3" t="s">
        <v>345</v>
      </c>
      <c r="C134" s="3" t="s">
        <v>346</v>
      </c>
      <c r="D134" s="1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25">
      <c r="A135" s="11">
        <f t="shared" si="2"/>
        <v>132</v>
      </c>
      <c r="B135" s="3" t="s">
        <v>347</v>
      </c>
      <c r="C135" s="3" t="s">
        <v>348</v>
      </c>
      <c r="D135" s="1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25">
      <c r="A136" s="11">
        <f t="shared" si="2"/>
        <v>133</v>
      </c>
      <c r="B136" s="3" t="s">
        <v>349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25">
      <c r="A137" s="11">
        <f t="shared" si="2"/>
        <v>134</v>
      </c>
      <c r="B137" s="3" t="s">
        <v>350</v>
      </c>
      <c r="C137" s="3" t="s">
        <v>351</v>
      </c>
      <c r="D137" s="16">
        <v>1028470016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25">
      <c r="A138" s="11">
        <f t="shared" si="2"/>
        <v>135</v>
      </c>
      <c r="B138" s="3" t="s">
        <v>352</v>
      </c>
      <c r="C138" s="3" t="s">
        <v>353</v>
      </c>
      <c r="D138" s="16">
        <v>1022370544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25">
      <c r="A139" s="11">
        <f t="shared" si="2"/>
        <v>136</v>
      </c>
      <c r="B139" s="3" t="s">
        <v>354</v>
      </c>
      <c r="C139" s="3" t="s">
        <v>355</v>
      </c>
      <c r="D139" s="16">
        <v>1021736512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25">
      <c r="A140" s="11">
        <f t="shared" si="2"/>
        <v>137</v>
      </c>
      <c r="B140" s="3" t="s">
        <v>356</v>
      </c>
      <c r="C140" s="3" t="s">
        <v>357</v>
      </c>
      <c r="D140" s="16">
        <v>963349356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25">
      <c r="A141" s="11">
        <f t="shared" si="2"/>
        <v>138</v>
      </c>
      <c r="B141" s="3" t="s">
        <v>358</v>
      </c>
      <c r="C141" s="3" t="s">
        <v>359</v>
      </c>
      <c r="D141" s="16">
        <v>916057056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25">
      <c r="A142" s="11">
        <f t="shared" si="2"/>
        <v>139</v>
      </c>
      <c r="B142" s="3" t="s">
        <v>360</v>
      </c>
      <c r="C142" s="3" t="s">
        <v>361</v>
      </c>
      <c r="D142" s="16">
        <v>915770679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25">
      <c r="A143" s="11">
        <f t="shared" si="2"/>
        <v>140</v>
      </c>
      <c r="B143" s="3" t="s">
        <v>362</v>
      </c>
      <c r="C143" s="3" t="s">
        <v>363</v>
      </c>
      <c r="D143" s="16">
        <v>897741791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25">
      <c r="A144" s="11">
        <f t="shared" si="2"/>
        <v>141</v>
      </c>
      <c r="B144" s="3" t="s">
        <v>364</v>
      </c>
      <c r="C144" s="3" t="s">
        <v>365</v>
      </c>
      <c r="D144" s="16">
        <v>883459968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25">
      <c r="A145" s="11">
        <f t="shared" si="2"/>
        <v>142</v>
      </c>
      <c r="B145" s="3" t="s">
        <v>366</v>
      </c>
      <c r="C145" s="3" t="s">
        <v>367</v>
      </c>
      <c r="D145" s="16">
        <v>879114752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25">
      <c r="A146" s="11">
        <f t="shared" si="2"/>
        <v>143</v>
      </c>
      <c r="B146" s="3" t="s">
        <v>368</v>
      </c>
      <c r="C146" s="3" t="s">
        <v>369</v>
      </c>
      <c r="D146" s="16">
        <v>872812480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25">
      <c r="A147" s="11">
        <f t="shared" si="2"/>
        <v>144</v>
      </c>
      <c r="B147" s="3" t="s">
        <v>370</v>
      </c>
      <c r="C147" s="3" t="s">
        <v>371</v>
      </c>
      <c r="D147" s="16">
        <v>867636904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25">
      <c r="A148" s="11">
        <f t="shared" si="2"/>
        <v>145</v>
      </c>
      <c r="B148" s="3" t="s">
        <v>372</v>
      </c>
      <c r="C148" s="3" t="s">
        <v>373</v>
      </c>
      <c r="D148" s="16">
        <v>839963968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25">
      <c r="A149" s="11">
        <f t="shared" si="2"/>
        <v>146</v>
      </c>
      <c r="B149" s="3" t="s">
        <v>374</v>
      </c>
      <c r="C149" s="3" t="s">
        <v>375</v>
      </c>
      <c r="D149" s="16">
        <v>809358135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25">
      <c r="A150" s="11">
        <f t="shared" si="2"/>
        <v>147</v>
      </c>
      <c r="B150" s="3" t="s">
        <v>376</v>
      </c>
      <c r="C150" s="3" t="s">
        <v>377</v>
      </c>
      <c r="D150" s="16">
        <v>806839340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25">
      <c r="A151" s="11">
        <f t="shared" si="2"/>
        <v>148</v>
      </c>
      <c r="B151" s="3" t="s">
        <v>378</v>
      </c>
      <c r="C151" s="3" t="s">
        <v>379</v>
      </c>
      <c r="D151" s="16">
        <v>804490880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25">
      <c r="A152" s="11">
        <f t="shared" si="2"/>
        <v>149</v>
      </c>
      <c r="B152" s="3" t="s">
        <v>380</v>
      </c>
      <c r="C152" s="3" t="s">
        <v>381</v>
      </c>
      <c r="D152" s="16">
        <v>796813376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25">
      <c r="A153" s="11">
        <f t="shared" si="2"/>
        <v>150</v>
      </c>
      <c r="B153" s="3" t="s">
        <v>382</v>
      </c>
      <c r="C153" s="3" t="s">
        <v>383</v>
      </c>
      <c r="D153" s="16">
        <v>791724160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25">
      <c r="A154" s="11">
        <f t="shared" si="2"/>
        <v>151</v>
      </c>
      <c r="B154" s="3" t="s">
        <v>384</v>
      </c>
      <c r="C154" s="3" t="s">
        <v>385</v>
      </c>
      <c r="D154" s="16">
        <v>781390144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25">
      <c r="A155" s="11">
        <f t="shared" si="2"/>
        <v>152</v>
      </c>
      <c r="B155" s="3" t="s">
        <v>386</v>
      </c>
      <c r="C155" s="3" t="s">
        <v>387</v>
      </c>
      <c r="D155" s="16">
        <v>771114578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25">
      <c r="A156" s="11">
        <f t="shared" si="2"/>
        <v>153</v>
      </c>
      <c r="B156" s="3" t="s">
        <v>388</v>
      </c>
      <c r="C156" s="3" t="s">
        <v>389</v>
      </c>
      <c r="D156" s="16">
        <v>724678791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25">
      <c r="A157" s="11">
        <f t="shared" si="2"/>
        <v>154</v>
      </c>
      <c r="B157" s="3" t="s">
        <v>390</v>
      </c>
      <c r="C157" s="3" t="s">
        <v>391</v>
      </c>
      <c r="D157" s="16">
        <v>718399128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25">
      <c r="A158" s="11">
        <f t="shared" si="2"/>
        <v>155</v>
      </c>
      <c r="B158" s="3" t="s">
        <v>392</v>
      </c>
      <c r="C158" s="3" t="s">
        <v>393</v>
      </c>
      <c r="D158" s="16">
        <v>683822012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25">
      <c r="A159" s="11">
        <f t="shared" si="2"/>
        <v>156</v>
      </c>
      <c r="B159" s="3" t="s">
        <v>394</v>
      </c>
      <c r="C159" s="3" t="s">
        <v>395</v>
      </c>
      <c r="D159" s="16">
        <v>680072870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25">
      <c r="A160" s="11">
        <f t="shared" si="2"/>
        <v>157</v>
      </c>
      <c r="B160" s="3" t="s">
        <v>396</v>
      </c>
      <c r="C160" s="3" t="s">
        <v>397</v>
      </c>
      <c r="D160" s="16">
        <v>670485458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25">
      <c r="A161" s="11">
        <f t="shared" si="2"/>
        <v>158</v>
      </c>
      <c r="B161" s="3" t="s">
        <v>398</v>
      </c>
      <c r="C161" s="3" t="s">
        <v>399</v>
      </c>
      <c r="D161" s="16">
        <v>662825024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25">
      <c r="A162" s="11">
        <f t="shared" si="2"/>
        <v>159</v>
      </c>
      <c r="B162" s="3" t="s">
        <v>400</v>
      </c>
      <c r="C162" s="3" t="s">
        <v>401</v>
      </c>
      <c r="D162" s="16">
        <v>632421708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25">
      <c r="A163" s="11">
        <f t="shared" si="2"/>
        <v>160</v>
      </c>
      <c r="B163" s="3" t="s">
        <v>402</v>
      </c>
      <c r="C163" s="3" t="s">
        <v>403</v>
      </c>
      <c r="D163" s="16">
        <v>623013781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25">
      <c r="A164" s="11">
        <f t="shared" si="2"/>
        <v>161</v>
      </c>
      <c r="B164" s="3" t="s">
        <v>404</v>
      </c>
      <c r="C164" s="3" t="s">
        <v>405</v>
      </c>
      <c r="D164" s="16">
        <v>618756316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25">
      <c r="A165" s="11">
        <f t="shared" si="2"/>
        <v>162</v>
      </c>
      <c r="B165" s="3" t="s">
        <v>406</v>
      </c>
      <c r="C165" s="3" t="s">
        <v>407</v>
      </c>
      <c r="D165" s="16">
        <v>605217437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25">
      <c r="A166" s="11">
        <f t="shared" si="2"/>
        <v>163</v>
      </c>
      <c r="B166" s="3" t="s">
        <v>408</v>
      </c>
      <c r="C166" s="3" t="s">
        <v>409</v>
      </c>
      <c r="D166" s="16">
        <v>603712925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25">
      <c r="A167" s="11">
        <f t="shared" si="2"/>
        <v>164</v>
      </c>
      <c r="B167" s="3" t="s">
        <v>410</v>
      </c>
      <c r="C167" s="3" t="s">
        <v>411</v>
      </c>
      <c r="D167" s="16">
        <v>597003776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25">
      <c r="A168" s="11">
        <f t="shared" si="2"/>
        <v>165</v>
      </c>
      <c r="B168" s="3" t="s">
        <v>412</v>
      </c>
      <c r="C168" s="3" t="s">
        <v>413</v>
      </c>
      <c r="D168" s="16">
        <v>584677952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25">
      <c r="A169" s="11">
        <f t="shared" si="2"/>
        <v>166</v>
      </c>
      <c r="B169" s="3" t="s">
        <v>414</v>
      </c>
      <c r="C169" s="3" t="s">
        <v>415</v>
      </c>
      <c r="D169" s="16">
        <v>566445210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25">
      <c r="A170" s="11">
        <f t="shared" si="2"/>
        <v>167</v>
      </c>
      <c r="B170" s="3" t="s">
        <v>416</v>
      </c>
      <c r="C170" s="3" t="s">
        <v>417</v>
      </c>
      <c r="D170" s="16">
        <v>553275584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25">
      <c r="A171" s="11">
        <f t="shared" si="2"/>
        <v>168</v>
      </c>
      <c r="B171" s="3" t="s">
        <v>418</v>
      </c>
      <c r="C171" s="3" t="s">
        <v>419</v>
      </c>
      <c r="D171" s="16">
        <v>551565170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25">
      <c r="A172" s="11">
        <f t="shared" si="2"/>
        <v>169</v>
      </c>
      <c r="B172" s="3" t="s">
        <v>420</v>
      </c>
      <c r="C172" s="3" t="s">
        <v>421</v>
      </c>
      <c r="D172" s="16">
        <v>532741248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25">
      <c r="A173" s="11">
        <f t="shared" si="2"/>
        <v>170</v>
      </c>
      <c r="B173" s="3" t="s">
        <v>422</v>
      </c>
      <c r="C173" s="3" t="s">
        <v>423</v>
      </c>
      <c r="D173" s="16">
        <v>528815488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25">
      <c r="A174" s="11">
        <f t="shared" si="2"/>
        <v>171</v>
      </c>
      <c r="B174" s="3" t="s">
        <v>424</v>
      </c>
      <c r="C174" s="3" t="s">
        <v>425</v>
      </c>
      <c r="D174" s="16">
        <v>505292285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25">
      <c r="A175" s="11">
        <f t="shared" si="2"/>
        <v>172</v>
      </c>
      <c r="B175" s="3" t="s">
        <v>426</v>
      </c>
      <c r="C175" s="3" t="s">
        <v>427</v>
      </c>
      <c r="D175" s="16">
        <v>496141728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25">
      <c r="A176" s="11">
        <f t="shared" si="2"/>
        <v>173</v>
      </c>
      <c r="B176" s="3" t="s">
        <v>428</v>
      </c>
      <c r="C176" s="3" t="s">
        <v>429</v>
      </c>
      <c r="D176" s="16">
        <v>485312008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25">
      <c r="A177" s="11">
        <f t="shared" si="2"/>
        <v>174</v>
      </c>
      <c r="B177" s="3" t="s">
        <v>430</v>
      </c>
      <c r="C177" s="3" t="s">
        <v>431</v>
      </c>
      <c r="D177" s="16">
        <v>466570608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25">
      <c r="A178" s="11">
        <f t="shared" si="2"/>
        <v>175</v>
      </c>
      <c r="B178" s="3" t="s">
        <v>432</v>
      </c>
      <c r="C178" s="3" t="s">
        <v>433</v>
      </c>
      <c r="D178" s="16">
        <v>461955072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25">
      <c r="A179" s="11">
        <f t="shared" si="2"/>
        <v>176</v>
      </c>
      <c r="B179" s="3" t="s">
        <v>434</v>
      </c>
      <c r="C179" s="3" t="s">
        <v>435</v>
      </c>
      <c r="D179" s="16">
        <v>430596743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25">
      <c r="A180" s="11">
        <f t="shared" si="2"/>
        <v>177</v>
      </c>
      <c r="B180" s="3" t="s">
        <v>436</v>
      </c>
      <c r="C180" s="3" t="s">
        <v>437</v>
      </c>
      <c r="D180" s="16">
        <v>425832064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25">
      <c r="A181" s="11">
        <f t="shared" si="2"/>
        <v>178</v>
      </c>
      <c r="B181" s="3" t="s">
        <v>438</v>
      </c>
      <c r="C181" s="3" t="s">
        <v>439</v>
      </c>
      <c r="D181" s="16">
        <v>422887239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25">
      <c r="A182" s="11">
        <f t="shared" si="2"/>
        <v>179</v>
      </c>
      <c r="B182" s="3" t="s">
        <v>440</v>
      </c>
      <c r="C182" s="3" t="s">
        <v>441</v>
      </c>
      <c r="D182" s="16">
        <v>411193379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25">
      <c r="A183" s="11">
        <f t="shared" si="2"/>
        <v>180</v>
      </c>
      <c r="B183" s="3" t="s">
        <v>442</v>
      </c>
      <c r="C183" s="3" t="s">
        <v>443</v>
      </c>
      <c r="D183" s="16">
        <v>408410272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25">
      <c r="A184" s="11">
        <f t="shared" si="2"/>
        <v>181</v>
      </c>
      <c r="B184" s="3" t="s">
        <v>444</v>
      </c>
      <c r="C184" s="3" t="s">
        <v>445</v>
      </c>
      <c r="D184" s="16">
        <v>408284160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25">
      <c r="A185" s="11">
        <f t="shared" si="2"/>
        <v>182</v>
      </c>
      <c r="B185" s="3" t="s">
        <v>446</v>
      </c>
      <c r="C185" s="3" t="s">
        <v>447</v>
      </c>
      <c r="D185" s="16">
        <v>353468063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25">
      <c r="A186" s="11">
        <f t="shared" si="2"/>
        <v>183</v>
      </c>
      <c r="B186" s="3" t="s">
        <v>448</v>
      </c>
      <c r="C186" s="3" t="s">
        <v>449</v>
      </c>
      <c r="D186" s="16">
        <v>349247553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25">
      <c r="A187" s="11">
        <f t="shared" si="2"/>
        <v>184</v>
      </c>
      <c r="B187" s="3" t="s">
        <v>450</v>
      </c>
      <c r="C187" s="3" t="s">
        <v>451</v>
      </c>
      <c r="D187" s="16">
        <v>345361752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25">
      <c r="A188" s="11">
        <f t="shared" si="2"/>
        <v>185</v>
      </c>
      <c r="B188" s="3" t="s">
        <v>452</v>
      </c>
      <c r="C188" s="3" t="s">
        <v>453</v>
      </c>
      <c r="D188" s="16">
        <v>331858169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25">
      <c r="A189" s="11">
        <f t="shared" si="2"/>
        <v>186</v>
      </c>
      <c r="B189" s="3" t="s">
        <v>454</v>
      </c>
      <c r="C189" s="3" t="s">
        <v>455</v>
      </c>
      <c r="D189" s="16">
        <v>329036001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25">
      <c r="A190" s="11">
        <f t="shared" si="2"/>
        <v>187</v>
      </c>
      <c r="B190" s="3" t="s">
        <v>456</v>
      </c>
      <c r="C190" s="3" t="s">
        <v>457</v>
      </c>
      <c r="D190" s="16">
        <v>321877568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25">
      <c r="A191" s="11">
        <f t="shared" si="2"/>
        <v>188</v>
      </c>
      <c r="B191" s="3" t="s">
        <v>458</v>
      </c>
      <c r="C191" s="3" t="s">
        <v>459</v>
      </c>
      <c r="D191" s="16">
        <v>313822272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25">
      <c r="A192" s="11">
        <f t="shared" si="2"/>
        <v>189</v>
      </c>
      <c r="B192" s="3" t="s">
        <v>460</v>
      </c>
      <c r="C192" s="3" t="s">
        <v>461</v>
      </c>
      <c r="D192" s="16">
        <v>313733984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25">
      <c r="A193" s="11">
        <f t="shared" si="2"/>
        <v>190</v>
      </c>
      <c r="B193" s="3" t="s">
        <v>462</v>
      </c>
      <c r="C193" s="3" t="s">
        <v>463</v>
      </c>
      <c r="D193" s="16">
        <v>309899296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25">
      <c r="A194" s="11">
        <f t="shared" si="2"/>
        <v>191</v>
      </c>
      <c r="B194" s="3" t="s">
        <v>464</v>
      </c>
      <c r="C194" s="3" t="s">
        <v>465</v>
      </c>
      <c r="D194" s="16">
        <v>300329354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25">
      <c r="A195" s="11">
        <f t="shared" si="2"/>
        <v>192</v>
      </c>
      <c r="B195" s="3" t="s">
        <v>466</v>
      </c>
      <c r="C195" s="3" t="s">
        <v>467</v>
      </c>
      <c r="D195" s="16">
        <v>292311584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25">
      <c r="A196" s="11">
        <f t="shared" si="2"/>
        <v>193</v>
      </c>
      <c r="B196" s="3" t="s">
        <v>468</v>
      </c>
      <c r="C196" s="3" t="s">
        <v>469</v>
      </c>
      <c r="D196" s="16">
        <v>279334304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25">
      <c r="A197" s="11">
        <f t="shared" si="2"/>
        <v>194</v>
      </c>
      <c r="B197" s="3" t="s">
        <v>470</v>
      </c>
      <c r="C197" s="3" t="s">
        <v>471</v>
      </c>
      <c r="D197" s="16">
        <v>276176433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25">
      <c r="A198" s="11">
        <f t="shared" ref="A198:A261" si="3">1+A197</f>
        <v>195</v>
      </c>
      <c r="B198" s="3" t="s">
        <v>472</v>
      </c>
      <c r="C198" s="3" t="s">
        <v>473</v>
      </c>
      <c r="D198" s="16">
        <v>273508640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25">
      <c r="A199" s="11">
        <f t="shared" si="3"/>
        <v>196</v>
      </c>
      <c r="B199" s="3" t="s">
        <v>474</v>
      </c>
      <c r="C199" s="3" t="s">
        <v>475</v>
      </c>
      <c r="D199" s="16">
        <v>272816752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25">
      <c r="A200" s="11">
        <f t="shared" si="3"/>
        <v>197</v>
      </c>
      <c r="B200" s="3" t="s">
        <v>476</v>
      </c>
      <c r="C200" s="3" t="s">
        <v>477</v>
      </c>
      <c r="D200" s="16">
        <v>261084442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25">
      <c r="A201" s="11">
        <f t="shared" si="3"/>
        <v>198</v>
      </c>
      <c r="B201" s="3" t="s">
        <v>478</v>
      </c>
      <c r="C201" s="3" t="s">
        <v>479</v>
      </c>
      <c r="D201" s="16">
        <v>250590912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25">
      <c r="A202" s="11">
        <f t="shared" si="3"/>
        <v>199</v>
      </c>
      <c r="B202" s="3" t="s">
        <v>480</v>
      </c>
      <c r="C202" s="3" t="s">
        <v>481</v>
      </c>
      <c r="D202" s="16">
        <v>248981418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25">
      <c r="A203" s="11">
        <f t="shared" si="3"/>
        <v>200</v>
      </c>
      <c r="B203" s="3" t="s">
        <v>482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25">
      <c r="A204" s="11">
        <f t="shared" si="3"/>
        <v>201</v>
      </c>
      <c r="B204" s="3" t="s">
        <v>483</v>
      </c>
      <c r="C204" s="3" t="s">
        <v>484</v>
      </c>
      <c r="D204" s="16">
        <v>243907047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25">
      <c r="A205" s="11">
        <f t="shared" si="3"/>
        <v>202</v>
      </c>
      <c r="B205" s="3" t="s">
        <v>485</v>
      </c>
      <c r="C205" s="3" t="s">
        <v>486</v>
      </c>
      <c r="D205" s="16">
        <v>243504046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25">
      <c r="A206" s="11">
        <f t="shared" si="3"/>
        <v>203</v>
      </c>
      <c r="B206" s="3" t="s">
        <v>487</v>
      </c>
      <c r="C206" s="3" t="s">
        <v>488</v>
      </c>
      <c r="D206" s="16">
        <v>242971597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25">
      <c r="A207" s="11">
        <f t="shared" si="3"/>
        <v>204</v>
      </c>
      <c r="B207" s="3" t="s">
        <v>489</v>
      </c>
      <c r="C207" s="3" t="s">
        <v>490</v>
      </c>
      <c r="D207" s="16">
        <v>242794262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25">
      <c r="A208" s="11">
        <f t="shared" si="3"/>
        <v>205</v>
      </c>
      <c r="B208" s="3" t="s">
        <v>491</v>
      </c>
      <c r="C208" s="3" t="s">
        <v>492</v>
      </c>
      <c r="D208" s="16">
        <v>242517376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25">
      <c r="A209" s="11">
        <f t="shared" si="3"/>
        <v>206</v>
      </c>
      <c r="B209" s="3" t="s">
        <v>493</v>
      </c>
      <c r="C209" s="3" t="s">
        <v>494</v>
      </c>
      <c r="D209" s="16">
        <v>240572368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25">
      <c r="A210" s="11">
        <f t="shared" si="3"/>
        <v>207</v>
      </c>
      <c r="B210" s="3" t="s">
        <v>495</v>
      </c>
      <c r="C210" s="3" t="s">
        <v>496</v>
      </c>
      <c r="D210" s="16">
        <v>237904880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25">
      <c r="A211" s="11">
        <f t="shared" si="3"/>
        <v>208</v>
      </c>
      <c r="B211" s="3" t="s">
        <v>497</v>
      </c>
      <c r="C211" s="3" t="s">
        <v>498</v>
      </c>
      <c r="D211" s="16">
        <v>237335301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25">
      <c r="A212" s="11">
        <f t="shared" si="3"/>
        <v>209</v>
      </c>
      <c r="B212" s="3" t="s">
        <v>499</v>
      </c>
      <c r="C212" s="3" t="s">
        <v>500</v>
      </c>
      <c r="D212" s="16">
        <v>232812165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25">
      <c r="A213" s="11">
        <f t="shared" si="3"/>
        <v>210</v>
      </c>
      <c r="B213" s="3" t="s">
        <v>501</v>
      </c>
      <c r="C213" s="3" t="s">
        <v>502</v>
      </c>
      <c r="D213" s="16">
        <v>232725616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25">
      <c r="A214" s="11">
        <f t="shared" si="3"/>
        <v>211</v>
      </c>
      <c r="B214" s="3" t="s">
        <v>503</v>
      </c>
      <c r="C214" s="3" t="s">
        <v>504</v>
      </c>
      <c r="D214" s="16">
        <v>231534837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25">
      <c r="A215" s="11">
        <f t="shared" si="3"/>
        <v>212</v>
      </c>
      <c r="B215" s="3" t="s">
        <v>505</v>
      </c>
      <c r="C215" s="3" t="s">
        <v>506</v>
      </c>
      <c r="D215" s="16">
        <v>228693120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25">
      <c r="A216" s="11">
        <f t="shared" si="3"/>
        <v>213</v>
      </c>
      <c r="B216" s="3" t="s">
        <v>507</v>
      </c>
      <c r="C216" s="3" t="s">
        <v>508</v>
      </c>
      <c r="D216" s="16">
        <v>227761200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25">
      <c r="A217" s="11">
        <f t="shared" si="3"/>
        <v>214</v>
      </c>
      <c r="B217" s="3" t="s">
        <v>509</v>
      </c>
      <c r="C217" s="3" t="s">
        <v>510</v>
      </c>
      <c r="D217" s="16">
        <v>227467958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25">
      <c r="A218" s="11">
        <f t="shared" si="3"/>
        <v>215</v>
      </c>
      <c r="B218" s="3" t="s">
        <v>511</v>
      </c>
      <c r="C218" s="3" t="s">
        <v>512</v>
      </c>
      <c r="D218" s="16">
        <v>227159584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25">
      <c r="A219" s="11">
        <f t="shared" si="3"/>
        <v>216</v>
      </c>
      <c r="B219" s="3" t="s">
        <v>513</v>
      </c>
      <c r="C219" s="3" t="s">
        <v>514</v>
      </c>
      <c r="D219" s="16">
        <v>225610800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25">
      <c r="A220" s="11">
        <f t="shared" si="3"/>
        <v>217</v>
      </c>
      <c r="B220" s="3" t="s">
        <v>515</v>
      </c>
      <c r="C220" s="3" t="s">
        <v>516</v>
      </c>
      <c r="D220" s="16">
        <v>225375808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25">
      <c r="A221" s="11">
        <f t="shared" si="3"/>
        <v>218</v>
      </c>
      <c r="B221" s="3" t="s">
        <v>517</v>
      </c>
      <c r="C221" s="3" t="s">
        <v>518</v>
      </c>
      <c r="D221" s="16">
        <v>219778016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25">
      <c r="A222" s="11">
        <f t="shared" si="3"/>
        <v>219</v>
      </c>
      <c r="B222" s="3" t="s">
        <v>519</v>
      </c>
      <c r="C222" s="3" t="s">
        <v>520</v>
      </c>
      <c r="D222" s="16">
        <v>216765136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25">
      <c r="A223" s="11">
        <f t="shared" si="3"/>
        <v>220</v>
      </c>
      <c r="B223" s="3" t="s">
        <v>521</v>
      </c>
      <c r="C223" s="3" t="s">
        <v>522</v>
      </c>
      <c r="D223" s="16">
        <v>214474560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25">
      <c r="A224" s="11">
        <f t="shared" si="3"/>
        <v>221</v>
      </c>
      <c r="B224" s="3" t="s">
        <v>523</v>
      </c>
      <c r="C224" s="3" t="s">
        <v>524</v>
      </c>
      <c r="D224" s="16">
        <v>211498966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25">
      <c r="A225" s="11">
        <f t="shared" si="3"/>
        <v>222</v>
      </c>
      <c r="B225" s="3" t="s">
        <v>525</v>
      </c>
      <c r="C225" s="3" t="s">
        <v>526</v>
      </c>
      <c r="D225" s="16">
        <v>202001008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25">
      <c r="A226" s="11">
        <f t="shared" si="3"/>
        <v>223</v>
      </c>
      <c r="B226" s="3" t="s">
        <v>527</v>
      </c>
      <c r="C226" s="3" t="s">
        <v>528</v>
      </c>
      <c r="D226" s="16">
        <v>194964591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25">
      <c r="A227" s="11">
        <f t="shared" si="3"/>
        <v>224</v>
      </c>
      <c r="B227" s="3" t="s">
        <v>529</v>
      </c>
      <c r="C227" s="3" t="s">
        <v>530</v>
      </c>
      <c r="D227" s="16">
        <v>194849408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25">
      <c r="A228" s="11">
        <f t="shared" si="3"/>
        <v>225</v>
      </c>
      <c r="B228" s="3" t="s">
        <v>531</v>
      </c>
      <c r="C228" s="3" t="s">
        <v>532</v>
      </c>
      <c r="D228" s="16">
        <v>192622040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25">
      <c r="A229" s="11">
        <f t="shared" si="3"/>
        <v>226</v>
      </c>
      <c r="B229" s="3" t="s">
        <v>533</v>
      </c>
      <c r="C229" s="3" t="s">
        <v>534</v>
      </c>
      <c r="D229" s="16">
        <v>187924902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25">
      <c r="A230" s="11">
        <f t="shared" si="3"/>
        <v>227</v>
      </c>
      <c r="B230" s="3" t="s">
        <v>535</v>
      </c>
      <c r="C230" s="3" t="s">
        <v>536</v>
      </c>
      <c r="D230" s="16">
        <v>186182144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25">
      <c r="A231" s="11">
        <f t="shared" si="3"/>
        <v>228</v>
      </c>
      <c r="B231" s="3" t="s">
        <v>537</v>
      </c>
      <c r="C231" s="3" t="s">
        <v>538</v>
      </c>
      <c r="D231" s="16">
        <v>185994187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25">
      <c r="A232" s="11">
        <f t="shared" si="3"/>
        <v>229</v>
      </c>
      <c r="B232" s="3" t="s">
        <v>539</v>
      </c>
      <c r="C232" s="3" t="s">
        <v>540</v>
      </c>
      <c r="D232" s="16">
        <v>183320454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25">
      <c r="A233" s="11">
        <f t="shared" si="3"/>
        <v>230</v>
      </c>
      <c r="B233" s="3" t="s">
        <v>541</v>
      </c>
      <c r="C233" s="3" t="s">
        <v>542</v>
      </c>
      <c r="D233" s="16">
        <v>178256847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25">
      <c r="A234" s="11">
        <f t="shared" si="3"/>
        <v>231</v>
      </c>
      <c r="B234" s="3" t="s">
        <v>543</v>
      </c>
      <c r="C234" s="3" t="s">
        <v>544</v>
      </c>
      <c r="D234" s="16">
        <v>167549614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25">
      <c r="A235" s="11">
        <f t="shared" si="3"/>
        <v>232</v>
      </c>
      <c r="B235" s="3" t="s">
        <v>545</v>
      </c>
      <c r="C235" s="3" t="s">
        <v>546</v>
      </c>
      <c r="D235" s="16">
        <v>156949801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25">
      <c r="A236" s="11">
        <f t="shared" si="3"/>
        <v>233</v>
      </c>
      <c r="B236" s="3" t="s">
        <v>547</v>
      </c>
      <c r="C236" s="3" t="s">
        <v>548</v>
      </c>
      <c r="D236" s="16">
        <v>151567616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25">
      <c r="A237" s="11">
        <f t="shared" si="3"/>
        <v>234</v>
      </c>
      <c r="B237" s="3" t="s">
        <v>549</v>
      </c>
      <c r="C237" s="3" t="s">
        <v>550</v>
      </c>
      <c r="D237" s="16">
        <v>149217056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25">
      <c r="A238" s="11">
        <f t="shared" si="3"/>
        <v>235</v>
      </c>
      <c r="B238" s="3" t="s">
        <v>551</v>
      </c>
      <c r="C238" s="3" t="s">
        <v>552</v>
      </c>
      <c r="D238" s="16">
        <v>144474278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25">
      <c r="A239" s="11">
        <f t="shared" si="3"/>
        <v>236</v>
      </c>
      <c r="B239" s="3" t="s">
        <v>553</v>
      </c>
      <c r="C239" s="3" t="s">
        <v>554</v>
      </c>
      <c r="D239" s="16">
        <v>135180167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25">
      <c r="A240" s="11">
        <f t="shared" si="3"/>
        <v>237</v>
      </c>
      <c r="B240" s="3" t="s">
        <v>555</v>
      </c>
      <c r="C240" s="3" t="s">
        <v>556</v>
      </c>
      <c r="D240" s="16">
        <v>133508648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25">
      <c r="A241" s="11">
        <f t="shared" si="3"/>
        <v>238</v>
      </c>
      <c r="B241" s="3" t="s">
        <v>557</v>
      </c>
      <c r="C241" s="3" t="s">
        <v>558</v>
      </c>
      <c r="D241" s="16">
        <v>133433818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25">
      <c r="A242" s="11">
        <f t="shared" si="3"/>
        <v>239</v>
      </c>
      <c r="B242" s="3" t="s">
        <v>559</v>
      </c>
      <c r="C242" s="3" t="s">
        <v>560</v>
      </c>
      <c r="D242" s="16">
        <v>132538736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25">
      <c r="A243" s="11">
        <f t="shared" si="3"/>
        <v>240</v>
      </c>
      <c r="B243" s="3" t="s">
        <v>561</v>
      </c>
      <c r="C243" s="3" t="s">
        <v>562</v>
      </c>
      <c r="D243" s="16">
        <v>130689228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25">
      <c r="A244" s="11">
        <f t="shared" si="3"/>
        <v>241</v>
      </c>
      <c r="B244" s="3" t="s">
        <v>563</v>
      </c>
      <c r="C244" s="3" t="s">
        <v>564</v>
      </c>
      <c r="D244" s="16">
        <v>129671592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25">
      <c r="A245" s="11">
        <f t="shared" si="3"/>
        <v>242</v>
      </c>
      <c r="B245" s="3" t="s">
        <v>565</v>
      </c>
      <c r="C245" s="3" t="s">
        <v>566</v>
      </c>
      <c r="D245" s="16">
        <v>129645141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25">
      <c r="A246" s="11">
        <f t="shared" si="3"/>
        <v>243</v>
      </c>
      <c r="B246" s="3" t="s">
        <v>567</v>
      </c>
      <c r="C246" s="3" t="s">
        <v>568</v>
      </c>
      <c r="D246" s="16">
        <v>128599095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25">
      <c r="A247" s="11">
        <f t="shared" si="3"/>
        <v>244</v>
      </c>
      <c r="B247" s="3" t="s">
        <v>569</v>
      </c>
      <c r="C247" s="3" t="s">
        <v>570</v>
      </c>
      <c r="D247" s="16">
        <v>125110728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25">
      <c r="A248" s="11">
        <f t="shared" si="3"/>
        <v>245</v>
      </c>
      <c r="B248" s="3" t="s">
        <v>571</v>
      </c>
      <c r="C248" s="3" t="s">
        <v>572</v>
      </c>
      <c r="D248" s="16">
        <v>124709690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25">
      <c r="A249" s="11">
        <f t="shared" si="3"/>
        <v>246</v>
      </c>
      <c r="B249" s="3" t="s">
        <v>573</v>
      </c>
      <c r="C249" s="3" t="s">
        <v>574</v>
      </c>
      <c r="D249" s="16">
        <v>121381824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25">
      <c r="A250" s="11">
        <f t="shared" si="3"/>
        <v>247</v>
      </c>
      <c r="B250" s="3" t="s">
        <v>575</v>
      </c>
      <c r="C250" s="3" t="s">
        <v>576</v>
      </c>
      <c r="D250" s="16">
        <v>120855152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25">
      <c r="A251" s="11">
        <f t="shared" si="3"/>
        <v>248</v>
      </c>
      <c r="B251" s="3" t="s">
        <v>577</v>
      </c>
      <c r="C251" s="3" t="s">
        <v>578</v>
      </c>
      <c r="D251" s="16">
        <v>119170280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25">
      <c r="A252" s="11">
        <f t="shared" si="3"/>
        <v>249</v>
      </c>
      <c r="B252" s="3" t="s">
        <v>579</v>
      </c>
      <c r="C252" s="3" t="s">
        <v>580</v>
      </c>
      <c r="D252" s="16">
        <v>116024520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25">
      <c r="A253" s="11">
        <f t="shared" si="3"/>
        <v>250</v>
      </c>
      <c r="B253" s="3" t="s">
        <v>581</v>
      </c>
      <c r="C253" s="3" t="s">
        <v>582</v>
      </c>
      <c r="D253" s="16">
        <v>115077544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25">
      <c r="A254" s="11">
        <f t="shared" si="3"/>
        <v>251</v>
      </c>
      <c r="B254" s="3" t="s">
        <v>583</v>
      </c>
      <c r="C254" s="3" t="s">
        <v>584</v>
      </c>
      <c r="D254" s="16">
        <v>113846292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25">
      <c r="A255" s="11">
        <f t="shared" si="3"/>
        <v>252</v>
      </c>
      <c r="B255" s="3" t="s">
        <v>585</v>
      </c>
      <c r="C255" s="3" t="s">
        <v>586</v>
      </c>
      <c r="D255" s="16">
        <v>107701432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25">
      <c r="A256" s="11">
        <f t="shared" si="3"/>
        <v>253</v>
      </c>
      <c r="B256" s="3" t="s">
        <v>587</v>
      </c>
      <c r="C256" s="3" t="s">
        <v>588</v>
      </c>
      <c r="D256" s="16">
        <v>107631130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25">
      <c r="A257" s="11">
        <f t="shared" si="3"/>
        <v>254</v>
      </c>
      <c r="B257" s="3" t="s">
        <v>589</v>
      </c>
      <c r="C257" s="3" t="s">
        <v>590</v>
      </c>
      <c r="D257" s="16">
        <v>106719665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25">
      <c r="A258" s="11">
        <f t="shared" si="3"/>
        <v>255</v>
      </c>
      <c r="B258" s="3" t="s">
        <v>591</v>
      </c>
      <c r="C258" s="3" t="s">
        <v>592</v>
      </c>
      <c r="D258" s="16">
        <v>104701384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25">
      <c r="A259" s="11">
        <f t="shared" si="3"/>
        <v>256</v>
      </c>
      <c r="B259" s="3" t="s">
        <v>593</v>
      </c>
      <c r="C259" s="3" t="s">
        <v>594</v>
      </c>
      <c r="D259" s="16">
        <v>102586404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25">
      <c r="A260" s="11">
        <f t="shared" si="3"/>
        <v>257</v>
      </c>
      <c r="B260" s="3" t="s">
        <v>595</v>
      </c>
      <c r="C260" s="3" t="s">
        <v>596</v>
      </c>
      <c r="D260" s="16">
        <v>98250251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25">
      <c r="A261" s="11">
        <f t="shared" si="3"/>
        <v>258</v>
      </c>
      <c r="B261" s="3" t="s">
        <v>597</v>
      </c>
      <c r="C261" s="3" t="s">
        <v>598</v>
      </c>
      <c r="D261" s="16">
        <v>97206232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25">
      <c r="A262" s="11">
        <f t="shared" ref="A262:A308" si="4">1+A261</f>
        <v>259</v>
      </c>
      <c r="B262" s="3" t="s">
        <v>599</v>
      </c>
      <c r="C262" s="3" t="s">
        <v>600</v>
      </c>
      <c r="D262" s="16">
        <v>90222136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25">
      <c r="A263" s="11">
        <f t="shared" si="4"/>
        <v>260</v>
      </c>
      <c r="B263" s="3" t="s">
        <v>601</v>
      </c>
      <c r="C263" s="3" t="s">
        <v>602</v>
      </c>
      <c r="D263" s="16">
        <v>88754032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25">
      <c r="A264" s="11">
        <f t="shared" si="4"/>
        <v>261</v>
      </c>
      <c r="B264" s="3" t="s">
        <v>603</v>
      </c>
      <c r="C264" s="3" t="s">
        <v>604</v>
      </c>
      <c r="D264" s="16">
        <v>81898152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25">
      <c r="A265" s="11">
        <f t="shared" si="4"/>
        <v>262</v>
      </c>
      <c r="B265" s="3" t="s">
        <v>605</v>
      </c>
      <c r="C265" s="3" t="s">
        <v>606</v>
      </c>
      <c r="D265" s="16">
        <v>75823832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25">
      <c r="A266" s="11">
        <f t="shared" si="4"/>
        <v>263</v>
      </c>
      <c r="B266" s="3" t="s">
        <v>607</v>
      </c>
      <c r="C266" s="3" t="s">
        <v>608</v>
      </c>
      <c r="D266" s="16">
        <v>71266013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25">
      <c r="A267" s="11">
        <f t="shared" si="4"/>
        <v>264</v>
      </c>
      <c r="B267" s="3" t="s">
        <v>609</v>
      </c>
      <c r="C267" s="3" t="s">
        <v>610</v>
      </c>
      <c r="D267" s="16">
        <v>70703024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25">
      <c r="A268" s="11">
        <f t="shared" si="4"/>
        <v>265</v>
      </c>
      <c r="B268" s="3" t="s">
        <v>611</v>
      </c>
      <c r="C268" s="3" t="s">
        <v>612</v>
      </c>
      <c r="D268" s="16">
        <v>70007728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25">
      <c r="A269" s="11">
        <f t="shared" si="4"/>
        <v>266</v>
      </c>
      <c r="B269" s="3" t="s">
        <v>613</v>
      </c>
      <c r="C269" s="3" t="s">
        <v>614</v>
      </c>
      <c r="D269" s="16">
        <v>67382016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25">
      <c r="A270" s="11">
        <f t="shared" si="4"/>
        <v>267</v>
      </c>
      <c r="B270" s="3" t="s">
        <v>615</v>
      </c>
      <c r="C270" s="3" t="s">
        <v>616</v>
      </c>
      <c r="D270" s="16">
        <v>66926006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25">
      <c r="A271" s="11">
        <f t="shared" si="4"/>
        <v>268</v>
      </c>
      <c r="B271" s="3" t="s">
        <v>617</v>
      </c>
      <c r="C271" s="3" t="s">
        <v>618</v>
      </c>
      <c r="D271" s="16">
        <v>66158509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25">
      <c r="A272" s="11">
        <f t="shared" si="4"/>
        <v>269</v>
      </c>
      <c r="B272" s="3" t="s">
        <v>619</v>
      </c>
      <c r="C272" s="3" t="s">
        <v>620</v>
      </c>
      <c r="D272" s="16">
        <v>65394221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25">
      <c r="A273" s="11">
        <f t="shared" si="4"/>
        <v>270</v>
      </c>
      <c r="B273" s="3" t="s">
        <v>621</v>
      </c>
      <c r="C273" s="3" t="s">
        <v>622</v>
      </c>
      <c r="D273" s="16">
        <v>60616004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25">
      <c r="A274" s="11">
        <f t="shared" si="4"/>
        <v>271</v>
      </c>
      <c r="B274" s="3" t="s">
        <v>623</v>
      </c>
      <c r="C274" s="3" t="s">
        <v>624</v>
      </c>
      <c r="D274" s="16">
        <v>57091332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25">
      <c r="A275" s="11">
        <f t="shared" si="4"/>
        <v>272</v>
      </c>
      <c r="B275" s="3" t="s">
        <v>625</v>
      </c>
      <c r="C275" s="3" t="s">
        <v>626</v>
      </c>
      <c r="D275" s="16">
        <v>55504929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25">
      <c r="A276" s="11">
        <f t="shared" si="4"/>
        <v>273</v>
      </c>
      <c r="B276" s="3" t="s">
        <v>627</v>
      </c>
      <c r="C276" s="3" t="s">
        <v>628</v>
      </c>
      <c r="D276" s="16">
        <v>54071794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25">
      <c r="A277" s="11">
        <f t="shared" si="4"/>
        <v>274</v>
      </c>
      <c r="B277" s="3" t="s">
        <v>629</v>
      </c>
      <c r="C277" s="3" t="s">
        <v>630</v>
      </c>
      <c r="D277" s="16">
        <v>52325200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25">
      <c r="A278" s="11">
        <f t="shared" si="4"/>
        <v>275</v>
      </c>
      <c r="B278" s="3" t="s">
        <v>631</v>
      </c>
      <c r="C278" s="3" t="s">
        <v>632</v>
      </c>
      <c r="D278" s="16">
        <v>50595568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25">
      <c r="A279" s="11">
        <f t="shared" si="4"/>
        <v>276</v>
      </c>
      <c r="B279" s="3" t="s">
        <v>633</v>
      </c>
      <c r="C279" s="3" t="s">
        <v>634</v>
      </c>
      <c r="D279" s="16">
        <v>48620928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25">
      <c r="A280" s="11">
        <f t="shared" si="4"/>
        <v>277</v>
      </c>
      <c r="B280" s="3" t="s">
        <v>635</v>
      </c>
      <c r="C280" s="3" t="s">
        <v>636</v>
      </c>
      <c r="D280" s="16">
        <v>46231824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25">
      <c r="A281" s="11">
        <f t="shared" si="4"/>
        <v>278</v>
      </c>
      <c r="B281" s="3" t="s">
        <v>637</v>
      </c>
      <c r="C281" s="3" t="s">
        <v>638</v>
      </c>
      <c r="D281" s="16">
        <v>44511338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25">
      <c r="A282" s="11">
        <f t="shared" si="4"/>
        <v>279</v>
      </c>
      <c r="B282" s="3" t="s">
        <v>639</v>
      </c>
      <c r="C282" s="3" t="s">
        <v>640</v>
      </c>
      <c r="D282" s="16">
        <v>37850618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25">
      <c r="A283" s="11">
        <f t="shared" si="4"/>
        <v>280</v>
      </c>
      <c r="B283" s="3" t="s">
        <v>641</v>
      </c>
      <c r="C283" s="3" t="s">
        <v>642</v>
      </c>
      <c r="D283" s="16">
        <v>37843452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25">
      <c r="A284" s="11">
        <f t="shared" si="4"/>
        <v>281</v>
      </c>
      <c r="B284" s="3" t="s">
        <v>643</v>
      </c>
      <c r="C284" s="3" t="s">
        <v>644</v>
      </c>
      <c r="D284" s="16">
        <v>21784470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25">
      <c r="A285" s="11">
        <f t="shared" si="4"/>
        <v>282</v>
      </c>
      <c r="B285" s="3" t="s">
        <v>645</v>
      </c>
      <c r="C285" s="3" t="s">
        <v>646</v>
      </c>
      <c r="D285" s="16">
        <v>20102876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25">
      <c r="A286" s="11">
        <f t="shared" si="4"/>
        <v>283</v>
      </c>
      <c r="B286" s="3" t="s">
        <v>647</v>
      </c>
      <c r="C286" s="3" t="s">
        <v>648</v>
      </c>
      <c r="D286" s="16">
        <v>17120622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25">
      <c r="A287" s="11">
        <f t="shared" si="4"/>
        <v>284</v>
      </c>
      <c r="B287" s="3" t="s">
        <v>649</v>
      </c>
      <c r="C287" s="3" t="s">
        <v>650</v>
      </c>
      <c r="D287" s="16">
        <v>13246417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25">
      <c r="A288" s="11">
        <f t="shared" si="4"/>
        <v>285</v>
      </c>
      <c r="B288" s="3" t="s">
        <v>651</v>
      </c>
      <c r="C288" s="3" t="s">
        <v>652</v>
      </c>
      <c r="D288" s="16">
        <v>12743325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25">
      <c r="A289" s="11">
        <f t="shared" si="4"/>
        <v>286</v>
      </c>
      <c r="B289" s="3" t="s">
        <v>653</v>
      </c>
      <c r="C289" s="3" t="s">
        <v>654</v>
      </c>
      <c r="D289" s="16">
        <v>5910458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25">
      <c r="A290" s="11">
        <f t="shared" si="4"/>
        <v>287</v>
      </c>
      <c r="B290" s="3" t="s">
        <v>655</v>
      </c>
      <c r="C290" s="3" t="s">
        <v>656</v>
      </c>
      <c r="D290" s="16">
        <v>5606911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25">
      <c r="A291" s="11">
        <f t="shared" si="4"/>
        <v>288</v>
      </c>
      <c r="B291" s="3" t="s">
        <v>657</v>
      </c>
      <c r="C291" s="3" t="s">
        <v>658</v>
      </c>
      <c r="D291" s="16">
        <v>5021721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25">
      <c r="A292" s="11">
        <f t="shared" si="4"/>
        <v>289</v>
      </c>
      <c r="B292" s="3" t="s">
        <v>659</v>
      </c>
      <c r="C292" s="3" t="s">
        <v>660</v>
      </c>
      <c r="D292" s="16">
        <v>3010600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25">
      <c r="A293" s="11">
        <f t="shared" si="4"/>
        <v>290</v>
      </c>
      <c r="B293" s="3" t="s">
        <v>661</v>
      </c>
      <c r="C293" s="3" t="s">
        <v>662</v>
      </c>
      <c r="D293" s="16">
        <v>1714280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25">
      <c r="A294" s="11">
        <f t="shared" si="4"/>
        <v>291</v>
      </c>
      <c r="B294" s="3" t="s">
        <v>663</v>
      </c>
      <c r="C294" s="3" t="s">
        <v>664</v>
      </c>
      <c r="D294" s="16">
        <v>775193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25">
      <c r="A295" s="11">
        <f t="shared" si="4"/>
        <v>292</v>
      </c>
      <c r="B295" s="3" t="s">
        <v>665</v>
      </c>
      <c r="C295" s="3" t="s">
        <v>666</v>
      </c>
      <c r="D295" s="3">
        <v>473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25">
      <c r="A296" s="11">
        <f t="shared" si="4"/>
        <v>293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25">
      <c r="A297" s="11">
        <f t="shared" si="4"/>
        <v>294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25">
      <c r="A298" s="11">
        <f t="shared" si="4"/>
        <v>295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25">
      <c r="A299" s="11">
        <f t="shared" si="4"/>
        <v>296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25">
      <c r="A300" s="11">
        <f t="shared" si="4"/>
        <v>297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25">
      <c r="A301" s="11">
        <f t="shared" si="4"/>
        <v>298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25">
      <c r="A302" s="11">
        <f t="shared" si="4"/>
        <v>299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25">
      <c r="A303" s="11">
        <f t="shared" si="4"/>
        <v>300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25">
      <c r="A304" s="11">
        <f t="shared" si="4"/>
        <v>301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25">
      <c r="A305" s="11">
        <f t="shared" si="4"/>
        <v>302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25">
      <c r="A306" s="11">
        <f t="shared" si="4"/>
        <v>303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25">
      <c r="A307" s="1">
        <f t="shared" si="4"/>
        <v>304</v>
      </c>
    </row>
    <row r="308" spans="1:19" x14ac:dyDescent="0.25">
      <c r="A308" s="1">
        <f t="shared" si="4"/>
        <v>305</v>
      </c>
    </row>
  </sheetData>
  <hyperlinks>
    <hyperlink ref="A1" location="Main!A1" display="Main" xr:uid="{2BCD49C2-5CC4-4441-86F4-994A286A8BD3}"/>
    <hyperlink ref="B7" r:id="rId1" xr:uid="{304BD59B-35C8-4ECE-8122-8B6E282ABD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BA7C-6A7A-474E-826F-1875C86C1453}">
  <dimension ref="A1"/>
  <sheetViews>
    <sheetView zoomScale="200" zoomScaleNormal="200" workbookViewId="0">
      <selection activeCell="D25" sqref="D25"/>
    </sheetView>
  </sheetViews>
  <sheetFormatPr defaultRowHeight="13.5" x14ac:dyDescent="0.25"/>
  <cols>
    <col min="1" max="1" width="5.42578125" style="5" bestFit="1" customWidth="1"/>
    <col min="2" max="16384" width="9.140625" style="5"/>
  </cols>
  <sheetData>
    <row r="1" spans="1:1" x14ac:dyDescent="0.25">
      <c r="A1" s="4" t="s">
        <v>64</v>
      </c>
    </row>
  </sheetData>
  <hyperlinks>
    <hyperlink ref="A1" location="Main!A1" display="Main" xr:uid="{2612666D-3878-4934-ABE1-3D1218CAD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Agriculture</vt:lpstr>
      <vt:lpstr>Mining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2025-04-10T12:16:14Z</dcterms:created>
  <dcterms:modified xsi:type="dcterms:W3CDTF">2026-03-11T15:46:42Z</dcterms:modified>
</cp:coreProperties>
</file>