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E6CB3134-4AE9-4413-B989-4F8624FE5C60}" xr6:coauthVersionLast="47" xr6:coauthVersionMax="47" xr10:uidLastSave="{00000000-0000-0000-0000-000000000000}"/>
  <bookViews>
    <workbookView xWindow="225" yWindow="3855"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8" l="1"/>
  <c r="F38" i="8"/>
  <c r="G38" i="8" s="1"/>
  <c r="H38" i="8" s="1"/>
  <c r="I38" i="8" s="1"/>
  <c r="J38" i="8" s="1"/>
  <c r="K38" i="8" s="1"/>
  <c r="F41" i="8"/>
  <c r="G41" i="8" s="1"/>
  <c r="H41" i="8" s="1"/>
  <c r="I41" i="8" s="1"/>
  <c r="J41" i="8" s="1"/>
  <c r="K41" i="8" s="1"/>
  <c r="F44" i="8"/>
  <c r="E44" i="8" s="1"/>
  <c r="V1" i="2"/>
  <c r="AC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D28" i="1"/>
  <c r="AE28" i="1"/>
  <c r="AW2" i="1"/>
  <c r="AX2" i="1" s="1"/>
  <c r="AY2" i="1" s="1"/>
  <c r="AZ2" i="1" s="1"/>
  <c r="BA2" i="1" s="1"/>
  <c r="BB2" i="1" s="1"/>
  <c r="BC2" i="1" s="1"/>
  <c r="BD2" i="1" s="1"/>
  <c r="BE2" i="1" s="1"/>
  <c r="BF2" i="1" s="1"/>
  <c r="BG2" i="1" s="1"/>
  <c r="BH2" i="1" s="1"/>
  <c r="BI2" i="1" s="1"/>
  <c r="BJ2" i="1" s="1"/>
  <c r="BK2" i="1" s="1"/>
  <c r="BL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c r="A110" i="1" s="1"/>
  <c r="A111" i="1" s="1"/>
  <c r="A112" i="1" s="1"/>
  <c r="A113" i="1" s="1"/>
  <c r="A114" i="1" s="1"/>
  <c r="A115" i="1" l="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Y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E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N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O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K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<sst xmlns="http://schemas.openxmlformats.org/spreadsheetml/2006/main" count="2261" uniqueCount="1569">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</sst>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Y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E22" dT="2024-11-11T21:29:45.05" personId="{4F866D09-A2D3-41DA-A24C-20DE51662D93}" id="{571E6B33-9F0B-402B-B6AF-3026724B96B6}">
    <text>All weather opened 1996
Pure alpha 1991</text>
  </threadedComment>
  <threadedComment ref="AN22" dT="2024-11-11T21:44:28.32" personId="{4F866D09-A2D3-41DA-A24C-20DE51662D93}" id="{65A0F6CF-356C-4A90-96D2-FFE35AFE2E62}">
    <text>All Weather +16%</text>
  </threadedComment>
  <threadedComment ref="AO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K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7" Type="http://schemas.openxmlformats.org/officeDocument/2006/relationships/hyperlink" Target="https://www.sec.gov/Archives/edgar/data/1350694/000117266122001788/0001172661-22-001788-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239" Type="http://schemas.openxmlformats.org/officeDocument/2006/relationships/hyperlink" Target="https://www.sec.gov/Archives/edgar/data/1446194/000144619424000006/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446" Type="http://schemas.openxmlformats.org/officeDocument/2006/relationships/hyperlink" Target="https://www.sec.gov/Archives/edgar/data/1478735/000089914025000264/0000899140-25-000264-index.htm" TargetMode="External"/><Relationship Id="rId250" Type="http://schemas.openxmlformats.org/officeDocument/2006/relationships/hyperlink" Target="https://www.sec.gov/Archives/edgar/data/1603466/000090266424003628/xslForm13F_X02/primary_doc.xml"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87" Type="http://schemas.openxmlformats.org/officeDocument/2006/relationships/hyperlink" Target="https://www.sec.gov/Archives/edgar/data/1218710/000095012323002431/0000950123-23-002431-index.htm"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13" Type="http://schemas.openxmlformats.org/officeDocument/2006/relationships/hyperlink" Target="https://www.sec.gov/Archives/edgar/data/1649339/000187920225000012/0001879202-25-000012-index.htm" TargetMode="External"/><Relationship Id="rId555" Type="http://schemas.openxmlformats.org/officeDocument/2006/relationships/hyperlink" Target="https://www.sec.gov/Archives/edgar/data/1729829/000172982925000050/0001729829-25-000050-index.htm" TargetMode="External"/><Relationship Id="rId152" Type="http://schemas.openxmlformats.org/officeDocument/2006/relationships/hyperlink" Target="https://www.sec.gov/Archives/edgar/data/1135730/000091957421006831/xslForm13F_X02/primary_doc.xml"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457" Type="http://schemas.openxmlformats.org/officeDocument/2006/relationships/hyperlink" Target="https://www.sec.gov/Archives/edgar/data/1729829/000172982925000045/0001729829-25-000045-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14" Type="http://schemas.openxmlformats.org/officeDocument/2006/relationships/hyperlink" Target="https://www.sec.gov/edgar/browse/?CIK=1423053" TargetMode="External"/><Relationship Id="rId56" Type="http://schemas.openxmlformats.org/officeDocument/2006/relationships/hyperlink" Target="https://www.sec.gov/Archives/edgar/data/1040273/000108514622004128/0001085146-22-004128-index.htm" TargetMode="External"/><Relationship Id="rId317" Type="http://schemas.openxmlformats.org/officeDocument/2006/relationships/hyperlink" Target="https://www.sec.gov/Archives/edgar/data/1224962/000101297524000329/xslForm13F_X02/primary_doc.xml" TargetMode="External"/><Relationship Id="rId359" Type="http://schemas.openxmlformats.org/officeDocument/2006/relationships/hyperlink" Target="https://www.sec.gov/edgar/browse/?CIK=1484972" TargetMode="External"/><Relationship Id="rId524" Type="http://schemas.openxmlformats.org/officeDocument/2006/relationships/hyperlink" Target="https://www.sec.gov/Archives/edgar/data/1336528/000117266124005218/0001172661-24-005218-index.htm" TargetMode="External"/><Relationship Id="rId566" Type="http://schemas.openxmlformats.org/officeDocument/2006/relationships/hyperlink" Target="https://www.sec.gov/Archives/edgar/data/1350694/000117266125003151/0001172661-25-003151-index.htm" TargetMode="External"/><Relationship Id="rId98" Type="http://schemas.openxmlformats.org/officeDocument/2006/relationships/hyperlink" Target="https://www.sec.gov/Archives/edgar/data/1061768/000156761924000192/xslForm13F_X02/primary_doc.xml" TargetMode="External"/><Relationship Id="rId121" Type="http://schemas.openxmlformats.org/officeDocument/2006/relationships/hyperlink" Target="https://www.sec.gov/Archives/edgar/data/1601086/000131586324000239/xslForm13F_X02/primary_doc.xml" TargetMode="External"/><Relationship Id="rId163" Type="http://schemas.openxmlformats.org/officeDocument/2006/relationships/hyperlink" Target="https://www.sec.gov/Archives/edgar/data/1446194/000144619422000006/xslForm13F_X01/primary_doc.xml" TargetMode="External"/><Relationship Id="rId219" Type="http://schemas.openxmlformats.org/officeDocument/2006/relationships/hyperlink" Target="https://www.sec.gov/Archives/edgar/data/1067983/000095012323005270/xslForm13F_X02/primary_doc.xml" TargetMode="External"/><Relationship Id="rId370" Type="http://schemas.openxmlformats.org/officeDocument/2006/relationships/hyperlink" Target="https://www.sec.gov/Archives/edgar/data/1729829/000172982924000011/xslForm13F_X02/primary_doc.xml" TargetMode="External"/><Relationship Id="rId426" Type="http://schemas.openxmlformats.org/officeDocument/2006/relationships/hyperlink" Target="https://www.sec.gov/Archives/edgar/data/1510281/000106299324015052/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241" Type="http://schemas.openxmlformats.org/officeDocument/2006/relationships/hyperlink" Target="https://www.sec.gov/Archives/edgar/data/1167557/000108514624004009/0001085146-24-004009-index.htm" TargetMode="External"/><Relationship Id="rId437" Type="http://schemas.openxmlformats.org/officeDocument/2006/relationships/hyperlink" Target="https://www.sec.gov/edgar/browse/?CIK=1454027"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283" Type="http://schemas.openxmlformats.org/officeDocument/2006/relationships/hyperlink" Target="https://www.sec.gov/Archives/edgar/data/923093/000095012324008354/0000950123-24-008354-index.htm" TargetMode="External"/><Relationship Id="rId339" Type="http://schemas.openxmlformats.org/officeDocument/2006/relationships/hyperlink" Target="https://www.sec.gov/Archives/edgar/data/1232621/000121465924009328/xslForm13F_X02/primary_doc.xml"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546" Type="http://schemas.openxmlformats.org/officeDocument/2006/relationships/hyperlink" Target="https://www.sec.gov/Archives/edgar/data/1647251/000164725125000009/0001647251-25-000009-index.htm" TargetMode="External"/><Relationship Id="rId78" Type="http://schemas.openxmlformats.org/officeDocument/2006/relationships/hyperlink" Target="https://www.sec.gov/Archives/edgar/data/1061165/000156761922010934/0001567619-22-010934-index.htm" TargetMode="External"/><Relationship Id="rId101" Type="http://schemas.openxmlformats.org/officeDocument/2006/relationships/hyperlink" Target="https://www.sec.gov/Archives/edgar/data/1493215/000149315224006286/xslForm13F_X02/primary_doc.xml" TargetMode="External"/><Relationship Id="rId143" Type="http://schemas.openxmlformats.org/officeDocument/2006/relationships/hyperlink" Target="https://www.sec.gov/edgar/browse/?CIK=1318757" TargetMode="External"/><Relationship Id="rId185" Type="http://schemas.openxmlformats.org/officeDocument/2006/relationships/hyperlink" Target="https://www.sec.gov/Archives/edgar/data/1595082/000159508224000013/xslForm13F_X02/primary_doc.xml" TargetMode="External"/><Relationship Id="rId350" Type="http://schemas.openxmlformats.org/officeDocument/2006/relationships/hyperlink" Target="https://www.sec.gov/edgar/browse/?CIK=1583977" TargetMode="External"/><Relationship Id="rId406" Type="http://schemas.openxmlformats.org/officeDocument/2006/relationships/hyperlink" Target="https://www.sec.gov/Archives/edgar/data/1632715/000117266124000834/xslForm13F_X02/primary_doc.xml"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392" Type="http://schemas.openxmlformats.org/officeDocument/2006/relationships/hyperlink" Target="https://www.sec.gov/Archives/edgar/data/1453072/000117266124003532/0001172661-24-003532-index.htm" TargetMode="External"/><Relationship Id="rId448" Type="http://schemas.openxmlformats.org/officeDocument/2006/relationships/hyperlink" Target="https://www.sec.gov/Archives/edgar/data/1423053/000095012325002739/0000950123-25-002739-index.htm" TargetMode="External"/><Relationship Id="rId252" Type="http://schemas.openxmlformats.org/officeDocument/2006/relationships/hyperlink" Target="https://www.sec.gov/Archives/edgar/data/1103804/000110380424000004/xslForm13F_X02/primary_doc.xml"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 Id="rId47" Type="http://schemas.openxmlformats.org/officeDocument/2006/relationships/hyperlink" Target="https://www.sec.gov/edgar/browse/?CIK=1601086" TargetMode="External"/><Relationship Id="rId89" Type="http://schemas.openxmlformats.org/officeDocument/2006/relationships/hyperlink" Target="https://www.sec.gov/Archives/edgar/data/1103804/000110380423000002/0001103804-23-000002-index.htm" TargetMode="External"/><Relationship Id="rId112" Type="http://schemas.openxmlformats.org/officeDocument/2006/relationships/hyperlink" Target="https://www.sec.gov/Archives/edgar/data/1103804/000110380424000002/xslForm13F_X02/primary_doc.xml"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57" Type="http://schemas.openxmlformats.org/officeDocument/2006/relationships/hyperlink" Target="https://www.sec.gov/Archives/edgar/data/1009207/000110465925078542/0001104659-25-078542-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459" Type="http://schemas.openxmlformats.org/officeDocument/2006/relationships/hyperlink" Target="https://www.sec.gov/Archives/edgar/data/1009207/000110465925014028/0001104659-25-014028-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printerSettings" Target="../printerSettings/printerSettings1.bin"/><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comments" Target="../comments1.xm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vmlDrawing" Target="../drawings/vmlDrawing1.vm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microsoft.com/office/2017/10/relationships/threadedComment" Target="../threadedComments/threadedComment1.xm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R242"/>
  <sheetViews>
    <sheetView tabSelected="1" zoomScale="160" zoomScaleNormal="160" workbookViewId="0">
      <pane xSplit="2" ySplit="2" topLeftCell="D3" activePane="bottomRight" state="frozen"/>
      <selection pane="topRight" activeCell="C1" sqref="C1"/>
      <selection pane="bottomLeft" activeCell="A3" sqref="A3"/>
      <selection pane="bottomRight" activeCell="W5" sqref="W5"/>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3" width="9.28515625" style="3" customWidth="1"/>
    <col min="24" max="24" width="12" style="6" customWidth="1"/>
    <col min="25" max="25" width="10.5703125" style="6" customWidth="1"/>
    <col min="26" max="26" width="12" style="8" customWidth="1"/>
    <col min="28" max="29" width="10.7109375" customWidth="1"/>
  </cols>
  <sheetData>
    <row r="1" spans="1:70" x14ac:dyDescent="0.2">
      <c r="AC1">
        <f>SUM(AC3:AC276)</f>
        <v>30724</v>
      </c>
    </row>
    <row r="2" spans="1:70"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5" t="s">
        <v>97</v>
      </c>
      <c r="Y2" s="5" t="s">
        <v>213</v>
      </c>
      <c r="Z2" s="7" t="s">
        <v>214</v>
      </c>
      <c r="AA2" t="s">
        <v>225</v>
      </c>
      <c r="AB2" t="s">
        <v>226</v>
      </c>
      <c r="AC2" t="s">
        <v>723</v>
      </c>
      <c r="AD2" t="s">
        <v>229</v>
      </c>
      <c r="AE2" t="s">
        <v>228</v>
      </c>
      <c r="AF2" t="s">
        <v>714</v>
      </c>
      <c r="AG2" t="s">
        <v>715</v>
      </c>
      <c r="AH2" t="s">
        <v>713</v>
      </c>
      <c r="AI2">
        <v>2024</v>
      </c>
      <c r="AJ2">
        <v>2023</v>
      </c>
      <c r="AK2">
        <v>2022</v>
      </c>
      <c r="AL2">
        <v>2021</v>
      </c>
      <c r="AM2">
        <v>2020</v>
      </c>
      <c r="AN2">
        <v>2019</v>
      </c>
      <c r="AO2">
        <v>2018</v>
      </c>
      <c r="AP2">
        <v>2017</v>
      </c>
      <c r="AQ2">
        <v>2016</v>
      </c>
      <c r="AR2">
        <v>2015</v>
      </c>
      <c r="AS2">
        <v>2014</v>
      </c>
      <c r="AT2">
        <v>2013</v>
      </c>
      <c r="AU2">
        <v>2012</v>
      </c>
      <c r="AV2">
        <v>2011</v>
      </c>
      <c r="AW2">
        <f>+AV2-1</f>
        <v>2010</v>
      </c>
      <c r="AX2">
        <f t="shared" ref="AX2:BL2" si="0">+AW2-1</f>
        <v>2009</v>
      </c>
      <c r="AY2">
        <f t="shared" si="0"/>
        <v>2008</v>
      </c>
      <c r="AZ2">
        <f t="shared" si="0"/>
        <v>2007</v>
      </c>
      <c r="BA2">
        <f t="shared" si="0"/>
        <v>2006</v>
      </c>
      <c r="BB2">
        <f t="shared" si="0"/>
        <v>2005</v>
      </c>
      <c r="BC2">
        <f t="shared" si="0"/>
        <v>2004</v>
      </c>
      <c r="BD2">
        <f t="shared" si="0"/>
        <v>2003</v>
      </c>
      <c r="BE2">
        <f t="shared" si="0"/>
        <v>2002</v>
      </c>
      <c r="BF2">
        <f t="shared" si="0"/>
        <v>2001</v>
      </c>
      <c r="BG2">
        <f t="shared" si="0"/>
        <v>2000</v>
      </c>
      <c r="BH2">
        <f t="shared" si="0"/>
        <v>1999</v>
      </c>
      <c r="BI2">
        <f t="shared" si="0"/>
        <v>1998</v>
      </c>
      <c r="BJ2">
        <f t="shared" si="0"/>
        <v>1997</v>
      </c>
      <c r="BK2">
        <f t="shared" si="0"/>
        <v>1996</v>
      </c>
      <c r="BL2">
        <f t="shared" si="0"/>
        <v>1995</v>
      </c>
      <c r="BM2">
        <v>1994</v>
      </c>
      <c r="BN2">
        <v>1993</v>
      </c>
      <c r="BO2">
        <v>1992</v>
      </c>
      <c r="BP2">
        <v>1991</v>
      </c>
    </row>
    <row r="3" spans="1:70"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6" t="s">
        <v>99</v>
      </c>
      <c r="Y3" s="6" t="s">
        <v>218</v>
      </c>
      <c r="Z3" s="8" t="s">
        <v>217</v>
      </c>
      <c r="AA3">
        <v>1965</v>
      </c>
    </row>
    <row r="4" spans="1:70" x14ac:dyDescent="0.2">
      <c r="A4">
        <f>+A3+1</f>
        <v>2</v>
      </c>
      <c r="B4" s="2" t="s">
        <v>5</v>
      </c>
      <c r="C4" t="s">
        <v>20</v>
      </c>
      <c r="D4" s="3">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6" t="s">
        <v>98</v>
      </c>
      <c r="Y4" s="6" t="s">
        <v>216</v>
      </c>
      <c r="Z4" s="8" t="s">
        <v>224</v>
      </c>
      <c r="AA4">
        <v>1989</v>
      </c>
      <c r="AC4">
        <v>5500</v>
      </c>
      <c r="AF4" t="s">
        <v>722</v>
      </c>
      <c r="AI4" s="9">
        <v>0.15</v>
      </c>
      <c r="AJ4" s="9">
        <v>0.1</v>
      </c>
      <c r="AK4" s="9">
        <v>0.12</v>
      </c>
      <c r="AL4" s="9">
        <v>0.1361</v>
      </c>
      <c r="AM4" s="9">
        <v>0.25800000000000001</v>
      </c>
      <c r="AN4" s="9">
        <v>9.8000000000000004E-2</v>
      </c>
      <c r="AO4" s="9">
        <v>4.9000000000000002E-2</v>
      </c>
      <c r="AP4" s="9">
        <v>7.1199999999999999E-2</v>
      </c>
      <c r="AQ4" s="9">
        <v>3.3799999999999997E-2</v>
      </c>
      <c r="AR4" s="9">
        <v>0.12540000000000001</v>
      </c>
      <c r="AS4" s="9">
        <v>0.12089999999999999</v>
      </c>
      <c r="AT4" s="9">
        <v>0.13270000000000001</v>
      </c>
      <c r="AU4" s="9">
        <v>6.3200000000000006E-2</v>
      </c>
      <c r="AV4" s="9">
        <v>8.3900000000000002E-2</v>
      </c>
      <c r="AW4" s="9">
        <v>0.13400000000000001</v>
      </c>
      <c r="AX4" s="9">
        <v>0.17199999999999999</v>
      </c>
      <c r="AY4" s="9">
        <v>-0.03</v>
      </c>
      <c r="AZ4" s="9"/>
      <c r="BA4" s="9">
        <v>0.17</v>
      </c>
      <c r="BB4" s="9">
        <v>0.08</v>
      </c>
      <c r="BC4" s="9">
        <v>0.35</v>
      </c>
    </row>
    <row r="5" spans="1:70"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6" t="s">
        <v>98</v>
      </c>
      <c r="Y5" s="6" t="s">
        <v>216</v>
      </c>
      <c r="Z5" s="8" t="s">
        <v>215</v>
      </c>
      <c r="AA5">
        <v>1990</v>
      </c>
      <c r="AB5" t="s">
        <v>235</v>
      </c>
      <c r="AC5">
        <v>2932</v>
      </c>
      <c r="AI5" s="9">
        <v>0.15</v>
      </c>
      <c r="AJ5" s="9">
        <v>0.153</v>
      </c>
      <c r="AK5" s="9">
        <v>0.38</v>
      </c>
      <c r="AL5" s="9">
        <v>0.26</v>
      </c>
      <c r="AM5" s="9">
        <v>0.24399999999999999</v>
      </c>
      <c r="AN5" s="9">
        <v>0.19400000000000001</v>
      </c>
      <c r="AO5" s="9">
        <v>9.0999999999999998E-2</v>
      </c>
      <c r="AP5" s="9">
        <v>0.13100000000000001</v>
      </c>
      <c r="AQ5" s="9">
        <v>5.0999999999999997E-2</v>
      </c>
      <c r="AR5" s="9">
        <v>0.14299999999999999</v>
      </c>
      <c r="AS5" s="9">
        <v>0.17899999999999999</v>
      </c>
      <c r="AT5" s="9">
        <v>0.19400000000000001</v>
      </c>
      <c r="AU5" s="9">
        <v>0.25900000000000001</v>
      </c>
      <c r="AV5" s="9">
        <v>0.2</v>
      </c>
      <c r="AW5" s="9">
        <v>0.1</v>
      </c>
      <c r="AX5" s="9">
        <v>0.62</v>
      </c>
      <c r="AY5" s="9">
        <v>-0.55000000000000004</v>
      </c>
      <c r="AZ5" s="9">
        <v>0.3</v>
      </c>
      <c r="BA5" s="9">
        <v>0.3</v>
      </c>
      <c r="BB5" s="9">
        <v>7.0000000000000007E-2</v>
      </c>
      <c r="BH5" s="9">
        <v>0.45</v>
      </c>
      <c r="BM5" s="9">
        <v>-4.2999999999999997E-2</v>
      </c>
      <c r="BO5" s="9">
        <v>0.4</v>
      </c>
      <c r="BP5" s="9">
        <v>0.43</v>
      </c>
      <c r="BR5" t="s">
        <v>1498</v>
      </c>
    </row>
    <row r="6" spans="1:70"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c r="X6" s="6" t="s">
        <v>100</v>
      </c>
      <c r="Y6" s="6" t="s">
        <v>1477</v>
      </c>
      <c r="Z6" s="8" t="s">
        <v>224</v>
      </c>
      <c r="AA6">
        <v>2000</v>
      </c>
      <c r="AC6">
        <v>2600</v>
      </c>
    </row>
    <row r="7" spans="1:70"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c r="X7" s="6" t="s">
        <v>98</v>
      </c>
      <c r="Y7" s="6" t="s">
        <v>1476</v>
      </c>
      <c r="Z7" s="8" t="s">
        <v>673</v>
      </c>
      <c r="AA7">
        <v>1997</v>
      </c>
      <c r="AC7">
        <v>650</v>
      </c>
      <c r="AF7" t="s">
        <v>717</v>
      </c>
      <c r="AG7" t="s">
        <v>716</v>
      </c>
      <c r="AH7" t="s">
        <v>1487</v>
      </c>
      <c r="AJ7" s="36">
        <v>7.5999999999999998E-2</v>
      </c>
      <c r="AU7" s="36">
        <v>6.83E-2</v>
      </c>
    </row>
    <row r="8" spans="1:70"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c r="X8" s="6" t="s">
        <v>100</v>
      </c>
      <c r="Y8" s="6" t="s">
        <v>939</v>
      </c>
      <c r="Z8" s="8" t="s">
        <v>1478</v>
      </c>
      <c r="AA8">
        <v>1998</v>
      </c>
      <c r="AC8">
        <v>573</v>
      </c>
      <c r="AR8" s="9">
        <v>0.14699999999999999</v>
      </c>
      <c r="AS8" s="9">
        <v>5.8000000000000003E-2</v>
      </c>
    </row>
    <row r="9" spans="1:70"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c r="X9" s="6" t="s">
        <v>100</v>
      </c>
      <c r="Y9" s="6" t="s">
        <v>219</v>
      </c>
      <c r="Z9" s="8" t="s">
        <v>224</v>
      </c>
      <c r="AA9">
        <v>1978</v>
      </c>
      <c r="AC9">
        <v>310</v>
      </c>
      <c r="AX9" s="9">
        <v>0.38</v>
      </c>
      <c r="BC9" s="9">
        <v>0.25</v>
      </c>
    </row>
    <row r="10" spans="1:70"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c r="X10" s="6" t="s">
        <v>100</v>
      </c>
      <c r="Y10" s="6" t="s">
        <v>1130</v>
      </c>
      <c r="Z10" s="8" t="s">
        <v>664</v>
      </c>
      <c r="AC10">
        <v>3000</v>
      </c>
    </row>
    <row r="11" spans="1:70"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c r="X11" s="6" t="s">
        <v>100</v>
      </c>
      <c r="Y11" s="6" t="s">
        <v>219</v>
      </c>
      <c r="AC11">
        <v>1100</v>
      </c>
    </row>
    <row r="12" spans="1:70"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c r="X12" s="6" t="s">
        <v>100</v>
      </c>
      <c r="Y12" s="6" t="s">
        <v>219</v>
      </c>
      <c r="Z12" s="8" t="s">
        <v>224</v>
      </c>
      <c r="AA12">
        <v>2001</v>
      </c>
      <c r="AC12">
        <v>2100</v>
      </c>
      <c r="AJ12" s="9">
        <v>0.12</v>
      </c>
      <c r="AR12" s="9">
        <v>0.15</v>
      </c>
      <c r="AS12" s="9">
        <v>0.10100000000000001</v>
      </c>
      <c r="AX12" s="9">
        <v>0.20230000000000001</v>
      </c>
      <c r="AY12" s="9"/>
      <c r="AZ12" s="9"/>
      <c r="BA12" s="9"/>
      <c r="BB12" s="9"/>
    </row>
    <row r="13" spans="1:70"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c r="X13" s="6" t="s">
        <v>100</v>
      </c>
      <c r="Y13" s="6" t="s">
        <v>219</v>
      </c>
      <c r="Z13" s="8" t="s">
        <v>224</v>
      </c>
      <c r="AC13">
        <v>2500</v>
      </c>
      <c r="AJ13" s="9">
        <v>9.6000000000000002E-2</v>
      </c>
      <c r="AL13" s="9">
        <v>0.185</v>
      </c>
      <c r="AR13" s="9">
        <v>0.14299999999999999</v>
      </c>
      <c r="AS13" s="9">
        <v>0.16400000000000001</v>
      </c>
      <c r="AX13" s="9"/>
      <c r="AY13" s="9"/>
      <c r="AZ13" s="9">
        <v>7.3999999999999996E-2</v>
      </c>
      <c r="BA13" s="9"/>
      <c r="BB13" s="9"/>
      <c r="BR13" t="s">
        <v>1499</v>
      </c>
    </row>
    <row r="14" spans="1:70"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c r="X14" s="6" t="s">
        <v>99</v>
      </c>
      <c r="Y14" s="6" t="s">
        <v>1546</v>
      </c>
      <c r="Z14" s="8" t="s">
        <v>673</v>
      </c>
      <c r="AC14">
        <v>82</v>
      </c>
      <c r="AI14" s="9">
        <v>0.15</v>
      </c>
      <c r="AJ14" s="9">
        <v>0.33</v>
      </c>
      <c r="AK14" s="9">
        <v>-0.18</v>
      </c>
      <c r="AL14" s="9"/>
      <c r="AQ14" s="9">
        <v>0.13500000000000001</v>
      </c>
      <c r="AR14" s="9">
        <v>0.14399999999999999</v>
      </c>
      <c r="AS14" s="9">
        <v>8.1000000000000003E-2</v>
      </c>
      <c r="AT14" s="9">
        <v>0.47220000000000001</v>
      </c>
      <c r="AU14" s="9">
        <v>0.29520000000000002</v>
      </c>
      <c r="AX14" s="9"/>
      <c r="AY14" s="9">
        <v>-0.43</v>
      </c>
      <c r="AZ14" s="9"/>
      <c r="BA14" s="9"/>
      <c r="BB14" s="9"/>
    </row>
    <row r="15" spans="1:70"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c r="X15" s="6" t="s">
        <v>98</v>
      </c>
      <c r="Y15" s="6" t="s">
        <v>216</v>
      </c>
      <c r="Z15" s="8" t="s">
        <v>223</v>
      </c>
      <c r="AC15">
        <v>1900</v>
      </c>
      <c r="AL15" s="9">
        <v>7.0000000000000001E-3</v>
      </c>
      <c r="AT15" s="9"/>
      <c r="AX15" s="9">
        <v>8.6400000000000005E-2</v>
      </c>
      <c r="AY15" s="9">
        <v>4.5999999999999999E-3</v>
      </c>
      <c r="AZ15" s="9"/>
      <c r="BA15" s="9"/>
      <c r="BB15" s="9"/>
    </row>
    <row r="16" spans="1:70" x14ac:dyDescent="0.2">
      <c r="A16">
        <f t="shared" si="1"/>
        <v>14</v>
      </c>
      <c r="B16" s="2" t="s">
        <v>1479</v>
      </c>
      <c r="C16" t="s">
        <v>1549</v>
      </c>
      <c r="R16" s="4">
        <v>37928.012926000003</v>
      </c>
      <c r="S16" s="4">
        <v>38404.904881000002</v>
      </c>
      <c r="T16" s="4">
        <v>38002.464468999999</v>
      </c>
      <c r="U16" s="4">
        <v>39439.645215999997</v>
      </c>
      <c r="V16" s="4">
        <v>52494.564572000003</v>
      </c>
      <c r="W16" s="4"/>
      <c r="X16" s="6" t="s">
        <v>98</v>
      </c>
      <c r="Y16" s="6" t="s">
        <v>1559</v>
      </c>
      <c r="AC16">
        <v>1787</v>
      </c>
      <c r="AT16" s="10" t="s">
        <v>1496</v>
      </c>
      <c r="AX16" s="9"/>
      <c r="AY16" s="9" t="s">
        <v>1501</v>
      </c>
      <c r="AZ16" s="9"/>
      <c r="BA16" s="9"/>
      <c r="BB16" s="9"/>
    </row>
    <row r="17" spans="1:67"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c r="X17" s="6" t="s">
        <v>98</v>
      </c>
      <c r="Y17" s="6" t="s">
        <v>216</v>
      </c>
      <c r="Z17" s="8" t="s">
        <v>222</v>
      </c>
      <c r="AA17">
        <v>1992</v>
      </c>
      <c r="AC17">
        <v>2800</v>
      </c>
      <c r="AI17" s="9">
        <v>0.19</v>
      </c>
      <c r="AJ17" s="9">
        <v>0.106</v>
      </c>
      <c r="AK17" s="9">
        <v>0.1</v>
      </c>
      <c r="AL17" s="9">
        <v>0.09</v>
      </c>
      <c r="AT17" s="9"/>
      <c r="AU17" s="9">
        <v>0.14000000000000001</v>
      </c>
      <c r="AX17" s="9"/>
      <c r="AY17" s="9">
        <v>-0.18529999999999999</v>
      </c>
      <c r="AZ17" s="9">
        <v>0.13</v>
      </c>
      <c r="BA17" s="9">
        <v>0.34</v>
      </c>
      <c r="BB17" s="9"/>
    </row>
    <row r="18" spans="1:67"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c r="X18" s="6" t="s">
        <v>100</v>
      </c>
      <c r="AC18">
        <v>119</v>
      </c>
      <c r="AE18">
        <v>2009</v>
      </c>
      <c r="AT18" s="9"/>
      <c r="AX18" s="9"/>
      <c r="AY18" s="9"/>
      <c r="AZ18" s="9"/>
      <c r="BA18" s="9"/>
      <c r="BB18" s="9"/>
    </row>
    <row r="19" spans="1:67"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c r="X19" s="6" t="s">
        <v>101</v>
      </c>
      <c r="Y19" s="6" t="s">
        <v>220</v>
      </c>
      <c r="Z19" s="8" t="s">
        <v>222</v>
      </c>
      <c r="AC19">
        <v>275</v>
      </c>
      <c r="AJ19" s="9">
        <v>0.13800000000000001</v>
      </c>
      <c r="AK19" s="9">
        <v>-2.4E-2</v>
      </c>
      <c r="AT19" s="9">
        <v>0.22500000000000001</v>
      </c>
      <c r="AX19" s="9">
        <v>0.18890000000000001</v>
      </c>
      <c r="AY19" s="9">
        <v>0.1</v>
      </c>
      <c r="AZ19" s="9"/>
      <c r="BA19" s="9"/>
      <c r="BB19" s="9"/>
    </row>
    <row r="20" spans="1:67"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c r="X20" s="6" t="s">
        <v>104</v>
      </c>
      <c r="Y20" s="6" t="s">
        <v>220</v>
      </c>
      <c r="Z20" s="8" t="s">
        <v>224</v>
      </c>
      <c r="AC20">
        <v>157</v>
      </c>
      <c r="AJ20" s="9">
        <v>0.215</v>
      </c>
      <c r="AR20" s="9">
        <v>0.111</v>
      </c>
      <c r="AS20" s="9">
        <v>-2.4E-2</v>
      </c>
      <c r="AT20" s="9"/>
    </row>
    <row r="21" spans="1:67"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c r="X21" s="6" t="s">
        <v>104</v>
      </c>
      <c r="Y21" s="6" t="s">
        <v>220</v>
      </c>
      <c r="Z21" s="8" t="s">
        <v>224</v>
      </c>
      <c r="AC21">
        <v>162</v>
      </c>
      <c r="AJ21" s="9">
        <v>0.28499999999999998</v>
      </c>
      <c r="AK21" s="9">
        <v>-0.56000000000000005</v>
      </c>
      <c r="AT21" s="9">
        <v>0.14000000000000001</v>
      </c>
    </row>
    <row r="22" spans="1:67"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c r="X22" s="6" t="s">
        <v>102</v>
      </c>
      <c r="Z22" s="8" t="s">
        <v>238</v>
      </c>
      <c r="AC22">
        <v>1300</v>
      </c>
      <c r="AE22">
        <v>1975</v>
      </c>
      <c r="AH22" t="s">
        <v>1486</v>
      </c>
      <c r="AI22" s="9">
        <v>-0.14000000000000001</v>
      </c>
      <c r="AJ22" s="9" t="s">
        <v>1500</v>
      </c>
      <c r="AK22" s="9">
        <v>0.1</v>
      </c>
      <c r="AL22" s="9">
        <v>-0.05</v>
      </c>
      <c r="AM22" s="9">
        <v>-0.05</v>
      </c>
      <c r="AN22" s="9">
        <v>0</v>
      </c>
      <c r="AO22" s="27">
        <v>0.14599999999999999</v>
      </c>
      <c r="AQ22" t="s">
        <v>1505</v>
      </c>
      <c r="AR22" t="s">
        <v>1503</v>
      </c>
      <c r="AS22" t="s">
        <v>1504</v>
      </c>
      <c r="AU22" t="s">
        <v>1502</v>
      </c>
      <c r="AY22" s="27">
        <v>9.4E-2</v>
      </c>
      <c r="AZ22" t="s">
        <v>1497</v>
      </c>
    </row>
    <row r="23" spans="1:67" x14ac:dyDescent="0.2">
      <c r="A23">
        <f t="shared" si="1"/>
        <v>21</v>
      </c>
      <c r="B23" s="2" t="s">
        <v>1488</v>
      </c>
      <c r="C23" t="s">
        <v>1551</v>
      </c>
      <c r="D23" s="3">
        <v>10800</v>
      </c>
      <c r="R23" s="4">
        <v>18282.342143000002</v>
      </c>
      <c r="S23" s="4">
        <v>19859.488243</v>
      </c>
      <c r="T23" s="4">
        <v>25278.910676</v>
      </c>
      <c r="U23" s="4">
        <v>21467.172566000001</v>
      </c>
      <c r="V23" s="4">
        <v>22465.170517999999</v>
      </c>
      <c r="W23" s="4"/>
      <c r="X23" s="6" t="s">
        <v>98</v>
      </c>
      <c r="Y23" s="6" t="s">
        <v>216</v>
      </c>
      <c r="AC23">
        <v>350</v>
      </c>
    </row>
    <row r="24" spans="1:67"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c r="X24" s="6" t="s">
        <v>98</v>
      </c>
      <c r="Y24" s="6" t="s">
        <v>1559</v>
      </c>
      <c r="AC24">
        <v>56</v>
      </c>
    </row>
    <row r="25" spans="1:67"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c r="X25" s="6" t="s">
        <v>98</v>
      </c>
      <c r="Y25" s="6" t="s">
        <v>1560</v>
      </c>
      <c r="AC25">
        <v>230</v>
      </c>
      <c r="AZ25" s="36">
        <v>0.14799999999999999</v>
      </c>
    </row>
    <row r="26" spans="1:67"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c r="X26" s="6" t="s">
        <v>100</v>
      </c>
      <c r="AC26">
        <v>241</v>
      </c>
      <c r="AL26" s="9">
        <v>0.13500000000000001</v>
      </c>
    </row>
    <row r="27" spans="1:67"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c r="X27" s="6" t="s">
        <v>104</v>
      </c>
      <c r="Y27" s="6" t="s">
        <v>220</v>
      </c>
      <c r="AA27">
        <v>2006</v>
      </c>
      <c r="AR27" s="9">
        <v>0.16200000000000001</v>
      </c>
      <c r="AS27" s="9">
        <v>1.4999999999999999E-2</v>
      </c>
      <c r="AT27" s="9">
        <v>0.56000000000000005</v>
      </c>
    </row>
    <row r="28" spans="1:67"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c r="X28" s="6" t="s">
        <v>101</v>
      </c>
      <c r="Y28" s="6" t="s">
        <v>220</v>
      </c>
      <c r="Z28" s="8" t="s">
        <v>222</v>
      </c>
      <c r="AA28">
        <v>1997</v>
      </c>
      <c r="AB28" t="s">
        <v>227</v>
      </c>
      <c r="AD28" s="9">
        <f>RATE(2022-1998,0,-1,13.71)</f>
        <v>0.11526111596972678</v>
      </c>
      <c r="AE28" s="9">
        <f>1*(1+BI$28)*(1+BH28)*(1+BG28)*(1+BF28)*(1+BE28)*(1+BD28)*(1+BC28)*(1+BB28)*(1+BA28)*(1+AZ28)*(1+AY28)*(1+AX28)*(1+AW28)*(1+AV28)*(1+AU28)*(1+AT28)*(1+AS28)*(1+AR28)*(1+AQ28)*(1+AP28)*(1+AO28)*(1+AN28)*(1+AM28)*(1+AL28)*(1+AK28)-1</f>
        <v>13.713492129281141</v>
      </c>
      <c r="AF28" s="9"/>
      <c r="AG28" s="9"/>
      <c r="AH28" s="9"/>
      <c r="AI28" s="9"/>
      <c r="AJ28" s="9">
        <v>0.19</v>
      </c>
      <c r="AK28" s="10">
        <v>-0.33</v>
      </c>
      <c r="AL28" s="9">
        <v>-7.0000000000000007E-2</v>
      </c>
      <c r="AM28" s="9">
        <v>0.23</v>
      </c>
      <c r="AN28" s="9">
        <v>0.29899999999999999</v>
      </c>
      <c r="AO28" s="9">
        <v>-0.05</v>
      </c>
      <c r="AP28" s="9">
        <v>8.2000000000000003E-2</v>
      </c>
      <c r="AQ28" s="9">
        <v>-2.7E-2</v>
      </c>
      <c r="AR28" s="9">
        <v>8.7999999999999995E-2</v>
      </c>
      <c r="AS28" s="9">
        <v>4.0000000000000001E-3</v>
      </c>
      <c r="AT28" s="9">
        <v>0.14199999999999999</v>
      </c>
      <c r="AU28" s="9">
        <v>0.193</v>
      </c>
      <c r="AV28" s="9">
        <v>8.0000000000000002E-3</v>
      </c>
      <c r="AW28" s="9">
        <v>0.126</v>
      </c>
      <c r="AX28" s="9">
        <v>0.14000000000000001</v>
      </c>
      <c r="AY28" s="9">
        <v>-0.32900000000000001</v>
      </c>
      <c r="AZ28" s="9">
        <v>0.46200000000000002</v>
      </c>
      <c r="BA28" s="9">
        <v>0.13700000000000001</v>
      </c>
      <c r="BB28" s="9">
        <v>0.25900000000000001</v>
      </c>
      <c r="BC28" s="9">
        <v>0.14599999999999999</v>
      </c>
      <c r="BD28" s="9">
        <v>8.2000000000000003E-2</v>
      </c>
      <c r="BE28" s="9">
        <v>0.14599999999999999</v>
      </c>
      <c r="BF28" s="9">
        <v>0.40400000000000003</v>
      </c>
      <c r="BG28" s="9">
        <v>0.73399999999999999</v>
      </c>
      <c r="BH28" s="9">
        <v>0.46800000000000003</v>
      </c>
      <c r="BI28" s="9">
        <v>7.5999999999999998E-2</v>
      </c>
      <c r="BJ28" s="9"/>
      <c r="BK28" s="9"/>
      <c r="BL28" s="9"/>
      <c r="BM28" s="9"/>
      <c r="BN28" s="9"/>
      <c r="BO28" s="9"/>
    </row>
    <row r="29" spans="1:67"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c r="X29" s="6" t="s">
        <v>98</v>
      </c>
      <c r="Y29" s="6" t="s">
        <v>216</v>
      </c>
      <c r="AY29" s="9"/>
      <c r="AZ29" s="9"/>
    </row>
    <row r="30" spans="1:67"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c r="X30" s="6" t="s">
        <v>99</v>
      </c>
      <c r="AG30" t="s">
        <v>1562</v>
      </c>
      <c r="AJ30" s="9">
        <v>0.26300000000000001</v>
      </c>
      <c r="AK30" s="9">
        <v>-8.7999999999999995E-2</v>
      </c>
      <c r="AX30" s="9">
        <v>0.41210000000000002</v>
      </c>
      <c r="AY30" s="9">
        <v>-0.11899999999999999</v>
      </c>
      <c r="AZ30" s="9"/>
    </row>
    <row r="31" spans="1:67"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c r="X31" s="6" t="s">
        <v>98</v>
      </c>
      <c r="Y31" s="6" t="s">
        <v>1305</v>
      </c>
      <c r="Z31" s="8" t="s">
        <v>224</v>
      </c>
      <c r="AA31">
        <v>1977</v>
      </c>
      <c r="AJ31" s="9">
        <v>4.7E-2</v>
      </c>
      <c r="AQ31" s="9">
        <v>0.13100000000000001</v>
      </c>
      <c r="AR31" s="9">
        <v>2.7E-2</v>
      </c>
      <c r="AX31" s="9">
        <v>0.307</v>
      </c>
      <c r="AY31" s="9">
        <v>-0.03</v>
      </c>
      <c r="AZ31" s="9"/>
    </row>
    <row r="32" spans="1:67"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6" t="s">
        <v>98</v>
      </c>
      <c r="Y32" s="6" t="s">
        <v>1559</v>
      </c>
      <c r="AL32" s="9">
        <v>5.5E-2</v>
      </c>
      <c r="AX32" s="9"/>
      <c r="AY32" s="9"/>
      <c r="AZ32" s="9"/>
    </row>
    <row r="33" spans="1:52"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6" t="s">
        <v>98</v>
      </c>
      <c r="AX33" s="9"/>
      <c r="AY33" s="9"/>
      <c r="AZ33" s="9"/>
    </row>
    <row r="34" spans="1:52"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6" t="s">
        <v>103</v>
      </c>
      <c r="Y34" s="6" t="s">
        <v>218</v>
      </c>
      <c r="Z34" s="8" t="s">
        <v>224</v>
      </c>
      <c r="AA34">
        <v>2000</v>
      </c>
      <c r="AX34" s="9"/>
      <c r="AY34" s="9"/>
      <c r="AZ34" s="9"/>
    </row>
    <row r="35" spans="1:52"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6" t="s">
        <v>104</v>
      </c>
      <c r="Y35" s="6" t="s">
        <v>1564</v>
      </c>
      <c r="Z35" s="8" t="s">
        <v>1206</v>
      </c>
      <c r="AA35">
        <v>2008</v>
      </c>
      <c r="AX35" s="9"/>
    </row>
    <row r="36" spans="1:52" x14ac:dyDescent="0.2">
      <c r="A36">
        <f t="shared" si="1"/>
        <v>34</v>
      </c>
      <c r="B36" s="2" t="s">
        <v>1265</v>
      </c>
      <c r="C36" t="s">
        <v>1266</v>
      </c>
      <c r="R36" s="4">
        <v>4624.241779</v>
      </c>
      <c r="S36" s="4">
        <v>9707.0821759999999</v>
      </c>
      <c r="T36" s="4">
        <v>9058.9147479999992</v>
      </c>
      <c r="U36" s="4">
        <v>11911.767229999999</v>
      </c>
      <c r="V36" s="4"/>
      <c r="W36" s="4"/>
      <c r="X36" s="6" t="s">
        <v>1267</v>
      </c>
      <c r="Z36" s="8" t="s">
        <v>223</v>
      </c>
      <c r="AX36" s="9"/>
    </row>
    <row r="37" spans="1:52"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6" t="s">
        <v>1566</v>
      </c>
      <c r="Y37" s="6" t="s">
        <v>1565</v>
      </c>
      <c r="AX37" s="9">
        <v>0.29020000000000001</v>
      </c>
      <c r="AY37" s="9">
        <v>0.08</v>
      </c>
    </row>
    <row r="38" spans="1:52"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6" t="s">
        <v>103</v>
      </c>
      <c r="Y38" s="6" t="s">
        <v>221</v>
      </c>
      <c r="Z38" s="8" t="s">
        <v>224</v>
      </c>
    </row>
    <row r="39" spans="1:52" x14ac:dyDescent="0.2">
      <c r="A39">
        <f t="shared" si="1"/>
        <v>37</v>
      </c>
      <c r="B39" s="2" t="s">
        <v>684</v>
      </c>
      <c r="C39" t="s">
        <v>685</v>
      </c>
      <c r="P39" s="4">
        <v>7239.756496</v>
      </c>
      <c r="Q39" s="4">
        <v>8573.5128289999993</v>
      </c>
      <c r="R39" s="4">
        <v>7508.4004830000003</v>
      </c>
      <c r="S39" s="4"/>
      <c r="T39" s="4"/>
      <c r="U39" s="4"/>
      <c r="V39" s="4"/>
      <c r="W39" s="4"/>
      <c r="X39" s="6" t="s">
        <v>103</v>
      </c>
      <c r="Y39" s="6" t="s">
        <v>221</v>
      </c>
      <c r="Z39" s="8" t="s">
        <v>224</v>
      </c>
    </row>
    <row r="40" spans="1:52" x14ac:dyDescent="0.2">
      <c r="A40">
        <f t="shared" si="1"/>
        <v>38</v>
      </c>
      <c r="B40" s="2" t="s">
        <v>147</v>
      </c>
      <c r="P40" s="4">
        <v>6657.7015229999997</v>
      </c>
      <c r="Q40" s="4">
        <v>7055.741</v>
      </c>
      <c r="R40" s="4">
        <v>6200.2780000000002</v>
      </c>
      <c r="S40" s="4"/>
      <c r="T40" s="4"/>
      <c r="U40" s="4"/>
      <c r="V40" s="4"/>
      <c r="W40" s="4"/>
    </row>
    <row r="41" spans="1:52" x14ac:dyDescent="0.2">
      <c r="A41">
        <f t="shared" si="1"/>
        <v>39</v>
      </c>
      <c r="B41" s="2" t="s">
        <v>109</v>
      </c>
      <c r="P41" s="4">
        <v>994.40635199999997</v>
      </c>
      <c r="Q41" s="4">
        <v>11097.710771</v>
      </c>
      <c r="R41" s="4">
        <v>11191.824216999999</v>
      </c>
      <c r="S41" s="4"/>
      <c r="T41" s="4"/>
      <c r="U41" s="4"/>
      <c r="V41" s="4"/>
      <c r="W41" s="4"/>
    </row>
    <row r="42" spans="1:52" x14ac:dyDescent="0.2">
      <c r="A42">
        <f t="shared" si="1"/>
        <v>40</v>
      </c>
      <c r="B42" s="2" t="s">
        <v>36</v>
      </c>
      <c r="C42" t="s">
        <v>65</v>
      </c>
      <c r="K42" s="4">
        <v>5534.759</v>
      </c>
      <c r="P42" s="4">
        <v>6638.1859999999997</v>
      </c>
      <c r="Q42" s="4">
        <v>7847.317</v>
      </c>
      <c r="R42" s="4">
        <v>8737.3967329999996</v>
      </c>
      <c r="S42" s="4"/>
      <c r="T42" s="4"/>
      <c r="U42" s="4"/>
      <c r="V42" s="4"/>
      <c r="W42" s="4"/>
      <c r="X42" s="6" t="s">
        <v>101</v>
      </c>
      <c r="Y42" s="6" t="s">
        <v>221</v>
      </c>
      <c r="Z42" s="8" t="s">
        <v>224</v>
      </c>
      <c r="AT42" s="36">
        <v>0.2525</v>
      </c>
      <c r="AU42" s="36">
        <v>0.215</v>
      </c>
    </row>
    <row r="43" spans="1:52" x14ac:dyDescent="0.2">
      <c r="A43">
        <f t="shared" si="1"/>
        <v>41</v>
      </c>
      <c r="B43" s="2" t="s">
        <v>52</v>
      </c>
      <c r="C43" t="s">
        <v>74</v>
      </c>
      <c r="K43" s="4">
        <v>4687.527</v>
      </c>
      <c r="P43" s="4">
        <v>6402.4992599999996</v>
      </c>
      <c r="Q43" s="4">
        <v>7798.7951620000003</v>
      </c>
      <c r="R43" s="4">
        <v>7560.7666689999996</v>
      </c>
      <c r="S43" s="4"/>
      <c r="T43" s="4"/>
      <c r="U43" s="4"/>
      <c r="V43" s="4"/>
      <c r="W43" s="4"/>
      <c r="X43" s="6" t="s">
        <v>103</v>
      </c>
      <c r="Z43" s="8" t="s">
        <v>1206</v>
      </c>
    </row>
    <row r="44" spans="1:52" x14ac:dyDescent="0.2">
      <c r="A44">
        <f t="shared" si="1"/>
        <v>42</v>
      </c>
      <c r="B44" s="2" t="s">
        <v>1315</v>
      </c>
      <c r="C44" t="s">
        <v>1316</v>
      </c>
      <c r="R44" s="4">
        <v>7347.2569720000001</v>
      </c>
      <c r="S44" s="4"/>
      <c r="T44" s="4"/>
      <c r="U44" s="4"/>
      <c r="V44" s="4"/>
      <c r="W44" s="4"/>
      <c r="AA44">
        <v>2007</v>
      </c>
      <c r="AJ44" s="9">
        <v>0.254</v>
      </c>
    </row>
    <row r="45" spans="1:52" x14ac:dyDescent="0.2">
      <c r="A45">
        <f t="shared" si="1"/>
        <v>43</v>
      </c>
      <c r="B45" s="2" t="s">
        <v>30</v>
      </c>
      <c r="C45" t="s">
        <v>54</v>
      </c>
      <c r="K45" s="4">
        <v>4337.6009999999997</v>
      </c>
      <c r="P45" s="4">
        <v>6401.9011270000001</v>
      </c>
      <c r="Q45" s="4">
        <v>6774.5774160000001</v>
      </c>
      <c r="R45" s="4">
        <v>6459.1653580000002</v>
      </c>
      <c r="S45" s="4"/>
      <c r="T45" s="4"/>
      <c r="U45" s="4"/>
      <c r="V45" s="4"/>
      <c r="W45" s="4"/>
      <c r="X45" s="6" t="s">
        <v>103</v>
      </c>
      <c r="Y45" s="6" t="s">
        <v>221</v>
      </c>
      <c r="Z45" s="8" t="s">
        <v>224</v>
      </c>
    </row>
    <row r="46" spans="1:52" x14ac:dyDescent="0.2">
      <c r="A46">
        <f t="shared" si="1"/>
        <v>44</v>
      </c>
      <c r="B46" s="2" t="s">
        <v>187</v>
      </c>
      <c r="P46" s="4">
        <v>5804.0060729999996</v>
      </c>
      <c r="Q46" s="4">
        <v>6264.9441550000001</v>
      </c>
      <c r="R46" s="4">
        <v>5762.68912</v>
      </c>
      <c r="S46" s="4"/>
      <c r="T46" s="4"/>
      <c r="U46" s="4"/>
      <c r="V46" s="4"/>
      <c r="W46" s="4"/>
      <c r="X46" s="6" t="s">
        <v>98</v>
      </c>
    </row>
    <row r="47" spans="1:52" x14ac:dyDescent="0.2">
      <c r="A47">
        <f t="shared" si="1"/>
        <v>45</v>
      </c>
      <c r="B47" s="2" t="s">
        <v>1317</v>
      </c>
      <c r="R47" s="4">
        <v>5962.9456989999999</v>
      </c>
      <c r="S47" s="4"/>
      <c r="T47" s="4"/>
      <c r="U47" s="4"/>
      <c r="V47" s="4"/>
      <c r="W47" s="4"/>
    </row>
    <row r="48" spans="1:52" x14ac:dyDescent="0.2">
      <c r="A48">
        <f t="shared" si="1"/>
        <v>46</v>
      </c>
      <c r="B48" s="2" t="s">
        <v>1294</v>
      </c>
      <c r="R48" s="4">
        <v>6493.7931159999998</v>
      </c>
      <c r="S48" s="4"/>
      <c r="T48" s="4"/>
      <c r="U48" s="4"/>
      <c r="V48" s="4"/>
      <c r="W48" s="4"/>
    </row>
    <row r="49" spans="1:47" x14ac:dyDescent="0.2">
      <c r="A49">
        <f t="shared" si="1"/>
        <v>47</v>
      </c>
      <c r="B49" s="2" t="s">
        <v>70</v>
      </c>
      <c r="C49" t="s">
        <v>699</v>
      </c>
      <c r="P49" s="4">
        <v>5790.9848439999996</v>
      </c>
      <c r="Q49" s="4">
        <v>6754.8326580000003</v>
      </c>
      <c r="R49" s="4">
        <v>6175.3697439999996</v>
      </c>
      <c r="S49" s="4"/>
      <c r="T49" s="4"/>
      <c r="U49" s="4"/>
      <c r="V49" s="4"/>
      <c r="W49" s="4"/>
      <c r="AI49" s="9"/>
      <c r="AJ49" s="9">
        <v>0.18</v>
      </c>
      <c r="AR49" s="9">
        <v>0.11</v>
      </c>
      <c r="AS49" s="9">
        <v>2.1999999999999999E-2</v>
      </c>
      <c r="AT49" s="9"/>
      <c r="AU49" s="9">
        <v>0.29270000000000002</v>
      </c>
    </row>
    <row r="50" spans="1:47" x14ac:dyDescent="0.2">
      <c r="A50">
        <f t="shared" si="1"/>
        <v>48</v>
      </c>
      <c r="B50" s="2" t="s">
        <v>116</v>
      </c>
      <c r="P50" s="4">
        <v>5690.6374500000002</v>
      </c>
      <c r="Q50" s="4">
        <v>6575.6770040000001</v>
      </c>
      <c r="R50" s="4">
        <v>5928.6970179999998</v>
      </c>
      <c r="S50" s="4"/>
      <c r="T50" s="4"/>
      <c r="U50" s="4"/>
      <c r="V50" s="4"/>
      <c r="W50" s="4"/>
    </row>
    <row r="51" spans="1:47" x14ac:dyDescent="0.2">
      <c r="A51">
        <f t="shared" si="1"/>
        <v>49</v>
      </c>
      <c r="B51" s="2" t="s">
        <v>76</v>
      </c>
      <c r="P51" s="4">
        <v>5594.1384889999999</v>
      </c>
      <c r="Q51" s="4">
        <v>6729.0528919999997</v>
      </c>
      <c r="R51" s="4">
        <v>7054.8539330000003</v>
      </c>
      <c r="S51" s="4"/>
      <c r="T51" s="4"/>
      <c r="U51" s="4"/>
      <c r="V51" s="4"/>
      <c r="W51" s="4"/>
    </row>
    <row r="52" spans="1:47" x14ac:dyDescent="0.2">
      <c r="A52">
        <f t="shared" si="1"/>
        <v>50</v>
      </c>
      <c r="B52" s="2" t="s">
        <v>153</v>
      </c>
      <c r="C52" t="s">
        <v>1325</v>
      </c>
      <c r="R52" s="4">
        <v>6014.5163499999999</v>
      </c>
      <c r="S52" s="4"/>
      <c r="T52" s="4"/>
      <c r="U52" s="4"/>
      <c r="V52" s="4"/>
      <c r="W52" s="4"/>
      <c r="X52" s="6" t="s">
        <v>1326</v>
      </c>
    </row>
    <row r="53" spans="1:47" x14ac:dyDescent="0.2">
      <c r="A53">
        <f t="shared" si="1"/>
        <v>51</v>
      </c>
      <c r="B53" s="2" t="s">
        <v>151</v>
      </c>
      <c r="C53" t="s">
        <v>1207</v>
      </c>
      <c r="P53" s="4">
        <v>5415.6385790000004</v>
      </c>
      <c r="Q53" s="4">
        <v>5748.0698949999996</v>
      </c>
      <c r="R53" s="4">
        <v>6010.5106290000003</v>
      </c>
      <c r="S53" s="4"/>
      <c r="T53" s="4"/>
      <c r="U53" s="4"/>
      <c r="V53" s="4"/>
      <c r="W53" s="4"/>
      <c r="X53" s="6" t="s">
        <v>105</v>
      </c>
    </row>
    <row r="54" spans="1:47" x14ac:dyDescent="0.2">
      <c r="A54">
        <f t="shared" si="1"/>
        <v>52</v>
      </c>
      <c r="B54" s="2" t="s">
        <v>27</v>
      </c>
      <c r="C54" t="s">
        <v>47</v>
      </c>
      <c r="K54" s="4">
        <v>5379.8770000000004</v>
      </c>
      <c r="P54" s="4">
        <v>5022.5581860000002</v>
      </c>
      <c r="Q54" s="4">
        <v>5972.2947789999998</v>
      </c>
      <c r="R54" s="4">
        <v>6007.4277890000003</v>
      </c>
      <c r="S54" s="4"/>
      <c r="T54" s="4"/>
      <c r="U54" s="4"/>
      <c r="V54" s="4"/>
      <c r="W54" s="4"/>
      <c r="X54" s="6" t="s">
        <v>101</v>
      </c>
      <c r="Y54" s="6" t="s">
        <v>216</v>
      </c>
    </row>
    <row r="55" spans="1:47" x14ac:dyDescent="0.2">
      <c r="A55">
        <f t="shared" si="1"/>
        <v>53</v>
      </c>
      <c r="B55" s="2" t="s">
        <v>32</v>
      </c>
      <c r="C55" t="s">
        <v>58</v>
      </c>
      <c r="K55" s="4">
        <v>5387</v>
      </c>
      <c r="P55" s="4">
        <v>5007.2440530000003</v>
      </c>
      <c r="Q55" s="4">
        <v>5459.959793</v>
      </c>
      <c r="R55" s="4">
        <v>5064.5262670000002</v>
      </c>
      <c r="S55" s="4"/>
      <c r="T55" s="4"/>
      <c r="U55" s="4"/>
      <c r="V55" s="4"/>
      <c r="W55" s="4"/>
      <c r="X55" s="6" t="s">
        <v>105</v>
      </c>
      <c r="Y55" s="6" t="s">
        <v>98</v>
      </c>
    </row>
    <row r="56" spans="1:47"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6" t="s">
        <v>101</v>
      </c>
      <c r="Y56" s="6" t="s">
        <v>220</v>
      </c>
    </row>
    <row r="57" spans="1:47" x14ac:dyDescent="0.2">
      <c r="A57">
        <f t="shared" si="1"/>
        <v>55</v>
      </c>
      <c r="B57" s="2" t="s">
        <v>1303</v>
      </c>
      <c r="P57" s="4">
        <v>3025.7837439999998</v>
      </c>
      <c r="Q57" s="4">
        <v>3653</v>
      </c>
      <c r="R57" s="4">
        <v>5004.8059999999996</v>
      </c>
      <c r="S57" s="4"/>
      <c r="T57" s="4"/>
      <c r="U57" s="4"/>
      <c r="V57" s="4"/>
      <c r="W57" s="4"/>
    </row>
    <row r="58" spans="1:47" x14ac:dyDescent="0.2">
      <c r="A58">
        <f t="shared" si="1"/>
        <v>56</v>
      </c>
      <c r="B58" s="2" t="s">
        <v>1309</v>
      </c>
      <c r="C58" t="s">
        <v>1310</v>
      </c>
      <c r="R58" s="4">
        <v>5080.8122750000002</v>
      </c>
      <c r="S58" s="4"/>
      <c r="T58" s="4"/>
      <c r="U58" s="4"/>
      <c r="V58" s="4"/>
      <c r="W58" s="4"/>
      <c r="AJ58" s="36">
        <v>0.17399999999999999</v>
      </c>
      <c r="AT58" s="9">
        <v>1.0174000000000001</v>
      </c>
      <c r="AU58" s="9">
        <v>0.53800000000000003</v>
      </c>
    </row>
    <row r="59" spans="1:47" x14ac:dyDescent="0.2">
      <c r="A59">
        <f t="shared" si="1"/>
        <v>57</v>
      </c>
      <c r="B59" s="2" t="s">
        <v>39</v>
      </c>
      <c r="C59" t="s">
        <v>33</v>
      </c>
      <c r="K59" s="4">
        <v>8031.8270000000002</v>
      </c>
      <c r="P59" s="4">
        <v>4723.1373450000001</v>
      </c>
      <c r="Q59" s="4">
        <v>5131.2977549999996</v>
      </c>
      <c r="R59" s="4">
        <v>5303.7028410000003</v>
      </c>
      <c r="S59" s="4"/>
      <c r="T59" s="4"/>
      <c r="U59" s="4"/>
      <c r="V59" s="4"/>
      <c r="W59" s="4"/>
      <c r="X59" s="6" t="s">
        <v>98</v>
      </c>
    </row>
    <row r="60" spans="1:47" x14ac:dyDescent="0.2">
      <c r="A60">
        <f>+A63+1</f>
        <v>61</v>
      </c>
      <c r="B60" s="2" t="s">
        <v>110</v>
      </c>
      <c r="P60" s="4">
        <v>4370.8550519999999</v>
      </c>
      <c r="Q60" s="4">
        <v>5836.1265380000004</v>
      </c>
      <c r="R60" s="4">
        <v>4883.5933199999999</v>
      </c>
      <c r="S60" s="4"/>
      <c r="T60" s="4"/>
      <c r="U60" s="4"/>
      <c r="V60" s="4"/>
      <c r="W60" s="4"/>
    </row>
    <row r="61" spans="1:47" x14ac:dyDescent="0.2">
      <c r="A61">
        <f>+A59+1</f>
        <v>58</v>
      </c>
      <c r="B61" s="2" t="s">
        <v>209</v>
      </c>
      <c r="R61" s="4">
        <v>4601.3203059999996</v>
      </c>
      <c r="S61" s="4"/>
      <c r="T61" s="4"/>
      <c r="U61" s="4"/>
      <c r="V61" s="4"/>
      <c r="W61" s="4"/>
    </row>
    <row r="62" spans="1:47" x14ac:dyDescent="0.2">
      <c r="A62">
        <f t="shared" si="1"/>
        <v>59</v>
      </c>
      <c r="B62" s="2" t="s">
        <v>703</v>
      </c>
      <c r="C62" t="s">
        <v>704</v>
      </c>
      <c r="P62" s="4">
        <v>4655.038055</v>
      </c>
      <c r="Q62" s="4">
        <v>5053.8065829999996</v>
      </c>
      <c r="R62" s="4">
        <v>4019.1749329999998</v>
      </c>
      <c r="S62" s="4"/>
      <c r="T62" s="4"/>
      <c r="U62" s="4"/>
      <c r="V62" s="4"/>
      <c r="W62" s="4"/>
    </row>
    <row r="63" spans="1:47" x14ac:dyDescent="0.2">
      <c r="A63">
        <f t="shared" si="1"/>
        <v>60</v>
      </c>
      <c r="B63" s="2" t="s">
        <v>108</v>
      </c>
      <c r="C63" t="s">
        <v>653</v>
      </c>
      <c r="P63" s="4">
        <v>4585.0370000000003</v>
      </c>
      <c r="Q63" s="4">
        <v>3650.7759999999998</v>
      </c>
      <c r="R63" s="4">
        <v>3634.1010000000001</v>
      </c>
      <c r="S63" s="4"/>
      <c r="T63" s="4"/>
      <c r="U63" s="4"/>
      <c r="V63" s="4"/>
      <c r="W63" s="4"/>
      <c r="X63" s="6" t="s">
        <v>98</v>
      </c>
      <c r="Y63" s="6" t="s">
        <v>221</v>
      </c>
    </row>
    <row r="64" spans="1:47" x14ac:dyDescent="0.2">
      <c r="A64">
        <f>+A60+1</f>
        <v>62</v>
      </c>
      <c r="B64" s="2" t="s">
        <v>29</v>
      </c>
      <c r="C64" t="s">
        <v>53</v>
      </c>
      <c r="K64" s="4">
        <v>3445.66</v>
      </c>
      <c r="P64" s="4">
        <v>4481.9567360000001</v>
      </c>
      <c r="Q64" s="4">
        <v>5757.9581449999996</v>
      </c>
      <c r="R64" s="4">
        <v>4199.4415429999999</v>
      </c>
      <c r="S64" s="4"/>
      <c r="T64" s="4"/>
      <c r="U64" s="4"/>
      <c r="V64" s="4"/>
      <c r="W64" s="4"/>
      <c r="X64" s="6" t="s">
        <v>103</v>
      </c>
      <c r="Y64" s="6" t="s">
        <v>221</v>
      </c>
      <c r="AJ64" s="9">
        <v>0.26</v>
      </c>
      <c r="AK64" s="9">
        <v>-0.26</v>
      </c>
      <c r="AL64" s="9">
        <v>-0.21</v>
      </c>
      <c r="AR64" s="9">
        <v>0.51800000000000002</v>
      </c>
      <c r="AS64" s="9">
        <v>0.189</v>
      </c>
    </row>
    <row r="65" spans="1:51" x14ac:dyDescent="0.2">
      <c r="A65">
        <f t="shared" si="1"/>
        <v>63</v>
      </c>
      <c r="B65" s="2" t="s">
        <v>77</v>
      </c>
      <c r="P65" s="4">
        <v>3938.719184</v>
      </c>
      <c r="Q65" s="4">
        <v>4466.283023</v>
      </c>
      <c r="R65" s="4">
        <v>4796.3262439999999</v>
      </c>
      <c r="S65" s="4"/>
      <c r="T65" s="4"/>
      <c r="U65" s="4"/>
      <c r="V65" s="4"/>
      <c r="W65" s="4"/>
    </row>
    <row r="66" spans="1:51" x14ac:dyDescent="0.2">
      <c r="A66">
        <f t="shared" si="1"/>
        <v>64</v>
      </c>
      <c r="B66" s="2" t="s">
        <v>649</v>
      </c>
      <c r="C66" t="s">
        <v>652</v>
      </c>
      <c r="P66" s="4">
        <v>2994.3490000000002</v>
      </c>
      <c r="Q66" s="4">
        <v>3491.0940839999998</v>
      </c>
      <c r="R66" s="4">
        <v>3350.3836879999999</v>
      </c>
      <c r="S66" s="4"/>
      <c r="T66" s="4"/>
      <c r="U66" s="4"/>
      <c r="V66" s="4"/>
      <c r="W66" s="4"/>
      <c r="X66" s="6" t="s">
        <v>103</v>
      </c>
    </row>
    <row r="67" spans="1:51" x14ac:dyDescent="0.2">
      <c r="A67">
        <f t="shared" si="1"/>
        <v>65</v>
      </c>
      <c r="B67" s="2" t="s">
        <v>188</v>
      </c>
      <c r="P67" s="4">
        <v>4995.9489999999996</v>
      </c>
      <c r="Q67" s="4">
        <v>4543.0252979999996</v>
      </c>
      <c r="R67" s="4">
        <v>3556.2966700000002</v>
      </c>
      <c r="S67" s="4"/>
      <c r="T67" s="4"/>
      <c r="U67" s="4"/>
      <c r="V67" s="4"/>
      <c r="W67" s="4"/>
      <c r="X67" s="6" t="s">
        <v>1305</v>
      </c>
    </row>
    <row r="68" spans="1:51" x14ac:dyDescent="0.2">
      <c r="A68">
        <f t="shared" si="1"/>
        <v>66</v>
      </c>
      <c r="B68" s="2" t="s">
        <v>667</v>
      </c>
      <c r="C68" t="s">
        <v>668</v>
      </c>
      <c r="P68" s="4">
        <v>3284.2082740000001</v>
      </c>
      <c r="Q68" s="4">
        <v>18987.033237</v>
      </c>
      <c r="R68" s="4">
        <v>15970.332716000001</v>
      </c>
      <c r="S68" s="4"/>
      <c r="T68" s="4"/>
      <c r="U68" s="4"/>
      <c r="V68" s="4"/>
      <c r="W68" s="4"/>
      <c r="X68" s="6" t="s">
        <v>98</v>
      </c>
      <c r="AJ68" s="36">
        <v>8.7999999999999995E-2</v>
      </c>
    </row>
    <row r="69" spans="1:51" x14ac:dyDescent="0.2">
      <c r="A69">
        <f t="shared" si="1"/>
        <v>67</v>
      </c>
      <c r="B69" t="s">
        <v>1302</v>
      </c>
      <c r="R69" s="4">
        <v>4625</v>
      </c>
      <c r="S69" s="4"/>
      <c r="T69" s="4"/>
      <c r="U69" s="4"/>
      <c r="V69" s="4"/>
      <c r="W69" s="4"/>
    </row>
    <row r="70" spans="1:51" x14ac:dyDescent="0.2">
      <c r="A70">
        <f t="shared" si="1"/>
        <v>68</v>
      </c>
      <c r="B70" t="s">
        <v>1493</v>
      </c>
      <c r="R70" s="4"/>
      <c r="S70" s="4"/>
      <c r="T70" s="4"/>
      <c r="U70" s="4"/>
      <c r="V70" s="4"/>
      <c r="W70" s="4"/>
    </row>
    <row r="71" spans="1:51" x14ac:dyDescent="0.2">
      <c r="A71">
        <f t="shared" si="1"/>
        <v>69</v>
      </c>
      <c r="B71" t="s">
        <v>1491</v>
      </c>
      <c r="C71" t="s">
        <v>1492</v>
      </c>
      <c r="R71" s="4"/>
      <c r="S71" s="4"/>
      <c r="T71" s="4"/>
      <c r="U71" s="4"/>
      <c r="V71" s="4"/>
      <c r="W71" s="4"/>
    </row>
    <row r="72" spans="1:51" x14ac:dyDescent="0.2">
      <c r="A72">
        <f t="shared" si="1"/>
        <v>70</v>
      </c>
      <c r="B72" s="2" t="s">
        <v>682</v>
      </c>
      <c r="P72" s="4">
        <v>4062.169985</v>
      </c>
      <c r="Q72" s="4">
        <v>3938.8463550000001</v>
      </c>
      <c r="R72" s="4">
        <v>3322.3777700000001</v>
      </c>
      <c r="S72" s="4"/>
      <c r="T72" s="4"/>
      <c r="U72" s="4"/>
      <c r="V72" s="4"/>
      <c r="W72" s="4"/>
      <c r="X72" s="6" t="s">
        <v>105</v>
      </c>
    </row>
    <row r="73" spans="1:51" x14ac:dyDescent="0.2">
      <c r="A73">
        <f t="shared" si="1"/>
        <v>71</v>
      </c>
      <c r="B73" s="2" t="s">
        <v>1328</v>
      </c>
      <c r="C73" t="s">
        <v>1329</v>
      </c>
      <c r="R73" s="4">
        <v>3268.8816240000001</v>
      </c>
      <c r="S73" s="4"/>
      <c r="T73" s="4"/>
      <c r="U73" s="4"/>
      <c r="V73" s="4"/>
      <c r="W73" s="4"/>
    </row>
    <row r="74" spans="1:51" x14ac:dyDescent="0.2">
      <c r="A74">
        <f t="shared" si="1"/>
        <v>72</v>
      </c>
      <c r="B74" s="2" t="s">
        <v>56</v>
      </c>
      <c r="K74" s="4">
        <v>1100.212</v>
      </c>
      <c r="P74" s="4">
        <v>2334.1559999999999</v>
      </c>
      <c r="Q74" s="4">
        <v>2197.568025</v>
      </c>
      <c r="R74" s="4">
        <v>2050.2866260000001</v>
      </c>
      <c r="S74" s="4"/>
      <c r="T74" s="4"/>
      <c r="U74" s="4"/>
      <c r="V74" s="4"/>
      <c r="W74" s="4"/>
      <c r="X74" s="6" t="s">
        <v>101</v>
      </c>
    </row>
    <row r="75" spans="1:51" x14ac:dyDescent="0.2">
      <c r="A75">
        <f t="shared" si="1"/>
        <v>73</v>
      </c>
      <c r="B75" s="2" t="s">
        <v>1136</v>
      </c>
      <c r="C75" t="s">
        <v>1137</v>
      </c>
      <c r="P75" s="4">
        <v>3923.913</v>
      </c>
      <c r="Q75" s="4">
        <v>4080.4180000000001</v>
      </c>
      <c r="R75" s="4">
        <v>3613.4749999999999</v>
      </c>
      <c r="S75" s="4"/>
      <c r="T75" s="4"/>
      <c r="U75" s="4"/>
      <c r="V75" s="4"/>
      <c r="W75" s="4"/>
    </row>
    <row r="76" spans="1:51" x14ac:dyDescent="0.2">
      <c r="A76">
        <f t="shared" si="1"/>
        <v>74</v>
      </c>
      <c r="B76" s="2" t="s">
        <v>1313</v>
      </c>
      <c r="C76" t="s">
        <v>1314</v>
      </c>
      <c r="P76" s="4">
        <v>2722.6707569999999</v>
      </c>
      <c r="Q76" s="4">
        <v>3102.7736410000002</v>
      </c>
      <c r="R76" s="4">
        <v>3187.7679090000001</v>
      </c>
      <c r="S76" s="4"/>
      <c r="T76" s="4"/>
      <c r="U76" s="4"/>
      <c r="V76" s="4"/>
      <c r="W76" s="4"/>
      <c r="X76" s="6" t="s">
        <v>105</v>
      </c>
    </row>
    <row r="77" spans="1:51" x14ac:dyDescent="0.2">
      <c r="A77">
        <f t="shared" si="1"/>
        <v>75</v>
      </c>
      <c r="B77" s="2" t="s">
        <v>202</v>
      </c>
      <c r="R77" s="4">
        <v>2925.13985</v>
      </c>
      <c r="S77" s="4"/>
      <c r="T77" s="4"/>
      <c r="U77" s="4"/>
      <c r="V77" s="4"/>
      <c r="W77" s="4"/>
    </row>
    <row r="78" spans="1:51" x14ac:dyDescent="0.2">
      <c r="A78">
        <f t="shared" si="1"/>
        <v>76</v>
      </c>
      <c r="B78" s="2" t="s">
        <v>1311</v>
      </c>
      <c r="R78" s="4">
        <v>2919.2836120000002</v>
      </c>
      <c r="S78" s="4"/>
      <c r="T78" s="4"/>
      <c r="U78" s="4"/>
      <c r="V78" s="4"/>
      <c r="W78" s="4"/>
    </row>
    <row r="79" spans="1:51" x14ac:dyDescent="0.2">
      <c r="A79">
        <f t="shared" si="1"/>
        <v>77</v>
      </c>
      <c r="B79" s="2" t="s">
        <v>1318</v>
      </c>
      <c r="C79" t="s">
        <v>1319</v>
      </c>
      <c r="R79" s="4">
        <v>2722.2935520000001</v>
      </c>
      <c r="S79" s="4"/>
      <c r="T79" s="4"/>
      <c r="U79" s="4"/>
      <c r="V79" s="4"/>
      <c r="W79" s="4"/>
      <c r="AA79">
        <v>2011</v>
      </c>
    </row>
    <row r="80" spans="1:51" x14ac:dyDescent="0.2">
      <c r="A80">
        <f t="shared" si="1"/>
        <v>78</v>
      </c>
      <c r="B80" s="2" t="s">
        <v>1300</v>
      </c>
      <c r="C80" t="s">
        <v>64</v>
      </c>
      <c r="K80" s="4">
        <v>1412.152</v>
      </c>
      <c r="P80" s="4">
        <v>2047.9987269999999</v>
      </c>
      <c r="Q80" s="4"/>
      <c r="R80" s="4">
        <v>2044.4063249999999</v>
      </c>
      <c r="S80" s="4"/>
      <c r="T80" s="4"/>
      <c r="U80" s="4"/>
      <c r="V80" s="4"/>
      <c r="W80" s="4"/>
      <c r="X80" s="6" t="s">
        <v>101</v>
      </c>
      <c r="Y80" s="6" t="s">
        <v>221</v>
      </c>
      <c r="AR80" s="9">
        <v>-0.2</v>
      </c>
      <c r="AY80" s="9">
        <v>-0.23</v>
      </c>
    </row>
    <row r="81" spans="1:51" x14ac:dyDescent="0.2">
      <c r="A81">
        <f t="shared" si="1"/>
        <v>79</v>
      </c>
      <c r="B81" s="2" t="s">
        <v>60</v>
      </c>
      <c r="P81" s="4">
        <v>1765.235518</v>
      </c>
      <c r="Q81" s="4">
        <v>1182.369925</v>
      </c>
      <c r="R81" s="4">
        <v>1063.3875740000001</v>
      </c>
      <c r="S81" s="4"/>
      <c r="T81" s="4"/>
      <c r="U81" s="4"/>
      <c r="V81" s="4"/>
      <c r="W81" s="4"/>
      <c r="X81" s="6" t="s">
        <v>98</v>
      </c>
    </row>
    <row r="82" spans="1:51" x14ac:dyDescent="0.2">
      <c r="A82">
        <f t="shared" si="1"/>
        <v>80</v>
      </c>
      <c r="B82" t="s">
        <v>1299</v>
      </c>
      <c r="R82" s="4">
        <v>2709.2641100000001</v>
      </c>
      <c r="S82" s="4"/>
      <c r="T82" s="4"/>
      <c r="U82" s="4"/>
      <c r="V82" s="4"/>
      <c r="W82" s="4"/>
    </row>
    <row r="83" spans="1:51" x14ac:dyDescent="0.2">
      <c r="A83">
        <f t="shared" si="1"/>
        <v>81</v>
      </c>
      <c r="B83" s="2" t="s">
        <v>1481</v>
      </c>
      <c r="R83" s="4">
        <v>2521.5995160000002</v>
      </c>
      <c r="S83" s="4"/>
      <c r="T83" s="4"/>
      <c r="U83" s="4"/>
      <c r="V83" s="4"/>
      <c r="W83" s="4"/>
    </row>
    <row r="84" spans="1:51" x14ac:dyDescent="0.2">
      <c r="A84">
        <f t="shared" si="1"/>
        <v>82</v>
      </c>
      <c r="B84" s="2" t="s">
        <v>186</v>
      </c>
      <c r="P84" s="4">
        <v>1549.0588190000001</v>
      </c>
      <c r="Q84" s="4">
        <v>1829.5737349999999</v>
      </c>
      <c r="R84" s="4">
        <v>1709.7065090000001</v>
      </c>
      <c r="S84" s="4"/>
      <c r="T84" s="4"/>
      <c r="U84" s="4"/>
      <c r="V84" s="4"/>
      <c r="W84" s="4"/>
    </row>
    <row r="85" spans="1:51" x14ac:dyDescent="0.2">
      <c r="A85">
        <f t="shared" ref="A85:A120" si="2">+A84+1</f>
        <v>83</v>
      </c>
      <c r="B85" s="2" t="s">
        <v>96</v>
      </c>
      <c r="P85" s="4">
        <v>1339.16731</v>
      </c>
      <c r="Q85" s="4">
        <v>1523.792498</v>
      </c>
      <c r="R85" s="4">
        <v>1259.015003</v>
      </c>
      <c r="S85" s="4"/>
      <c r="T85" s="4"/>
      <c r="U85" s="4"/>
      <c r="V85" s="4"/>
      <c r="W85" s="4"/>
    </row>
    <row r="86" spans="1:51" x14ac:dyDescent="0.2">
      <c r="A86">
        <f t="shared" si="2"/>
        <v>84</v>
      </c>
      <c r="B86" s="2" t="s">
        <v>50</v>
      </c>
      <c r="K86" s="4">
        <v>1264.742</v>
      </c>
      <c r="P86" s="4">
        <v>1106.539</v>
      </c>
      <c r="Q86" s="4">
        <v>886.72607700000003</v>
      </c>
      <c r="R86" s="4">
        <v>862.98003200000005</v>
      </c>
      <c r="S86" s="4"/>
      <c r="T86" s="4"/>
      <c r="U86" s="4"/>
      <c r="V86" s="4"/>
      <c r="W86" s="4"/>
      <c r="X86" s="6" t="s">
        <v>103</v>
      </c>
    </row>
    <row r="87" spans="1:51" x14ac:dyDescent="0.2">
      <c r="A87">
        <f t="shared" si="2"/>
        <v>85</v>
      </c>
      <c r="B87" s="2" t="s">
        <v>670</v>
      </c>
      <c r="P87" s="4">
        <v>1101.3968339999999</v>
      </c>
      <c r="Q87" s="4">
        <v>1333.7237869999999</v>
      </c>
      <c r="R87" s="4">
        <v>1412.847262</v>
      </c>
      <c r="S87" s="4"/>
      <c r="T87" s="4"/>
      <c r="U87" s="4"/>
      <c r="V87" s="4"/>
      <c r="W87" s="4"/>
      <c r="Z87" s="8" t="s">
        <v>671</v>
      </c>
    </row>
    <row r="88" spans="1:51" x14ac:dyDescent="0.2">
      <c r="A88">
        <f t="shared" si="2"/>
        <v>86</v>
      </c>
      <c r="B88" s="2" t="s">
        <v>51</v>
      </c>
      <c r="C88" t="s">
        <v>72</v>
      </c>
      <c r="K88" s="4">
        <v>815.42100000000005</v>
      </c>
      <c r="P88" s="4">
        <v>1082.240147</v>
      </c>
      <c r="Q88" s="4">
        <v>960.44607399999995</v>
      </c>
      <c r="R88" s="4">
        <v>981.87468000000001</v>
      </c>
      <c r="S88" s="4"/>
      <c r="T88" s="4"/>
      <c r="U88" s="4"/>
      <c r="V88" s="4"/>
      <c r="W88" s="4"/>
      <c r="X88" s="6" t="s">
        <v>103</v>
      </c>
      <c r="Y88" s="6" t="s">
        <v>221</v>
      </c>
    </row>
    <row r="89" spans="1:51" x14ac:dyDescent="0.2">
      <c r="A89">
        <f t="shared" si="2"/>
        <v>87</v>
      </c>
      <c r="B89" s="2" t="s">
        <v>206</v>
      </c>
      <c r="C89" t="s">
        <v>1208</v>
      </c>
      <c r="P89" s="4">
        <v>2093.868226</v>
      </c>
      <c r="Q89" s="4">
        <v>2279.648201</v>
      </c>
      <c r="R89" s="4">
        <v>1731.086869</v>
      </c>
      <c r="S89" s="4"/>
      <c r="T89" s="4"/>
      <c r="U89" s="4"/>
      <c r="V89" s="4"/>
      <c r="W89" s="4"/>
      <c r="X89" s="6" t="s">
        <v>103</v>
      </c>
    </row>
    <row r="90" spans="1:51" x14ac:dyDescent="0.2">
      <c r="A90">
        <f t="shared" si="2"/>
        <v>88</v>
      </c>
      <c r="B90" s="2" t="s">
        <v>1480</v>
      </c>
      <c r="R90" s="4">
        <v>1717.144172</v>
      </c>
      <c r="S90" s="4"/>
      <c r="T90" s="4"/>
      <c r="U90" s="4"/>
      <c r="V90" s="4"/>
      <c r="W90" s="4"/>
    </row>
    <row r="91" spans="1:51" x14ac:dyDescent="0.2">
      <c r="A91">
        <f t="shared" si="2"/>
        <v>89</v>
      </c>
      <c r="B91" s="2" t="s">
        <v>655</v>
      </c>
      <c r="C91" t="s">
        <v>656</v>
      </c>
      <c r="P91" s="4">
        <v>1018.739</v>
      </c>
      <c r="Q91" s="4">
        <v>1345.1919969999999</v>
      </c>
      <c r="R91" s="4">
        <v>1304.5958989999999</v>
      </c>
      <c r="S91" s="4"/>
      <c r="T91" s="4"/>
      <c r="U91" s="4"/>
      <c r="V91" s="4"/>
      <c r="W91" s="4"/>
      <c r="X91" s="6" t="s">
        <v>103</v>
      </c>
    </row>
    <row r="92" spans="1:51" x14ac:dyDescent="0.2">
      <c r="A92">
        <f t="shared" si="2"/>
        <v>90</v>
      </c>
      <c r="B92" s="2" t="s">
        <v>1308</v>
      </c>
      <c r="P92" s="4">
        <v>1150.712</v>
      </c>
      <c r="Q92" s="4">
        <v>1225.489343</v>
      </c>
      <c r="R92" s="4">
        <v>1211.5763959999999</v>
      </c>
      <c r="S92" s="4"/>
      <c r="T92" s="4"/>
      <c r="U92" s="4"/>
      <c r="V92" s="4"/>
      <c r="W92" s="4"/>
    </row>
    <row r="93" spans="1:51" x14ac:dyDescent="0.2">
      <c r="A93">
        <f t="shared" si="2"/>
        <v>91</v>
      </c>
      <c r="B93" s="2" t="s">
        <v>1268</v>
      </c>
      <c r="R93" s="4">
        <v>840.39369999999997</v>
      </c>
      <c r="S93" s="4"/>
      <c r="T93" s="4"/>
      <c r="U93" s="4"/>
      <c r="V93" s="4"/>
      <c r="W93" s="4"/>
    </row>
    <row r="94" spans="1:51" x14ac:dyDescent="0.2">
      <c r="A94">
        <f t="shared" si="2"/>
        <v>92</v>
      </c>
      <c r="B94" s="2" t="s">
        <v>198</v>
      </c>
      <c r="C94" t="s">
        <v>1312</v>
      </c>
      <c r="R94" s="4">
        <v>778.69210999999996</v>
      </c>
      <c r="S94" s="4"/>
      <c r="T94" s="4"/>
      <c r="U94" s="4"/>
      <c r="V94" s="4"/>
      <c r="W94" s="4"/>
      <c r="AI94" s="9">
        <v>0.52</v>
      </c>
      <c r="AJ94" s="9">
        <v>0.48</v>
      </c>
      <c r="AY94" s="36">
        <v>-0.33300000000000002</v>
      </c>
    </row>
    <row r="95" spans="1:51" x14ac:dyDescent="0.2">
      <c r="A95">
        <f t="shared" si="2"/>
        <v>93</v>
      </c>
      <c r="B95" s="2" t="s">
        <v>48</v>
      </c>
      <c r="K95" s="4">
        <v>1092.9059999999999</v>
      </c>
      <c r="P95" s="4">
        <v>808.65300000000002</v>
      </c>
      <c r="Q95" s="4">
        <v>913.78966700000001</v>
      </c>
      <c r="R95" s="4">
        <v>675.32564400000001</v>
      </c>
      <c r="S95" s="4"/>
      <c r="T95" s="4"/>
      <c r="U95" s="4"/>
      <c r="V95" s="4"/>
      <c r="W95" s="4"/>
      <c r="X95" s="6" t="s">
        <v>101</v>
      </c>
    </row>
    <row r="96" spans="1:51" x14ac:dyDescent="0.2">
      <c r="A96">
        <f t="shared" si="2"/>
        <v>94</v>
      </c>
      <c r="B96" t="s">
        <v>1301</v>
      </c>
      <c r="R96" s="4">
        <v>529.70181100000002</v>
      </c>
      <c r="S96" s="4"/>
      <c r="T96" s="4"/>
      <c r="U96" s="4"/>
      <c r="V96" s="4"/>
      <c r="W96" s="4"/>
    </row>
    <row r="97" spans="1:26" x14ac:dyDescent="0.2">
      <c r="A97">
        <f t="shared" si="2"/>
        <v>95</v>
      </c>
      <c r="B97" s="2" t="s">
        <v>1304</v>
      </c>
      <c r="P97" s="4">
        <v>273.69799999999998</v>
      </c>
      <c r="Q97" s="4">
        <v>272.0761</v>
      </c>
      <c r="R97" s="4">
        <v>353.461074</v>
      </c>
      <c r="S97" s="4"/>
      <c r="T97" s="4"/>
      <c r="U97" s="4"/>
      <c r="V97" s="4"/>
      <c r="W97" s="4"/>
    </row>
    <row r="98" spans="1:26" x14ac:dyDescent="0.2">
      <c r="A98">
        <f t="shared" si="2"/>
        <v>96</v>
      </c>
      <c r="B98" s="2" t="s">
        <v>1323</v>
      </c>
      <c r="C98" t="s">
        <v>1324</v>
      </c>
      <c r="R98" s="4">
        <v>52</v>
      </c>
      <c r="S98" s="4"/>
      <c r="T98" s="4">
        <v>77.435130999999998</v>
      </c>
      <c r="U98" s="4">
        <v>199.22499999999999</v>
      </c>
      <c r="V98" s="4">
        <v>578.33704</v>
      </c>
      <c r="W98" s="4"/>
      <c r="X98" s="6" t="s">
        <v>101</v>
      </c>
    </row>
    <row r="99" spans="1:26" x14ac:dyDescent="0.2">
      <c r="A99">
        <f t="shared" si="2"/>
        <v>97</v>
      </c>
      <c r="B99" s="2" t="s">
        <v>141</v>
      </c>
      <c r="P99" s="4">
        <v>741.80454199999997</v>
      </c>
      <c r="Q99" s="4"/>
      <c r="R99" s="4"/>
      <c r="S99" s="4"/>
      <c r="T99" s="4"/>
      <c r="U99" s="4"/>
      <c r="V99" s="4"/>
      <c r="W99" s="4"/>
    </row>
    <row r="100" spans="1:26" x14ac:dyDescent="0.2">
      <c r="A100">
        <f t="shared" si="2"/>
        <v>98</v>
      </c>
      <c r="B100" s="2" t="s">
        <v>57</v>
      </c>
      <c r="P100" s="4">
        <v>332.71594900000002</v>
      </c>
      <c r="Q100" s="4"/>
      <c r="R100" s="4"/>
      <c r="S100" s="4"/>
      <c r="T100" s="4"/>
      <c r="U100" s="4"/>
      <c r="V100" s="4"/>
      <c r="W100" s="4"/>
      <c r="X100" s="6" t="s">
        <v>663</v>
      </c>
    </row>
    <row r="101" spans="1:26" x14ac:dyDescent="0.2">
      <c r="A101">
        <f t="shared" si="2"/>
        <v>99</v>
      </c>
      <c r="B101" s="2" t="s">
        <v>43</v>
      </c>
      <c r="C101" t="s">
        <v>71</v>
      </c>
      <c r="K101" s="4">
        <v>799.58</v>
      </c>
      <c r="P101" s="4">
        <v>109.111527</v>
      </c>
      <c r="Q101" s="4"/>
      <c r="R101" s="4"/>
      <c r="S101" s="4"/>
      <c r="T101" s="4"/>
      <c r="U101" s="4"/>
      <c r="V101" s="4"/>
      <c r="W101" s="4"/>
      <c r="X101" s="6" t="s">
        <v>105</v>
      </c>
      <c r="Y101" s="6" t="s">
        <v>220</v>
      </c>
      <c r="Z101" s="8" t="s">
        <v>654</v>
      </c>
    </row>
    <row r="102" spans="1:26" x14ac:dyDescent="0.2">
      <c r="A102">
        <f t="shared" si="2"/>
        <v>100</v>
      </c>
      <c r="B102" s="2" t="s">
        <v>129</v>
      </c>
      <c r="P102" s="4">
        <v>70.898508000000007</v>
      </c>
      <c r="Q102" s="4"/>
      <c r="R102" s="4"/>
      <c r="S102" s="4"/>
      <c r="T102" s="4"/>
      <c r="U102" s="4"/>
      <c r="V102" s="4"/>
      <c r="W102" s="4"/>
    </row>
    <row r="103" spans="1:26" x14ac:dyDescent="0.2">
      <c r="A103">
        <f t="shared" si="2"/>
        <v>101</v>
      </c>
      <c r="B103" t="s">
        <v>61</v>
      </c>
      <c r="X103" s="6" t="s">
        <v>657</v>
      </c>
    </row>
    <row r="104" spans="1:26" x14ac:dyDescent="0.2">
      <c r="A104">
        <f t="shared" si="2"/>
        <v>102</v>
      </c>
      <c r="B104" t="s">
        <v>107</v>
      </c>
    </row>
    <row r="105" spans="1:26" x14ac:dyDescent="0.2">
      <c r="A105">
        <f t="shared" si="2"/>
        <v>103</v>
      </c>
      <c r="B105" t="s">
        <v>112</v>
      </c>
    </row>
    <row r="106" spans="1:26" x14ac:dyDescent="0.2">
      <c r="A106">
        <f t="shared" si="2"/>
        <v>104</v>
      </c>
      <c r="B106" t="s">
        <v>113</v>
      </c>
    </row>
    <row r="107" spans="1:26" x14ac:dyDescent="0.2">
      <c r="A107">
        <f t="shared" si="2"/>
        <v>105</v>
      </c>
      <c r="B107" t="s">
        <v>69</v>
      </c>
      <c r="C107" t="s">
        <v>698</v>
      </c>
    </row>
    <row r="108" spans="1:26" x14ac:dyDescent="0.2">
      <c r="A108">
        <f t="shared" si="2"/>
        <v>106</v>
      </c>
      <c r="B108" t="s">
        <v>1327</v>
      </c>
    </row>
    <row r="109" spans="1:26" x14ac:dyDescent="0.2">
      <c r="A109">
        <f>+A107+1</f>
        <v>106</v>
      </c>
      <c r="B109" t="s">
        <v>73</v>
      </c>
    </row>
    <row r="110" spans="1:26" x14ac:dyDescent="0.2">
      <c r="A110">
        <f t="shared" si="2"/>
        <v>107</v>
      </c>
      <c r="B110" t="s">
        <v>115</v>
      </c>
    </row>
    <row r="111" spans="1:26" x14ac:dyDescent="0.2">
      <c r="A111">
        <f t="shared" si="2"/>
        <v>108</v>
      </c>
      <c r="B111" t="s">
        <v>680</v>
      </c>
    </row>
    <row r="112" spans="1:26"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03"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26" x14ac:dyDescent="0.2">
      <c r="A193">
        <f t="shared" si="4"/>
        <v>189</v>
      </c>
      <c r="B193" t="s">
        <v>208</v>
      </c>
    </row>
    <row r="194" spans="1:26" x14ac:dyDescent="0.2">
      <c r="A194">
        <f t="shared" si="4"/>
        <v>190</v>
      </c>
      <c r="B194" t="s">
        <v>210</v>
      </c>
    </row>
    <row r="195" spans="1:26" x14ac:dyDescent="0.2">
      <c r="A195">
        <f t="shared" si="4"/>
        <v>191</v>
      </c>
      <c r="B195" t="s">
        <v>211</v>
      </c>
    </row>
    <row r="196" spans="1:26" x14ac:dyDescent="0.2">
      <c r="A196">
        <f t="shared" si="4"/>
        <v>192</v>
      </c>
      <c r="B196" t="s">
        <v>212</v>
      </c>
    </row>
    <row r="197" spans="1:26" x14ac:dyDescent="0.2">
      <c r="A197">
        <f t="shared" si="4"/>
        <v>193</v>
      </c>
      <c r="B197" t="s">
        <v>231</v>
      </c>
      <c r="C197" t="s">
        <v>232</v>
      </c>
    </row>
    <row r="198" spans="1:26" x14ac:dyDescent="0.2">
      <c r="A198">
        <f t="shared" si="4"/>
        <v>194</v>
      </c>
      <c r="B198" t="s">
        <v>702</v>
      </c>
    </row>
    <row r="199" spans="1:26" x14ac:dyDescent="0.2">
      <c r="A199">
        <f t="shared" si="4"/>
        <v>195</v>
      </c>
      <c r="B199" t="s">
        <v>1123</v>
      </c>
    </row>
    <row r="200" spans="1:26" x14ac:dyDescent="0.2">
      <c r="A200">
        <f t="shared" si="4"/>
        <v>196</v>
      </c>
      <c r="B200" t="s">
        <v>1124</v>
      </c>
    </row>
    <row r="201" spans="1:26" x14ac:dyDescent="0.2">
      <c r="A201">
        <f t="shared" si="4"/>
        <v>197</v>
      </c>
      <c r="B201" t="s">
        <v>1321</v>
      </c>
    </row>
    <row r="202" spans="1:26" x14ac:dyDescent="0.2">
      <c r="A202">
        <f t="shared" si="4"/>
        <v>198</v>
      </c>
      <c r="B202" t="s">
        <v>1209</v>
      </c>
    </row>
    <row r="203" spans="1:26" x14ac:dyDescent="0.2">
      <c r="A203">
        <f t="shared" si="4"/>
        <v>199</v>
      </c>
      <c r="B203" t="s">
        <v>1490</v>
      </c>
    </row>
    <row r="206" spans="1:26" s="22" customFormat="1" x14ac:dyDescent="0.2">
      <c r="B206" s="22" t="s">
        <v>1211</v>
      </c>
      <c r="D206" s="23"/>
      <c r="E206" s="24"/>
      <c r="F206" s="24"/>
      <c r="G206" s="24"/>
      <c r="H206" s="24"/>
      <c r="I206" s="23"/>
      <c r="J206" s="23"/>
      <c r="K206" s="23"/>
      <c r="L206" s="23"/>
      <c r="M206" s="23"/>
      <c r="N206" s="23"/>
      <c r="O206" s="23"/>
      <c r="P206" s="23"/>
      <c r="Q206" s="23"/>
      <c r="R206" s="23"/>
      <c r="S206" s="23"/>
      <c r="T206" s="23"/>
      <c r="U206" s="23"/>
      <c r="V206" s="23"/>
      <c r="W206" s="23"/>
      <c r="X206" s="25"/>
      <c r="Y206" s="25"/>
      <c r="Z206" s="26"/>
    </row>
    <row r="207" spans="1:26" s="22" customFormat="1" x14ac:dyDescent="0.2">
      <c r="B207" s="22" t="s">
        <v>62</v>
      </c>
      <c r="D207" s="23"/>
      <c r="E207" s="24"/>
      <c r="F207" s="24"/>
      <c r="G207" s="24"/>
      <c r="H207" s="24"/>
      <c r="I207" s="23"/>
      <c r="J207" s="23"/>
      <c r="K207" s="23"/>
      <c r="L207" s="23"/>
      <c r="M207" s="23"/>
      <c r="N207" s="23"/>
      <c r="O207" s="23"/>
      <c r="P207" s="23"/>
      <c r="Q207" s="23"/>
      <c r="R207" s="23"/>
      <c r="S207" s="23"/>
      <c r="T207" s="23"/>
      <c r="U207" s="23"/>
      <c r="V207" s="23"/>
      <c r="W207" s="23"/>
      <c r="X207" s="25" t="s">
        <v>654</v>
      </c>
      <c r="Y207" s="25"/>
      <c r="Z207" s="26"/>
    </row>
    <row r="208" spans="1:26" x14ac:dyDescent="0.2">
      <c r="B208" s="22" t="s">
        <v>1269</v>
      </c>
    </row>
    <row r="209" spans="2:3" x14ac:dyDescent="0.2">
      <c r="B209" s="22" t="s">
        <v>1270</v>
      </c>
    </row>
    <row r="210" spans="2:3" x14ac:dyDescent="0.2">
      <c r="B210" s="22" t="s">
        <v>1271</v>
      </c>
    </row>
    <row r="211" spans="2:3" x14ac:dyDescent="0.2">
      <c r="B211" s="22" t="s">
        <v>1272</v>
      </c>
    </row>
    <row r="212" spans="2:3" x14ac:dyDescent="0.2">
      <c r="B212" s="22" t="s">
        <v>1273</v>
      </c>
      <c r="C212" t="s">
        <v>1320</v>
      </c>
    </row>
    <row r="213" spans="2:3" x14ac:dyDescent="0.2">
      <c r="B213" s="22" t="s">
        <v>1274</v>
      </c>
    </row>
    <row r="214" spans="2:3" x14ac:dyDescent="0.2">
      <c r="B214" s="22" t="s">
        <v>1275</v>
      </c>
    </row>
    <row r="215" spans="2:3" x14ac:dyDescent="0.2">
      <c r="B215" s="22" t="s">
        <v>1276</v>
      </c>
    </row>
    <row r="216" spans="2:3" x14ac:dyDescent="0.2">
      <c r="B216" s="22" t="s">
        <v>1277</v>
      </c>
    </row>
    <row r="217" spans="2:3" x14ac:dyDescent="0.2">
      <c r="B217" s="22" t="s">
        <v>1278</v>
      </c>
    </row>
    <row r="218" spans="2:3" x14ac:dyDescent="0.2">
      <c r="B218" s="22" t="s">
        <v>724</v>
      </c>
    </row>
    <row r="219" spans="2:3" x14ac:dyDescent="0.2">
      <c r="B219" s="22" t="s">
        <v>75</v>
      </c>
    </row>
    <row r="220" spans="2:3" x14ac:dyDescent="0.2">
      <c r="B220" s="22" t="s">
        <v>1279</v>
      </c>
    </row>
    <row r="221" spans="2:3" x14ac:dyDescent="0.2">
      <c r="B221" s="22" t="s">
        <v>1280</v>
      </c>
    </row>
    <row r="222" spans="2:3" x14ac:dyDescent="0.2">
      <c r="B222" s="22" t="s">
        <v>195</v>
      </c>
    </row>
    <row r="223" spans="2:3" x14ac:dyDescent="0.2">
      <c r="B223" s="22" t="s">
        <v>1281</v>
      </c>
    </row>
    <row r="224" spans="2:3" x14ac:dyDescent="0.2">
      <c r="B224" s="22" t="s">
        <v>1282</v>
      </c>
    </row>
    <row r="225" spans="2:2" x14ac:dyDescent="0.2">
      <c r="B225" s="22" t="s">
        <v>1283</v>
      </c>
    </row>
    <row r="226" spans="2:2" x14ac:dyDescent="0.2">
      <c r="B226" s="22" t="s">
        <v>1284</v>
      </c>
    </row>
    <row r="227" spans="2:2" x14ac:dyDescent="0.2">
      <c r="B227" s="22" t="s">
        <v>1285</v>
      </c>
    </row>
    <row r="228" spans="2:2" x14ac:dyDescent="0.2">
      <c r="B228" s="22" t="s">
        <v>1286</v>
      </c>
    </row>
    <row r="229" spans="2:2" x14ac:dyDescent="0.2">
      <c r="B229" s="22" t="s">
        <v>43</v>
      </c>
    </row>
    <row r="230" spans="2:2" x14ac:dyDescent="0.2">
      <c r="B230" s="22" t="s">
        <v>1287</v>
      </c>
    </row>
    <row r="231" spans="2:2" x14ac:dyDescent="0.2">
      <c r="B231" s="22" t="s">
        <v>1288</v>
      </c>
    </row>
    <row r="232" spans="2:2" x14ac:dyDescent="0.2">
      <c r="B232" s="22" t="s">
        <v>1289</v>
      </c>
    </row>
    <row r="233" spans="2:2" x14ac:dyDescent="0.2">
      <c r="B233" s="22" t="s">
        <v>1290</v>
      </c>
    </row>
    <row r="234" spans="2:2" x14ac:dyDescent="0.2">
      <c r="B234" s="22" t="s">
        <v>187</v>
      </c>
    </row>
    <row r="235" spans="2:2" x14ac:dyDescent="0.2">
      <c r="B235" s="22" t="s">
        <v>1291</v>
      </c>
    </row>
    <row r="236" spans="2:2" x14ac:dyDescent="0.2">
      <c r="B236" s="22" t="s">
        <v>189</v>
      </c>
    </row>
    <row r="237" spans="2:2" x14ac:dyDescent="0.2">
      <c r="B237" s="22" t="s">
        <v>1292</v>
      </c>
    </row>
    <row r="238" spans="2:2" x14ac:dyDescent="0.2">
      <c r="B238" s="22" t="s">
        <v>1293</v>
      </c>
    </row>
    <row r="239" spans="2:2" x14ac:dyDescent="0.2">
      <c r="B239" s="22" t="s">
        <v>107</v>
      </c>
    </row>
    <row r="240" spans="2:2" x14ac:dyDescent="0.2">
      <c r="B240" s="22" t="s">
        <v>193</v>
      </c>
    </row>
    <row r="241" spans="2:2" x14ac:dyDescent="0.2">
      <c r="B241" s="22" t="s">
        <v>1306</v>
      </c>
    </row>
    <row r="242" spans="2:2" x14ac:dyDescent="0.2">
      <c r="B242"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s>
  <pageMargins left="0.7" right="0.7" top="0.75" bottom="0.75" header="0.3" footer="0.3"/>
  <pageSetup orientation="portrait" horizontalDpi="1200" verticalDpi="1200" r:id="rId579"/>
  <legacyDrawing r:id="rId58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67" activePane="bottomRight" state="frozen"/>
      <selection pane="topRight" activeCell="C1" sqref="C1"/>
      <selection pane="bottomLeft" activeCell="A3" sqref="A3"/>
      <selection pane="bottomRight" activeCell="B90" sqref="B90"/>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R3" activePane="bottomRight" state="frozen"/>
      <selection pane="topRight" activeCell="C1" sqref="C1"/>
      <selection pane="bottomLeft" activeCell="A3" sqref="A3"/>
      <selection pane="bottomRight" activeCell="B73" sqref="B73"/>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9" activePane="bottomRight" state="frozen"/>
      <selection pane="topRight" activeCell="C1" sqref="C1"/>
      <selection pane="bottomLeft" activeCell="A3" sqref="A3"/>
      <selection pane="bottomRight" activeCell="B56" sqref="B56"/>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2025-12-30T10:42:32Z</dcterms:modified>
</cp:coreProperties>
</file>