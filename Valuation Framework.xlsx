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C3170006-6170-47DB-ADE9-188AC10D6FA1}" xr6:coauthVersionLast="47" xr6:coauthVersionMax="47" xr10:uidLastSave="{00000000-0000-0000-0000-000000000000}"/>
  <bookViews>
    <workbookView xWindow="225" yWindow="3510" windowWidth="38175" windowHeight="15240" xr2:uid="{E998409C-6030-4F13-BFA3-5FA46D863087}"/>
  </bookViews>
  <sheets>
    <sheet name="Main" sheetId="4" r:id="rId1"/>
    <sheet name="Model" sheetId="5" r:id="rId2"/>
    <sheet name="Ratios" sheetId="2" r:id="rId3"/>
    <sheet name="CoC" sheetId="1" r:id="rId4"/>
    <sheet name="DCF" sheetId="3" r:id="rId5"/>
  </sheets>
  <definedNames>
    <definedName name="WACC">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2" i="1"/>
  <c r="F20" i="1"/>
  <c r="F8" i="1"/>
  <c r="F22" i="1" s="1"/>
  <c r="F41" i="1" l="1"/>
  <c r="E4" i="3" l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O4" i="3"/>
  <c r="O3" i="3"/>
  <c r="O5" i="3"/>
  <c r="H5" i="4"/>
  <c r="H8" i="4"/>
  <c r="D2" i="2"/>
  <c r="E2" i="2" s="1"/>
  <c r="F2" i="2" s="1"/>
  <c r="G2" i="2" s="1"/>
  <c r="H2" i="2" s="1"/>
  <c r="I2" i="2" s="1"/>
  <c r="J2" i="2" s="1"/>
  <c r="L49" i="3"/>
  <c r="K49" i="3"/>
  <c r="J49" i="3"/>
  <c r="I49" i="3"/>
  <c r="H49" i="3"/>
  <c r="G49" i="3"/>
  <c r="L46" i="3"/>
  <c r="K46" i="3"/>
  <c r="J46" i="3"/>
  <c r="I46" i="3"/>
  <c r="H46" i="3"/>
  <c r="G46" i="3"/>
  <c r="L43" i="3"/>
  <c r="K43" i="3"/>
  <c r="J43" i="3"/>
  <c r="I43" i="3"/>
  <c r="H43" i="3"/>
  <c r="G43" i="3"/>
  <c r="L40" i="3"/>
  <c r="L51" i="3" s="1"/>
  <c r="K40" i="3"/>
  <c r="K51" i="3" s="1"/>
  <c r="J40" i="3"/>
  <c r="J51" i="3" s="1"/>
  <c r="I40" i="3"/>
  <c r="I51" i="3" s="1"/>
  <c r="H40" i="3"/>
  <c r="H51" i="3" s="1"/>
  <c r="G40" i="3"/>
  <c r="G51" i="3" s="1"/>
  <c r="L38" i="3"/>
  <c r="K38" i="3"/>
  <c r="J38" i="3"/>
  <c r="I38" i="3"/>
  <c r="H38" i="3"/>
  <c r="G38" i="3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/>
  <c r="K32" i="3"/>
  <c r="J32" i="3"/>
  <c r="I32" i="3"/>
  <c r="H32" i="3"/>
  <c r="G32" i="3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M25" i="3" s="1"/>
  <c r="L26" i="3"/>
  <c r="K26" i="3"/>
  <c r="J26" i="3"/>
  <c r="I26" i="3"/>
  <c r="H26" i="3"/>
  <c r="H24" i="3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E20" i="3"/>
  <c r="E19" i="3"/>
  <c r="E18" i="3"/>
  <c r="M31" i="3" l="1"/>
  <c r="M48" i="3"/>
  <c r="M45" i="3"/>
  <c r="M42" i="3"/>
  <c r="N25" i="3"/>
  <c r="N48" i="3" l="1"/>
  <c r="N45" i="3"/>
  <c r="N42" i="3"/>
  <c r="O25" i="3"/>
  <c r="N31" i="3"/>
  <c r="M37" i="3"/>
  <c r="M40" i="3" s="1"/>
  <c r="M51" i="3" s="1"/>
  <c r="M52" i="3" s="1"/>
  <c r="N37" i="3" l="1"/>
  <c r="N40" i="3" s="1"/>
  <c r="N51" i="3" s="1"/>
  <c r="N52" i="3" s="1"/>
  <c r="O48" i="3"/>
  <c r="P25" i="3"/>
  <c r="O45" i="3"/>
  <c r="O42" i="3"/>
  <c r="O31" i="3"/>
  <c r="O37" i="3" l="1"/>
  <c r="O40" i="3" s="1"/>
  <c r="O51" i="3" s="1"/>
  <c r="O52" i="3" s="1"/>
  <c r="Q25" i="3"/>
  <c r="P48" i="3"/>
  <c r="P45" i="3"/>
  <c r="P42" i="3"/>
  <c r="P31" i="3"/>
  <c r="Q48" i="3" l="1"/>
  <c r="Q45" i="3"/>
  <c r="R25" i="3"/>
  <c r="Q42" i="3"/>
  <c r="Q31" i="3"/>
  <c r="P37" i="3"/>
  <c r="P40" i="3" s="1"/>
  <c r="P51" i="3" s="1"/>
  <c r="P52" i="3" s="1"/>
  <c r="Q37" i="3" l="1"/>
  <c r="Q40" i="3" s="1"/>
  <c r="Q51" i="3" s="1"/>
  <c r="Q52" i="3" s="1"/>
  <c r="R42" i="3"/>
  <c r="R48" i="3"/>
  <c r="S25" i="3"/>
  <c r="R45" i="3"/>
  <c r="R31" i="3"/>
  <c r="T25" i="3" l="1"/>
  <c r="S48" i="3"/>
  <c r="S45" i="3"/>
  <c r="S42" i="3"/>
  <c r="S31" i="3"/>
  <c r="R37" i="3"/>
  <c r="R40" i="3" s="1"/>
  <c r="R51" i="3" s="1"/>
  <c r="R52" i="3" s="1"/>
  <c r="S37" i="3" l="1"/>
  <c r="S40" i="3" s="1"/>
  <c r="S51" i="3" s="1"/>
  <c r="S52" i="3" s="1"/>
  <c r="U25" i="3"/>
  <c r="T48" i="3"/>
  <c r="T45" i="3"/>
  <c r="T42" i="3"/>
  <c r="T31" i="3"/>
  <c r="T37" i="3" l="1"/>
  <c r="T40" i="3" s="1"/>
  <c r="T51" i="3" s="1"/>
  <c r="T52" i="3" s="1"/>
  <c r="U48" i="3"/>
  <c r="U45" i="3"/>
  <c r="U42" i="3"/>
  <c r="V25" i="3"/>
  <c r="U31" i="3"/>
  <c r="U37" i="3" l="1"/>
  <c r="U40" i="3" s="1"/>
  <c r="U51" i="3" s="1"/>
  <c r="U52" i="3" s="1"/>
  <c r="V48" i="3"/>
  <c r="V45" i="3"/>
  <c r="V42" i="3"/>
  <c r="V31" i="3"/>
  <c r="V37" i="3" l="1"/>
  <c r="V40" i="3" s="1"/>
  <c r="V55" i="3" s="1"/>
  <c r="V56" i="3" l="1"/>
  <c r="V51" i="3"/>
  <c r="V52" i="3" l="1"/>
  <c r="V54" i="3" s="1"/>
  <c r="V57" i="3" s="1"/>
  <c r="V60" i="3" s="1"/>
  <c r="V62" i="3" s="1"/>
  <c r="J4" i="3" s="1"/>
  <c r="C69" i="3" l="1"/>
  <c r="N69" i="3"/>
  <c r="J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8" authorId="0" shapeId="0" xr:uid="{FECF3517-30E7-44B2-A6CF-22E9E998FCFF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e.g. 10y US Treasury Yield or Expected Inflation + Real Interest Rate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<sst xmlns="http://schemas.openxmlformats.org/spreadsheetml/2006/main" count="281" uniqueCount="207">
  <si>
    <t>Cost of Capital</t>
  </si>
  <si>
    <t>Cost of Equity (CAPM)</t>
  </si>
  <si>
    <t>Riskfree Rate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</si>
  <si>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</si>
  <si>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</si>
  <si>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</si>
  <si>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</si>
  <si>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</si>
  <si>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</si>
  <si>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</si>
  <si>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Unlevered Beta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</si>
  <si>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</si>
  <si>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</si>
  <si>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</si>
  <si>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</si>
  <si>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</si>
  <si>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</si>
  <si>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</si>
  <si>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</si>
  <si>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</si>
  <si>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</si>
  <si>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</si>
  <si>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</si>
  <si>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</si>
  <si>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</si>
  <si>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</si>
  <si>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</si>
  <si>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</si>
  <si>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</si>
  <si>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WACC</t>
  </si>
  <si>
    <t>=&gt; WACC = (D/D+E)*kd * (1-t) + (E/D+E) * ke</t>
  </si>
  <si>
    <t>x</t>
  </si>
  <si>
    <t>DCF</t>
  </si>
  <si>
    <t>Ticker</t>
  </si>
  <si>
    <t>Share Price</t>
  </si>
  <si>
    <t>Date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</si>
  <si>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</si>
  <si>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</si>
  <si>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</si>
  <si>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</si>
  <si>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</si>
  <si>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</si>
  <si>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</si>
  <si>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</si>
  <si>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Year</t>
  </si>
  <si>
    <t>Metic</t>
  </si>
  <si>
    <t>Revenue</t>
  </si>
  <si>
    <t xml:space="preserve">Revenue </t>
  </si>
  <si>
    <t>EBIT</t>
  </si>
  <si>
    <t>TGR</t>
  </si>
  <si>
    <t>Probability</t>
  </si>
  <si>
    <t>ROIC</t>
  </si>
  <si>
    <t>Implied Share Price * p</t>
  </si>
  <si>
    <t>Valuation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</si>
  <si>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</si>
  <si>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</si>
  <si>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</si>
  <si>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</si>
  <si>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</si>
  <si>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</si>
  <si>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</si>
  <si>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</si>
  <si>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</si>
  <si>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CapEx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</si>
  <si>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</si>
  <si>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</si>
  <si>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</si>
  <si>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</si>
  <si>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</si>
  <si>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</si>
  <si>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</si>
  <si>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</si>
  <si>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Equity Value</t>
  </si>
  <si>
    <t xml:space="preserve">Number of Shares </t>
  </si>
  <si>
    <t>Sensitivity Analysis</t>
  </si>
  <si>
    <t>Ratios</t>
  </si>
  <si>
    <t>Price</t>
  </si>
  <si>
    <t>Shares o/s</t>
  </si>
  <si>
    <t>Market Cap</t>
  </si>
  <si>
    <t>Net Debt</t>
  </si>
  <si>
    <t>EV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</si>
  <si>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</si>
  <si>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</si>
  <si>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</si>
  <si>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</si>
  <si>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</si>
  <si>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</si>
  <si>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</si>
  <si>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</si>
  <si>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</si>
  <si>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</si>
  <si>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</si>
  <si>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</si>
  <si>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</si>
  <si>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</si>
  <si>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</si>
  <si>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</si>
  <si>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</si>
  <si>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</si>
  <si>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</si>
  <si>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</si>
  <si>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</si>
  <si>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</si>
  <si>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</si>
  <si>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</si>
  <si>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</si>
  <si>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</si>
  <si>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</si>
  <si>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</si>
  <si>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</si>
  <si>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</si>
  <si>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</si>
  <si>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</si>
  <si>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</si>
  <si>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</si>
  <si>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</si>
  <si>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</si>
  <si>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</si>
  <si>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</si>
  <si>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</si>
  <si>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</si>
  <si>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</si>
  <si>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</si>
  <si>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</si>
  <si>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</si>
  <si>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</si>
  <si>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</si>
  <si>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</si>
  <si>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</si>
  <si>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</si>
  <si>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</si>
  <si>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</si>
  <si>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</si>
  <si>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</si>
  <si>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</si>
  <si>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</si>
  <si>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</si>
  <si>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</si>
  <si>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</si>
  <si>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</si>
  <si>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</si>
  <si>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</si>
  <si>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</si>
  <si>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</si>
  <si>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</si>
  <si>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</si>
  <si>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</si>
  <si>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</si>
  <si>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</si>
  <si>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</si>
  <si>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</si>
  <si>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</si>
  <si>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</si>
  <si>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</si>
  <si>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</si>
  <si>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</si>
  <si>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</si>
  <si>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</si>
  <si>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</si>
  <si>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</si>
  <si>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</si>
  <si>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</si>
  <si>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</si>
  <si>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</si>
  <si>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Value Driver</t>
  </si>
  <si>
    <t>Company Name</t>
  </si>
  <si>
    <t>numbers in mio USD</t>
  </si>
  <si>
    <t>TICKR</t>
  </si>
  <si>
    <t>SEC/IR</t>
  </si>
  <si>
    <t>Businesmodel</t>
  </si>
  <si>
    <t>Notes</t>
  </si>
  <si>
    <t xml:space="preserve">Shares </t>
  </si>
  <si>
    <t>MC</t>
  </si>
  <si>
    <t>Cash</t>
  </si>
  <si>
    <t>Debt</t>
  </si>
  <si>
    <t>Q224</t>
  </si>
  <si>
    <t>Q324</t>
  </si>
  <si>
    <t>Main</t>
  </si>
  <si>
    <t>Q123</t>
  </si>
  <si>
    <t>Q223</t>
  </si>
  <si>
    <t>Q323</t>
  </si>
  <si>
    <t>Q424</t>
  </si>
  <si>
    <t>Q124</t>
  </si>
  <si>
    <t>Q423</t>
  </si>
  <si>
    <t>FY18</t>
  </si>
  <si>
    <t>FY19</t>
  </si>
  <si>
    <t>FY20</t>
  </si>
  <si>
    <t>FY21</t>
  </si>
  <si>
    <t>FY22</t>
  </si>
  <si>
    <t>FY23</t>
  </si>
  <si>
    <t>FY24</t>
  </si>
  <si>
    <t>= Raw Beta* Debt-to-Equity Ratio (Book Value)</t>
  </si>
  <si>
    <t>Debt to Value Ratio</t>
  </si>
  <si>
    <t>Value of Debt/Enterpries Value</t>
  </si>
  <si>
    <t>(+) Cash and other non-operating assets</t>
  </si>
  <si>
    <t>(-) Debt and other non-equity claims</t>
  </si>
  <si>
    <t>Invested Capital (exl. Intangibles)</t>
  </si>
  <si>
    <t>=&gt; CV(t) = NOPAT(t+1)*(1-g/RONIC)/(WACC - g) =&gt; equal pertuity formula: CV = FCF*(1+g) /(WACC-g)</t>
  </si>
  <si>
    <t>ROINC</t>
  </si>
  <si>
    <t>Implied Share Price</t>
  </si>
  <si>
    <t>RONIC</t>
  </si>
  <si>
    <t>Scneario DCF Price</t>
  </si>
  <si>
    <t>=Revenue/Equity</t>
  </si>
  <si>
    <t>Expected Inflation (Kelly Formula)</t>
  </si>
  <si>
    <t>Current Risk-Free Rate</t>
  </si>
  <si>
    <r>
      <t xml:space="preserve">or </t>
    </r>
    <r>
      <rPr>
        <sz val="10"/>
        <color theme="1"/>
        <rFont val="Arial"/>
        <family val="2"/>
      </rPr>
      <t>(if not available)</t>
    </r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</si>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</sst>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&quot;FY&quot;0&quot;A&quot;"/>
    <numFmt numFmtId="166" formatCode="#,##0.0;[Red]#,##0.0"/>
    <numFmt numFmtId="167" formatCode="0.0"/>
    <numFmt numFmtId="168" formatCode="\F\Y#,##0"/>
    <numFmt numFmtId="169" formatCode="#,##0;\(#,##0\)"/>
    <numFmt numFmtId="170" formatCode="#,##0.0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  <font>
      <sz val="10"/>
      <color theme="9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7">
    <xf numFmtId="0" fontId="0" fillId="0" borderId="0" xfId="0"/>
    <xf numFmtId="0" fontId="6" fillId="0" borderId="0" xfId="0" applyFont="1"/>
    <xf numFmtId="0" fontId="7" fillId="0" borderId="0" xfId="0" applyFont="1"/>
    <xf numFmtId="0" fontId="3" fillId="0" borderId="0" xfId="0" applyFont="1"/>
    <xf numFmtId="0" fontId="11" fillId="0" borderId="0" xfId="0" applyFont="1"/>
    <xf numFmtId="169" fontId="3" fillId="0" borderId="0" xfId="0" applyNumberFormat="1" applyFont="1"/>
    <xf numFmtId="0" fontId="3" fillId="0" borderId="0" xfId="0" applyFont="1" applyAlignment="1">
      <alignment horizontal="right"/>
    </xf>
    <xf numFmtId="0" fontId="9" fillId="0" borderId="0" xfId="0" applyFont="1"/>
    <xf numFmtId="0" fontId="12" fillId="0" borderId="0" xfId="2" applyFont="1"/>
    <xf numFmtId="0" fontId="13" fillId="0" borderId="0" xfId="0" applyFont="1"/>
    <xf numFmtId="0" fontId="14" fillId="0" borderId="0" xfId="0" applyFont="1"/>
    <xf numFmtId="169" fontId="3" fillId="0" borderId="0" xfId="0" applyNumberFormat="1" applyFont="1" applyAlignment="1">
      <alignment horizontal="right"/>
    </xf>
    <xf numFmtId="169" fontId="13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quotePrefix="1" applyFont="1"/>
    <xf numFmtId="9" fontId="3" fillId="0" borderId="0" xfId="1" applyFont="1"/>
    <xf numFmtId="9" fontId="3" fillId="0" borderId="0" xfId="0" applyNumberFormat="1" applyFont="1"/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166" fontId="3" fillId="0" borderId="0" xfId="0" applyNumberFormat="1" applyFont="1"/>
    <xf numFmtId="0" fontId="8" fillId="2" borderId="0" xfId="0" applyFont="1" applyFill="1"/>
    <xf numFmtId="0" fontId="3" fillId="0" borderId="2" xfId="0" applyFont="1" applyBorder="1"/>
    <xf numFmtId="0" fontId="12" fillId="0" borderId="4" xfId="2" applyFont="1" applyBorder="1"/>
    <xf numFmtId="0" fontId="9" fillId="0" borderId="4" xfId="0" applyFont="1" applyBorder="1"/>
    <xf numFmtId="0" fontId="3" fillId="0" borderId="4" xfId="0" applyFont="1" applyBorder="1"/>
    <xf numFmtId="0" fontId="3" fillId="0" borderId="5" xfId="0" applyFont="1" applyBorder="1"/>
    <xf numFmtId="0" fontId="3" fillId="3" borderId="6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70" fontId="3" fillId="3" borderId="7" xfId="1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9" fontId="3" fillId="3" borderId="7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4" borderId="0" xfId="0" applyFont="1" applyFill="1"/>
    <xf numFmtId="0" fontId="10" fillId="4" borderId="0" xfId="0" applyFont="1" applyFill="1"/>
    <xf numFmtId="164" fontId="3" fillId="3" borderId="7" xfId="1" applyNumberFormat="1" applyFont="1" applyFill="1" applyBorder="1" applyAlignment="1">
      <alignment horizontal="center"/>
    </xf>
    <xf numFmtId="165" fontId="8" fillId="2" borderId="0" xfId="0" applyNumberFormat="1" applyFont="1" applyFill="1"/>
    <xf numFmtId="0" fontId="17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7" fillId="0" borderId="0" xfId="0" applyFont="1"/>
    <xf numFmtId="9" fontId="17" fillId="0" borderId="0" xfId="1" applyFont="1"/>
    <xf numFmtId="164" fontId="3" fillId="3" borderId="7" xfId="1" applyNumberFormat="1" applyFont="1" applyFill="1" applyBorder="1" applyAlignment="1">
      <alignment horizontal="right"/>
    </xf>
    <xf numFmtId="0" fontId="9" fillId="5" borderId="1" xfId="0" applyFont="1" applyFill="1" applyBorder="1"/>
    <xf numFmtId="0" fontId="9" fillId="5" borderId="2" xfId="0" applyFont="1" applyFill="1" applyBorder="1"/>
    <xf numFmtId="169" fontId="9" fillId="5" borderId="2" xfId="0" applyNumberFormat="1" applyFont="1" applyFill="1" applyBorder="1"/>
    <xf numFmtId="169" fontId="9" fillId="5" borderId="3" xfId="0" applyNumberFormat="1" applyFont="1" applyFill="1" applyBorder="1"/>
    <xf numFmtId="164" fontId="17" fillId="0" borderId="0" xfId="1" applyNumberFormat="1" applyFont="1"/>
    <xf numFmtId="164" fontId="17" fillId="0" borderId="0" xfId="0" applyNumberFormat="1" applyFont="1"/>
    <xf numFmtId="166" fontId="9" fillId="5" borderId="8" xfId="0" applyNumberFormat="1" applyFont="1" applyFill="1" applyBorder="1"/>
    <xf numFmtId="166" fontId="9" fillId="5" borderId="9" xfId="0" applyNumberFormat="1" applyFont="1" applyFill="1" applyBorder="1"/>
    <xf numFmtId="169" fontId="9" fillId="5" borderId="9" xfId="0" applyNumberFormat="1" applyFont="1" applyFill="1" applyBorder="1"/>
    <xf numFmtId="169" fontId="9" fillId="5" borderId="10" xfId="0" applyNumberFormat="1" applyFont="1" applyFill="1" applyBorder="1"/>
    <xf numFmtId="166" fontId="9" fillId="5" borderId="11" xfId="0" applyNumberFormat="1" applyFont="1" applyFill="1" applyBorder="1"/>
    <xf numFmtId="166" fontId="9" fillId="5" borderId="4" xfId="0" applyNumberFormat="1" applyFont="1" applyFill="1" applyBorder="1"/>
    <xf numFmtId="169" fontId="9" fillId="5" borderId="4" xfId="0" applyNumberFormat="1" applyFont="1" applyFill="1" applyBorder="1"/>
    <xf numFmtId="169" fontId="9" fillId="5" borderId="12" xfId="0" applyNumberFormat="1" applyFont="1" applyFill="1" applyBorder="1"/>
    <xf numFmtId="166" fontId="3" fillId="0" borderId="4" xfId="0" applyNumberFormat="1" applyFont="1" applyBorder="1"/>
    <xf numFmtId="166" fontId="3" fillId="0" borderId="4" xfId="0" applyNumberFormat="1" applyFont="1" applyBorder="1" applyAlignment="1">
      <alignment horizontal="right"/>
    </xf>
    <xf numFmtId="166" fontId="3" fillId="0" borderId="2" xfId="0" applyNumberFormat="1" applyFont="1" applyBorder="1"/>
    <xf numFmtId="166" fontId="3" fillId="0" borderId="2" xfId="0" applyNumberFormat="1" applyFont="1" applyBorder="1" applyAlignment="1">
      <alignment horizontal="right"/>
    </xf>
    <xf numFmtId="169" fontId="3" fillId="0" borderId="4" xfId="0" applyNumberFormat="1" applyFont="1" applyBorder="1" applyAlignment="1">
      <alignment horizontal="right"/>
    </xf>
    <xf numFmtId="0" fontId="3" fillId="6" borderId="8" xfId="0" applyFont="1" applyFill="1" applyBorder="1"/>
    <xf numFmtId="2" fontId="18" fillId="6" borderId="9" xfId="0" applyNumberFormat="1" applyFont="1" applyFill="1" applyBorder="1"/>
    <xf numFmtId="164" fontId="8" fillId="6" borderId="9" xfId="0" applyNumberFormat="1" applyFont="1" applyFill="1" applyBorder="1"/>
    <xf numFmtId="164" fontId="8" fillId="6" borderId="0" xfId="0" applyNumberFormat="1" applyFont="1" applyFill="1"/>
    <xf numFmtId="167" fontId="3" fillId="0" borderId="0" xfId="0" applyNumberFormat="1" applyFont="1"/>
    <xf numFmtId="167" fontId="9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/>
    <xf numFmtId="164" fontId="2" fillId="3" borderId="6" xfId="1" applyNumberFormat="1" applyFont="1" applyFill="1" applyBorder="1" applyAlignment="1">
      <alignment horizontal="center"/>
    </xf>
    <xf numFmtId="0" fontId="2" fillId="0" borderId="0" xfId="0" quotePrefix="1" applyFont="1"/>
    <xf numFmtId="164" fontId="19" fillId="3" borderId="15" xfId="1" applyNumberFormat="1" applyFont="1" applyFill="1" applyBorder="1" applyAlignment="1">
      <alignment horizontal="center"/>
    </xf>
    <xf numFmtId="164" fontId="2" fillId="3" borderId="15" xfId="1" applyNumberFormat="1" applyFont="1" applyFill="1" applyBorder="1" applyAlignment="1">
      <alignment horizontal="center"/>
    </xf>
    <xf numFmtId="0" fontId="20" fillId="5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6" fillId="0" borderId="0" xfId="0" applyFont="1" applyAlignment="1">
      <alignment horizontal="right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 vertical="center" textRotation="90"/>
    </xf>
    <xf numFmtId="0" fontId="9" fillId="6" borderId="14" xfId="0" applyFont="1" applyFill="1" applyBorder="1" applyAlignment="1">
      <alignment horizontal="center" vertical="center" textRotation="90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34925</xdr:rowOff>
    </xdr:from>
    <xdr:to>
      <xdr:col>10</xdr:col>
      <xdr:colOff>0</xdr:colOff>
      <xdr:row>61</xdr:row>
      <xdr:rowOff>79375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989709-309B-5303-BE49-8EC0AC6D2DF6}"/>
            </a:ext>
          </a:extLst>
        </xdr:cNvPr>
        <xdr:cNvCxnSpPr/>
      </xdr:nvCxnSpPr>
      <xdr:spPr>
        <a:xfrm>
          <a:off x="7600950" y="206375"/>
          <a:ext cx="0" cy="10331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0053-39B8-46CE-958E-7D84F80168F3}">
  <dimension ref="A1:T35"/>
  <sheetViews>
    <sheetView tabSelected="1" workbookViewId="0">
      <selection activeCell="B3" sqref="B3"/>
    </sheetView>
  </sheetViews>
  <sheetFormatPr defaultRowHeight="15" x14ac:dyDescent="0.25"/>
  <cols>
    <col min="1" max="1" width="3.5703125" customWidth="1"/>
  </cols>
  <sheetData>
    <row r="1" spans="1:20" x14ac:dyDescent="0.25">
      <c r="A1" s="2" t="s">
        <v>165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3" t="s">
        <v>166</v>
      </c>
      <c r="B2" s="3"/>
      <c r="C2" s="3"/>
      <c r="D2" s="3"/>
      <c r="E2" s="3"/>
      <c r="F2" s="3"/>
      <c r="G2" s="4" t="s">
        <v>24</v>
      </c>
      <c r="H2" s="3"/>
      <c r="I2" s="3"/>
      <c r="J2" s="3"/>
      <c r="K2" s="3"/>
      <c r="L2" s="3"/>
      <c r="M2" s="3"/>
      <c r="N2" s="3"/>
      <c r="O2" s="3"/>
      <c r="P2" s="3"/>
      <c r="Q2" s="3"/>
      <c r="R2" s="1"/>
      <c r="S2" s="1"/>
      <c r="T2" s="1"/>
    </row>
    <row r="3" spans="1:20" x14ac:dyDescent="0.25">
      <c r="A3" s="3"/>
      <c r="B3" s="3"/>
      <c r="C3" s="3"/>
      <c r="D3" s="3"/>
      <c r="E3" s="3"/>
      <c r="F3" s="3"/>
      <c r="G3" s="3" t="s">
        <v>76</v>
      </c>
      <c r="H3" s="3"/>
      <c r="I3" s="3"/>
      <c r="J3" s="3"/>
      <c r="K3" s="3"/>
      <c r="L3" s="3"/>
      <c r="M3" s="3"/>
      <c r="N3" s="3"/>
      <c r="O3" s="3"/>
      <c r="P3" s="3"/>
      <c r="Q3" s="3"/>
      <c r="R3" s="1"/>
      <c r="S3" s="1"/>
      <c r="T3" s="1"/>
    </row>
    <row r="4" spans="1:20" x14ac:dyDescent="0.25">
      <c r="A4" s="3"/>
      <c r="B4" s="3" t="s">
        <v>167</v>
      </c>
      <c r="C4" s="3"/>
      <c r="D4" s="3"/>
      <c r="E4" s="3"/>
      <c r="F4" s="3"/>
      <c r="G4" s="3" t="s">
        <v>171</v>
      </c>
      <c r="H4" s="5"/>
      <c r="I4" s="6" t="s">
        <v>176</v>
      </c>
      <c r="J4" s="3"/>
      <c r="K4" s="3"/>
      <c r="L4" s="3"/>
      <c r="M4" s="3"/>
      <c r="N4" s="3"/>
      <c r="O4" s="3"/>
      <c r="P4" s="3"/>
      <c r="Q4" s="3"/>
      <c r="R4" s="1"/>
      <c r="S4" s="1"/>
      <c r="T4" s="1"/>
    </row>
    <row r="5" spans="1:20" x14ac:dyDescent="0.25">
      <c r="A5" s="3"/>
      <c r="B5" s="3" t="s">
        <v>168</v>
      </c>
      <c r="C5" s="3"/>
      <c r="D5" s="3"/>
      <c r="E5" s="3"/>
      <c r="F5" s="3"/>
      <c r="G5" s="3" t="s">
        <v>172</v>
      </c>
      <c r="H5" s="5">
        <f>+H3*H4</f>
        <v>0</v>
      </c>
      <c r="I5" s="3"/>
      <c r="J5" s="3"/>
      <c r="K5" s="3"/>
      <c r="L5" s="3"/>
      <c r="M5" s="3"/>
      <c r="N5" s="3"/>
      <c r="O5" s="3"/>
      <c r="P5" s="3"/>
      <c r="Q5" s="3"/>
      <c r="R5" s="1"/>
      <c r="S5" s="1"/>
      <c r="T5" s="1"/>
    </row>
    <row r="6" spans="1:20" x14ac:dyDescent="0.25">
      <c r="A6" s="3"/>
      <c r="B6" s="3"/>
      <c r="C6" s="3"/>
      <c r="D6" s="3"/>
      <c r="E6" s="3"/>
      <c r="F6" s="3"/>
      <c r="G6" s="3" t="s">
        <v>173</v>
      </c>
      <c r="H6" s="5"/>
      <c r="I6" s="6" t="s">
        <v>176</v>
      </c>
      <c r="J6" s="3"/>
      <c r="K6" s="3"/>
      <c r="L6" s="3"/>
      <c r="M6" s="3"/>
      <c r="N6" s="3"/>
      <c r="O6" s="3"/>
      <c r="P6" s="3"/>
      <c r="Q6" s="3"/>
      <c r="R6" s="1"/>
      <c r="S6" s="1"/>
      <c r="T6" s="1"/>
    </row>
    <row r="7" spans="1:20" x14ac:dyDescent="0.25">
      <c r="A7" s="3"/>
      <c r="B7" s="7" t="s">
        <v>169</v>
      </c>
      <c r="C7" s="3"/>
      <c r="D7" s="3"/>
      <c r="E7" s="3"/>
      <c r="F7" s="3"/>
      <c r="G7" s="3" t="s">
        <v>174</v>
      </c>
      <c r="H7" s="5"/>
      <c r="I7" s="6" t="s">
        <v>176</v>
      </c>
      <c r="J7" s="3"/>
      <c r="K7" s="3"/>
      <c r="L7" s="3"/>
      <c r="M7" s="3"/>
      <c r="N7" s="3"/>
      <c r="O7" s="3"/>
      <c r="P7" s="3"/>
      <c r="Q7" s="3"/>
      <c r="R7" s="1"/>
      <c r="S7" s="1"/>
      <c r="T7" s="1"/>
    </row>
    <row r="8" spans="1:20" x14ac:dyDescent="0.25">
      <c r="A8" s="3"/>
      <c r="B8" s="3"/>
      <c r="C8" s="3"/>
      <c r="D8" s="3"/>
      <c r="E8" s="3"/>
      <c r="F8" s="3"/>
      <c r="G8" s="3" t="s">
        <v>80</v>
      </c>
      <c r="H8" s="5">
        <f>+H5-H6+H7</f>
        <v>0</v>
      </c>
      <c r="I8" s="3"/>
      <c r="J8" s="3"/>
      <c r="K8" s="3"/>
      <c r="L8" s="3"/>
      <c r="M8" s="3"/>
      <c r="N8" s="3"/>
      <c r="O8" s="3"/>
      <c r="P8" s="3"/>
      <c r="Q8" s="3"/>
      <c r="R8" s="1"/>
      <c r="S8" s="1"/>
      <c r="T8" s="1"/>
    </row>
    <row r="9" spans="1:2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"/>
      <c r="S9" s="1"/>
      <c r="T9" s="1"/>
    </row>
    <row r="10" spans="1:2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"/>
      <c r="S10" s="1"/>
      <c r="T10" s="1"/>
    </row>
    <row r="11" spans="1:2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"/>
      <c r="S11" s="1"/>
      <c r="T11" s="1"/>
    </row>
    <row r="12" spans="1:2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1"/>
      <c r="S12" s="1"/>
      <c r="T12" s="1"/>
    </row>
    <row r="13" spans="1:20" x14ac:dyDescent="0.25">
      <c r="A13" s="3"/>
      <c r="B13" s="4" t="s">
        <v>170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"/>
      <c r="S13" s="1"/>
      <c r="T13" s="1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"/>
      <c r="S14" s="1"/>
      <c r="T14" s="1"/>
    </row>
    <row r="15" spans="1:2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"/>
      <c r="S15" s="1"/>
      <c r="T15" s="1"/>
    </row>
    <row r="16" spans="1:2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"/>
      <c r="S16" s="1"/>
      <c r="T16" s="1"/>
    </row>
    <row r="17" spans="1:2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"/>
      <c r="S17" s="1"/>
      <c r="T17" s="1"/>
    </row>
    <row r="18" spans="1:2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"/>
      <c r="S18" s="1"/>
      <c r="T18" s="1"/>
    </row>
    <row r="19" spans="1:2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"/>
      <c r="S19" s="1"/>
      <c r="T19" s="1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"/>
      <c r="S20" s="1"/>
      <c r="T20" s="1"/>
    </row>
    <row r="21" spans="1:2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"/>
      <c r="S21" s="1"/>
      <c r="T21" s="1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"/>
      <c r="S22" s="1"/>
      <c r="T22" s="1"/>
    </row>
    <row r="23" spans="1:2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"/>
      <c r="S23" s="1"/>
      <c r="T23" s="1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1"/>
      <c r="S24" s="1"/>
      <c r="T24" s="1"/>
    </row>
    <row r="25" spans="1:2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"/>
      <c r="S25" s="1"/>
      <c r="T25" s="1"/>
    </row>
    <row r="26" spans="1:20" x14ac:dyDescent="0.25">
      <c r="A26" s="3"/>
      <c r="B26" s="3"/>
      <c r="C26" s="3"/>
      <c r="D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"/>
      <c r="S26" s="1"/>
      <c r="T26" s="1"/>
    </row>
    <row r="27" spans="1:2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"/>
      <c r="S27" s="1"/>
      <c r="T27" s="1"/>
    </row>
    <row r="28" spans="1:2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"/>
      <c r="S28" s="1"/>
      <c r="T28" s="1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"/>
      <c r="S29" s="1"/>
      <c r="T29" s="1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BDB8-E662-4849-8465-854A3FD799AC}">
  <dimension ref="A1:AG777"/>
  <sheetViews>
    <sheetView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3.5" x14ac:dyDescent="0.25"/>
  <cols>
    <col min="1" max="1" width="4.7109375" style="9" bestFit="1" customWidth="1"/>
    <col min="2" max="2" width="21.28515625" style="9" customWidth="1"/>
    <col min="3" max="16384" width="9.140625" style="9"/>
  </cols>
  <sheetData>
    <row r="1" spans="1:33" x14ac:dyDescent="0.25">
      <c r="A1" s="8" t="s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3"/>
      <c r="B2" s="10" t="s">
        <v>54</v>
      </c>
      <c r="C2" s="11" t="s">
        <v>178</v>
      </c>
      <c r="D2" s="11" t="s">
        <v>179</v>
      </c>
      <c r="E2" s="11" t="s">
        <v>180</v>
      </c>
      <c r="F2" s="11" t="s">
        <v>183</v>
      </c>
      <c r="G2" s="11" t="s">
        <v>182</v>
      </c>
      <c r="H2" s="11" t="s">
        <v>175</v>
      </c>
      <c r="I2" s="11" t="s">
        <v>176</v>
      </c>
      <c r="J2" s="11" t="s">
        <v>181</v>
      </c>
      <c r="K2" s="11"/>
      <c r="L2" s="11" t="s">
        <v>184</v>
      </c>
      <c r="M2" s="11" t="s">
        <v>185</v>
      </c>
      <c r="N2" s="11" t="s">
        <v>186</v>
      </c>
      <c r="O2" s="11" t="s">
        <v>187</v>
      </c>
      <c r="P2" s="11" t="s">
        <v>188</v>
      </c>
      <c r="Q2" s="11" t="s">
        <v>189</v>
      </c>
      <c r="R2" s="11" t="s">
        <v>190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5">
      <c r="A3" s="3"/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5">
      <c r="A4" s="3"/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A5" s="3"/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A6" s="3"/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3"/>
      <c r="B7" s="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5">
      <c r="A8" s="3"/>
      <c r="B8" s="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5">
      <c r="A9" s="3"/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5">
      <c r="A10" s="3"/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5">
      <c r="A11" s="3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5">
      <c r="A12" s="3"/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5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5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5">
      <c r="A15" s="3"/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5">
      <c r="A16" s="3"/>
      <c r="B16" s="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5">
      <c r="A17" s="3"/>
      <c r="B17" s="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5">
      <c r="A18" s="3"/>
      <c r="B18" s="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3"/>
      <c r="B19" s="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5">
      <c r="A20" s="3"/>
      <c r="B20" s="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5">
      <c r="A21" s="3"/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5">
      <c r="A22" s="3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5">
      <c r="A23" s="3"/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5">
      <c r="A24" s="3"/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5">
      <c r="A25" s="3"/>
      <c r="B25" s="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5">
      <c r="A26" s="3"/>
      <c r="B26" s="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5">
      <c r="A27" s="3"/>
      <c r="B27" s="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25">
      <c r="A28" s="3"/>
      <c r="B28" s="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5">
      <c r="A29" s="3"/>
      <c r="B29" s="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25">
      <c r="A30" s="3"/>
      <c r="B30" s="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25">
      <c r="A31" s="3"/>
      <c r="B31" s="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25">
      <c r="A32" s="3"/>
      <c r="B32" s="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25">
      <c r="A33" s="3"/>
      <c r="B33" s="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25">
      <c r="A34" s="3"/>
      <c r="B34" s="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25">
      <c r="A35" s="3"/>
      <c r="B35" s="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25">
      <c r="A36" s="3"/>
      <c r="B36" s="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25">
      <c r="A37" s="3"/>
      <c r="B37" s="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25">
      <c r="A38" s="3"/>
      <c r="B38" s="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25">
      <c r="A39" s="3"/>
      <c r="B39" s="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25">
      <c r="A40" s="3"/>
      <c r="B40" s="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25">
      <c r="A41" s="3"/>
      <c r="B41" s="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25">
      <c r="A42" s="3"/>
      <c r="B42" s="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25">
      <c r="A43" s="3"/>
      <c r="B43" s="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25">
      <c r="A44" s="3"/>
      <c r="B44" s="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25">
      <c r="A45" s="3"/>
      <c r="B45" s="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25">
      <c r="A46" s="3"/>
      <c r="B46" s="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25">
      <c r="A47" s="3"/>
      <c r="B47" s="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25">
      <c r="A48" s="3"/>
      <c r="B48" s="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x14ac:dyDescent="0.25">
      <c r="A49" s="3"/>
      <c r="B49" s="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25">
      <c r="A50" s="3"/>
      <c r="B50" s="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25">
      <c r="A51" s="3"/>
      <c r="B51" s="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25">
      <c r="A52" s="3"/>
      <c r="B52" s="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25">
      <c r="A53" s="3"/>
      <c r="B53" s="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25">
      <c r="A54" s="3"/>
      <c r="B54" s="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x14ac:dyDescent="0.25">
      <c r="A55" s="3"/>
      <c r="B55" s="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25">
      <c r="A56" s="3"/>
      <c r="B56" s="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25">
      <c r="A57" s="3"/>
      <c r="B57" s="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25">
      <c r="A58" s="3"/>
      <c r="B58" s="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25">
      <c r="A59" s="3"/>
      <c r="B59" s="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25">
      <c r="A60" s="3"/>
      <c r="B60" s="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x14ac:dyDescent="0.25">
      <c r="A61" s="3"/>
      <c r="B61" s="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25">
      <c r="A62" s="3"/>
      <c r="B62" s="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25">
      <c r="A63" s="3"/>
      <c r="B63" s="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25">
      <c r="A64" s="3"/>
      <c r="B64" s="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25">
      <c r="A65" s="3"/>
      <c r="B65" s="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25">
      <c r="A66" s="3"/>
      <c r="B66" s="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25">
      <c r="A67" s="3"/>
      <c r="B67" s="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25">
      <c r="A68" s="3"/>
      <c r="B68" s="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x14ac:dyDescent="0.25">
      <c r="A69" s="3"/>
      <c r="B69" s="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25">
      <c r="A70" s="3"/>
      <c r="B70" s="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25">
      <c r="A71" s="3"/>
      <c r="B71" s="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25">
      <c r="A72" s="3"/>
      <c r="B72" s="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x14ac:dyDescent="0.25">
      <c r="A73" s="3"/>
      <c r="B73" s="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25">
      <c r="A74" s="3"/>
      <c r="B74" s="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25">
      <c r="A75" s="3"/>
      <c r="B75" s="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25">
      <c r="A76" s="3"/>
      <c r="B76" s="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25">
      <c r="A77" s="3"/>
      <c r="B77" s="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25">
      <c r="A78" s="3"/>
      <c r="B78" s="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25">
      <c r="A79" s="3"/>
      <c r="B79" s="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25">
      <c r="A80" s="3"/>
      <c r="B80" s="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25">
      <c r="A81" s="3"/>
      <c r="B81" s="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25">
      <c r="A82" s="3"/>
      <c r="B82" s="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25">
      <c r="A83" s="3"/>
      <c r="B83" s="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25">
      <c r="A84" s="3"/>
      <c r="B84" s="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25">
      <c r="A85" s="3"/>
      <c r="B85" s="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25">
      <c r="A86" s="3"/>
      <c r="B86" s="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x14ac:dyDescent="0.25">
      <c r="A87" s="3"/>
      <c r="B87" s="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x14ac:dyDescent="0.25">
      <c r="A88" s="3"/>
      <c r="B88" s="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x14ac:dyDescent="0.25">
      <c r="A89" s="3"/>
      <c r="B89" s="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x14ac:dyDescent="0.25">
      <c r="A90" s="3"/>
      <c r="B90" s="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x14ac:dyDescent="0.25">
      <c r="A91" s="3"/>
      <c r="B91" s="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x14ac:dyDescent="0.25">
      <c r="A92" s="3"/>
      <c r="B92" s="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x14ac:dyDescent="0.25">
      <c r="A93" s="3"/>
      <c r="B93" s="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x14ac:dyDescent="0.25">
      <c r="A94" s="3"/>
      <c r="B94" s="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x14ac:dyDescent="0.25">
      <c r="A95" s="3"/>
      <c r="B95" s="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x14ac:dyDescent="0.25">
      <c r="A96" s="3"/>
      <c r="B96" s="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x14ac:dyDescent="0.25">
      <c r="A97" s="3"/>
      <c r="B97" s="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x14ac:dyDescent="0.25">
      <c r="A98" s="3"/>
      <c r="B98" s="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x14ac:dyDescent="0.25">
      <c r="A99" s="3"/>
      <c r="B99" s="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x14ac:dyDescent="0.25">
      <c r="A100" s="3"/>
      <c r="B100" s="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x14ac:dyDescent="0.25">
      <c r="A101" s="3"/>
      <c r="B101" s="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x14ac:dyDescent="0.25">
      <c r="A102" s="3"/>
      <c r="B102" s="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x14ac:dyDescent="0.25">
      <c r="A103" s="3"/>
      <c r="B103" s="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x14ac:dyDescent="0.25">
      <c r="A104" s="3"/>
      <c r="B104" s="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x14ac:dyDescent="0.25">
      <c r="A105" s="3"/>
      <c r="B105" s="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x14ac:dyDescent="0.25">
      <c r="A106" s="3"/>
      <c r="B106" s="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x14ac:dyDescent="0.25">
      <c r="A107" s="3"/>
      <c r="B107" s="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x14ac:dyDescent="0.25">
      <c r="A108" s="3"/>
      <c r="B108" s="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x14ac:dyDescent="0.25">
      <c r="A109" s="3"/>
      <c r="B109" s="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x14ac:dyDescent="0.25">
      <c r="A110" s="3"/>
      <c r="B110" s="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25">
      <c r="A111" s="3"/>
      <c r="B111" s="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x14ac:dyDescent="0.25">
      <c r="A112" s="3"/>
      <c r="B112" s="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25">
      <c r="A113" s="3"/>
      <c r="B113" s="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25">
      <c r="A114" s="3"/>
      <c r="B114" s="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25">
      <c r="A115" s="3"/>
      <c r="B115" s="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x14ac:dyDescent="0.25">
      <c r="A116" s="3"/>
      <c r="B116" s="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x14ac:dyDescent="0.25">
      <c r="A117" s="3"/>
      <c r="B117" s="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x14ac:dyDescent="0.25">
      <c r="A118" s="3"/>
      <c r="B118" s="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x14ac:dyDescent="0.25">
      <c r="A119" s="3"/>
      <c r="B119" s="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x14ac:dyDescent="0.25">
      <c r="A120" s="3"/>
      <c r="B120" s="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x14ac:dyDescent="0.25">
      <c r="A121" s="3"/>
      <c r="B121" s="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25">
      <c r="A122" s="3"/>
      <c r="B122" s="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25">
      <c r="A123" s="3"/>
      <c r="B123" s="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25">
      <c r="A124" s="3"/>
      <c r="B124" s="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25">
      <c r="A125" s="3"/>
      <c r="B125" s="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25">
      <c r="A126" s="3"/>
      <c r="B126" s="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25">
      <c r="A127" s="3"/>
      <c r="B127" s="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25">
      <c r="A128" s="3"/>
      <c r="B128" s="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25">
      <c r="A129" s="3"/>
      <c r="B129" s="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25">
      <c r="A130" s="3"/>
      <c r="B130" s="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25">
      <c r="A131" s="3"/>
      <c r="B131" s="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25">
      <c r="A132" s="3"/>
      <c r="B132" s="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x14ac:dyDescent="0.25">
      <c r="A133" s="3"/>
      <c r="B133" s="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25">
      <c r="A134" s="3"/>
      <c r="B134" s="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x14ac:dyDescent="0.25">
      <c r="A135" s="3"/>
      <c r="B135" s="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x14ac:dyDescent="0.25">
      <c r="A136" s="3"/>
      <c r="B136" s="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x14ac:dyDescent="0.25">
      <c r="A137" s="3"/>
      <c r="B137" s="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x14ac:dyDescent="0.25">
      <c r="A138" s="3"/>
      <c r="B138" s="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25">
      <c r="A139" s="3"/>
      <c r="B139" s="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25">
      <c r="A140" s="3"/>
      <c r="B140" s="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25">
      <c r="A141" s="3"/>
      <c r="B141" s="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25">
      <c r="A142" s="3"/>
      <c r="B142" s="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25">
      <c r="A143" s="3"/>
      <c r="B143" s="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25">
      <c r="A144" s="3"/>
      <c r="B144" s="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25">
      <c r="A145" s="3"/>
      <c r="B145" s="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25">
      <c r="A146" s="3"/>
      <c r="B146" s="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25">
      <c r="A147" s="3"/>
      <c r="B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25">
      <c r="A148" s="3"/>
      <c r="B148" s="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25">
      <c r="A149" s="3"/>
      <c r="B149" s="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25">
      <c r="A150" s="3"/>
      <c r="B150" s="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25">
      <c r="A151" s="3"/>
      <c r="B151" s="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25">
      <c r="A152" s="3"/>
      <c r="B152" s="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25">
      <c r="A153" s="3"/>
      <c r="B153" s="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3"/>
      <c r="B154" s="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25">
      <c r="A155" s="3"/>
      <c r="B155" s="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25">
      <c r="A156" s="3"/>
      <c r="B156" s="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25">
      <c r="A157" s="3"/>
      <c r="B157" s="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3"/>
      <c r="B158" s="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25">
      <c r="A159" s="3"/>
      <c r="B159" s="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25">
      <c r="A160" s="3"/>
      <c r="B160" s="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3"/>
      <c r="B161" s="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3"/>
      <c r="B162" s="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25">
      <c r="A163" s="3"/>
      <c r="B163" s="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25">
      <c r="A164" s="3"/>
      <c r="B164" s="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25">
      <c r="A165" s="3"/>
      <c r="B165" s="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25">
      <c r="A166" s="3"/>
      <c r="B166" s="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25">
      <c r="A167" s="3"/>
      <c r="B167" s="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3"/>
      <c r="B168" s="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25">
      <c r="A169" s="3"/>
      <c r="B169" s="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25">
      <c r="A170" s="3"/>
      <c r="B170" s="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25">
      <c r="A171" s="3"/>
      <c r="B171" s="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25">
      <c r="A172" s="3"/>
      <c r="B172" s="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25">
      <c r="A173" s="3"/>
      <c r="B173" s="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25">
      <c r="A174" s="3"/>
      <c r="B174" s="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25">
      <c r="A175" s="3"/>
      <c r="B175" s="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25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25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25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25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25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25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25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25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25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25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25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25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25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25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25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25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25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25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25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25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25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25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25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25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25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x14ac:dyDescent="0.25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x14ac:dyDescent="0.25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x14ac:dyDescent="0.25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x14ac:dyDescent="0.25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x14ac:dyDescent="0.25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x14ac:dyDescent="0.25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x14ac:dyDescent="0.25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x14ac:dyDescent="0.25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x14ac:dyDescent="0.25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x14ac:dyDescent="0.25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x14ac:dyDescent="0.25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x14ac:dyDescent="0.25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x14ac:dyDescent="0.25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x14ac:dyDescent="0.25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x14ac:dyDescent="0.25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x14ac:dyDescent="0.25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x14ac:dyDescent="0.25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x14ac:dyDescent="0.25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x14ac:dyDescent="0.25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x14ac:dyDescent="0.25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x14ac:dyDescent="0.25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x14ac:dyDescent="0.25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x14ac:dyDescent="0.25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x14ac:dyDescent="0.25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x14ac:dyDescent="0.25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x14ac:dyDescent="0.25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x14ac:dyDescent="0.25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x14ac:dyDescent="0.25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x14ac:dyDescent="0.25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x14ac:dyDescent="0.25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x14ac:dyDescent="0.25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x14ac:dyDescent="0.25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x14ac:dyDescent="0.25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x14ac:dyDescent="0.25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x14ac:dyDescent="0.25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x14ac:dyDescent="0.25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x14ac:dyDescent="0.25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x14ac:dyDescent="0.25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x14ac:dyDescent="0.25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x14ac:dyDescent="0.25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x14ac:dyDescent="0.25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x14ac:dyDescent="0.25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x14ac:dyDescent="0.25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x14ac:dyDescent="0.25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x14ac:dyDescent="0.25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x14ac:dyDescent="0.25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x14ac:dyDescent="0.25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x14ac:dyDescent="0.25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x14ac:dyDescent="0.25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x14ac:dyDescent="0.25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x14ac:dyDescent="0.25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x14ac:dyDescent="0.25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x14ac:dyDescent="0.25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x14ac:dyDescent="0.25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x14ac:dyDescent="0.25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x14ac:dyDescent="0.25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x14ac:dyDescent="0.25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x14ac:dyDescent="0.25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x14ac:dyDescent="0.25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x14ac:dyDescent="0.25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x14ac:dyDescent="0.25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x14ac:dyDescent="0.25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x14ac:dyDescent="0.25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x14ac:dyDescent="0.25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x14ac:dyDescent="0.25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x14ac:dyDescent="0.25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x14ac:dyDescent="0.25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x14ac:dyDescent="0.25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x14ac:dyDescent="0.25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x14ac:dyDescent="0.25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x14ac:dyDescent="0.25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x14ac:dyDescent="0.25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x14ac:dyDescent="0.25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x14ac:dyDescent="0.25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x14ac:dyDescent="0.25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x14ac:dyDescent="0.25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x14ac:dyDescent="0.25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x14ac:dyDescent="0.25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x14ac:dyDescent="0.25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x14ac:dyDescent="0.25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x14ac:dyDescent="0.25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x14ac:dyDescent="0.25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x14ac:dyDescent="0.25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x14ac:dyDescent="0.25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x14ac:dyDescent="0.25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x14ac:dyDescent="0.25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x14ac:dyDescent="0.25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x14ac:dyDescent="0.25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x14ac:dyDescent="0.25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x14ac:dyDescent="0.25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x14ac:dyDescent="0.25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x14ac:dyDescent="0.25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x14ac:dyDescent="0.25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x14ac:dyDescent="0.25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x14ac:dyDescent="0.25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x14ac:dyDescent="0.25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x14ac:dyDescent="0.25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x14ac:dyDescent="0.25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x14ac:dyDescent="0.25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x14ac:dyDescent="0.25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x14ac:dyDescent="0.25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x14ac:dyDescent="0.25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x14ac:dyDescent="0.25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x14ac:dyDescent="0.25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18" x14ac:dyDescent="0.2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3:18" x14ac:dyDescent="0.2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3:18" x14ac:dyDescent="0.2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3:18" x14ac:dyDescent="0.2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3:18" x14ac:dyDescent="0.2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3:18" x14ac:dyDescent="0.2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3:18" x14ac:dyDescent="0.2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3:18" x14ac:dyDescent="0.2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3:18" x14ac:dyDescent="0.2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3:18" x14ac:dyDescent="0.2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3:18" x14ac:dyDescent="0.2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3:18" x14ac:dyDescent="0.2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3:18" x14ac:dyDescent="0.2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3:18" x14ac:dyDescent="0.2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3:18" x14ac:dyDescent="0.2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3:18" x14ac:dyDescent="0.2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3:18" x14ac:dyDescent="0.2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3:18" x14ac:dyDescent="0.2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3:18" x14ac:dyDescent="0.2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3:18" x14ac:dyDescent="0.2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3:18" x14ac:dyDescent="0.2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3:18" x14ac:dyDescent="0.2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3:18" x14ac:dyDescent="0.2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3:18" x14ac:dyDescent="0.2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3:18" x14ac:dyDescent="0.2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3:18" x14ac:dyDescent="0.2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3:18" x14ac:dyDescent="0.2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3:18" x14ac:dyDescent="0.2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3:18" x14ac:dyDescent="0.2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3:18" x14ac:dyDescent="0.2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3:18" x14ac:dyDescent="0.2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3:18" x14ac:dyDescent="0.2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3:18" x14ac:dyDescent="0.2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3:18" x14ac:dyDescent="0.2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3:18" x14ac:dyDescent="0.2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3:18" x14ac:dyDescent="0.2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3:18" x14ac:dyDescent="0.2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3:18" x14ac:dyDescent="0.2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3:18" x14ac:dyDescent="0.2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3:18" x14ac:dyDescent="0.2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3:18" x14ac:dyDescent="0.2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3:18" x14ac:dyDescent="0.2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3:18" x14ac:dyDescent="0.2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3:18" x14ac:dyDescent="0.2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3:18" x14ac:dyDescent="0.2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3:18" x14ac:dyDescent="0.2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3:18" x14ac:dyDescent="0.2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3:18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3:18" x14ac:dyDescent="0.2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3:18" x14ac:dyDescent="0.2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3:18" x14ac:dyDescent="0.2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3:18" x14ac:dyDescent="0.2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3:18" x14ac:dyDescent="0.2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3:18" x14ac:dyDescent="0.2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3:18" x14ac:dyDescent="0.2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3:18" x14ac:dyDescent="0.2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3:18" x14ac:dyDescent="0.2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3:18" x14ac:dyDescent="0.2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3:18" x14ac:dyDescent="0.2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3:18" x14ac:dyDescent="0.2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3:18" x14ac:dyDescent="0.2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3:18" x14ac:dyDescent="0.2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3:18" x14ac:dyDescent="0.2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3:18" x14ac:dyDescent="0.2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3:18" x14ac:dyDescent="0.2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3:18" x14ac:dyDescent="0.2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3:18" x14ac:dyDescent="0.2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3:18" x14ac:dyDescent="0.2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3:18" x14ac:dyDescent="0.2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3:18" x14ac:dyDescent="0.2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3:18" x14ac:dyDescent="0.2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3:18" x14ac:dyDescent="0.2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3:18" x14ac:dyDescent="0.2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3:18" x14ac:dyDescent="0.2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3:18" x14ac:dyDescent="0.2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3:18" x14ac:dyDescent="0.2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3:18" x14ac:dyDescent="0.2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3:18" x14ac:dyDescent="0.2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3:18" x14ac:dyDescent="0.2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3:18" x14ac:dyDescent="0.2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3:18" x14ac:dyDescent="0.2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spans="3:18" x14ac:dyDescent="0.2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spans="3:18" x14ac:dyDescent="0.2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 spans="3:18" x14ac:dyDescent="0.2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 spans="3:18" x14ac:dyDescent="0.2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spans="3:18" x14ac:dyDescent="0.2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 spans="3:18" x14ac:dyDescent="0.2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3:18" x14ac:dyDescent="0.2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spans="3:18" x14ac:dyDescent="0.2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spans="3:18" x14ac:dyDescent="0.2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spans="3:18" x14ac:dyDescent="0.2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spans="3:18" x14ac:dyDescent="0.2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spans="3:18" x14ac:dyDescent="0.2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spans="3:18" x14ac:dyDescent="0.2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spans="3:18" x14ac:dyDescent="0.2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spans="3:18" x14ac:dyDescent="0.2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spans="3:18" x14ac:dyDescent="0.2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spans="3:18" x14ac:dyDescent="0.2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spans="3:18" x14ac:dyDescent="0.2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spans="3:18" x14ac:dyDescent="0.2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spans="3:18" x14ac:dyDescent="0.2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spans="3:18" x14ac:dyDescent="0.2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spans="3:18" x14ac:dyDescent="0.2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spans="3:18" x14ac:dyDescent="0.2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spans="3:18" x14ac:dyDescent="0.2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3:18" x14ac:dyDescent="0.2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spans="3:18" x14ac:dyDescent="0.2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spans="3:18" x14ac:dyDescent="0.2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spans="3:18" x14ac:dyDescent="0.2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spans="3:18" x14ac:dyDescent="0.2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spans="3:18" x14ac:dyDescent="0.2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spans="3:18" x14ac:dyDescent="0.2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spans="3:18" x14ac:dyDescent="0.2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spans="3:18" x14ac:dyDescent="0.2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spans="3:18" x14ac:dyDescent="0.2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spans="3:18" x14ac:dyDescent="0.2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spans="3:18" x14ac:dyDescent="0.2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3:18" x14ac:dyDescent="0.2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spans="3:18" x14ac:dyDescent="0.2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spans="3:18" x14ac:dyDescent="0.2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spans="3:18" x14ac:dyDescent="0.2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spans="3:18" x14ac:dyDescent="0.2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spans="3:18" x14ac:dyDescent="0.2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spans="3:18" x14ac:dyDescent="0.2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spans="3:18" x14ac:dyDescent="0.2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spans="3:18" x14ac:dyDescent="0.2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spans="3:18" x14ac:dyDescent="0.2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3:18" x14ac:dyDescent="0.2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spans="3:18" x14ac:dyDescent="0.2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spans="3:18" x14ac:dyDescent="0.2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spans="3:18" x14ac:dyDescent="0.2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spans="3:18" x14ac:dyDescent="0.2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spans="3:18" x14ac:dyDescent="0.2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spans="3:18" x14ac:dyDescent="0.2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spans="3:18" x14ac:dyDescent="0.2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spans="3:18" x14ac:dyDescent="0.2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spans="3:18" x14ac:dyDescent="0.2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3:18" x14ac:dyDescent="0.2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spans="3:18" x14ac:dyDescent="0.2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spans="3:18" x14ac:dyDescent="0.2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spans="3:18" x14ac:dyDescent="0.2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spans="3:18" x14ac:dyDescent="0.2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spans="3:18" x14ac:dyDescent="0.2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spans="3:18" x14ac:dyDescent="0.2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spans="3:18" x14ac:dyDescent="0.2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spans="3:18" x14ac:dyDescent="0.2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spans="3:18" x14ac:dyDescent="0.2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3:18" x14ac:dyDescent="0.2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3:18" x14ac:dyDescent="0.2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spans="3:18" x14ac:dyDescent="0.2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spans="3:18" x14ac:dyDescent="0.2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spans="3:18" x14ac:dyDescent="0.2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spans="3:18" x14ac:dyDescent="0.2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spans="3:18" x14ac:dyDescent="0.2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spans="3:18" x14ac:dyDescent="0.2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spans="3:18" x14ac:dyDescent="0.2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spans="3:18" x14ac:dyDescent="0.2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spans="3:18" x14ac:dyDescent="0.2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spans="3:18" x14ac:dyDescent="0.2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spans="3:18" x14ac:dyDescent="0.2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spans="3:18" x14ac:dyDescent="0.2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spans="3:18" x14ac:dyDescent="0.2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spans="3:18" x14ac:dyDescent="0.2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spans="3:18" x14ac:dyDescent="0.2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spans="3:18" x14ac:dyDescent="0.2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spans="3:18" x14ac:dyDescent="0.2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spans="3:18" x14ac:dyDescent="0.2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spans="3:18" x14ac:dyDescent="0.2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spans="3:18" x14ac:dyDescent="0.2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spans="3:18" x14ac:dyDescent="0.2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spans="3:18" x14ac:dyDescent="0.2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spans="3:18" x14ac:dyDescent="0.2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spans="3:18" x14ac:dyDescent="0.2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spans="3:18" x14ac:dyDescent="0.2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spans="3:18" x14ac:dyDescent="0.2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spans="3:18" x14ac:dyDescent="0.2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spans="3:18" x14ac:dyDescent="0.2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spans="3:18" x14ac:dyDescent="0.2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spans="3:18" x14ac:dyDescent="0.2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spans="3:18" x14ac:dyDescent="0.2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spans="3:18" x14ac:dyDescent="0.2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3:18" x14ac:dyDescent="0.2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spans="3:18" x14ac:dyDescent="0.2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spans="3:18" x14ac:dyDescent="0.2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spans="3:18" x14ac:dyDescent="0.2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spans="3:18" x14ac:dyDescent="0.2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spans="3:18" x14ac:dyDescent="0.2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spans="3:18" x14ac:dyDescent="0.2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spans="3:18" x14ac:dyDescent="0.2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spans="3:18" x14ac:dyDescent="0.2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spans="3:18" x14ac:dyDescent="0.2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spans="3:18" x14ac:dyDescent="0.2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spans="3:18" x14ac:dyDescent="0.2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spans="3:18" x14ac:dyDescent="0.2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spans="3:18" x14ac:dyDescent="0.2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spans="3:18" x14ac:dyDescent="0.2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spans="3:18" x14ac:dyDescent="0.2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spans="3:18" x14ac:dyDescent="0.2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spans="3:18" x14ac:dyDescent="0.2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spans="3:18" x14ac:dyDescent="0.2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spans="3:18" x14ac:dyDescent="0.2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spans="3:18" x14ac:dyDescent="0.2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spans="3:18" x14ac:dyDescent="0.2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spans="3:18" x14ac:dyDescent="0.2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spans="3:18" x14ac:dyDescent="0.2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spans="3:18" x14ac:dyDescent="0.2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spans="3:18" x14ac:dyDescent="0.2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spans="3:18" x14ac:dyDescent="0.2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spans="3:18" x14ac:dyDescent="0.2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spans="3:18" x14ac:dyDescent="0.2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spans="3:18" x14ac:dyDescent="0.2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spans="3:18" x14ac:dyDescent="0.2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spans="3:18" x14ac:dyDescent="0.2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spans="3:18" x14ac:dyDescent="0.2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spans="3:18" x14ac:dyDescent="0.2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spans="3:18" x14ac:dyDescent="0.2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spans="3:18" x14ac:dyDescent="0.2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spans="3:18" x14ac:dyDescent="0.2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spans="3:18" x14ac:dyDescent="0.2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spans="3:18" x14ac:dyDescent="0.2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spans="3:18" x14ac:dyDescent="0.2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spans="3:18" x14ac:dyDescent="0.2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spans="3:18" x14ac:dyDescent="0.2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spans="3:18" x14ac:dyDescent="0.2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spans="3:18" x14ac:dyDescent="0.2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spans="3:18" x14ac:dyDescent="0.2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spans="3:18" x14ac:dyDescent="0.2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spans="3:18" x14ac:dyDescent="0.2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spans="3:18" x14ac:dyDescent="0.2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spans="3:18" x14ac:dyDescent="0.2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spans="3:18" x14ac:dyDescent="0.2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spans="3:18" x14ac:dyDescent="0.2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spans="3:18" x14ac:dyDescent="0.2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spans="3:18" x14ac:dyDescent="0.2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spans="3:18" x14ac:dyDescent="0.2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spans="3:18" x14ac:dyDescent="0.2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spans="3:18" x14ac:dyDescent="0.2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spans="3:18" x14ac:dyDescent="0.2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spans="3:18" x14ac:dyDescent="0.2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spans="3:18" x14ac:dyDescent="0.2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spans="3:18" x14ac:dyDescent="0.2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spans="3:18" x14ac:dyDescent="0.2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3:18" x14ac:dyDescent="0.2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spans="3:18" x14ac:dyDescent="0.2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spans="3:18" x14ac:dyDescent="0.2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spans="3:18" x14ac:dyDescent="0.2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spans="3:18" x14ac:dyDescent="0.2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spans="3:18" x14ac:dyDescent="0.2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spans="3:18" x14ac:dyDescent="0.2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spans="3:18" x14ac:dyDescent="0.2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spans="3:18" x14ac:dyDescent="0.2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spans="3:18" x14ac:dyDescent="0.2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spans="3:18" x14ac:dyDescent="0.2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spans="3:18" x14ac:dyDescent="0.2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spans="3:18" x14ac:dyDescent="0.2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spans="3:18" x14ac:dyDescent="0.2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spans="3:18" x14ac:dyDescent="0.2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spans="3:18" x14ac:dyDescent="0.2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spans="3:18" x14ac:dyDescent="0.2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spans="3:18" x14ac:dyDescent="0.2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spans="3:18" x14ac:dyDescent="0.2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spans="3:18" x14ac:dyDescent="0.2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spans="3:18" x14ac:dyDescent="0.2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spans="3:18" x14ac:dyDescent="0.2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spans="3:18" x14ac:dyDescent="0.2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spans="3:18" x14ac:dyDescent="0.2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spans="3:18" x14ac:dyDescent="0.2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spans="3:18" x14ac:dyDescent="0.2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spans="3:18" x14ac:dyDescent="0.2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spans="3:18" x14ac:dyDescent="0.2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spans="3:18" x14ac:dyDescent="0.2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spans="3:18" x14ac:dyDescent="0.2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spans="3:18" x14ac:dyDescent="0.2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spans="3:18" x14ac:dyDescent="0.2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spans="3:18" x14ac:dyDescent="0.2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spans="3:18" x14ac:dyDescent="0.2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spans="3:18" x14ac:dyDescent="0.2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spans="3:18" x14ac:dyDescent="0.2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spans="3:18" x14ac:dyDescent="0.2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spans="3:18" x14ac:dyDescent="0.2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spans="3:18" x14ac:dyDescent="0.2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spans="3:18" x14ac:dyDescent="0.2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spans="3:18" x14ac:dyDescent="0.2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spans="3:18" x14ac:dyDescent="0.2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spans="3:18" x14ac:dyDescent="0.2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spans="3:18" x14ac:dyDescent="0.2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spans="3:18" x14ac:dyDescent="0.2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spans="3:18" x14ac:dyDescent="0.2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spans="3:18" x14ac:dyDescent="0.2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spans="3:18" x14ac:dyDescent="0.2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spans="3:18" x14ac:dyDescent="0.2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spans="3:18" x14ac:dyDescent="0.2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 spans="3:18" x14ac:dyDescent="0.2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spans="3:18" x14ac:dyDescent="0.2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spans="3:18" x14ac:dyDescent="0.2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 spans="3:18" x14ac:dyDescent="0.2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 spans="3:18" x14ac:dyDescent="0.2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 spans="3:18" x14ac:dyDescent="0.2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spans="3:18" x14ac:dyDescent="0.2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 spans="3:18" x14ac:dyDescent="0.2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 spans="3:18" x14ac:dyDescent="0.2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 spans="3:18" x14ac:dyDescent="0.2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 spans="3:18" x14ac:dyDescent="0.2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spans="3:18" x14ac:dyDescent="0.2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 spans="3:18" x14ac:dyDescent="0.2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 spans="3:18" x14ac:dyDescent="0.2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 spans="3:18" x14ac:dyDescent="0.2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 spans="3:18" x14ac:dyDescent="0.2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spans="3:18" x14ac:dyDescent="0.2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 spans="3:18" x14ac:dyDescent="0.2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 spans="3:18" x14ac:dyDescent="0.2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 spans="3:18" x14ac:dyDescent="0.2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 spans="3:18" x14ac:dyDescent="0.2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spans="3:18" x14ac:dyDescent="0.2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 spans="3:18" x14ac:dyDescent="0.2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 spans="3:18" x14ac:dyDescent="0.2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spans="3:18" x14ac:dyDescent="0.2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 spans="3:18" x14ac:dyDescent="0.2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spans="3:18" x14ac:dyDescent="0.2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 spans="3:18" x14ac:dyDescent="0.2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 spans="3:18" x14ac:dyDescent="0.2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 spans="3:18" x14ac:dyDescent="0.2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spans="3:18" x14ac:dyDescent="0.2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spans="3:18" x14ac:dyDescent="0.2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 spans="3:18" x14ac:dyDescent="0.2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 spans="3:18" x14ac:dyDescent="0.2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 spans="3:18" x14ac:dyDescent="0.2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 spans="3:18" x14ac:dyDescent="0.2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spans="3:18" x14ac:dyDescent="0.2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 spans="3:18" x14ac:dyDescent="0.2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 spans="3:18" x14ac:dyDescent="0.2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 spans="3:18" x14ac:dyDescent="0.2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 spans="3:18" x14ac:dyDescent="0.2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spans="3:18" x14ac:dyDescent="0.2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 spans="3:18" x14ac:dyDescent="0.2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 spans="3:18" x14ac:dyDescent="0.2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 spans="3:18" x14ac:dyDescent="0.2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 spans="3:18" x14ac:dyDescent="0.2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spans="3:18" x14ac:dyDescent="0.2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 spans="3:18" x14ac:dyDescent="0.2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 spans="3:18" x14ac:dyDescent="0.2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 spans="3:18" x14ac:dyDescent="0.2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 spans="3:18" x14ac:dyDescent="0.2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spans="3:18" x14ac:dyDescent="0.2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 spans="3:18" x14ac:dyDescent="0.2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 spans="3:18" x14ac:dyDescent="0.2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spans="3:18" x14ac:dyDescent="0.2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 spans="3:18" x14ac:dyDescent="0.2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spans="3:18" x14ac:dyDescent="0.2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 spans="3:18" x14ac:dyDescent="0.2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 spans="3:18" x14ac:dyDescent="0.2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 spans="3:18" x14ac:dyDescent="0.2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 spans="3:18" x14ac:dyDescent="0.2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spans="3:18" x14ac:dyDescent="0.2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 spans="3:18" x14ac:dyDescent="0.2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 spans="3:18" x14ac:dyDescent="0.2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</row>
    <row r="661" spans="3:18" x14ac:dyDescent="0.2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</row>
    <row r="662" spans="3:18" x14ac:dyDescent="0.2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 spans="3:18" x14ac:dyDescent="0.2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</row>
    <row r="664" spans="3:18" x14ac:dyDescent="0.2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</row>
    <row r="665" spans="3:18" x14ac:dyDescent="0.2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</row>
    <row r="666" spans="3:18" x14ac:dyDescent="0.2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</row>
    <row r="667" spans="3:18" x14ac:dyDescent="0.2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</row>
    <row r="668" spans="3:18" x14ac:dyDescent="0.2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 spans="3:18" x14ac:dyDescent="0.2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 spans="3:18" x14ac:dyDescent="0.2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</row>
    <row r="671" spans="3:18" x14ac:dyDescent="0.2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</row>
    <row r="672" spans="3:18" x14ac:dyDescent="0.2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 spans="3:18" x14ac:dyDescent="0.2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</row>
    <row r="674" spans="3:18" x14ac:dyDescent="0.2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</row>
    <row r="675" spans="3:18" x14ac:dyDescent="0.2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 spans="3:18" x14ac:dyDescent="0.2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</row>
    <row r="677" spans="3:18" x14ac:dyDescent="0.2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</row>
    <row r="678" spans="3:18" x14ac:dyDescent="0.2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</row>
    <row r="679" spans="3:18" x14ac:dyDescent="0.2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 spans="3:18" x14ac:dyDescent="0.2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</row>
    <row r="681" spans="3:18" x14ac:dyDescent="0.2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</row>
    <row r="682" spans="3:18" x14ac:dyDescent="0.2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 spans="3:18" x14ac:dyDescent="0.2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</row>
    <row r="684" spans="3:18" x14ac:dyDescent="0.2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</row>
    <row r="685" spans="3:18" x14ac:dyDescent="0.2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</row>
    <row r="686" spans="3:18" x14ac:dyDescent="0.2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</row>
    <row r="687" spans="3:18" x14ac:dyDescent="0.2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</row>
    <row r="688" spans="3:18" x14ac:dyDescent="0.2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</row>
    <row r="689" spans="3:18" x14ac:dyDescent="0.2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 spans="3:18" x14ac:dyDescent="0.2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</row>
    <row r="691" spans="3:18" x14ac:dyDescent="0.2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</row>
    <row r="692" spans="3:18" x14ac:dyDescent="0.2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 spans="3:18" x14ac:dyDescent="0.2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</row>
    <row r="694" spans="3:18" x14ac:dyDescent="0.2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</row>
    <row r="695" spans="3:18" x14ac:dyDescent="0.2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</row>
    <row r="696" spans="3:18" x14ac:dyDescent="0.2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</row>
    <row r="697" spans="3:18" x14ac:dyDescent="0.2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</row>
    <row r="698" spans="3:18" x14ac:dyDescent="0.2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</row>
    <row r="699" spans="3:18" x14ac:dyDescent="0.2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 spans="3:18" x14ac:dyDescent="0.2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</row>
    <row r="701" spans="3:18" x14ac:dyDescent="0.2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</row>
    <row r="702" spans="3:18" x14ac:dyDescent="0.2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spans="3:18" x14ac:dyDescent="0.2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</row>
    <row r="704" spans="3:18" x14ac:dyDescent="0.2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</row>
    <row r="705" spans="3:18" x14ac:dyDescent="0.2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</row>
    <row r="706" spans="3:18" x14ac:dyDescent="0.2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</row>
    <row r="707" spans="3:18" x14ac:dyDescent="0.2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</row>
    <row r="708" spans="3:18" x14ac:dyDescent="0.2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</row>
    <row r="709" spans="3:18" x14ac:dyDescent="0.2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 spans="3:18" x14ac:dyDescent="0.2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 spans="3:18" x14ac:dyDescent="0.2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</row>
    <row r="712" spans="3:18" x14ac:dyDescent="0.2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 spans="3:18" x14ac:dyDescent="0.2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</row>
    <row r="714" spans="3:18" x14ac:dyDescent="0.2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</row>
    <row r="715" spans="3:18" x14ac:dyDescent="0.2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</row>
    <row r="716" spans="3:18" x14ac:dyDescent="0.2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</row>
    <row r="717" spans="3:18" x14ac:dyDescent="0.2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</row>
    <row r="718" spans="3:18" x14ac:dyDescent="0.2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</row>
    <row r="719" spans="3:18" x14ac:dyDescent="0.2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</row>
    <row r="720" spans="3:18" x14ac:dyDescent="0.2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</row>
    <row r="721" spans="3:18" x14ac:dyDescent="0.2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</row>
    <row r="722" spans="3:18" x14ac:dyDescent="0.2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 spans="3:18" x14ac:dyDescent="0.2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 spans="3:18" x14ac:dyDescent="0.2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</row>
    <row r="725" spans="3:18" x14ac:dyDescent="0.2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</row>
    <row r="726" spans="3:18" x14ac:dyDescent="0.2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</row>
    <row r="727" spans="3:18" x14ac:dyDescent="0.2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</row>
    <row r="728" spans="3:18" x14ac:dyDescent="0.2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</row>
    <row r="729" spans="3:18" x14ac:dyDescent="0.2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</row>
    <row r="730" spans="3:18" x14ac:dyDescent="0.2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 spans="3:18" x14ac:dyDescent="0.2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</row>
    <row r="732" spans="3:18" x14ac:dyDescent="0.2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 spans="3:18" x14ac:dyDescent="0.2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</row>
    <row r="734" spans="3:18" x14ac:dyDescent="0.2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</row>
    <row r="735" spans="3:18" x14ac:dyDescent="0.2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</row>
    <row r="736" spans="3:18" x14ac:dyDescent="0.2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</row>
    <row r="737" spans="3:18" x14ac:dyDescent="0.2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 spans="3:18" x14ac:dyDescent="0.2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</row>
    <row r="739" spans="3:18" x14ac:dyDescent="0.2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</row>
    <row r="740" spans="3:18" x14ac:dyDescent="0.2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</row>
    <row r="741" spans="3:18" x14ac:dyDescent="0.2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</row>
    <row r="742" spans="3:18" x14ac:dyDescent="0.2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 spans="3:18" x14ac:dyDescent="0.2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</row>
    <row r="744" spans="3:18" x14ac:dyDescent="0.2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</row>
    <row r="745" spans="3:18" x14ac:dyDescent="0.2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</row>
    <row r="746" spans="3:18" x14ac:dyDescent="0.2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</row>
    <row r="747" spans="3:18" x14ac:dyDescent="0.2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</row>
    <row r="748" spans="3:18" x14ac:dyDescent="0.2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</row>
    <row r="749" spans="3:18" x14ac:dyDescent="0.2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</row>
    <row r="750" spans="3:18" x14ac:dyDescent="0.2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</row>
    <row r="751" spans="3:18" x14ac:dyDescent="0.2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 spans="3:18" x14ac:dyDescent="0.2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 spans="3:18" x14ac:dyDescent="0.2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</row>
    <row r="754" spans="3:18" x14ac:dyDescent="0.2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 spans="3:18" x14ac:dyDescent="0.2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</row>
    <row r="756" spans="3:18" x14ac:dyDescent="0.2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</row>
    <row r="757" spans="3:18" x14ac:dyDescent="0.2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</row>
    <row r="758" spans="3:18" x14ac:dyDescent="0.2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</row>
    <row r="759" spans="3:18" x14ac:dyDescent="0.2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</row>
    <row r="760" spans="3:18" x14ac:dyDescent="0.2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</row>
    <row r="761" spans="3:18" x14ac:dyDescent="0.2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</row>
    <row r="762" spans="3:18" x14ac:dyDescent="0.2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 spans="3:18" x14ac:dyDescent="0.2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</row>
    <row r="764" spans="3:18" x14ac:dyDescent="0.2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</row>
    <row r="765" spans="3:18" x14ac:dyDescent="0.2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</row>
    <row r="766" spans="3:18" x14ac:dyDescent="0.2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 spans="3:18" x14ac:dyDescent="0.2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 spans="3:18" x14ac:dyDescent="0.2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</row>
    <row r="769" spans="3:18" x14ac:dyDescent="0.2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</row>
    <row r="770" spans="3:18" x14ac:dyDescent="0.2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</row>
    <row r="771" spans="3:18" x14ac:dyDescent="0.2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</row>
    <row r="772" spans="3:18" x14ac:dyDescent="0.2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 spans="3:18" x14ac:dyDescent="0.2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</row>
    <row r="774" spans="3:18" x14ac:dyDescent="0.2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</row>
    <row r="775" spans="3:18" x14ac:dyDescent="0.2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</row>
    <row r="776" spans="3:18" x14ac:dyDescent="0.2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</row>
    <row r="777" spans="3:18" x14ac:dyDescent="0.2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</sheetData>
  <hyperlinks>
    <hyperlink ref="A1" location="Main!A1" display="Main" xr:uid="{87950D76-132E-4EBA-B5CB-BE8CB49C51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04C4-8B18-4F88-B6A3-75EB69157E59}">
  <dimension ref="A1:T62"/>
  <sheetViews>
    <sheetView workbookViewId="0">
      <pane xSplit="2" ySplit="2" topLeftCell="C28" activePane="bottomRight" state="frozen"/>
      <selection pane="topRight" activeCell="C1" sqref="C1"/>
      <selection pane="bottomLeft" activeCell="A3" sqref="A3"/>
      <selection pane="bottomRight"/>
    </sheetView>
  </sheetViews>
  <sheetFormatPr defaultRowHeight="13.5" x14ac:dyDescent="0.25"/>
  <cols>
    <col min="1" max="1" width="4.7109375" style="9" bestFit="1" customWidth="1"/>
    <col min="2" max="2" width="36.140625" style="9" bestFit="1" customWidth="1"/>
    <col min="3" max="16384" width="9.140625" style="9"/>
  </cols>
  <sheetData>
    <row r="1" spans="1:20" x14ac:dyDescent="0.25">
      <c r="A1" s="8" t="s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A2" s="3"/>
      <c r="B2" s="13" t="s">
        <v>75</v>
      </c>
      <c r="C2" s="14">
        <v>18</v>
      </c>
      <c r="D2" s="14">
        <f>+C2+1</f>
        <v>19</v>
      </c>
      <c r="E2" s="14">
        <f t="shared" ref="E2:J2" si="0">+D2+1</f>
        <v>20</v>
      </c>
      <c r="F2" s="14">
        <f t="shared" si="0"/>
        <v>21</v>
      </c>
      <c r="G2" s="14">
        <f t="shared" si="0"/>
        <v>22</v>
      </c>
      <c r="H2" s="14">
        <f t="shared" si="0"/>
        <v>23</v>
      </c>
      <c r="I2" s="14">
        <f t="shared" si="0"/>
        <v>24</v>
      </c>
      <c r="J2" s="14">
        <f t="shared" si="0"/>
        <v>25</v>
      </c>
      <c r="K2" s="80" t="s">
        <v>206</v>
      </c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3"/>
      <c r="B3" s="3" t="s">
        <v>76</v>
      </c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3"/>
      <c r="B4" s="3" t="s">
        <v>77</v>
      </c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3"/>
      <c r="B5" s="3" t="s">
        <v>78</v>
      </c>
      <c r="C5" s="5"/>
      <c r="D5" s="5"/>
      <c r="E5" s="5"/>
      <c r="F5" s="5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/>
      <c r="B6" s="3" t="s">
        <v>79</v>
      </c>
      <c r="C6" s="5"/>
      <c r="D6" s="5"/>
      <c r="E6" s="5"/>
      <c r="F6" s="5"/>
      <c r="G6" s="5"/>
      <c r="H6" s="5"/>
      <c r="I6" s="5"/>
      <c r="J6" s="5"/>
      <c r="K6" s="5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3"/>
      <c r="B7" s="3" t="s">
        <v>80</v>
      </c>
      <c r="C7" s="5"/>
      <c r="D7" s="5"/>
      <c r="E7" s="5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3"/>
      <c r="B8" s="3"/>
      <c r="C8" s="5"/>
      <c r="D8" s="5"/>
      <c r="E8" s="5"/>
      <c r="F8" s="5"/>
      <c r="G8" s="5"/>
      <c r="H8" s="5"/>
      <c r="I8" s="5"/>
      <c r="J8" s="5"/>
      <c r="K8" s="5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15" t="s">
        <v>31</v>
      </c>
      <c r="B9" s="4" t="s">
        <v>164</v>
      </c>
      <c r="C9" s="5"/>
      <c r="D9" s="5"/>
      <c r="E9" s="5"/>
      <c r="F9" s="5"/>
      <c r="G9" s="5"/>
      <c r="H9" s="5"/>
      <c r="I9" s="5"/>
      <c r="J9" s="5"/>
      <c r="K9" s="5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3"/>
      <c r="B10" s="3" t="s">
        <v>81</v>
      </c>
      <c r="C10" s="3"/>
      <c r="D10" s="3"/>
      <c r="E10" s="3"/>
      <c r="F10" s="3"/>
      <c r="G10" s="3"/>
      <c r="H10" s="3"/>
      <c r="I10" s="3"/>
      <c r="J10" s="3"/>
      <c r="K10" s="3"/>
      <c r="L10" s="16" t="s">
        <v>82</v>
      </c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3"/>
      <c r="B11" s="3" t="s">
        <v>83</v>
      </c>
      <c r="C11" s="3"/>
      <c r="D11" s="3"/>
      <c r="E11" s="3"/>
      <c r="F11" s="3"/>
      <c r="G11" s="3"/>
      <c r="H11" s="3"/>
      <c r="I11" s="3"/>
      <c r="J11" s="3"/>
      <c r="K11" s="3"/>
      <c r="L11" s="16" t="s">
        <v>84</v>
      </c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3"/>
      <c r="B12" s="3" t="s">
        <v>196</v>
      </c>
      <c r="C12" s="3"/>
      <c r="D12" s="3"/>
      <c r="E12" s="3"/>
      <c r="F12" s="3"/>
      <c r="G12" s="3"/>
      <c r="H12" s="3"/>
      <c r="I12" s="3"/>
      <c r="J12" s="3"/>
      <c r="K12" s="3"/>
      <c r="L12" s="16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3"/>
      <c r="B13" s="3" t="s">
        <v>85</v>
      </c>
      <c r="C13" s="3"/>
      <c r="D13" s="3"/>
      <c r="E13" s="3"/>
      <c r="F13" s="3"/>
      <c r="G13" s="3"/>
      <c r="H13" s="3"/>
      <c r="I13" s="3"/>
      <c r="J13" s="3"/>
      <c r="K13" s="3"/>
      <c r="L13" s="16" t="s">
        <v>86</v>
      </c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3"/>
      <c r="B14" s="3" t="s">
        <v>87</v>
      </c>
      <c r="C14" s="3"/>
      <c r="D14" s="3"/>
      <c r="E14" s="3"/>
      <c r="F14" s="3"/>
      <c r="G14" s="3"/>
      <c r="H14" s="3"/>
      <c r="I14" s="3"/>
      <c r="J14" s="3"/>
      <c r="K14" s="3"/>
      <c r="L14" s="3" t="s">
        <v>88</v>
      </c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3"/>
      <c r="B15" s="3" t="s">
        <v>89</v>
      </c>
      <c r="C15" s="3"/>
      <c r="D15" s="3"/>
      <c r="E15" s="3"/>
      <c r="F15" s="3"/>
      <c r="G15" s="3"/>
      <c r="H15" s="3"/>
      <c r="I15" s="3"/>
      <c r="J15" s="3"/>
      <c r="K15" s="3"/>
      <c r="L15" s="16" t="s">
        <v>90</v>
      </c>
      <c r="M15" s="3"/>
      <c r="N15" s="3"/>
      <c r="O15" s="3"/>
      <c r="P15" s="3"/>
      <c r="Q15" s="3"/>
      <c r="R15" s="3"/>
      <c r="S15" s="3"/>
      <c r="T15" s="3"/>
    </row>
    <row r="16" spans="1:20" x14ac:dyDescent="0.25">
      <c r="A16" s="3"/>
      <c r="B16" s="3" t="s">
        <v>91</v>
      </c>
      <c r="C16" s="3"/>
      <c r="D16" s="3"/>
      <c r="E16" s="3"/>
      <c r="F16" s="3"/>
      <c r="G16" s="3"/>
      <c r="H16" s="3"/>
      <c r="I16" s="3"/>
      <c r="J16" s="3"/>
      <c r="K16" s="3"/>
      <c r="L16" s="16" t="s">
        <v>92</v>
      </c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3"/>
      <c r="B17" s="3" t="s">
        <v>93</v>
      </c>
      <c r="C17" s="3"/>
      <c r="D17" s="3"/>
      <c r="E17" s="3"/>
      <c r="F17" s="3"/>
      <c r="G17" s="3"/>
      <c r="H17" s="3"/>
      <c r="I17" s="3"/>
      <c r="J17" s="3"/>
      <c r="K17" s="3"/>
      <c r="L17" s="16" t="s">
        <v>94</v>
      </c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3"/>
      <c r="B18" s="3" t="s">
        <v>95</v>
      </c>
      <c r="C18" s="3"/>
      <c r="D18" s="3"/>
      <c r="E18" s="3"/>
      <c r="F18" s="3"/>
      <c r="G18" s="3"/>
      <c r="H18" s="3"/>
      <c r="I18" s="3"/>
      <c r="J18" s="3"/>
      <c r="K18" s="3"/>
      <c r="L18" s="16" t="s">
        <v>96</v>
      </c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15" t="s">
        <v>31</v>
      </c>
      <c r="B20" s="4" t="s">
        <v>97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/>
      <c r="B21" s="3" t="s">
        <v>98</v>
      </c>
      <c r="C21" s="3"/>
      <c r="D21" s="3"/>
      <c r="E21" s="3"/>
      <c r="F21" s="3"/>
      <c r="G21" s="3"/>
      <c r="H21" s="3"/>
      <c r="I21" s="3"/>
      <c r="J21" s="3"/>
      <c r="K21" s="3"/>
      <c r="L21" s="16" t="s">
        <v>202</v>
      </c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/>
      <c r="B22" s="3" t="s">
        <v>99</v>
      </c>
      <c r="C22" s="3"/>
      <c r="D22" s="3"/>
      <c r="E22" s="3"/>
      <c r="F22" s="3"/>
      <c r="G22" s="3"/>
      <c r="H22" s="3"/>
      <c r="I22" s="3"/>
      <c r="J22" s="3"/>
      <c r="K22" s="3"/>
      <c r="L22" s="16" t="s">
        <v>100</v>
      </c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/>
      <c r="B23" s="3" t="s">
        <v>101</v>
      </c>
      <c r="C23" s="3"/>
      <c r="D23" s="3"/>
      <c r="E23" s="3"/>
      <c r="F23" s="3"/>
      <c r="G23" s="3"/>
      <c r="H23" s="3"/>
      <c r="I23" s="3"/>
      <c r="J23" s="3"/>
      <c r="K23" s="3"/>
      <c r="L23" s="16" t="s">
        <v>102</v>
      </c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3"/>
      <c r="B24" s="3" t="s">
        <v>103</v>
      </c>
      <c r="C24" s="3"/>
      <c r="D24" s="3"/>
      <c r="E24" s="3"/>
      <c r="F24" s="3"/>
      <c r="G24" s="3"/>
      <c r="H24" s="3"/>
      <c r="I24" s="3"/>
      <c r="J24" s="3"/>
      <c r="K24" s="3"/>
      <c r="L24" s="16" t="s">
        <v>104</v>
      </c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3"/>
      <c r="B25" s="3" t="s">
        <v>105</v>
      </c>
      <c r="C25" s="3"/>
      <c r="D25" s="3"/>
      <c r="E25" s="3"/>
      <c r="F25" s="3"/>
      <c r="G25" s="3"/>
      <c r="H25" s="3"/>
      <c r="I25" s="3"/>
      <c r="J25" s="3"/>
      <c r="K25" s="3"/>
      <c r="L25" s="16" t="s">
        <v>106</v>
      </c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/>
      <c r="B26" s="3" t="s">
        <v>107</v>
      </c>
      <c r="C26" s="3"/>
      <c r="D26" s="3"/>
      <c r="E26" s="3"/>
      <c r="F26" s="3"/>
      <c r="G26" s="3"/>
      <c r="H26" s="3"/>
      <c r="I26" s="3"/>
      <c r="J26" s="3"/>
      <c r="K26" s="3"/>
      <c r="L26" s="16" t="s">
        <v>108</v>
      </c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/>
      <c r="B28" s="3" t="s">
        <v>109</v>
      </c>
      <c r="C28" s="3"/>
      <c r="D28" s="3"/>
      <c r="E28" s="3"/>
      <c r="F28" s="3"/>
      <c r="G28" s="3"/>
      <c r="H28" s="3"/>
      <c r="I28" s="3"/>
      <c r="J28" s="3"/>
      <c r="K28" s="3"/>
      <c r="L28" s="16" t="s">
        <v>110</v>
      </c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/>
      <c r="B29" s="3" t="s">
        <v>111</v>
      </c>
      <c r="C29" s="3"/>
      <c r="D29" s="3"/>
      <c r="E29" s="3"/>
      <c r="F29" s="3"/>
      <c r="G29" s="3"/>
      <c r="H29" s="3"/>
      <c r="I29" s="3"/>
      <c r="J29" s="3"/>
      <c r="K29" s="3"/>
      <c r="L29" s="16" t="s">
        <v>112</v>
      </c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/>
      <c r="B30" s="3" t="s">
        <v>113</v>
      </c>
      <c r="C30" s="3"/>
      <c r="D30" s="3"/>
      <c r="E30" s="3"/>
      <c r="F30" s="3"/>
      <c r="G30" s="3"/>
      <c r="H30" s="3"/>
      <c r="I30" s="3"/>
      <c r="J30" s="3"/>
      <c r="K30" s="3"/>
      <c r="L30" s="16" t="s">
        <v>114</v>
      </c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/>
      <c r="B31" s="3" t="s">
        <v>115</v>
      </c>
      <c r="C31" s="3"/>
      <c r="D31" s="3"/>
      <c r="E31" s="3"/>
      <c r="F31" s="3"/>
      <c r="G31" s="3"/>
      <c r="H31" s="3"/>
      <c r="I31" s="3"/>
      <c r="J31" s="3"/>
      <c r="K31" s="3"/>
      <c r="L31" s="16" t="s">
        <v>116</v>
      </c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15" t="s">
        <v>31</v>
      </c>
      <c r="B33" s="4" t="s">
        <v>117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3" t="s">
        <v>118</v>
      </c>
      <c r="C34" s="3"/>
      <c r="D34" s="3"/>
      <c r="E34" s="3"/>
      <c r="F34" s="3"/>
      <c r="G34" s="3"/>
      <c r="H34" s="3"/>
      <c r="I34" s="3"/>
      <c r="J34" s="3"/>
      <c r="K34" s="3"/>
      <c r="L34" s="16" t="s">
        <v>119</v>
      </c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/>
      <c r="B35" s="3" t="s">
        <v>120</v>
      </c>
      <c r="C35" s="3"/>
      <c r="D35" s="3"/>
      <c r="E35" s="3"/>
      <c r="F35" s="3"/>
      <c r="G35" s="3"/>
      <c r="H35" s="3"/>
      <c r="I35" s="3"/>
      <c r="J35" s="3"/>
      <c r="K35" s="3"/>
      <c r="L35" s="16" t="s">
        <v>121</v>
      </c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/>
      <c r="B36" s="3" t="s">
        <v>122</v>
      </c>
      <c r="C36" s="3"/>
      <c r="D36" s="3"/>
      <c r="E36" s="3"/>
      <c r="F36" s="3"/>
      <c r="G36" s="3"/>
      <c r="H36" s="3"/>
      <c r="I36" s="3"/>
      <c r="J36" s="3"/>
      <c r="K36" s="3"/>
      <c r="L36" s="16" t="s">
        <v>123</v>
      </c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/>
      <c r="B37" s="3" t="s">
        <v>124</v>
      </c>
      <c r="C37" s="17"/>
      <c r="D37" s="17"/>
      <c r="E37" s="17"/>
      <c r="F37" s="17"/>
      <c r="G37" s="17"/>
      <c r="H37" s="3"/>
      <c r="I37" s="18"/>
      <c r="J37" s="18"/>
      <c r="K37" s="3"/>
      <c r="L37" s="16" t="s">
        <v>125</v>
      </c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3"/>
      <c r="B38" s="3" t="s">
        <v>126</v>
      </c>
      <c r="C38" s="6"/>
      <c r="D38" s="19"/>
      <c r="E38" s="6"/>
      <c r="F38" s="6"/>
      <c r="G38" s="6"/>
      <c r="H38" s="3"/>
      <c r="I38" s="18"/>
      <c r="J38" s="18"/>
      <c r="K38" s="3"/>
      <c r="L38" s="16" t="s">
        <v>127</v>
      </c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15" t="s">
        <v>31</v>
      </c>
      <c r="B40" s="4" t="s">
        <v>128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3"/>
      <c r="B41" s="3" t="s">
        <v>129</v>
      </c>
      <c r="C41" s="20"/>
      <c r="D41" s="20"/>
      <c r="E41" s="20"/>
      <c r="F41" s="20"/>
      <c r="G41" s="20"/>
      <c r="H41" s="3"/>
      <c r="I41" s="20"/>
      <c r="J41" s="20"/>
      <c r="K41" s="3"/>
      <c r="L41" s="16" t="s">
        <v>130</v>
      </c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3"/>
      <c r="B42" s="3" t="s">
        <v>131</v>
      </c>
      <c r="C42" s="20"/>
      <c r="D42" s="20"/>
      <c r="E42" s="20"/>
      <c r="F42" s="20"/>
      <c r="G42" s="20"/>
      <c r="H42" s="3"/>
      <c r="I42" s="20"/>
      <c r="J42" s="20"/>
      <c r="K42" s="3"/>
      <c r="L42" s="16" t="s">
        <v>132</v>
      </c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3"/>
      <c r="B43" s="3" t="s">
        <v>133</v>
      </c>
      <c r="C43" s="3"/>
      <c r="D43" s="3"/>
      <c r="E43" s="3"/>
      <c r="F43" s="3"/>
      <c r="G43" s="3"/>
      <c r="H43" s="3"/>
      <c r="I43" s="3"/>
      <c r="J43" s="3"/>
      <c r="K43" s="3"/>
      <c r="L43" s="16" t="s">
        <v>134</v>
      </c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3"/>
      <c r="B44" s="3" t="s">
        <v>135</v>
      </c>
      <c r="C44" s="3"/>
      <c r="D44" s="3"/>
      <c r="E44" s="3"/>
      <c r="F44" s="3"/>
      <c r="G44" s="3"/>
      <c r="H44" s="3"/>
      <c r="I44" s="3"/>
      <c r="J44" s="3"/>
      <c r="K44" s="3"/>
      <c r="L44" s="16" t="s">
        <v>136</v>
      </c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3"/>
      <c r="B45" s="3" t="s">
        <v>137</v>
      </c>
      <c r="C45" s="3"/>
      <c r="D45" s="3"/>
      <c r="E45" s="3"/>
      <c r="F45" s="3"/>
      <c r="G45" s="3"/>
      <c r="H45" s="3"/>
      <c r="I45" s="3"/>
      <c r="J45" s="3"/>
      <c r="K45" s="3"/>
      <c r="L45" s="16" t="s">
        <v>138</v>
      </c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3"/>
      <c r="B46" s="3" t="s">
        <v>139</v>
      </c>
      <c r="C46" s="3"/>
      <c r="D46" s="3"/>
      <c r="E46" s="3"/>
      <c r="F46" s="3"/>
      <c r="G46" s="3"/>
      <c r="H46" s="3"/>
      <c r="I46" s="3"/>
      <c r="J46" s="3"/>
      <c r="K46" s="3"/>
      <c r="L46" s="16" t="s">
        <v>140</v>
      </c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15" t="s">
        <v>31</v>
      </c>
      <c r="B48" s="4" t="s">
        <v>141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/>
      <c r="B49" s="4" t="s">
        <v>142</v>
      </c>
      <c r="C49" s="21"/>
      <c r="D49" s="21"/>
      <c r="E49" s="21"/>
      <c r="F49" s="21"/>
      <c r="G49" s="2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/>
      <c r="B50" s="3" t="s">
        <v>143</v>
      </c>
      <c r="C50" s="20"/>
      <c r="D50" s="20"/>
      <c r="E50" s="20"/>
      <c r="F50" s="20"/>
      <c r="G50" s="20"/>
      <c r="H50" s="3"/>
      <c r="I50" s="20"/>
      <c r="J50" s="20"/>
      <c r="K50" s="3"/>
      <c r="L50" s="16" t="s">
        <v>144</v>
      </c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/>
      <c r="B51" s="3" t="s">
        <v>145</v>
      </c>
      <c r="C51" s="20"/>
      <c r="D51" s="20"/>
      <c r="E51" s="20"/>
      <c r="F51" s="20"/>
      <c r="G51" s="20"/>
      <c r="H51" s="3"/>
      <c r="I51" s="20"/>
      <c r="J51" s="20"/>
      <c r="K51" s="3"/>
      <c r="L51" s="16" t="s">
        <v>146</v>
      </c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/>
      <c r="B52" s="3" t="s">
        <v>147</v>
      </c>
      <c r="C52" s="20"/>
      <c r="D52" s="20"/>
      <c r="E52" s="20"/>
      <c r="F52" s="20"/>
      <c r="G52" s="20"/>
      <c r="H52" s="3"/>
      <c r="I52" s="20"/>
      <c r="J52" s="20"/>
      <c r="K52" s="3"/>
      <c r="L52" s="16" t="s">
        <v>148</v>
      </c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/>
      <c r="B53" s="3" t="s">
        <v>149</v>
      </c>
      <c r="C53" s="20"/>
      <c r="D53" s="20"/>
      <c r="E53" s="20"/>
      <c r="F53" s="20"/>
      <c r="G53" s="20"/>
      <c r="H53" s="3"/>
      <c r="I53" s="20"/>
      <c r="J53" s="20"/>
      <c r="K53" s="3"/>
      <c r="L53" s="16" t="s">
        <v>150</v>
      </c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/>
      <c r="B54" s="3" t="s">
        <v>151</v>
      </c>
      <c r="C54" s="20"/>
      <c r="D54" s="20"/>
      <c r="E54" s="20"/>
      <c r="F54" s="20"/>
      <c r="G54" s="20"/>
      <c r="H54" s="3"/>
      <c r="I54" s="20"/>
      <c r="J54" s="20"/>
      <c r="K54" s="3"/>
      <c r="L54" s="16" t="s">
        <v>152</v>
      </c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/>
      <c r="B55" s="3" t="s">
        <v>153</v>
      </c>
      <c r="C55" s="20"/>
      <c r="D55" s="20"/>
      <c r="E55" s="20"/>
      <c r="F55" s="20"/>
      <c r="G55" s="20"/>
      <c r="H55" s="3"/>
      <c r="I55" s="20"/>
      <c r="J55" s="20"/>
      <c r="K55" s="3"/>
      <c r="L55" s="16" t="s">
        <v>154</v>
      </c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/>
      <c r="B56" s="4" t="s">
        <v>155</v>
      </c>
      <c r="C56" s="3"/>
      <c r="D56" s="3"/>
      <c r="E56" s="3"/>
      <c r="F56" s="3"/>
      <c r="G56" s="3"/>
      <c r="H56" s="3"/>
      <c r="I56" s="20"/>
      <c r="J56" s="20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3"/>
      <c r="B57" s="3" t="s">
        <v>156</v>
      </c>
      <c r="C57" s="20"/>
      <c r="D57" s="20"/>
      <c r="E57" s="20"/>
      <c r="F57" s="20"/>
      <c r="G57" s="20"/>
      <c r="H57" s="3"/>
      <c r="I57" s="20"/>
      <c r="J57" s="20"/>
      <c r="K57" s="3"/>
      <c r="L57" s="16" t="s">
        <v>157</v>
      </c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3"/>
      <c r="B58" s="3" t="s">
        <v>158</v>
      </c>
      <c r="C58" s="20"/>
      <c r="D58" s="20"/>
      <c r="E58" s="20"/>
      <c r="F58" s="20"/>
      <c r="G58" s="20"/>
      <c r="H58" s="3"/>
      <c r="I58" s="20"/>
      <c r="J58" s="20"/>
      <c r="K58" s="3"/>
      <c r="L58" s="16" t="s">
        <v>159</v>
      </c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/>
      <c r="B59" s="3" t="s">
        <v>160</v>
      </c>
      <c r="C59" s="20"/>
      <c r="D59" s="20"/>
      <c r="E59" s="20"/>
      <c r="F59" s="20"/>
      <c r="G59" s="20"/>
      <c r="H59" s="3"/>
      <c r="I59" s="20"/>
      <c r="J59" s="20"/>
      <c r="K59" s="3"/>
      <c r="L59" s="16" t="s">
        <v>161</v>
      </c>
      <c r="M59" s="3"/>
      <c r="N59" s="3"/>
      <c r="O59" s="3"/>
      <c r="P59" s="3"/>
      <c r="Q59" s="3"/>
      <c r="R59" s="3"/>
      <c r="S59" s="3"/>
      <c r="T59" s="3"/>
    </row>
    <row r="60" spans="1:20" x14ac:dyDescent="0.25">
      <c r="A60" s="3"/>
      <c r="B60" s="3" t="s">
        <v>162</v>
      </c>
      <c r="C60" s="20"/>
      <c r="D60" s="20"/>
      <c r="E60" s="20"/>
      <c r="F60" s="20"/>
      <c r="G60" s="20"/>
      <c r="H60" s="3"/>
      <c r="I60" s="20"/>
      <c r="J60" s="20"/>
      <c r="K60" s="3"/>
      <c r="L60" s="16" t="s">
        <v>163</v>
      </c>
      <c r="M60" s="3"/>
      <c r="N60" s="3"/>
      <c r="O60" s="3"/>
      <c r="P60" s="3"/>
      <c r="Q60" s="3"/>
      <c r="R60" s="3"/>
      <c r="S60" s="3"/>
      <c r="T60" s="3"/>
    </row>
    <row r="61" spans="1:2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</sheetData>
  <hyperlinks>
    <hyperlink ref="A1" location="Main!A1" display="Main" xr:uid="{4D45210D-C163-4B17-8043-3893964AA391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7414-E30A-4536-AA9F-11EE167DC6A6}">
  <dimension ref="A1:BD74"/>
  <sheetViews>
    <sheetView showGridLines="0" workbookViewId="0">
      <selection activeCell="D1" sqref="D1"/>
    </sheetView>
  </sheetViews>
  <sheetFormatPr defaultRowHeight="15" x14ac:dyDescent="0.25"/>
  <cols>
    <col min="1" max="1" width="5.5703125" customWidth="1"/>
  </cols>
  <sheetData>
    <row r="1" spans="1:56" x14ac:dyDescent="0.25">
      <c r="A1" s="8" t="s">
        <v>177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69"/>
      <c r="B3" s="22" t="s">
        <v>0</v>
      </c>
      <c r="C3" s="22"/>
      <c r="D3" s="22"/>
      <c r="E3" s="22"/>
      <c r="F3" s="22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70" t="s">
        <v>31</v>
      </c>
      <c r="B4" s="10" t="s">
        <v>1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69"/>
      <c r="B5" s="4" t="s">
        <v>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69"/>
      <c r="B6" s="71" t="s">
        <v>203</v>
      </c>
      <c r="C6" s="71"/>
      <c r="D6" s="71"/>
      <c r="E6" s="71"/>
      <c r="F6" s="72"/>
      <c r="G6" s="69"/>
      <c r="H6" s="73" t="s">
        <v>3</v>
      </c>
      <c r="I6" s="69"/>
      <c r="J6" s="69"/>
      <c r="K6" s="69"/>
      <c r="L6" s="69"/>
      <c r="M6" s="69"/>
      <c r="N6" s="69"/>
      <c r="O6" s="69"/>
      <c r="P6" s="69"/>
      <c r="Q6" s="69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69"/>
      <c r="B7" s="71" t="s">
        <v>4</v>
      </c>
      <c r="C7" s="71"/>
      <c r="D7" s="71"/>
      <c r="E7" s="71"/>
      <c r="F7" s="72"/>
      <c r="G7" s="69"/>
      <c r="H7" s="73" t="s">
        <v>5</v>
      </c>
      <c r="I7" s="69"/>
      <c r="J7" s="69"/>
      <c r="K7" s="69"/>
      <c r="L7" s="69"/>
      <c r="M7" s="69"/>
      <c r="N7" s="69"/>
      <c r="O7" s="69"/>
      <c r="P7" s="69"/>
      <c r="Q7" s="6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69"/>
      <c r="B8" s="71" t="s">
        <v>204</v>
      </c>
      <c r="C8" s="71"/>
      <c r="D8" s="71"/>
      <c r="E8" s="71"/>
      <c r="F8" s="74">
        <f>+F6+F7</f>
        <v>0</v>
      </c>
      <c r="G8" s="69"/>
      <c r="H8" s="73" t="s">
        <v>6</v>
      </c>
      <c r="I8" s="69"/>
      <c r="J8" s="69"/>
      <c r="K8" s="69"/>
      <c r="L8" s="69"/>
      <c r="M8" s="69"/>
      <c r="N8" s="69"/>
      <c r="O8" s="69"/>
      <c r="P8" s="69"/>
      <c r="Q8" s="69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70" t="s">
        <v>31</v>
      </c>
      <c r="B10" s="10" t="s">
        <v>7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69"/>
      <c r="B11" s="71" t="s">
        <v>8</v>
      </c>
      <c r="C11" s="71"/>
      <c r="D11" s="71"/>
      <c r="E11" s="71"/>
      <c r="F11" s="72"/>
      <c r="G11" s="69"/>
      <c r="H11" s="73" t="s">
        <v>9</v>
      </c>
      <c r="I11" s="69"/>
      <c r="J11" s="69"/>
      <c r="K11" s="69"/>
      <c r="L11" s="69"/>
      <c r="M11" s="69"/>
      <c r="N11" s="69"/>
      <c r="O11" s="69"/>
      <c r="P11" s="69"/>
      <c r="Q11" s="6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69"/>
      <c r="B12" s="71" t="s">
        <v>192</v>
      </c>
      <c r="C12" s="71"/>
      <c r="D12" s="71"/>
      <c r="E12" s="71"/>
      <c r="F12" s="72"/>
      <c r="G12" s="69"/>
      <c r="H12" s="73" t="s">
        <v>193</v>
      </c>
      <c r="I12" s="69"/>
      <c r="J12" s="69"/>
      <c r="K12" s="69"/>
      <c r="L12" s="69"/>
      <c r="M12" s="69"/>
      <c r="N12" s="69"/>
      <c r="O12" s="69"/>
      <c r="P12" s="69"/>
      <c r="Q12" s="69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69"/>
      <c r="B13" s="71" t="s">
        <v>10</v>
      </c>
      <c r="C13" s="71"/>
      <c r="D13" s="71"/>
      <c r="E13" s="71"/>
      <c r="F13" s="72"/>
      <c r="G13" s="69"/>
      <c r="H13" s="73" t="s">
        <v>191</v>
      </c>
      <c r="I13" s="69"/>
      <c r="J13" s="69"/>
      <c r="K13" s="69"/>
      <c r="L13" s="69"/>
      <c r="M13" s="69"/>
      <c r="N13" s="69"/>
      <c r="O13" s="69"/>
      <c r="P13" s="69"/>
      <c r="Q13" s="69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69"/>
      <c r="B14" s="71" t="s">
        <v>11</v>
      </c>
      <c r="C14" s="71"/>
      <c r="D14" s="71"/>
      <c r="E14" s="71"/>
      <c r="F14" s="72"/>
      <c r="G14" s="69"/>
      <c r="H14" s="73" t="s">
        <v>12</v>
      </c>
      <c r="I14" s="69"/>
      <c r="J14" s="69"/>
      <c r="K14" s="69"/>
      <c r="L14" s="69"/>
      <c r="M14" s="69"/>
      <c r="N14" s="69"/>
      <c r="O14" s="69"/>
      <c r="P14" s="69"/>
      <c r="Q14" s="69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69"/>
      <c r="B15" s="71" t="s">
        <v>13</v>
      </c>
      <c r="C15" s="71"/>
      <c r="D15" s="71"/>
      <c r="E15" s="71"/>
      <c r="F15" s="75"/>
      <c r="G15" s="69"/>
      <c r="H15" s="73" t="s">
        <v>14</v>
      </c>
      <c r="I15" s="69"/>
      <c r="J15" s="69"/>
      <c r="K15" s="69"/>
      <c r="L15" s="69"/>
      <c r="M15" s="69"/>
      <c r="N15" s="69"/>
      <c r="O15" s="69"/>
      <c r="P15" s="69"/>
      <c r="Q15" s="6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70" t="s">
        <v>31</v>
      </c>
      <c r="B17" s="10" t="s">
        <v>15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69"/>
      <c r="B18" s="71" t="s">
        <v>16</v>
      </c>
      <c r="C18" s="71"/>
      <c r="D18" s="71"/>
      <c r="E18" s="71"/>
      <c r="F18" s="72"/>
      <c r="G18" s="69"/>
      <c r="H18" s="73" t="s">
        <v>17</v>
      </c>
      <c r="I18" s="69"/>
      <c r="J18" s="69"/>
      <c r="K18" s="69"/>
      <c r="L18" s="69"/>
      <c r="M18" s="69"/>
      <c r="N18" s="69"/>
      <c r="O18" s="69"/>
      <c r="P18" s="69"/>
      <c r="Q18" s="69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69"/>
      <c r="B19" s="71" t="s">
        <v>2</v>
      </c>
      <c r="C19" s="71"/>
      <c r="D19" s="71"/>
      <c r="E19" s="71"/>
      <c r="F19" s="72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69"/>
      <c r="B20" s="71" t="s">
        <v>15</v>
      </c>
      <c r="C20" s="71"/>
      <c r="D20" s="71"/>
      <c r="E20" s="71"/>
      <c r="F20" s="74">
        <f>F18-F19</f>
        <v>0</v>
      </c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70" t="s">
        <v>31</v>
      </c>
      <c r="B22" s="44" t="s">
        <v>1</v>
      </c>
      <c r="C22" s="45"/>
      <c r="D22" s="45"/>
      <c r="E22" s="45"/>
      <c r="F22" s="76">
        <f>F8+F15*F20</f>
        <v>0</v>
      </c>
      <c r="G22" s="69"/>
      <c r="H22" s="73" t="s">
        <v>18</v>
      </c>
      <c r="I22" s="69"/>
      <c r="J22" s="69"/>
      <c r="K22" s="69"/>
      <c r="L22" s="69"/>
      <c r="M22" s="69"/>
      <c r="N22" s="69"/>
      <c r="O22" s="69"/>
      <c r="P22" s="69"/>
      <c r="Q22" s="6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70" t="s">
        <v>31</v>
      </c>
      <c r="B25" s="10" t="s">
        <v>19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69"/>
      <c r="B26" s="71" t="s">
        <v>20</v>
      </c>
      <c r="C26" s="71"/>
      <c r="D26" s="71"/>
      <c r="E26" s="71"/>
      <c r="F26" s="75"/>
      <c r="G26" s="69"/>
      <c r="H26" s="73" t="s">
        <v>21</v>
      </c>
      <c r="I26" s="69"/>
      <c r="J26" s="69"/>
      <c r="K26" s="69"/>
      <c r="L26" s="69"/>
      <c r="M26" s="69"/>
      <c r="N26" s="69"/>
      <c r="O26" s="69"/>
      <c r="P26" s="69"/>
      <c r="Q26" s="69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69"/>
      <c r="B27" s="7" t="s">
        <v>205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69"/>
      <c r="B28" s="71" t="s">
        <v>2</v>
      </c>
      <c r="C28" s="71"/>
      <c r="D28" s="71"/>
      <c r="E28" s="71"/>
      <c r="F28" s="75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69"/>
      <c r="B29" s="71" t="s">
        <v>22</v>
      </c>
      <c r="C29" s="71"/>
      <c r="D29" s="71"/>
      <c r="E29" s="71"/>
      <c r="F29" s="75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69"/>
      <c r="B30" s="71" t="s">
        <v>23</v>
      </c>
      <c r="C30" s="71"/>
      <c r="D30" s="71"/>
      <c r="E30" s="71"/>
      <c r="F30" s="75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70" t="s">
        <v>31</v>
      </c>
      <c r="B32" s="77" t="s">
        <v>19</v>
      </c>
      <c r="C32" s="78"/>
      <c r="D32" s="78"/>
      <c r="E32" s="78"/>
      <c r="F32" s="79">
        <f>F28+F29+F30</f>
        <v>0</v>
      </c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70" t="s">
        <v>31</v>
      </c>
      <c r="B34" s="4" t="s">
        <v>24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69"/>
      <c r="B35" s="71" t="s">
        <v>25</v>
      </c>
      <c r="C35" s="71"/>
      <c r="D35" s="71"/>
      <c r="E35" s="71"/>
      <c r="F35" s="75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69"/>
      <c r="B36" s="71" t="s">
        <v>26</v>
      </c>
      <c r="C36" s="71"/>
      <c r="D36" s="71"/>
      <c r="E36" s="71"/>
      <c r="F36" s="75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69"/>
      <c r="B37" s="71" t="s">
        <v>27</v>
      </c>
      <c r="C37" s="71"/>
      <c r="D37" s="71"/>
      <c r="E37" s="71"/>
      <c r="F37" s="74">
        <f>F35+F36</f>
        <v>0</v>
      </c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69"/>
      <c r="B39" s="71" t="s">
        <v>28</v>
      </c>
      <c r="C39" s="71"/>
      <c r="D39" s="71"/>
      <c r="E39" s="71"/>
      <c r="F39" s="75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70" t="s">
        <v>31</v>
      </c>
      <c r="B41" s="44" t="s">
        <v>29</v>
      </c>
      <c r="C41" s="45"/>
      <c r="D41" s="45"/>
      <c r="E41" s="45"/>
      <c r="F41" s="76" t="e">
        <f>(F32*(F35/F37)*(1-F39))+((F36/F38)*F22)</f>
        <v>#DIV/0!</v>
      </c>
      <c r="G41" s="69"/>
      <c r="H41" s="73" t="s">
        <v>30</v>
      </c>
      <c r="I41" s="69"/>
      <c r="J41" s="69"/>
      <c r="K41" s="69"/>
      <c r="L41" s="69"/>
      <c r="M41" s="69"/>
      <c r="N41" s="69"/>
      <c r="O41" s="69"/>
      <c r="P41" s="69"/>
      <c r="Q41" s="6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</sheetData>
  <hyperlinks>
    <hyperlink ref="A1" location="Main!A1" display="Main" xr:uid="{704D259F-6D01-4031-8409-FE189DEDB2CE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C3F1-8118-4B95-AA18-F02751F2798D}">
  <dimension ref="A1:AQ360"/>
  <sheetViews>
    <sheetView showGridLines="0" workbookViewId="0">
      <selection activeCell="D9" sqref="D9"/>
    </sheetView>
  </sheetViews>
  <sheetFormatPr defaultRowHeight="13.5" x14ac:dyDescent="0.25"/>
  <cols>
    <col min="1" max="1" width="4.7109375" style="9" bestFit="1" customWidth="1"/>
    <col min="2" max="2" width="9.140625" style="9"/>
    <col min="3" max="3" width="9.28515625" style="9" bestFit="1" customWidth="1"/>
    <col min="4" max="4" width="9.140625" style="9"/>
    <col min="5" max="5" width="11.28515625" style="9" bestFit="1" customWidth="1"/>
    <col min="6" max="6" width="9.140625" style="9"/>
    <col min="7" max="22" width="9.28515625" style="9" bestFit="1" customWidth="1"/>
    <col min="23" max="16384" width="9.140625" style="9"/>
  </cols>
  <sheetData>
    <row r="1" spans="1:43" x14ac:dyDescent="0.25">
      <c r="A1" s="24" t="s">
        <v>177</v>
      </c>
      <c r="B1" s="25" t="s">
        <v>32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3"/>
      <c r="AQ1" s="3"/>
    </row>
    <row r="2" spans="1:43" x14ac:dyDescent="0.25">
      <c r="A2" s="3"/>
      <c r="B2" s="3"/>
      <c r="C2" s="3"/>
      <c r="D2" s="3"/>
      <c r="E2" s="2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x14ac:dyDescent="0.25">
      <c r="A3" s="3"/>
      <c r="B3" s="3" t="s">
        <v>33</v>
      </c>
      <c r="C3" s="3"/>
      <c r="D3" s="3"/>
      <c r="E3" s="28"/>
      <c r="F3" s="3"/>
      <c r="G3" s="3" t="s">
        <v>34</v>
      </c>
      <c r="H3" s="3"/>
      <c r="I3" s="3"/>
      <c r="J3" s="28"/>
      <c r="K3" s="3"/>
      <c r="L3" s="3" t="s">
        <v>34</v>
      </c>
      <c r="M3" s="3"/>
      <c r="N3" s="3"/>
      <c r="O3" s="28">
        <f>+J3</f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3"/>
      <c r="B4" s="3" t="s">
        <v>35</v>
      </c>
      <c r="C4" s="3"/>
      <c r="D4" s="3"/>
      <c r="E4" s="29">
        <f ca="1">+TODAY()</f>
        <v>46262</v>
      </c>
      <c r="F4" s="3"/>
      <c r="G4" s="3" t="s">
        <v>36</v>
      </c>
      <c r="H4" s="3"/>
      <c r="I4" s="3"/>
      <c r="J4" s="30" t="e">
        <f ca="1">V62</f>
        <v>#DIV/0!</v>
      </c>
      <c r="K4" s="3"/>
      <c r="L4" s="3" t="s">
        <v>201</v>
      </c>
      <c r="M4" s="3"/>
      <c r="N4" s="3"/>
      <c r="O4" s="31">
        <f>+J15+O15+T15</f>
        <v>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25">
      <c r="A5" s="3"/>
      <c r="B5" s="3" t="s">
        <v>37</v>
      </c>
      <c r="C5" s="3"/>
      <c r="D5" s="3"/>
      <c r="E5" s="32"/>
      <c r="F5" s="3"/>
      <c r="G5" s="3" t="s">
        <v>38</v>
      </c>
      <c r="H5" s="3"/>
      <c r="I5" s="3"/>
      <c r="J5" s="33" t="e">
        <f ca="1">J4/J3-1</f>
        <v>#DIV/0!</v>
      </c>
      <c r="K5" s="3"/>
      <c r="L5" s="3" t="s">
        <v>38</v>
      </c>
      <c r="M5" s="3"/>
      <c r="N5" s="3"/>
      <c r="O5" s="33" t="e">
        <f>O4/O3-1</f>
        <v>#DIV/0!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x14ac:dyDescent="0.25">
      <c r="A7" s="34" t="s">
        <v>31</v>
      </c>
      <c r="B7" s="22" t="s">
        <v>39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5.0999999999999996" customHeight="1" x14ac:dyDescent="0.25">
      <c r="A8" s="3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x14ac:dyDescent="0.25">
      <c r="A9" s="34"/>
      <c r="B9" s="35" t="s">
        <v>40</v>
      </c>
      <c r="C9" s="36"/>
      <c r="D9" s="36"/>
      <c r="E9" s="36"/>
      <c r="F9" s="3"/>
      <c r="G9" s="35" t="s">
        <v>41</v>
      </c>
      <c r="H9" s="35"/>
      <c r="I9" s="36"/>
      <c r="J9" s="36"/>
      <c r="K9" s="3"/>
      <c r="L9" s="35" t="s">
        <v>42</v>
      </c>
      <c r="M9" s="36"/>
      <c r="N9" s="36"/>
      <c r="O9" s="36"/>
      <c r="P9" s="3"/>
      <c r="Q9" s="35" t="s">
        <v>43</v>
      </c>
      <c r="R9" s="36"/>
      <c r="S9" s="36"/>
      <c r="T9" s="36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x14ac:dyDescent="0.25">
      <c r="A10" s="34"/>
      <c r="B10" s="10" t="s">
        <v>39</v>
      </c>
      <c r="C10" s="3"/>
      <c r="D10" s="3"/>
      <c r="E10" s="3"/>
      <c r="F10" s="3"/>
      <c r="G10" s="10" t="s">
        <v>39</v>
      </c>
      <c r="H10" s="10"/>
      <c r="I10" s="10" t="s">
        <v>44</v>
      </c>
      <c r="J10" s="10" t="s">
        <v>45</v>
      </c>
      <c r="K10" s="3"/>
      <c r="L10" s="10" t="s">
        <v>39</v>
      </c>
      <c r="M10" s="3"/>
      <c r="N10" s="10" t="s">
        <v>44</v>
      </c>
      <c r="O10" s="10" t="s">
        <v>45</v>
      </c>
      <c r="P10" s="3"/>
      <c r="Q10" s="10" t="s">
        <v>39</v>
      </c>
      <c r="R10" s="3"/>
      <c r="S10" s="10" t="s">
        <v>44</v>
      </c>
      <c r="T10" s="10" t="s">
        <v>45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x14ac:dyDescent="0.25">
      <c r="A11" s="3"/>
      <c r="B11" s="3" t="s">
        <v>46</v>
      </c>
      <c r="C11" s="3"/>
      <c r="D11" s="3"/>
      <c r="E11" s="32">
        <v>2</v>
      </c>
      <c r="F11" s="3"/>
      <c r="G11" s="3" t="s">
        <v>47</v>
      </c>
      <c r="H11" s="3"/>
      <c r="I11" s="3"/>
      <c r="J11" s="3"/>
      <c r="K11" s="7"/>
      <c r="L11" s="3" t="s">
        <v>47</v>
      </c>
      <c r="M11" s="3"/>
      <c r="N11" s="3"/>
      <c r="O11" s="3"/>
      <c r="P11" s="3"/>
      <c r="Q11" s="3" t="s">
        <v>47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5">
      <c r="A12" s="3"/>
      <c r="B12" s="3" t="s">
        <v>48</v>
      </c>
      <c r="C12" s="3"/>
      <c r="D12" s="3"/>
      <c r="E12" s="32">
        <v>2</v>
      </c>
      <c r="F12" s="3"/>
      <c r="G12" s="3" t="s">
        <v>48</v>
      </c>
      <c r="H12" s="3"/>
      <c r="I12" s="3"/>
      <c r="J12" s="3"/>
      <c r="K12" s="3"/>
      <c r="L12" s="3" t="s">
        <v>48</v>
      </c>
      <c r="M12" s="3"/>
      <c r="N12" s="3"/>
      <c r="O12" s="3"/>
      <c r="P12" s="3"/>
      <c r="Q12" s="3" t="s">
        <v>48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x14ac:dyDescent="0.25">
      <c r="A13" s="3"/>
      <c r="B13" s="3" t="s">
        <v>29</v>
      </c>
      <c r="C13" s="3"/>
      <c r="D13" s="3"/>
      <c r="E13" s="32">
        <v>2</v>
      </c>
      <c r="F13" s="3"/>
      <c r="G13" s="3" t="s">
        <v>199</v>
      </c>
      <c r="H13" s="3"/>
      <c r="I13" s="3"/>
      <c r="J13" s="37"/>
      <c r="K13" s="3"/>
      <c r="L13" s="3"/>
      <c r="M13" s="3"/>
      <c r="N13" s="3"/>
      <c r="O13" s="37"/>
      <c r="P13" s="3"/>
      <c r="Q13" s="3"/>
      <c r="R13" s="3"/>
      <c r="S13" s="3"/>
      <c r="T13" s="37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x14ac:dyDescent="0.25">
      <c r="A14" s="3"/>
      <c r="B14" s="3" t="s">
        <v>49</v>
      </c>
      <c r="C14" s="3"/>
      <c r="D14" s="3"/>
      <c r="E14" s="32">
        <v>2</v>
      </c>
      <c r="F14" s="3"/>
      <c r="G14" s="3" t="s">
        <v>50</v>
      </c>
      <c r="H14" s="3"/>
      <c r="I14" s="3"/>
      <c r="J14" s="37"/>
      <c r="K14" s="3"/>
      <c r="L14" s="3" t="s">
        <v>50</v>
      </c>
      <c r="M14" s="3"/>
      <c r="N14" s="3"/>
      <c r="O14" s="37"/>
      <c r="P14" s="3"/>
      <c r="Q14" s="3" t="s">
        <v>50</v>
      </c>
      <c r="R14" s="3"/>
      <c r="S14" s="3"/>
      <c r="T14" s="37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5">
      <c r="A15" s="3"/>
      <c r="B15" s="3" t="s">
        <v>51</v>
      </c>
      <c r="C15" s="3"/>
      <c r="D15" s="3"/>
      <c r="E15" s="32">
        <v>2</v>
      </c>
      <c r="F15" s="3"/>
      <c r="G15" s="3" t="s">
        <v>52</v>
      </c>
      <c r="H15" s="3"/>
      <c r="I15" s="3"/>
      <c r="J15" s="37"/>
      <c r="K15" s="3"/>
      <c r="L15" s="3" t="s">
        <v>52</v>
      </c>
      <c r="M15" s="3"/>
      <c r="N15" s="3"/>
      <c r="O15" s="37"/>
      <c r="P15" s="3"/>
      <c r="Q15" s="3" t="s">
        <v>52</v>
      </c>
      <c r="R15" s="3"/>
      <c r="S15" s="3"/>
      <c r="T15" s="37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5">
      <c r="A17" s="3"/>
      <c r="B17" s="10" t="s">
        <v>53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5">
      <c r="A18" s="3"/>
      <c r="B18" s="3" t="s">
        <v>29</v>
      </c>
      <c r="C18" s="3"/>
      <c r="D18" s="3"/>
      <c r="E18" s="37">
        <f>CHOOSE(E13,J18,O18,T18)</f>
        <v>0</v>
      </c>
      <c r="F18" s="3"/>
      <c r="G18" s="3" t="s">
        <v>29</v>
      </c>
      <c r="H18" s="3"/>
      <c r="I18" s="3"/>
      <c r="J18" s="37"/>
      <c r="K18" s="3"/>
      <c r="L18" s="3" t="s">
        <v>29</v>
      </c>
      <c r="M18" s="3"/>
      <c r="N18" s="3"/>
      <c r="O18" s="37"/>
      <c r="P18" s="3"/>
      <c r="Q18" s="3" t="s">
        <v>29</v>
      </c>
      <c r="R18" s="3"/>
      <c r="S18" s="3"/>
      <c r="T18" s="37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5">
      <c r="A19" s="3"/>
      <c r="B19" s="3" t="s">
        <v>49</v>
      </c>
      <c r="C19" s="3"/>
      <c r="D19" s="3"/>
      <c r="E19" s="37">
        <f>CHOOSE(E14,J19,O19,T19)</f>
        <v>0</v>
      </c>
      <c r="F19" s="3"/>
      <c r="G19" s="3" t="s">
        <v>49</v>
      </c>
      <c r="H19" s="3"/>
      <c r="I19" s="3"/>
      <c r="J19" s="37"/>
      <c r="K19" s="3"/>
      <c r="L19" s="3" t="s">
        <v>49</v>
      </c>
      <c r="M19" s="3"/>
      <c r="N19" s="3"/>
      <c r="O19" s="37"/>
      <c r="P19" s="3"/>
      <c r="Q19" s="3" t="s">
        <v>49</v>
      </c>
      <c r="R19" s="3"/>
      <c r="S19" s="3"/>
      <c r="T19" s="37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5">
      <c r="A20" s="3"/>
      <c r="B20" s="3" t="s">
        <v>200</v>
      </c>
      <c r="C20" s="3"/>
      <c r="D20" s="3"/>
      <c r="E20" s="37">
        <f>CHOOSE(E15,J20,O20,T20)</f>
        <v>0</v>
      </c>
      <c r="F20" s="3"/>
      <c r="G20" s="3" t="s">
        <v>200</v>
      </c>
      <c r="H20" s="3"/>
      <c r="I20" s="3"/>
      <c r="J20" s="37"/>
      <c r="K20" s="3"/>
      <c r="L20" s="3" t="s">
        <v>200</v>
      </c>
      <c r="M20" s="3"/>
      <c r="N20" s="3"/>
      <c r="O20" s="37"/>
      <c r="P20" s="3"/>
      <c r="Q20" s="3" t="s">
        <v>200</v>
      </c>
      <c r="R20" s="3"/>
      <c r="S20" s="3"/>
      <c r="T20" s="3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5">
      <c r="A24" s="34" t="s">
        <v>31</v>
      </c>
      <c r="B24" s="22" t="s">
        <v>54</v>
      </c>
      <c r="C24" s="22"/>
      <c r="D24" s="22"/>
      <c r="E24" s="22"/>
      <c r="F24" s="22"/>
      <c r="G24" s="38">
        <v>19</v>
      </c>
      <c r="H24" s="38">
        <f>G24+1</f>
        <v>20</v>
      </c>
      <c r="I24" s="38">
        <f t="shared" ref="I24:V24" si="0">H24+1</f>
        <v>21</v>
      </c>
      <c r="J24" s="38">
        <f t="shared" si="0"/>
        <v>22</v>
      </c>
      <c r="K24" s="38">
        <f t="shared" si="0"/>
        <v>23</v>
      </c>
      <c r="L24" s="38">
        <f t="shared" si="0"/>
        <v>24</v>
      </c>
      <c r="M24" s="38">
        <f t="shared" si="0"/>
        <v>25</v>
      </c>
      <c r="N24" s="38">
        <f t="shared" si="0"/>
        <v>26</v>
      </c>
      <c r="O24" s="38">
        <f t="shared" si="0"/>
        <v>27</v>
      </c>
      <c r="P24" s="38">
        <f t="shared" si="0"/>
        <v>28</v>
      </c>
      <c r="Q24" s="38">
        <f t="shared" si="0"/>
        <v>29</v>
      </c>
      <c r="R24" s="38">
        <f t="shared" si="0"/>
        <v>30</v>
      </c>
      <c r="S24" s="38">
        <f t="shared" si="0"/>
        <v>31</v>
      </c>
      <c r="T24" s="38">
        <f t="shared" si="0"/>
        <v>32</v>
      </c>
      <c r="U24" s="38">
        <f t="shared" si="0"/>
        <v>33</v>
      </c>
      <c r="V24" s="38">
        <f t="shared" si="0"/>
        <v>34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5">
      <c r="A25" s="3"/>
      <c r="B25" s="3" t="s">
        <v>47</v>
      </c>
      <c r="C25" s="3"/>
      <c r="D25" s="3"/>
      <c r="E25" s="3"/>
      <c r="F25" s="3"/>
      <c r="G25" s="5"/>
      <c r="H25" s="5"/>
      <c r="I25" s="5"/>
      <c r="J25" s="5"/>
      <c r="K25" s="5"/>
      <c r="L25" s="5"/>
      <c r="M25" s="5">
        <f ca="1">L25*(1+M26)</f>
        <v>0</v>
      </c>
      <c r="N25" s="5">
        <f t="shared" ref="N25:V25" ca="1" si="1">M25*(1+N26)</f>
        <v>0</v>
      </c>
      <c r="O25" s="5">
        <f t="shared" ca="1" si="1"/>
        <v>0</v>
      </c>
      <c r="P25" s="5">
        <f t="shared" ca="1" si="1"/>
        <v>0</v>
      </c>
      <c r="Q25" s="5">
        <f t="shared" ca="1" si="1"/>
        <v>0</v>
      </c>
      <c r="R25" s="5">
        <f t="shared" ca="1" si="1"/>
        <v>0</v>
      </c>
      <c r="S25" s="5">
        <f t="shared" ca="1" si="1"/>
        <v>0</v>
      </c>
      <c r="T25" s="5">
        <f t="shared" ca="1" si="1"/>
        <v>0</v>
      </c>
      <c r="U25" s="5">
        <f t="shared" ca="1" si="1"/>
        <v>0</v>
      </c>
      <c r="V25" s="5">
        <f t="shared" ca="1" si="1"/>
        <v>0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5">
      <c r="A26" s="3"/>
      <c r="B26" s="39" t="s">
        <v>55</v>
      </c>
      <c r="C26" s="40"/>
      <c r="D26" s="3"/>
      <c r="E26" s="3"/>
      <c r="F26" s="3"/>
      <c r="G26" s="41"/>
      <c r="H26" s="42" t="e">
        <f t="shared" ref="H26:L26" si="2">H25/G25-1</f>
        <v>#DIV/0!</v>
      </c>
      <c r="I26" s="42" t="e">
        <f t="shared" si="2"/>
        <v>#DIV/0!</v>
      </c>
      <c r="J26" s="42" t="e">
        <f t="shared" si="2"/>
        <v>#DIV/0!</v>
      </c>
      <c r="K26" s="42" t="e">
        <f t="shared" si="2"/>
        <v>#DIV/0!</v>
      </c>
      <c r="L26" s="42" t="e">
        <f t="shared" si="2"/>
        <v>#DIV/0!</v>
      </c>
      <c r="M26" s="42" cm="1">
        <f t="array" aca="1" ref="M26" ca="1">OFFSET(M26,$E$11,,)</f>
        <v>0</v>
      </c>
      <c r="N26" s="42" cm="1">
        <f t="array" aca="1" ref="N26" ca="1">OFFSET(N26,$E$11,,)</f>
        <v>0</v>
      </c>
      <c r="O26" s="42" cm="1">
        <f t="array" aca="1" ref="O26" ca="1">OFFSET(O26,$E$11,,)</f>
        <v>0</v>
      </c>
      <c r="P26" s="42" cm="1">
        <f t="array" aca="1" ref="P26" ca="1">OFFSET(P26,$E$11,,)</f>
        <v>0</v>
      </c>
      <c r="Q26" s="42" cm="1">
        <f t="array" aca="1" ref="Q26" ca="1">OFFSET(Q26,$E$11,,)</f>
        <v>0</v>
      </c>
      <c r="R26" s="42" cm="1">
        <f t="array" aca="1" ref="R26" ca="1">OFFSET(R26,$E$11,,)</f>
        <v>0</v>
      </c>
      <c r="S26" s="42" cm="1">
        <f t="array" aca="1" ref="S26" ca="1">OFFSET(S26,$E$11,,)</f>
        <v>0</v>
      </c>
      <c r="T26" s="42" cm="1">
        <f t="array" aca="1" ref="T26" ca="1">OFFSET(T26,$E$11,,)</f>
        <v>0</v>
      </c>
      <c r="U26" s="42" cm="1">
        <f t="array" aca="1" ref="U26" ca="1">OFFSET(U26,$E$11,,)</f>
        <v>0</v>
      </c>
      <c r="V26" s="42" cm="1">
        <f t="array" aca="1" ref="V26" ca="1">OFFSET(V26,$E$11,,)</f>
        <v>0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x14ac:dyDescent="0.25">
      <c r="A27" s="3"/>
      <c r="B27" s="39" t="s">
        <v>41</v>
      </c>
      <c r="C27" s="40"/>
      <c r="D27" s="3"/>
      <c r="E27" s="3"/>
      <c r="F27" s="3"/>
      <c r="G27" s="3"/>
      <c r="H27" s="3"/>
      <c r="I27" s="17"/>
      <c r="J27" s="17"/>
      <c r="K27" s="17"/>
      <c r="L27" s="17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x14ac:dyDescent="0.25">
      <c r="A28" s="3"/>
      <c r="B28" s="39" t="s">
        <v>56</v>
      </c>
      <c r="C28" s="40"/>
      <c r="D28" s="3"/>
      <c r="E28" s="3"/>
      <c r="F28" s="3"/>
      <c r="G28" s="3"/>
      <c r="H28" s="3"/>
      <c r="I28" s="17"/>
      <c r="J28" s="17"/>
      <c r="K28" s="17"/>
      <c r="L28" s="17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x14ac:dyDescent="0.25">
      <c r="A29" s="3"/>
      <c r="B29" s="39" t="s">
        <v>57</v>
      </c>
      <c r="C29" s="40"/>
      <c r="D29" s="3"/>
      <c r="E29" s="3"/>
      <c r="F29" s="3"/>
      <c r="G29" s="3"/>
      <c r="H29" s="3"/>
      <c r="I29" s="17"/>
      <c r="J29" s="17"/>
      <c r="K29" s="17"/>
      <c r="L29" s="17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x14ac:dyDescent="0.25">
      <c r="A31" s="3"/>
      <c r="B31" s="3" t="s">
        <v>48</v>
      </c>
      <c r="C31" s="3"/>
      <c r="D31" s="3"/>
      <c r="E31" s="3"/>
      <c r="F31" s="3"/>
      <c r="G31" s="5"/>
      <c r="H31" s="5"/>
      <c r="I31" s="5"/>
      <c r="J31" s="5"/>
      <c r="K31" s="5"/>
      <c r="L31" s="5"/>
      <c r="M31" s="5">
        <f ca="1">M32*M25</f>
        <v>0</v>
      </c>
      <c r="N31" s="5">
        <f t="shared" ref="N31:V31" ca="1" si="3">N32*N25</f>
        <v>0</v>
      </c>
      <c r="O31" s="5">
        <f t="shared" ca="1" si="3"/>
        <v>0</v>
      </c>
      <c r="P31" s="5">
        <f t="shared" ca="1" si="3"/>
        <v>0</v>
      </c>
      <c r="Q31" s="5">
        <f t="shared" ca="1" si="3"/>
        <v>0</v>
      </c>
      <c r="R31" s="5">
        <f t="shared" ca="1" si="3"/>
        <v>0</v>
      </c>
      <c r="S31" s="5">
        <f t="shared" ca="1" si="3"/>
        <v>0</v>
      </c>
      <c r="T31" s="5">
        <f t="shared" ca="1" si="3"/>
        <v>0</v>
      </c>
      <c r="U31" s="5">
        <f t="shared" ca="1" si="3"/>
        <v>0</v>
      </c>
      <c r="V31" s="5">
        <f t="shared" ca="1" si="3"/>
        <v>0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x14ac:dyDescent="0.25">
      <c r="A32" s="3"/>
      <c r="B32" s="39" t="s">
        <v>58</v>
      </c>
      <c r="C32" s="3"/>
      <c r="D32" s="3"/>
      <c r="E32" s="3"/>
      <c r="F32" s="3"/>
      <c r="G32" s="42" t="e">
        <f>G31/G25</f>
        <v>#DIV/0!</v>
      </c>
      <c r="H32" s="42" t="e">
        <f t="shared" ref="H32:L32" si="4">H31/H25</f>
        <v>#DIV/0!</v>
      </c>
      <c r="I32" s="42" t="e">
        <f t="shared" si="4"/>
        <v>#DIV/0!</v>
      </c>
      <c r="J32" s="42" t="e">
        <f t="shared" si="4"/>
        <v>#DIV/0!</v>
      </c>
      <c r="K32" s="42" t="e">
        <f t="shared" si="4"/>
        <v>#DIV/0!</v>
      </c>
      <c r="L32" s="42" t="e">
        <f t="shared" si="4"/>
        <v>#DIV/0!</v>
      </c>
      <c r="M32" s="42" cm="1">
        <f t="array" aca="1" ref="M32" ca="1">OFFSET(M32,$E$12,,)</f>
        <v>0</v>
      </c>
      <c r="N32" s="42" cm="1">
        <f t="array" aca="1" ref="N32" ca="1">OFFSET(N32,$E$12,,)</f>
        <v>0</v>
      </c>
      <c r="O32" s="42" cm="1">
        <f t="array" aca="1" ref="O32" ca="1">OFFSET(O32,$E$12,,)</f>
        <v>0</v>
      </c>
      <c r="P32" s="42" cm="1">
        <f t="array" aca="1" ref="P32" ca="1">OFFSET(P32,$E$12,,)</f>
        <v>0</v>
      </c>
      <c r="Q32" s="42" cm="1">
        <f t="array" aca="1" ref="Q32" ca="1">OFFSET(Q32,$E$12,,)</f>
        <v>0</v>
      </c>
      <c r="R32" s="42" cm="1">
        <f t="array" aca="1" ref="R32" ca="1">OFFSET(R32,$E$12,,)</f>
        <v>0</v>
      </c>
      <c r="S32" s="42" cm="1">
        <f t="array" aca="1" ref="S32" ca="1">OFFSET(S32,$E$12,,)</f>
        <v>0</v>
      </c>
      <c r="T32" s="42" cm="1">
        <f t="array" aca="1" ref="T32" ca="1">OFFSET(T32,$E$12,,)</f>
        <v>0</v>
      </c>
      <c r="U32" s="42" cm="1">
        <f t="array" aca="1" ref="U32" ca="1">OFFSET(U32,$E$12,,)</f>
        <v>0</v>
      </c>
      <c r="V32" s="42" cm="1">
        <f t="array" aca="1" ref="V32" ca="1">OFFSET(V32,$E$12,,)</f>
        <v>0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x14ac:dyDescent="0.25">
      <c r="A33" s="3"/>
      <c r="B33" s="39" t="s">
        <v>41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x14ac:dyDescent="0.25">
      <c r="A34" s="3"/>
      <c r="B34" s="39" t="s">
        <v>56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x14ac:dyDescent="0.25">
      <c r="A35" s="3"/>
      <c r="B35" s="39" t="s">
        <v>57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x14ac:dyDescent="0.25">
      <c r="A37" s="3"/>
      <c r="B37" s="3" t="s">
        <v>59</v>
      </c>
      <c r="C37" s="3"/>
      <c r="D37" s="3"/>
      <c r="E37" s="3"/>
      <c r="F37" s="3"/>
      <c r="G37" s="5"/>
      <c r="H37" s="5"/>
      <c r="I37" s="5"/>
      <c r="J37" s="5"/>
      <c r="K37" s="5"/>
      <c r="L37" s="5"/>
      <c r="M37" s="5">
        <f ca="1">M38*M31</f>
        <v>0</v>
      </c>
      <c r="N37" s="5">
        <f t="shared" ref="N37:V37" ca="1" si="5">N38*N31</f>
        <v>0</v>
      </c>
      <c r="O37" s="5">
        <f t="shared" ca="1" si="5"/>
        <v>0</v>
      </c>
      <c r="P37" s="5">
        <f t="shared" ca="1" si="5"/>
        <v>0</v>
      </c>
      <c r="Q37" s="5">
        <f t="shared" ca="1" si="5"/>
        <v>0</v>
      </c>
      <c r="R37" s="5">
        <f t="shared" ca="1" si="5"/>
        <v>0</v>
      </c>
      <c r="S37" s="5">
        <f t="shared" ca="1" si="5"/>
        <v>0</v>
      </c>
      <c r="T37" s="5">
        <f t="shared" ca="1" si="5"/>
        <v>0</v>
      </c>
      <c r="U37" s="5">
        <f t="shared" ca="1" si="5"/>
        <v>0</v>
      </c>
      <c r="V37" s="5">
        <f t="shared" ca="1" si="5"/>
        <v>0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x14ac:dyDescent="0.25">
      <c r="A38" s="3"/>
      <c r="B38" s="40" t="s">
        <v>60</v>
      </c>
      <c r="C38" s="3"/>
      <c r="D38" s="3"/>
      <c r="E38" s="3"/>
      <c r="F38" s="3"/>
      <c r="G38" s="42" t="e">
        <f t="shared" ref="G38:L38" si="6">G37/G31</f>
        <v>#DIV/0!</v>
      </c>
      <c r="H38" s="42" t="e">
        <f t="shared" si="6"/>
        <v>#DIV/0!</v>
      </c>
      <c r="I38" s="42" t="e">
        <f t="shared" si="6"/>
        <v>#DIV/0!</v>
      </c>
      <c r="J38" s="42" t="e">
        <f t="shared" si="6"/>
        <v>#DIV/0!</v>
      </c>
      <c r="K38" s="42" t="e">
        <f t="shared" si="6"/>
        <v>#DIV/0!</v>
      </c>
      <c r="L38" s="42" t="e">
        <f t="shared" si="6"/>
        <v>#DIV/0!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x14ac:dyDescent="0.25">
      <c r="A39" s="3"/>
      <c r="B39" s="4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 x14ac:dyDescent="0.25">
      <c r="A40" s="3"/>
      <c r="B40" s="44" t="s">
        <v>61</v>
      </c>
      <c r="C40" s="45"/>
      <c r="D40" s="45"/>
      <c r="E40" s="45"/>
      <c r="F40" s="45"/>
      <c r="G40" s="46">
        <f t="shared" ref="G40:V40" si="7">G31-G37</f>
        <v>0</v>
      </c>
      <c r="H40" s="46">
        <f t="shared" si="7"/>
        <v>0</v>
      </c>
      <c r="I40" s="46">
        <f t="shared" si="7"/>
        <v>0</v>
      </c>
      <c r="J40" s="46">
        <f t="shared" si="7"/>
        <v>0</v>
      </c>
      <c r="K40" s="46">
        <f t="shared" si="7"/>
        <v>0</v>
      </c>
      <c r="L40" s="46">
        <f t="shared" si="7"/>
        <v>0</v>
      </c>
      <c r="M40" s="46">
        <f t="shared" ca="1" si="7"/>
        <v>0</v>
      </c>
      <c r="N40" s="46">
        <f t="shared" ca="1" si="7"/>
        <v>0</v>
      </c>
      <c r="O40" s="46">
        <f t="shared" ca="1" si="7"/>
        <v>0</v>
      </c>
      <c r="P40" s="46">
        <f t="shared" ca="1" si="7"/>
        <v>0</v>
      </c>
      <c r="Q40" s="46">
        <f t="shared" ca="1" si="7"/>
        <v>0</v>
      </c>
      <c r="R40" s="46">
        <f t="shared" ca="1" si="7"/>
        <v>0</v>
      </c>
      <c r="S40" s="46">
        <f t="shared" ca="1" si="7"/>
        <v>0</v>
      </c>
      <c r="T40" s="46">
        <f t="shared" ca="1" si="7"/>
        <v>0</v>
      </c>
      <c r="U40" s="46">
        <f t="shared" ca="1" si="7"/>
        <v>0</v>
      </c>
      <c r="V40" s="47">
        <f t="shared" ca="1" si="7"/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x14ac:dyDescent="0.25">
      <c r="A42" s="3"/>
      <c r="B42" s="3" t="s">
        <v>62</v>
      </c>
      <c r="C42" s="3"/>
      <c r="D42" s="3"/>
      <c r="E42" s="3"/>
      <c r="F42" s="3"/>
      <c r="G42" s="5"/>
      <c r="H42" s="5"/>
      <c r="I42" s="5"/>
      <c r="J42" s="5"/>
      <c r="K42" s="5"/>
      <c r="L42" s="5"/>
      <c r="M42" s="5">
        <f ca="1">M43*M25</f>
        <v>0</v>
      </c>
      <c r="N42" s="5">
        <f t="shared" ref="N42:V42" ca="1" si="8">N43*N25</f>
        <v>0</v>
      </c>
      <c r="O42" s="5">
        <f t="shared" ca="1" si="8"/>
        <v>0</v>
      </c>
      <c r="P42" s="5">
        <f t="shared" ca="1" si="8"/>
        <v>0</v>
      </c>
      <c r="Q42" s="5">
        <f t="shared" ca="1" si="8"/>
        <v>0</v>
      </c>
      <c r="R42" s="5">
        <f t="shared" ca="1" si="8"/>
        <v>0</v>
      </c>
      <c r="S42" s="5">
        <f t="shared" ca="1" si="8"/>
        <v>0</v>
      </c>
      <c r="T42" s="5">
        <f t="shared" ca="1" si="8"/>
        <v>0</v>
      </c>
      <c r="U42" s="5">
        <f t="shared" ca="1" si="8"/>
        <v>0</v>
      </c>
      <c r="V42" s="5">
        <f t="shared" ca="1" si="8"/>
        <v>0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x14ac:dyDescent="0.25">
      <c r="A43" s="3"/>
      <c r="B43" s="39" t="s">
        <v>58</v>
      </c>
      <c r="C43" s="41"/>
      <c r="D43" s="41"/>
      <c r="E43" s="41"/>
      <c r="F43" s="41"/>
      <c r="G43" s="48" t="e">
        <f t="shared" ref="G43:L43" si="9">G42/G25</f>
        <v>#DIV/0!</v>
      </c>
      <c r="H43" s="48" t="e">
        <f t="shared" si="9"/>
        <v>#DIV/0!</v>
      </c>
      <c r="I43" s="48" t="e">
        <f t="shared" si="9"/>
        <v>#DIV/0!</v>
      </c>
      <c r="J43" s="48" t="e">
        <f t="shared" si="9"/>
        <v>#DIV/0!</v>
      </c>
      <c r="K43" s="48" t="e">
        <f t="shared" si="9"/>
        <v>#DIV/0!</v>
      </c>
      <c r="L43" s="48" t="e">
        <f t="shared" si="9"/>
        <v>#DIV/0!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x14ac:dyDescent="0.25">
      <c r="A45" s="3"/>
      <c r="B45" s="3" t="s">
        <v>63</v>
      </c>
      <c r="C45" s="3"/>
      <c r="D45" s="3"/>
      <c r="E45" s="3"/>
      <c r="F45" s="3"/>
      <c r="G45" s="5"/>
      <c r="H45" s="5"/>
      <c r="I45" s="5"/>
      <c r="J45" s="5"/>
      <c r="K45" s="5"/>
      <c r="L45" s="5"/>
      <c r="M45" s="5">
        <f ca="1">M46*M25</f>
        <v>0</v>
      </c>
      <c r="N45" s="5">
        <f t="shared" ref="N45:V45" ca="1" si="10">N46*N25</f>
        <v>0</v>
      </c>
      <c r="O45" s="5">
        <f t="shared" ca="1" si="10"/>
        <v>0</v>
      </c>
      <c r="P45" s="5">
        <f t="shared" ca="1" si="10"/>
        <v>0</v>
      </c>
      <c r="Q45" s="5">
        <f t="shared" ca="1" si="10"/>
        <v>0</v>
      </c>
      <c r="R45" s="5">
        <f t="shared" ca="1" si="10"/>
        <v>0</v>
      </c>
      <c r="S45" s="5">
        <f t="shared" ca="1" si="10"/>
        <v>0</v>
      </c>
      <c r="T45" s="5">
        <f t="shared" ca="1" si="10"/>
        <v>0</v>
      </c>
      <c r="U45" s="5">
        <f t="shared" ca="1" si="10"/>
        <v>0</v>
      </c>
      <c r="V45" s="5">
        <f t="shared" ca="1" si="10"/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x14ac:dyDescent="0.25">
      <c r="A46" s="3"/>
      <c r="B46" s="39" t="s">
        <v>58</v>
      </c>
      <c r="C46" s="3"/>
      <c r="D46" s="3"/>
      <c r="E46" s="3"/>
      <c r="F46" s="3"/>
      <c r="G46" s="48" t="e">
        <f t="shared" ref="G46:L46" si="11">G45/G25</f>
        <v>#DIV/0!</v>
      </c>
      <c r="H46" s="48" t="e">
        <f t="shared" si="11"/>
        <v>#DIV/0!</v>
      </c>
      <c r="I46" s="48" t="e">
        <f t="shared" si="11"/>
        <v>#DIV/0!</v>
      </c>
      <c r="J46" s="48" t="e">
        <f t="shared" si="11"/>
        <v>#DIV/0!</v>
      </c>
      <c r="K46" s="48" t="e">
        <f t="shared" si="11"/>
        <v>#DIV/0!</v>
      </c>
      <c r="L46" s="48" t="e">
        <f t="shared" si="11"/>
        <v>#DIV/0!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x14ac:dyDescent="0.25">
      <c r="A48" s="3"/>
      <c r="B48" s="3" t="s">
        <v>64</v>
      </c>
      <c r="C48" s="3"/>
      <c r="D48" s="3"/>
      <c r="E48" s="3"/>
      <c r="F48" s="3"/>
      <c r="G48" s="5"/>
      <c r="H48" s="5"/>
      <c r="I48" s="5"/>
      <c r="J48" s="5"/>
      <c r="K48" s="5"/>
      <c r="L48" s="5"/>
      <c r="M48" s="5">
        <f ca="1">M49*M25</f>
        <v>0</v>
      </c>
      <c r="N48" s="5">
        <f t="shared" ref="N48:V48" ca="1" si="12">N49*N25</f>
        <v>0</v>
      </c>
      <c r="O48" s="5">
        <f t="shared" ca="1" si="12"/>
        <v>0</v>
      </c>
      <c r="P48" s="5">
        <f t="shared" ca="1" si="12"/>
        <v>0</v>
      </c>
      <c r="Q48" s="5">
        <f t="shared" ca="1" si="12"/>
        <v>0</v>
      </c>
      <c r="R48" s="5">
        <f t="shared" ca="1" si="12"/>
        <v>0</v>
      </c>
      <c r="S48" s="5">
        <f t="shared" ca="1" si="12"/>
        <v>0</v>
      </c>
      <c r="T48" s="5">
        <f t="shared" ca="1" si="12"/>
        <v>0</v>
      </c>
      <c r="U48" s="5">
        <f t="shared" ca="1" si="12"/>
        <v>0</v>
      </c>
      <c r="V48" s="5">
        <f t="shared" ca="1" si="12"/>
        <v>0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x14ac:dyDescent="0.25">
      <c r="A49" s="3"/>
      <c r="B49" s="39" t="s">
        <v>58</v>
      </c>
      <c r="C49" s="3"/>
      <c r="D49" s="3"/>
      <c r="E49" s="3"/>
      <c r="F49" s="3"/>
      <c r="G49" s="48" t="e">
        <f t="shared" ref="G49:L49" si="13">G48/G25</f>
        <v>#DIV/0!</v>
      </c>
      <c r="H49" s="48" t="e">
        <f t="shared" si="13"/>
        <v>#DIV/0!</v>
      </c>
      <c r="I49" s="48" t="e">
        <f t="shared" si="13"/>
        <v>#DIV/0!</v>
      </c>
      <c r="J49" s="48" t="e">
        <f t="shared" si="13"/>
        <v>#DIV/0!</v>
      </c>
      <c r="K49" s="48" t="e">
        <f t="shared" si="13"/>
        <v>#DIV/0!</v>
      </c>
      <c r="L49" s="48" t="e">
        <f t="shared" si="13"/>
        <v>#DIV/0!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x14ac:dyDescent="0.25">
      <c r="A51" s="3"/>
      <c r="B51" s="50" t="s">
        <v>65</v>
      </c>
      <c r="C51" s="51"/>
      <c r="D51" s="51"/>
      <c r="E51" s="51"/>
      <c r="F51" s="51"/>
      <c r="G51" s="52">
        <f>G40+G42+G45+G48</f>
        <v>0</v>
      </c>
      <c r="H51" s="52">
        <f t="shared" ref="H51:U51" si="14">H40+H42+H45+H48</f>
        <v>0</v>
      </c>
      <c r="I51" s="52">
        <f t="shared" si="14"/>
        <v>0</v>
      </c>
      <c r="J51" s="52">
        <f t="shared" si="14"/>
        <v>0</v>
      </c>
      <c r="K51" s="52">
        <f t="shared" si="14"/>
        <v>0</v>
      </c>
      <c r="L51" s="52">
        <f t="shared" si="14"/>
        <v>0</v>
      </c>
      <c r="M51" s="52">
        <f ca="1">M40+M42+M45+M48</f>
        <v>0</v>
      </c>
      <c r="N51" s="52">
        <f t="shared" ca="1" si="14"/>
        <v>0</v>
      </c>
      <c r="O51" s="52">
        <f t="shared" ca="1" si="14"/>
        <v>0</v>
      </c>
      <c r="P51" s="52">
        <f t="shared" ca="1" si="14"/>
        <v>0</v>
      </c>
      <c r="Q51" s="52">
        <f t="shared" ca="1" si="14"/>
        <v>0</v>
      </c>
      <c r="R51" s="52">
        <f t="shared" ca="1" si="14"/>
        <v>0</v>
      </c>
      <c r="S51" s="52">
        <f t="shared" ca="1" si="14"/>
        <v>0</v>
      </c>
      <c r="T51" s="52">
        <f t="shared" ca="1" si="14"/>
        <v>0</v>
      </c>
      <c r="U51" s="52">
        <f t="shared" ca="1" si="14"/>
        <v>0</v>
      </c>
      <c r="V51" s="53">
        <f ca="1">V40+V42+V45+V48</f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x14ac:dyDescent="0.25">
      <c r="A52" s="3"/>
      <c r="B52" s="54" t="s">
        <v>66</v>
      </c>
      <c r="C52" s="55"/>
      <c r="D52" s="55"/>
      <c r="E52" s="55"/>
      <c r="F52" s="55"/>
      <c r="G52" s="56"/>
      <c r="H52" s="56"/>
      <c r="I52" s="56"/>
      <c r="J52" s="56"/>
      <c r="K52" s="56"/>
      <c r="L52" s="56"/>
      <c r="M52" s="56">
        <f ca="1">(M51/(1+$E$18)^M53)*M53</f>
        <v>0</v>
      </c>
      <c r="N52" s="56">
        <f ca="1">N51/(1+$E$18)^N53</f>
        <v>0</v>
      </c>
      <c r="O52" s="56">
        <f t="shared" ref="O52:U52" ca="1" si="15">O51/(1+$E$18)^O53</f>
        <v>0</v>
      </c>
      <c r="P52" s="56">
        <f t="shared" ca="1" si="15"/>
        <v>0</v>
      </c>
      <c r="Q52" s="56">
        <f t="shared" ca="1" si="15"/>
        <v>0</v>
      </c>
      <c r="R52" s="56">
        <f t="shared" ca="1" si="15"/>
        <v>0</v>
      </c>
      <c r="S52" s="56">
        <f t="shared" ca="1" si="15"/>
        <v>0</v>
      </c>
      <c r="T52" s="56">
        <f t="shared" ca="1" si="15"/>
        <v>0</v>
      </c>
      <c r="U52" s="56">
        <f t="shared" ca="1" si="15"/>
        <v>0</v>
      </c>
      <c r="V52" s="57">
        <f ca="1">V51/(1+$E$18)^V53</f>
        <v>0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x14ac:dyDescent="0.25">
      <c r="A53" s="3"/>
      <c r="B53" s="3" t="s">
        <v>67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>
        <f ca="1">YEARFRAC(E4,E5)</f>
        <v>126.66111111111111</v>
      </c>
      <c r="N53" s="3">
        <f ca="1">M53+1</f>
        <v>127.66111111111111</v>
      </c>
      <c r="O53" s="3">
        <f ca="1">N53+1</f>
        <v>128.6611111111111</v>
      </c>
      <c r="P53" s="3">
        <f t="shared" ref="P53:V53" ca="1" si="16">O53+1</f>
        <v>129.6611111111111</v>
      </c>
      <c r="Q53" s="3">
        <f t="shared" ca="1" si="16"/>
        <v>130.6611111111111</v>
      </c>
      <c r="R53" s="3">
        <f t="shared" ca="1" si="16"/>
        <v>131.6611111111111</v>
      </c>
      <c r="S53" s="3">
        <f t="shared" ca="1" si="16"/>
        <v>132.6611111111111</v>
      </c>
      <c r="T53" s="3">
        <f t="shared" ca="1" si="16"/>
        <v>133.6611111111111</v>
      </c>
      <c r="U53" s="3">
        <f t="shared" ca="1" si="16"/>
        <v>134.6611111111111</v>
      </c>
      <c r="V53" s="3">
        <f t="shared" ca="1" si="16"/>
        <v>135.6611111111111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x14ac:dyDescent="0.25">
      <c r="A54" s="3"/>
      <c r="B54" s="3" t="s">
        <v>68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21"/>
      <c r="O54" s="21"/>
      <c r="P54" s="21"/>
      <c r="Q54" s="21"/>
      <c r="R54" s="3"/>
      <c r="S54" s="3"/>
      <c r="T54" s="3"/>
      <c r="U54" s="3"/>
      <c r="V54" s="5">
        <f ca="1">SUM(M52:V52)</f>
        <v>0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x14ac:dyDescent="0.25">
      <c r="A55" s="3"/>
      <c r="B55" s="3" t="s">
        <v>69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21"/>
      <c r="O55" s="21"/>
      <c r="P55" s="21"/>
      <c r="Q55" s="21"/>
      <c r="R55" s="3"/>
      <c r="S55" s="3"/>
      <c r="T55" s="3"/>
      <c r="U55" s="3"/>
      <c r="V55" s="5" t="e">
        <f ca="1">+(V40*(1+E19))*(1-(E19/E20))/(E18-E19)</f>
        <v>#DIV/0!</v>
      </c>
      <c r="W55" s="3"/>
      <c r="X55" s="16" t="s">
        <v>197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x14ac:dyDescent="0.25">
      <c r="A56" s="3"/>
      <c r="B56" s="26" t="s">
        <v>70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58"/>
      <c r="O56" s="58"/>
      <c r="P56" s="58"/>
      <c r="Q56" s="58"/>
      <c r="R56" s="58"/>
      <c r="S56" s="58"/>
      <c r="T56" s="58"/>
      <c r="U56" s="58"/>
      <c r="V56" s="59" t="e">
        <f ca="1">V55/(1+E18)^V53</f>
        <v>#DIV/0!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x14ac:dyDescent="0.25">
      <c r="A57" s="3"/>
      <c r="B57" s="23" t="s">
        <v>71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60"/>
      <c r="O57" s="60"/>
      <c r="P57" s="60"/>
      <c r="Q57" s="60"/>
      <c r="R57" s="60"/>
      <c r="S57" s="60"/>
      <c r="T57" s="60"/>
      <c r="U57" s="60"/>
      <c r="V57" s="61" t="e">
        <f ca="1">V54+V56</f>
        <v>#DIV/0!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x14ac:dyDescent="0.25">
      <c r="A58" s="3"/>
      <c r="B58" s="3" t="s">
        <v>194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21"/>
      <c r="O58" s="21"/>
      <c r="P58" s="21"/>
      <c r="Q58" s="21"/>
      <c r="R58" s="3"/>
      <c r="S58" s="3"/>
      <c r="T58" s="3"/>
      <c r="U58" s="3"/>
      <c r="V58" s="11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x14ac:dyDescent="0.25">
      <c r="A59" s="3"/>
      <c r="B59" s="26" t="s">
        <v>195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58"/>
      <c r="O59" s="58"/>
      <c r="P59" s="58"/>
      <c r="Q59" s="58"/>
      <c r="R59" s="58"/>
      <c r="S59" s="58"/>
      <c r="T59" s="58"/>
      <c r="U59" s="58"/>
      <c r="V59" s="6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x14ac:dyDescent="0.25">
      <c r="A60" s="3"/>
      <c r="B60" s="3" t="s">
        <v>72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21"/>
      <c r="O60" s="21"/>
      <c r="P60" s="21"/>
      <c r="Q60" s="21"/>
      <c r="R60" s="3"/>
      <c r="S60" s="3"/>
      <c r="T60" s="3"/>
      <c r="U60" s="3"/>
      <c r="V60" s="11" t="e">
        <f ca="1">V57+V58-V59</f>
        <v>#DIV/0!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x14ac:dyDescent="0.25">
      <c r="A61" s="3"/>
      <c r="B61" s="26" t="s">
        <v>73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58"/>
      <c r="O61" s="58"/>
      <c r="P61" s="58"/>
      <c r="Q61" s="58"/>
      <c r="R61" s="58"/>
      <c r="S61" s="58"/>
      <c r="T61" s="58"/>
      <c r="U61" s="58"/>
      <c r="V61" s="6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x14ac:dyDescent="0.25">
      <c r="A62" s="3"/>
      <c r="B62" s="3" t="s">
        <v>34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1" t="e">
        <f ca="1">V60/V61</f>
        <v>#DIV/0!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x14ac:dyDescent="0.25">
      <c r="A66" s="34" t="s">
        <v>31</v>
      </c>
      <c r="B66" s="22" t="s">
        <v>74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x14ac:dyDescent="0.25">
      <c r="A68" s="3"/>
      <c r="B68" s="63"/>
      <c r="C68" s="81" t="s">
        <v>49</v>
      </c>
      <c r="D68" s="81"/>
      <c r="E68" s="81"/>
      <c r="F68" s="81"/>
      <c r="G68" s="81"/>
      <c r="H68" s="81"/>
      <c r="I68" s="81"/>
      <c r="J68" s="82"/>
      <c r="K68" s="3"/>
      <c r="L68" s="3"/>
      <c r="M68" s="63"/>
      <c r="N68" s="83" t="s">
        <v>198</v>
      </c>
      <c r="O68" s="83"/>
      <c r="P68" s="83"/>
      <c r="Q68" s="83"/>
      <c r="R68" s="83"/>
      <c r="S68" s="83"/>
      <c r="T68" s="83"/>
      <c r="U68" s="84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ht="14.45" customHeight="1" x14ac:dyDescent="0.25">
      <c r="A69" s="3"/>
      <c r="B69" s="85" t="s">
        <v>29</v>
      </c>
      <c r="C69" s="64" t="e">
        <f ca="1">+J4</f>
        <v>#DIV/0!</v>
      </c>
      <c r="D69" s="65"/>
      <c r="E69" s="65"/>
      <c r="F69" s="65"/>
      <c r="G69" s="65"/>
      <c r="H69" s="65"/>
      <c r="I69" s="65"/>
      <c r="J69" s="65"/>
      <c r="K69" s="3"/>
      <c r="L69" s="3"/>
      <c r="M69" s="85" t="s">
        <v>29</v>
      </c>
      <c r="N69" s="64" t="e">
        <f ca="1">+J4</f>
        <v>#DIV/0!</v>
      </c>
      <c r="O69" s="65"/>
      <c r="P69" s="65"/>
      <c r="Q69" s="65"/>
      <c r="R69" s="65"/>
      <c r="S69" s="65"/>
      <c r="T69" s="65"/>
      <c r="U69" s="6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x14ac:dyDescent="0.25">
      <c r="A70" s="3"/>
      <c r="B70" s="85"/>
      <c r="C70" s="66"/>
      <c r="D70" s="67"/>
      <c r="E70" s="67"/>
      <c r="F70" s="67"/>
      <c r="G70" s="68"/>
      <c r="H70" s="67"/>
      <c r="I70" s="67"/>
      <c r="J70" s="67"/>
      <c r="K70" s="3"/>
      <c r="L70" s="3"/>
      <c r="M70" s="85"/>
      <c r="N70" s="66"/>
      <c r="O70" s="67"/>
      <c r="P70" s="67"/>
      <c r="Q70" s="67"/>
      <c r="R70" s="68"/>
      <c r="S70" s="67"/>
      <c r="T70" s="67"/>
      <c r="U70" s="67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x14ac:dyDescent="0.25">
      <c r="A71" s="3"/>
      <c r="B71" s="85"/>
      <c r="C71" s="66"/>
      <c r="D71" s="67"/>
      <c r="E71" s="67"/>
      <c r="F71" s="67"/>
      <c r="G71" s="68"/>
      <c r="H71" s="67"/>
      <c r="I71" s="67"/>
      <c r="J71" s="67"/>
      <c r="K71" s="3"/>
      <c r="L71" s="3"/>
      <c r="M71" s="85"/>
      <c r="N71" s="66"/>
      <c r="O71" s="67"/>
      <c r="P71" s="67"/>
      <c r="Q71" s="67"/>
      <c r="R71" s="68"/>
      <c r="S71" s="67"/>
      <c r="T71" s="67"/>
      <c r="U71" s="67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x14ac:dyDescent="0.25">
      <c r="A72" s="3"/>
      <c r="B72" s="85"/>
      <c r="C72" s="66"/>
      <c r="D72" s="68"/>
      <c r="E72" s="68"/>
      <c r="F72" s="68"/>
      <c r="G72" s="68"/>
      <c r="H72" s="68"/>
      <c r="I72" s="68"/>
      <c r="J72" s="68"/>
      <c r="K72" s="3"/>
      <c r="L72" s="3"/>
      <c r="M72" s="85"/>
      <c r="N72" s="66"/>
      <c r="O72" s="68"/>
      <c r="P72" s="68"/>
      <c r="Q72" s="68"/>
      <c r="R72" s="68"/>
      <c r="S72" s="68"/>
      <c r="T72" s="68"/>
      <c r="U72" s="68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x14ac:dyDescent="0.25">
      <c r="A73" s="3"/>
      <c r="B73" s="85"/>
      <c r="C73" s="66"/>
      <c r="D73" s="67"/>
      <c r="E73" s="67"/>
      <c r="F73" s="67"/>
      <c r="G73" s="68"/>
      <c r="H73" s="67"/>
      <c r="I73" s="67"/>
      <c r="J73" s="67"/>
      <c r="K73" s="3"/>
      <c r="L73" s="3"/>
      <c r="M73" s="85"/>
      <c r="N73" s="66"/>
      <c r="O73" s="67"/>
      <c r="P73" s="67"/>
      <c r="Q73" s="67"/>
      <c r="R73" s="68"/>
      <c r="S73" s="67"/>
      <c r="T73" s="67"/>
      <c r="U73" s="67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x14ac:dyDescent="0.25">
      <c r="A74" s="3"/>
      <c r="B74" s="85"/>
      <c r="C74" s="66"/>
      <c r="D74" s="67"/>
      <c r="E74" s="67"/>
      <c r="F74" s="67"/>
      <c r="G74" s="68"/>
      <c r="H74" s="67"/>
      <c r="I74" s="67"/>
      <c r="J74" s="67"/>
      <c r="K74" s="3"/>
      <c r="L74" s="3"/>
      <c r="M74" s="85"/>
      <c r="N74" s="66"/>
      <c r="O74" s="67"/>
      <c r="P74" s="67"/>
      <c r="Q74" s="67"/>
      <c r="R74" s="68"/>
      <c r="S74" s="67"/>
      <c r="T74" s="67"/>
      <c r="U74" s="67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x14ac:dyDescent="0.25">
      <c r="A75" s="3"/>
      <c r="B75" s="85"/>
      <c r="C75" s="66"/>
      <c r="D75" s="67"/>
      <c r="E75" s="67"/>
      <c r="F75" s="67"/>
      <c r="G75" s="68"/>
      <c r="H75" s="67"/>
      <c r="I75" s="67"/>
      <c r="J75" s="67"/>
      <c r="K75" s="3"/>
      <c r="L75" s="3"/>
      <c r="M75" s="85"/>
      <c r="N75" s="66"/>
      <c r="O75" s="67"/>
      <c r="P75" s="67"/>
      <c r="Q75" s="67"/>
      <c r="R75" s="68"/>
      <c r="S75" s="67"/>
      <c r="T75" s="67"/>
      <c r="U75" s="67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x14ac:dyDescent="0.25">
      <c r="A76" s="3"/>
      <c r="B76" s="86"/>
      <c r="C76" s="66"/>
      <c r="D76" s="67"/>
      <c r="E76" s="67"/>
      <c r="F76" s="67"/>
      <c r="G76" s="68"/>
      <c r="H76" s="67"/>
      <c r="I76" s="67"/>
      <c r="J76" s="67"/>
      <c r="K76" s="3"/>
      <c r="L76" s="3"/>
      <c r="M76" s="86"/>
      <c r="N76" s="66"/>
      <c r="O76" s="67"/>
      <c r="P76" s="67"/>
      <c r="Q76" s="67"/>
      <c r="R76" s="68"/>
      <c r="S76" s="67"/>
      <c r="T76" s="67"/>
      <c r="U76" s="67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1" operator="lessThan">
      <formula>$J$3</formula>
    </cfRule>
    <cfRule type="cellIs" dxfId="2" priority="2" operator="greaterThan">
      <formula>$J$3</formula>
    </cfRule>
  </conditionalFormatting>
  <conditionalFormatting sqref="O70:U76">
    <cfRule type="cellIs" dxfId="1" priority="5" operator="lessThan">
      <formula>$J$3</formula>
    </cfRule>
    <cfRule type="cellIs" dxfId="0" priority="6" operator="greaterThan">
      <formula>$J$3</formula>
    </cfRule>
  </conditionalFormatting>
  <dataValidations count="1">
    <dataValidation type="list" allowBlank="1" showInputMessage="1" showErrorMessage="1" sqref="E11:E15" xr:uid="{4D545317-7ADF-4350-B978-1D182F515278}">
      <formula1>"1,2,3"</formula1>
    </dataValidation>
  </dataValidations>
  <hyperlinks>
    <hyperlink ref="A1" location="Main!A1" display="Main" xr:uid="{5CFBDBA3-A7A4-4A96-878C-E42DCA44D2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Main</vt:lpstr>
      <vt:lpstr>Model</vt:lpstr>
      <vt:lpstr>Ratios</vt:lpstr>
      <vt:lpstr>CoC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2024-10-11T15:49:33Z</dcterms:created>
  <dcterms:modified xsi:type="dcterms:W3CDTF">2026-08-28T17:11:45Z</dcterms:modified>
</cp:coreProperties>
</file>