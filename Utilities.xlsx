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etaModels\"/>
    </mc:Choice>
  </mc:AlternateContent>
  <xr:revisionPtr revIDLastSave="0" documentId="13_ncr:1_{967EEF88-8A78-461B-9D20-1C9C324CFFF3}" xr6:coauthVersionLast="47" xr6:coauthVersionMax="47" xr10:uidLastSave="{00000000-0000-0000-0000-000000000000}"/>
  <bookViews>
    <workbookView xWindow="225" yWindow="3510" windowWidth="38175" windowHeight="15240" activeTab="2" xr2:uid="{73DAAEC0-DBCE-42B0-9D53-615183050181}"/>
  </bookViews>
  <sheets>
    <sheet name="Main" sheetId="1" r:id="rId1"/>
    <sheet name="Water" sheetId="2" r:id="rId2"/>
    <sheet name="Waste" sheetId="3" r:id="rId3"/>
    <sheet name="FX" sheetId="4" r:id="rId4"/>
  </sheets>
  <externalReferences>
    <externalReference r:id="rId5"/>
    <externalReference r:id="rId6"/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3" l="1"/>
  <c r="G5" i="3"/>
  <c r="F5" i="3"/>
  <c r="E5" i="3"/>
  <c r="G9" i="3"/>
  <c r="F9" i="3"/>
  <c r="H9" i="3" s="1"/>
  <c r="E9" i="3"/>
  <c r="G4" i="3" l="1"/>
  <c r="F4" i="3"/>
  <c r="E4" i="3"/>
  <c r="A6" i="3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5" i="3"/>
  <c r="A5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H4" i="3" l="1"/>
</calcChain>
</file>

<file path=xl/sharedStrings.xml><?xml version="1.0" encoding="utf-8"?>
<sst xmlns="http://schemas.openxmlformats.org/spreadsheetml/2006/main" count="231" uniqueCount="200">
  <si>
    <t>Utilities</t>
  </si>
  <si>
    <t>numbers in mio USD</t>
  </si>
  <si>
    <t>Waste Management</t>
  </si>
  <si>
    <t>WM</t>
  </si>
  <si>
    <t>United States</t>
  </si>
  <si>
    <t>Republic Services</t>
  </si>
  <si>
    <t>RSG</t>
  </si>
  <si>
    <t>Waste Connections</t>
  </si>
  <si>
    <t>WCN</t>
  </si>
  <si>
    <t>Veolia</t>
  </si>
  <si>
    <t>VIE.PA</t>
  </si>
  <si>
    <t>France</t>
  </si>
  <si>
    <t>GFL Environmental</t>
  </si>
  <si>
    <t>GFL</t>
  </si>
  <si>
    <t>Canada</t>
  </si>
  <si>
    <t>Clean Harbors</t>
  </si>
  <si>
    <t>CLH</t>
  </si>
  <si>
    <t>Casella Waste Systems</t>
  </si>
  <si>
    <t>CWST</t>
  </si>
  <si>
    <t>Stericycle</t>
  </si>
  <si>
    <t>SRCL</t>
  </si>
  <si>
    <t>Tomra</t>
  </si>
  <si>
    <t>TOM.OL</t>
  </si>
  <si>
    <t>Norway</t>
  </si>
  <si>
    <t>Cleanaway Waste Management</t>
  </si>
  <si>
    <t>CWY.AX</t>
  </si>
  <si>
    <t>Australia</t>
  </si>
  <si>
    <t>Umicore</t>
  </si>
  <si>
    <t>UMI.VI</t>
  </si>
  <si>
    <t>Belgium</t>
  </si>
  <si>
    <t>Savers Value Village</t>
  </si>
  <si>
    <t>SVV</t>
  </si>
  <si>
    <t>Daiseki</t>
  </si>
  <si>
    <t>9793.T</t>
  </si>
  <si>
    <t>Japan</t>
  </si>
  <si>
    <t>PureCycle Technologies</t>
  </si>
  <si>
    <t>PCT</t>
  </si>
  <si>
    <t>Befesa</t>
  </si>
  <si>
    <t>BFSA.DE</t>
  </si>
  <si>
    <t>Luxembourg</t>
  </si>
  <si>
    <t>Derichebourg</t>
  </si>
  <si>
    <t>DBG.PA</t>
  </si>
  <si>
    <t>Veridis Environment</t>
  </si>
  <si>
    <t>VRDS.TA</t>
  </si>
  <si>
    <t>Israel</t>
  </si>
  <si>
    <t>Renewi</t>
  </si>
  <si>
    <t>RWI.L</t>
  </si>
  <si>
    <t>United Kingdom</t>
  </si>
  <si>
    <t>Radius Recycling (Schnitzer Steel)</t>
  </si>
  <si>
    <t>RDUS</t>
  </si>
  <si>
    <t>SÃ©chÃ© Environnement</t>
  </si>
  <si>
    <t>SCHP.PA</t>
  </si>
  <si>
    <t>TRE Holdings Corporation</t>
  </si>
  <si>
    <t>9247.T</t>
  </si>
  <si>
    <t>Enviri Corporation</t>
  </si>
  <si>
    <t>NVRI</t>
  </si>
  <si>
    <t>Groupe Pizzorno Environnement</t>
  </si>
  <si>
    <t>GPE.PA</t>
  </si>
  <si>
    <t>Campine</t>
  </si>
  <si>
    <t>CAMB.BR</t>
  </si>
  <si>
    <t>Amerigo Resources</t>
  </si>
  <si>
    <t>ARG.TO</t>
  </si>
  <si>
    <t>Quantafuel</t>
  </si>
  <si>
    <t>QFUEL.OL</t>
  </si>
  <si>
    <t>Perma-Fix Environmental Services</t>
  </si>
  <si>
    <t>PESI</t>
  </si>
  <si>
    <t>Scandinavian Enviro Systems</t>
  </si>
  <si>
    <t>SES.ST</t>
  </si>
  <si>
    <t>Sweden</t>
  </si>
  <si>
    <t>ALBA SE</t>
  </si>
  <si>
    <t>ABA.F</t>
  </si>
  <si>
    <t>Germany</t>
  </si>
  <si>
    <t>PyroGenesis Canada</t>
  </si>
  <si>
    <t>PYR.TO</t>
  </si>
  <si>
    <t>Quest Resource Holding</t>
  </si>
  <si>
    <t>QRHC</t>
  </si>
  <si>
    <t>Metal and Recycling Company K.S.C.</t>
  </si>
  <si>
    <t>MRC.KW</t>
  </si>
  <si>
    <t>Kuwait</t>
  </si>
  <si>
    <t>374Water</t>
  </si>
  <si>
    <t>SCWO</t>
  </si>
  <si>
    <t>Li-Cycle</t>
  </si>
  <si>
    <t>LICY</t>
  </si>
  <si>
    <t>Rubicon Technologies</t>
  </si>
  <si>
    <t>RBT</t>
  </si>
  <si>
    <t>Cielo Waste Solutions</t>
  </si>
  <si>
    <t>CMC.V</t>
  </si>
  <si>
    <t>Main</t>
  </si>
  <si>
    <t xml:space="preserve">Main </t>
  </si>
  <si>
    <t>#</t>
  </si>
  <si>
    <t>Name</t>
  </si>
  <si>
    <t>Ticker</t>
  </si>
  <si>
    <t>Country</t>
  </si>
  <si>
    <t>American Water Works Company</t>
  </si>
  <si>
    <t>AWK</t>
  </si>
  <si>
    <t>Veolia Environ.</t>
  </si>
  <si>
    <t>VIE</t>
  </si>
  <si>
    <t>Sabesp On MN</t>
  </si>
  <si>
    <t>SBSP3</t>
  </si>
  <si>
    <t>Essential Utilities</t>
  </si>
  <si>
    <t>WTRG</t>
  </si>
  <si>
    <t>Severn Trent Ord</t>
  </si>
  <si>
    <t>SVT</t>
  </si>
  <si>
    <t>United Utilities Group</t>
  </si>
  <si>
    <t>UU.</t>
  </si>
  <si>
    <t>The Power und Water Utilitie Company for Jubail and Yanbu</t>
  </si>
  <si>
    <t>Guangdong Investment</t>
  </si>
  <si>
    <t>Chongquing Water Group</t>
  </si>
  <si>
    <t>Beijing Capital Eco-Env. Protection Group</t>
  </si>
  <si>
    <t>Carlifornia Water Service Group</t>
  </si>
  <si>
    <t>CWT</t>
  </si>
  <si>
    <t xml:space="preserve">American States Water Company </t>
  </si>
  <si>
    <t>AWR</t>
  </si>
  <si>
    <t xml:space="preserve">Chengdu Xingrong </t>
  </si>
  <si>
    <t>000598</t>
  </si>
  <si>
    <t>Pennon Group Ord</t>
  </si>
  <si>
    <t>PNN</t>
  </si>
  <si>
    <t>SJW Group</t>
  </si>
  <si>
    <t>SJW</t>
  </si>
  <si>
    <t>Aguas Adinas S.A.</t>
  </si>
  <si>
    <t>Aguas_A</t>
  </si>
  <si>
    <t>Zongsphan Public</t>
  </si>
  <si>
    <t>000685</t>
  </si>
  <si>
    <t>Jiangxi Hongcheng Enviroment</t>
  </si>
  <si>
    <t>Copasa On NM</t>
  </si>
  <si>
    <t>CSMG3</t>
  </si>
  <si>
    <t>Guangdong Chunkong</t>
  </si>
  <si>
    <t>003039</t>
  </si>
  <si>
    <t xml:space="preserve">Select Water Solutions </t>
  </si>
  <si>
    <t>WTTR</t>
  </si>
  <si>
    <t>China Water Affair Group</t>
  </si>
  <si>
    <t>TTW Public Company</t>
  </si>
  <si>
    <t>TTW</t>
  </si>
  <si>
    <t>Grupo Rotoplas Sab de CV</t>
  </si>
  <si>
    <t>AGUA</t>
  </si>
  <si>
    <t>Manila Water Company</t>
  </si>
  <si>
    <t>MWC</t>
  </si>
  <si>
    <t>Middlesex Water Comapny</t>
  </si>
  <si>
    <t>MSEX</t>
  </si>
  <si>
    <t>Aris Water Solution</t>
  </si>
  <si>
    <t xml:space="preserve">Aris </t>
  </si>
  <si>
    <t>Invesiones Aguas Metropolitanas</t>
  </si>
  <si>
    <t>IAM</t>
  </si>
  <si>
    <t>Jiangsu United Waters</t>
  </si>
  <si>
    <t>Kingland Technolog</t>
  </si>
  <si>
    <t>000711</t>
  </si>
  <si>
    <t xml:space="preserve">Jiangsu Jiangnan Water </t>
  </si>
  <si>
    <t>Athens Water Supply</t>
  </si>
  <si>
    <t>EYDAP</t>
  </si>
  <si>
    <t>Quianjiang Water Ressources</t>
  </si>
  <si>
    <t>Esval SA</t>
  </si>
  <si>
    <t>ESVAL_C</t>
  </si>
  <si>
    <t>Kuo Toong International</t>
  </si>
  <si>
    <t>Guangxi Nanning Water</t>
  </si>
  <si>
    <t>Mega Union Technolgy</t>
  </si>
  <si>
    <t>The York Water Company</t>
  </si>
  <si>
    <t>YORW</t>
  </si>
  <si>
    <t>Haitan Water Group</t>
  </si>
  <si>
    <t>Consolidated Water Co</t>
  </si>
  <si>
    <t>CWCO</t>
  </si>
  <si>
    <t>WHA Utility and Power PCL</t>
  </si>
  <si>
    <t>WHAUP</t>
  </si>
  <si>
    <t>Wuhan Xianglong Powe Industry</t>
  </si>
  <si>
    <t>Artesian Ressources Corporation</t>
  </si>
  <si>
    <t>ARTNA</t>
  </si>
  <si>
    <t>Binh Douong Water Enviroment Joint Stock Company</t>
  </si>
  <si>
    <t>BWE</t>
  </si>
  <si>
    <t>Taliworks Corporation BHD</t>
  </si>
  <si>
    <t>TALIWRK</t>
  </si>
  <si>
    <t xml:space="preserve">Global Water Ressources </t>
  </si>
  <si>
    <t>GWRS</t>
  </si>
  <si>
    <t>ESSBIO SA</t>
  </si>
  <si>
    <t>ESSBIO_A</t>
  </si>
  <si>
    <t>Bohai Water Indst</t>
  </si>
  <si>
    <t>000605</t>
  </si>
  <si>
    <t>Tianjin Developmet HLDS</t>
  </si>
  <si>
    <t>Tallinna Vesi</t>
  </si>
  <si>
    <t>TVE1T</t>
  </si>
  <si>
    <t>Pure Cycle Corporation</t>
  </si>
  <si>
    <t>PYCO</t>
  </si>
  <si>
    <t>Shanghaii Safbon W</t>
  </si>
  <si>
    <t>CTCP Nouc Thu Dau Mot</t>
  </si>
  <si>
    <t>TDM</t>
  </si>
  <si>
    <t>Eastern Water Ressources</t>
  </si>
  <si>
    <t>EASTW</t>
  </si>
  <si>
    <t>Dong Nai Water JSC</t>
  </si>
  <si>
    <t>DNW</t>
  </si>
  <si>
    <t>Thessalonikh Water Supply</t>
  </si>
  <si>
    <t>EYAPS</t>
  </si>
  <si>
    <t>PBA Holding PHB</t>
  </si>
  <si>
    <t>PBA</t>
  </si>
  <si>
    <t>Everchina Intl Hld</t>
  </si>
  <si>
    <t>Kumpulan Perangsang Selangor</t>
  </si>
  <si>
    <t>KPS</t>
  </si>
  <si>
    <t>Price</t>
  </si>
  <si>
    <t>MC</t>
  </si>
  <si>
    <t>EV</t>
  </si>
  <si>
    <t>Net Debt</t>
  </si>
  <si>
    <t>Updated</t>
  </si>
  <si>
    <t>Q225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</si>
</sst>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"/>
  </numFmts>
  <fonts count="8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5">
    <xf numFmtId="0" fontId="0" fillId="0" borderId="0" xfId="0"/>
    <xf numFmtId="0" fontId="6" fillId="0" borderId="0" xfId="1" applyFont="1"/>
    <xf numFmtId="0" fontId="3" fillId="0" borderId="0" xfId="0" applyFont="1"/>
    <xf numFmtId="0" fontId="7" fillId="0" borderId="0" xfId="0" applyFont="1"/>
    <xf numFmtId="0" fontId="5" fillId="2" borderId="1" xfId="0" applyFont="1" applyFill="1" applyBorder="1" applyAlignment="1">
      <alignment horizontal="center"/>
    </xf>
    <xf numFmtId="0" fontId="5" fillId="2" borderId="2" xfId="0" applyFont="1" applyFill="1" applyBorder="1"/>
    <xf numFmtId="0" fontId="5" fillId="2" borderId="3" xfId="0" applyFont="1" applyFill="1" applyBorder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0" borderId="0" xfId="0" applyNumberFormat="1" applyFont="1"/>
    <xf numFmtId="0" fontId="2" fillId="0" borderId="0" xfId="0" applyFont="1" applyAlignment="1">
      <alignment horizontal="right"/>
    </xf>
    <xf numFmtId="0" fontId="1" fillId="0" borderId="0" xfId="0" applyFon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1.Finance\Anaylsen\Models\WM.xlsx" TargetMode="External"/><Relationship Id="rId1" Type="http://schemas.openxmlformats.org/officeDocument/2006/relationships/externalLinkPath" Target="/1.Finance/Anaylsen/Models/WM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1.Finance\Anaylsen\Models\CLH.xlsx" TargetMode="External"/><Relationship Id="rId1" Type="http://schemas.openxmlformats.org/officeDocument/2006/relationships/externalLinkPath" Target="/1.Finance/Anaylsen/Models/CLH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1.Finance\Anaylsen\Models\RSG.xlsx" TargetMode="External"/><Relationship Id="rId1" Type="http://schemas.openxmlformats.org/officeDocument/2006/relationships/externalLinkPath" Target="/1.Finance/Anaylsen/Models/RS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2">
          <cell r="J2">
            <v>219.04</v>
          </cell>
        </row>
        <row r="4">
          <cell r="J4">
            <v>88235.952197599996</v>
          </cell>
        </row>
        <row r="5">
          <cell r="J5">
            <v>440</v>
          </cell>
        </row>
        <row r="6">
          <cell r="J6">
            <v>24020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2">
          <cell r="I2">
            <v>237.7</v>
          </cell>
        </row>
        <row r="4">
          <cell r="I4">
            <v>12748.470683899999</v>
          </cell>
        </row>
        <row r="5">
          <cell r="I5">
            <v>699.07400000000007</v>
          </cell>
        </row>
        <row r="6">
          <cell r="I6">
            <v>2781.6320000000001</v>
          </cell>
        </row>
      </sheetData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2">
          <cell r="I2">
            <v>221.37</v>
          </cell>
        </row>
        <row r="4">
          <cell r="I4">
            <v>69115.216073400006</v>
          </cell>
        </row>
        <row r="5">
          <cell r="I5">
            <v>122</v>
          </cell>
        </row>
        <row r="6">
          <cell r="I6">
            <v>12967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file:///C:\Users\oscar\OneDrive\Dokumente\1.Investing\2.Investments\1.Assets\1.Aktien\1.%20Analysen\China%20Water%20Affairs\China%20Water%20Affairs%20.xlsx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..\Models\RSG.xlsx" TargetMode="External"/><Relationship Id="rId2" Type="http://schemas.openxmlformats.org/officeDocument/2006/relationships/hyperlink" Target="..\Models\CLH.xlsx" TargetMode="External"/><Relationship Id="rId1" Type="http://schemas.openxmlformats.org/officeDocument/2006/relationships/hyperlink" Target="..\Models\WM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1741F-FB7B-46C9-91D9-CCC93C8AB8FA}">
  <dimension ref="A1:M2"/>
  <sheetViews>
    <sheetView workbookViewId="0">
      <selection activeCell="A2" sqref="A2"/>
    </sheetView>
  </sheetViews>
  <sheetFormatPr defaultRowHeight="15" x14ac:dyDescent="0.25"/>
  <cols>
    <col min="1" max="13" width="9.140625" style="2"/>
  </cols>
  <sheetData>
    <row r="1" spans="1:1" x14ac:dyDescent="0.25">
      <c r="A1" s="2" t="s">
        <v>0</v>
      </c>
    </row>
    <row r="2" spans="1:1" x14ac:dyDescent="0.25">
      <c r="A2" s="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16370-0193-4FCE-92E3-CBBF8D4AB924}">
  <dimension ref="A1:AI154"/>
  <sheetViews>
    <sheetView zoomScale="200" zoomScaleNormal="200" workbookViewId="0"/>
  </sheetViews>
  <sheetFormatPr defaultRowHeight="13.5" x14ac:dyDescent="0.25"/>
  <cols>
    <col min="1" max="1" width="5.42578125" style="3" customWidth="1"/>
    <col min="2" max="2" width="30.5703125" style="3" customWidth="1"/>
    <col min="3" max="3" width="11.85546875" style="3" customWidth="1"/>
    <col min="4" max="16384" width="9.140625" style="3"/>
  </cols>
  <sheetData>
    <row r="1" spans="1:35" x14ac:dyDescent="0.25">
      <c r="A1" s="1" t="s">
        <v>88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 spans="1:3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35" x14ac:dyDescent="0.25">
      <c r="A3" s="4" t="s">
        <v>89</v>
      </c>
      <c r="B3" s="5" t="s">
        <v>90</v>
      </c>
      <c r="C3" s="5" t="s">
        <v>91</v>
      </c>
      <c r="D3" s="5" t="s">
        <v>92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x14ac:dyDescent="0.25">
      <c r="A4" s="7">
        <v>1</v>
      </c>
      <c r="B4" s="2" t="s">
        <v>93</v>
      </c>
      <c r="C4" s="8" t="s">
        <v>94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</row>
    <row r="5" spans="1:35" x14ac:dyDescent="0.25">
      <c r="A5" s="7">
        <f>A4+1</f>
        <v>2</v>
      </c>
      <c r="B5" s="2" t="s">
        <v>95</v>
      </c>
      <c r="C5" s="8" t="s">
        <v>96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</row>
    <row r="6" spans="1:35" x14ac:dyDescent="0.25">
      <c r="A6" s="7">
        <f t="shared" ref="A6:A62" si="0">A5+1</f>
        <v>3</v>
      </c>
      <c r="B6" s="2" t="s">
        <v>97</v>
      </c>
      <c r="C6" s="8" t="s">
        <v>98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</row>
    <row r="7" spans="1:35" x14ac:dyDescent="0.25">
      <c r="A7" s="7">
        <f t="shared" si="0"/>
        <v>4</v>
      </c>
      <c r="B7" s="2" t="s">
        <v>99</v>
      </c>
      <c r="C7" s="8" t="s">
        <v>100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</row>
    <row r="8" spans="1:35" x14ac:dyDescent="0.25">
      <c r="A8" s="7">
        <f t="shared" si="0"/>
        <v>5</v>
      </c>
      <c r="B8" s="2" t="s">
        <v>101</v>
      </c>
      <c r="C8" s="8" t="s">
        <v>102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</row>
    <row r="9" spans="1:35" x14ac:dyDescent="0.25">
      <c r="A9" s="7">
        <f t="shared" si="0"/>
        <v>6</v>
      </c>
      <c r="B9" s="2" t="s">
        <v>103</v>
      </c>
      <c r="C9" s="8" t="s">
        <v>104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</row>
    <row r="10" spans="1:35" x14ac:dyDescent="0.25">
      <c r="A10" s="7">
        <f t="shared" si="0"/>
        <v>7</v>
      </c>
      <c r="B10" s="2" t="s">
        <v>105</v>
      </c>
      <c r="C10" s="8">
        <v>2083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</row>
    <row r="11" spans="1:35" x14ac:dyDescent="0.25">
      <c r="A11" s="7">
        <f t="shared" si="0"/>
        <v>8</v>
      </c>
      <c r="B11" s="2" t="s">
        <v>106</v>
      </c>
      <c r="C11" s="8">
        <v>270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</row>
    <row r="12" spans="1:35" x14ac:dyDescent="0.25">
      <c r="A12" s="7">
        <f t="shared" si="0"/>
        <v>9</v>
      </c>
      <c r="B12" s="2" t="s">
        <v>107</v>
      </c>
      <c r="C12" s="8">
        <v>601158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</row>
    <row r="13" spans="1:35" x14ac:dyDescent="0.25">
      <c r="A13" s="7">
        <f t="shared" si="0"/>
        <v>10</v>
      </c>
      <c r="B13" s="2" t="s">
        <v>108</v>
      </c>
      <c r="C13" s="8">
        <v>600008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</row>
    <row r="14" spans="1:35" x14ac:dyDescent="0.25">
      <c r="A14" s="7">
        <f t="shared" si="0"/>
        <v>11</v>
      </c>
      <c r="B14" s="2" t="s">
        <v>109</v>
      </c>
      <c r="C14" s="9" t="s">
        <v>110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</row>
    <row r="15" spans="1:35" x14ac:dyDescent="0.25">
      <c r="A15" s="7">
        <f t="shared" si="0"/>
        <v>12</v>
      </c>
      <c r="B15" s="2" t="s">
        <v>111</v>
      </c>
      <c r="C15" s="9" t="s">
        <v>112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</row>
    <row r="16" spans="1:35" x14ac:dyDescent="0.25">
      <c r="A16" s="7">
        <f t="shared" si="0"/>
        <v>13</v>
      </c>
      <c r="B16" s="2" t="s">
        <v>113</v>
      </c>
      <c r="C16" s="10" t="s">
        <v>114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</row>
    <row r="17" spans="1:35" x14ac:dyDescent="0.25">
      <c r="A17" s="7">
        <f t="shared" si="0"/>
        <v>14</v>
      </c>
      <c r="B17" s="2" t="s">
        <v>115</v>
      </c>
      <c r="C17" s="9" t="s">
        <v>116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</row>
    <row r="18" spans="1:35" x14ac:dyDescent="0.25">
      <c r="A18" s="7">
        <f t="shared" si="0"/>
        <v>15</v>
      </c>
      <c r="B18" s="2" t="s">
        <v>117</v>
      </c>
      <c r="C18" s="9" t="s">
        <v>118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</row>
    <row r="19" spans="1:35" x14ac:dyDescent="0.25">
      <c r="A19" s="7">
        <f t="shared" si="0"/>
        <v>16</v>
      </c>
      <c r="B19" s="2" t="s">
        <v>119</v>
      </c>
      <c r="C19" s="9" t="s">
        <v>120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</row>
    <row r="20" spans="1:35" x14ac:dyDescent="0.25">
      <c r="A20" s="7">
        <f t="shared" si="0"/>
        <v>17</v>
      </c>
      <c r="B20" s="2" t="s">
        <v>121</v>
      </c>
      <c r="C20" s="10" t="s">
        <v>122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</row>
    <row r="21" spans="1:35" x14ac:dyDescent="0.25">
      <c r="A21" s="7">
        <f t="shared" si="0"/>
        <v>18</v>
      </c>
      <c r="B21" s="2" t="s">
        <v>123</v>
      </c>
      <c r="C21" s="9">
        <v>600461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</row>
    <row r="22" spans="1:35" x14ac:dyDescent="0.25">
      <c r="A22" s="7">
        <f t="shared" si="0"/>
        <v>19</v>
      </c>
      <c r="B22" s="2" t="s">
        <v>124</v>
      </c>
      <c r="C22" s="9" t="s">
        <v>125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</row>
    <row r="23" spans="1:35" x14ac:dyDescent="0.25">
      <c r="A23" s="7">
        <f t="shared" si="0"/>
        <v>20</v>
      </c>
      <c r="B23" s="2" t="s">
        <v>126</v>
      </c>
      <c r="C23" s="10" t="s">
        <v>127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</row>
    <row r="24" spans="1:35" x14ac:dyDescent="0.25">
      <c r="A24" s="7">
        <f t="shared" si="0"/>
        <v>21</v>
      </c>
      <c r="B24" s="2" t="s">
        <v>128</v>
      </c>
      <c r="C24" s="9" t="s">
        <v>129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</row>
    <row r="25" spans="1:35" x14ac:dyDescent="0.25">
      <c r="A25" s="7">
        <f t="shared" si="0"/>
        <v>22</v>
      </c>
      <c r="B25" s="2" t="s">
        <v>130</v>
      </c>
      <c r="C25" s="9">
        <v>855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</row>
    <row r="26" spans="1:35" x14ac:dyDescent="0.25">
      <c r="A26" s="7">
        <f t="shared" si="0"/>
        <v>23</v>
      </c>
      <c r="B26" s="2" t="s">
        <v>131</v>
      </c>
      <c r="C26" s="9" t="s">
        <v>132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</row>
    <row r="27" spans="1:35" x14ac:dyDescent="0.25">
      <c r="A27" s="7">
        <f t="shared" si="0"/>
        <v>24</v>
      </c>
      <c r="B27" s="2" t="s">
        <v>133</v>
      </c>
      <c r="C27" s="9" t="s">
        <v>134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</row>
    <row r="28" spans="1:35" x14ac:dyDescent="0.25">
      <c r="A28" s="7">
        <f t="shared" si="0"/>
        <v>25</v>
      </c>
      <c r="B28" s="2" t="s">
        <v>135</v>
      </c>
      <c r="C28" s="9" t="s">
        <v>136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</row>
    <row r="29" spans="1:35" x14ac:dyDescent="0.25">
      <c r="A29" s="7">
        <f t="shared" si="0"/>
        <v>26</v>
      </c>
      <c r="B29" s="2" t="s">
        <v>137</v>
      </c>
      <c r="C29" s="9" t="s">
        <v>138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</row>
    <row r="30" spans="1:35" x14ac:dyDescent="0.25">
      <c r="A30" s="7">
        <f t="shared" si="0"/>
        <v>27</v>
      </c>
      <c r="B30" s="2" t="s">
        <v>139</v>
      </c>
      <c r="C30" s="9" t="s">
        <v>140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</row>
    <row r="31" spans="1:35" x14ac:dyDescent="0.25">
      <c r="A31" s="7">
        <f t="shared" si="0"/>
        <v>28</v>
      </c>
      <c r="B31" s="2" t="s">
        <v>141</v>
      </c>
      <c r="C31" s="9" t="s">
        <v>142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</row>
    <row r="32" spans="1:35" x14ac:dyDescent="0.25">
      <c r="A32" s="7">
        <f t="shared" si="0"/>
        <v>29</v>
      </c>
      <c r="B32" s="2" t="s">
        <v>143</v>
      </c>
      <c r="C32" s="9">
        <v>603291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</row>
    <row r="33" spans="1:35" x14ac:dyDescent="0.25">
      <c r="A33" s="7">
        <f t="shared" si="0"/>
        <v>30</v>
      </c>
      <c r="B33" s="2" t="s">
        <v>144</v>
      </c>
      <c r="C33" s="10" t="s">
        <v>145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</row>
    <row r="34" spans="1:35" x14ac:dyDescent="0.25">
      <c r="A34" s="7">
        <f t="shared" si="0"/>
        <v>31</v>
      </c>
      <c r="B34" s="2" t="s">
        <v>146</v>
      </c>
      <c r="C34" s="9">
        <v>601199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</row>
    <row r="35" spans="1:35" x14ac:dyDescent="0.25">
      <c r="A35" s="7">
        <f t="shared" si="0"/>
        <v>32</v>
      </c>
      <c r="B35" s="2" t="s">
        <v>147</v>
      </c>
      <c r="C35" s="9" t="s">
        <v>148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</row>
    <row r="36" spans="1:35" x14ac:dyDescent="0.25">
      <c r="A36" s="7">
        <f t="shared" si="0"/>
        <v>33</v>
      </c>
      <c r="B36" s="2" t="s">
        <v>149</v>
      </c>
      <c r="C36" s="9">
        <v>600283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</row>
    <row r="37" spans="1:35" x14ac:dyDescent="0.25">
      <c r="A37" s="7">
        <f t="shared" si="0"/>
        <v>34</v>
      </c>
      <c r="B37" s="2" t="s">
        <v>150</v>
      </c>
      <c r="C37" s="9" t="s">
        <v>151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</row>
    <row r="38" spans="1:35" x14ac:dyDescent="0.25">
      <c r="A38" s="7">
        <f t="shared" si="0"/>
        <v>35</v>
      </c>
      <c r="B38" s="2" t="s">
        <v>152</v>
      </c>
      <c r="C38" s="9">
        <v>8936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</row>
    <row r="39" spans="1:35" x14ac:dyDescent="0.25">
      <c r="A39" s="7">
        <f t="shared" si="0"/>
        <v>36</v>
      </c>
      <c r="B39" s="2" t="s">
        <v>153</v>
      </c>
      <c r="C39" s="9">
        <v>601368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</row>
    <row r="40" spans="1:35" x14ac:dyDescent="0.25">
      <c r="A40" s="7">
        <f t="shared" si="0"/>
        <v>37</v>
      </c>
      <c r="B40" s="2" t="s">
        <v>154</v>
      </c>
      <c r="C40" s="9">
        <v>6944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</row>
    <row r="41" spans="1:35" x14ac:dyDescent="0.25">
      <c r="A41" s="7">
        <f t="shared" si="0"/>
        <v>38</v>
      </c>
      <c r="B41" s="2" t="s">
        <v>155</v>
      </c>
      <c r="C41" s="9" t="s">
        <v>156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</row>
    <row r="42" spans="1:35" x14ac:dyDescent="0.25">
      <c r="A42" s="7">
        <f t="shared" si="0"/>
        <v>39</v>
      </c>
      <c r="B42" s="2" t="s">
        <v>157</v>
      </c>
      <c r="C42" s="9">
        <v>603759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</row>
    <row r="43" spans="1:35" x14ac:dyDescent="0.25">
      <c r="A43" s="7">
        <f t="shared" si="0"/>
        <v>40</v>
      </c>
      <c r="B43" s="2" t="s">
        <v>158</v>
      </c>
      <c r="C43" s="9" t="s">
        <v>159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</row>
    <row r="44" spans="1:35" x14ac:dyDescent="0.25">
      <c r="A44" s="7">
        <f t="shared" si="0"/>
        <v>41</v>
      </c>
      <c r="B44" s="2" t="s">
        <v>160</v>
      </c>
      <c r="C44" s="9" t="s">
        <v>161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</row>
    <row r="45" spans="1:35" x14ac:dyDescent="0.25">
      <c r="A45" s="7">
        <f t="shared" si="0"/>
        <v>42</v>
      </c>
      <c r="B45" s="2" t="s">
        <v>162</v>
      </c>
      <c r="C45" s="9">
        <v>600769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</row>
    <row r="46" spans="1:35" x14ac:dyDescent="0.25">
      <c r="A46" s="7">
        <f t="shared" si="0"/>
        <v>43</v>
      </c>
      <c r="B46" s="2" t="s">
        <v>163</v>
      </c>
      <c r="C46" s="9" t="s">
        <v>164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</row>
    <row r="47" spans="1:35" x14ac:dyDescent="0.25">
      <c r="A47" s="7">
        <f t="shared" si="0"/>
        <v>44</v>
      </c>
      <c r="B47" s="2" t="s">
        <v>165</v>
      </c>
      <c r="C47" s="9" t="s">
        <v>166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</row>
    <row r="48" spans="1:35" x14ac:dyDescent="0.25">
      <c r="A48" s="7">
        <f t="shared" si="0"/>
        <v>45</v>
      </c>
      <c r="B48" s="2" t="s">
        <v>167</v>
      </c>
      <c r="C48" s="9" t="s">
        <v>168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</row>
    <row r="49" spans="1:35" x14ac:dyDescent="0.25">
      <c r="A49" s="7">
        <f t="shared" si="0"/>
        <v>46</v>
      </c>
      <c r="B49" s="2" t="s">
        <v>169</v>
      </c>
      <c r="C49" s="9" t="s">
        <v>170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</row>
    <row r="50" spans="1:35" x14ac:dyDescent="0.25">
      <c r="A50" s="7">
        <f t="shared" si="0"/>
        <v>47</v>
      </c>
      <c r="B50" s="2" t="s">
        <v>171</v>
      </c>
      <c r="C50" s="9" t="s">
        <v>172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</row>
    <row r="51" spans="1:35" x14ac:dyDescent="0.25">
      <c r="A51" s="7">
        <f t="shared" si="0"/>
        <v>48</v>
      </c>
      <c r="B51" s="2" t="s">
        <v>173</v>
      </c>
      <c r="C51" s="10" t="s">
        <v>174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</row>
    <row r="52" spans="1:35" x14ac:dyDescent="0.25">
      <c r="A52" s="7">
        <f t="shared" si="0"/>
        <v>49</v>
      </c>
      <c r="B52" s="2" t="s">
        <v>175</v>
      </c>
      <c r="C52" s="9">
        <v>882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</row>
    <row r="53" spans="1:35" x14ac:dyDescent="0.25">
      <c r="A53" s="7">
        <f t="shared" si="0"/>
        <v>50</v>
      </c>
      <c r="B53" s="2" t="s">
        <v>176</v>
      </c>
      <c r="C53" s="9" t="s">
        <v>177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</row>
    <row r="54" spans="1:35" x14ac:dyDescent="0.25">
      <c r="A54" s="7">
        <f t="shared" si="0"/>
        <v>51</v>
      </c>
      <c r="B54" s="2" t="s">
        <v>178</v>
      </c>
      <c r="C54" s="9" t="s">
        <v>179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</row>
    <row r="55" spans="1:35" x14ac:dyDescent="0.25">
      <c r="A55" s="7">
        <f t="shared" si="0"/>
        <v>52</v>
      </c>
      <c r="B55" s="2" t="s">
        <v>180</v>
      </c>
      <c r="C55" s="9">
        <v>300262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</row>
    <row r="56" spans="1:35" x14ac:dyDescent="0.25">
      <c r="A56" s="7">
        <f t="shared" si="0"/>
        <v>53</v>
      </c>
      <c r="B56" s="2" t="s">
        <v>181</v>
      </c>
      <c r="C56" s="9" t="s">
        <v>182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</row>
    <row r="57" spans="1:35" x14ac:dyDescent="0.25">
      <c r="A57" s="7">
        <f t="shared" si="0"/>
        <v>54</v>
      </c>
      <c r="B57" s="2" t="s">
        <v>183</v>
      </c>
      <c r="C57" s="9" t="s">
        <v>184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</row>
    <row r="58" spans="1:35" x14ac:dyDescent="0.25">
      <c r="A58" s="7">
        <f t="shared" si="0"/>
        <v>55</v>
      </c>
      <c r="B58" s="2" t="s">
        <v>185</v>
      </c>
      <c r="C58" s="9" t="s">
        <v>186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</row>
    <row r="59" spans="1:35" x14ac:dyDescent="0.25">
      <c r="A59" s="7">
        <f t="shared" si="0"/>
        <v>56</v>
      </c>
      <c r="B59" s="2" t="s">
        <v>187</v>
      </c>
      <c r="C59" s="9" t="s">
        <v>188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</row>
    <row r="60" spans="1:35" x14ac:dyDescent="0.25">
      <c r="A60" s="7">
        <f t="shared" si="0"/>
        <v>57</v>
      </c>
      <c r="B60" s="2" t="s">
        <v>189</v>
      </c>
      <c r="C60" s="9" t="s">
        <v>190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</row>
    <row r="61" spans="1:35" x14ac:dyDescent="0.25">
      <c r="A61" s="7">
        <f t="shared" si="0"/>
        <v>58</v>
      </c>
      <c r="B61" s="2" t="s">
        <v>191</v>
      </c>
      <c r="C61" s="9">
        <v>202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</row>
    <row r="62" spans="1:35" x14ac:dyDescent="0.25">
      <c r="A62" s="7">
        <f t="shared" si="0"/>
        <v>59</v>
      </c>
      <c r="B62" s="2" t="s">
        <v>192</v>
      </c>
      <c r="C62" s="9" t="s">
        <v>193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</row>
    <row r="63" spans="1:35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</row>
    <row r="64" spans="1:35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</row>
    <row r="65" spans="1:35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</row>
    <row r="66" spans="1:35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</row>
    <row r="67" spans="1:35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</row>
    <row r="68" spans="1:35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</row>
    <row r="69" spans="1:35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</row>
    <row r="70" spans="1:35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</row>
    <row r="71" spans="1:35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</row>
    <row r="72" spans="1:35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</row>
    <row r="73" spans="1:35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</row>
    <row r="74" spans="1:35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</row>
    <row r="75" spans="1:35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</row>
    <row r="76" spans="1:35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</row>
    <row r="77" spans="1:35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</row>
    <row r="78" spans="1:35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</row>
    <row r="79" spans="1:35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</row>
    <row r="80" spans="1:35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</row>
    <row r="81" spans="1:35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</row>
    <row r="82" spans="1:35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</row>
    <row r="83" spans="1:35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</row>
    <row r="84" spans="1:35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</row>
    <row r="85" spans="1:35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</row>
    <row r="86" spans="1:35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</row>
    <row r="87" spans="1:35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</row>
    <row r="88" spans="1:35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</row>
    <row r="89" spans="1:35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</row>
    <row r="90" spans="1:35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</row>
    <row r="91" spans="1:35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</row>
    <row r="92" spans="1:35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</row>
    <row r="93" spans="1:35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</row>
    <row r="94" spans="1:35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</row>
    <row r="95" spans="1:35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</row>
    <row r="96" spans="1:35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</row>
    <row r="97" spans="1:35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</row>
    <row r="98" spans="1:35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</row>
    <row r="99" spans="1:35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</row>
    <row r="100" spans="1:35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</row>
    <row r="101" spans="1:35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</row>
    <row r="102" spans="1:35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</row>
    <row r="103" spans="1:35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</row>
    <row r="104" spans="1:35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</row>
    <row r="105" spans="1:35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</row>
    <row r="106" spans="1:35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</row>
    <row r="107" spans="1:35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</row>
    <row r="108" spans="1:35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</row>
    <row r="109" spans="1:35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</row>
    <row r="110" spans="1:35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</row>
    <row r="111" spans="1:35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</row>
    <row r="112" spans="1:35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</row>
    <row r="113" spans="1:35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</row>
    <row r="114" spans="1:35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</row>
    <row r="115" spans="1:35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</row>
    <row r="116" spans="1:35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</row>
    <row r="117" spans="1:35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</row>
    <row r="118" spans="1:35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</row>
    <row r="119" spans="1:35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</row>
    <row r="120" spans="1:35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</row>
    <row r="121" spans="1:35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</row>
    <row r="122" spans="1:35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</row>
    <row r="123" spans="1:35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</row>
    <row r="124" spans="1:35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</row>
    <row r="125" spans="1:35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</row>
    <row r="126" spans="1:35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</row>
    <row r="127" spans="1:35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</row>
    <row r="128" spans="1:35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</row>
    <row r="129" spans="1:35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</row>
    <row r="130" spans="1:35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</row>
    <row r="131" spans="1:35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</row>
    <row r="132" spans="1:35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</row>
    <row r="133" spans="1:35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</row>
    <row r="134" spans="1:35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</row>
    <row r="135" spans="1:35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</row>
    <row r="136" spans="1:35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</row>
    <row r="137" spans="1:35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</row>
    <row r="138" spans="1:35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</row>
    <row r="139" spans="1:35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</row>
    <row r="140" spans="1:35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</row>
    <row r="141" spans="1:35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</row>
    <row r="142" spans="1:35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</row>
    <row r="143" spans="1:35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</row>
    <row r="144" spans="1:35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</row>
    <row r="145" spans="1:35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</row>
    <row r="146" spans="1:35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</row>
    <row r="147" spans="1:35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</row>
    <row r="148" spans="1:35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</row>
    <row r="149" spans="1:35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</row>
    <row r="150" spans="1:35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</row>
    <row r="151" spans="1:35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</row>
    <row r="152" spans="1:35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</row>
    <row r="153" spans="1:35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</row>
    <row r="154" spans="1:35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</row>
  </sheetData>
  <hyperlinks>
    <hyperlink ref="B25" r:id="rId1" xr:uid="{4FBA456D-8E75-4EAA-A739-0344FDC39B40}"/>
    <hyperlink ref="A1" location="Main!A1" display="Main " xr:uid="{D5CA67CA-26B1-4CBC-A463-8CD4BEF842D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5168A-F113-4560-BB52-286A615D7AAB}">
  <dimension ref="A1:AA56"/>
  <sheetViews>
    <sheetView tabSelected="1" zoomScale="200" zoomScaleNormal="200" workbookViewId="0">
      <selection activeCell="I5" sqref="I5"/>
    </sheetView>
  </sheetViews>
  <sheetFormatPr defaultRowHeight="13.5" x14ac:dyDescent="0.25"/>
  <cols>
    <col min="1" max="1" width="3.85546875" style="3" customWidth="1"/>
    <col min="2" max="2" width="22.28515625" style="3" customWidth="1"/>
    <col min="3" max="3" width="9.140625" style="3"/>
    <col min="4" max="4" width="15.140625" style="3" bestFit="1" customWidth="1"/>
    <col min="5" max="16384" width="9.140625" style="3"/>
  </cols>
  <sheetData>
    <row r="1" spans="1:27" x14ac:dyDescent="0.25">
      <c r="A1" s="1" t="s">
        <v>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x14ac:dyDescent="0.25">
      <c r="A3" s="4" t="s">
        <v>89</v>
      </c>
      <c r="B3" s="5" t="s">
        <v>90</v>
      </c>
      <c r="C3" s="5" t="s">
        <v>91</v>
      </c>
      <c r="D3" s="5" t="s">
        <v>92</v>
      </c>
      <c r="E3" s="11" t="s">
        <v>194</v>
      </c>
      <c r="F3" s="11" t="s">
        <v>195</v>
      </c>
      <c r="G3" s="11" t="s">
        <v>197</v>
      </c>
      <c r="H3" s="11" t="s">
        <v>196</v>
      </c>
      <c r="I3" s="11" t="s">
        <v>198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  <c r="V3" s="2"/>
      <c r="W3" s="2"/>
      <c r="X3" s="2"/>
      <c r="Y3" s="2"/>
      <c r="Z3" s="2"/>
      <c r="AA3" s="2"/>
    </row>
    <row r="4" spans="1:27" x14ac:dyDescent="0.25">
      <c r="A4" s="7">
        <v>1</v>
      </c>
      <c r="B4" s="1" t="s">
        <v>2</v>
      </c>
      <c r="C4" s="2" t="s">
        <v>3</v>
      </c>
      <c r="D4" s="2" t="s">
        <v>4</v>
      </c>
      <c r="E4" s="2">
        <f>+[1]Main!$J$2</f>
        <v>219.04</v>
      </c>
      <c r="F4" s="12">
        <f>+[1]Main!$J$4</f>
        <v>88235.952197599996</v>
      </c>
      <c r="G4" s="12">
        <f>+[1]Main!$J$6-[1]Main!$J$5</f>
        <v>23580</v>
      </c>
      <c r="H4" s="12">
        <f>+F4+G4</f>
        <v>111815.9521976</v>
      </c>
      <c r="I4" s="13" t="s">
        <v>199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x14ac:dyDescent="0.25">
      <c r="A5" s="7">
        <f>+A4+1</f>
        <v>2</v>
      </c>
      <c r="B5" s="1" t="s">
        <v>5</v>
      </c>
      <c r="C5" s="2" t="s">
        <v>6</v>
      </c>
      <c r="D5" s="2" t="s">
        <v>4</v>
      </c>
      <c r="E5" s="2">
        <f>+[3]Main!$I$2</f>
        <v>221.37</v>
      </c>
      <c r="F5" s="12">
        <f>+[3]Main!$I$4</f>
        <v>69115.216073400006</v>
      </c>
      <c r="G5" s="12">
        <f>+[3]Main!$I$6-[3]Main!$I$5</f>
        <v>12845</v>
      </c>
      <c r="H5" s="12">
        <f>+F5+G5</f>
        <v>81960.216073400006</v>
      </c>
      <c r="I5" s="13" t="s">
        <v>199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x14ac:dyDescent="0.25">
      <c r="A6" s="7">
        <f t="shared" ref="A6:A43" si="0">+A5+1</f>
        <v>3</v>
      </c>
      <c r="B6" s="2" t="s">
        <v>7</v>
      </c>
      <c r="C6" s="2" t="s">
        <v>8</v>
      </c>
      <c r="D6" s="2" t="s">
        <v>4</v>
      </c>
      <c r="E6" s="2"/>
      <c r="F6" s="12"/>
      <c r="G6" s="12"/>
      <c r="H6" s="1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x14ac:dyDescent="0.25">
      <c r="A7" s="7">
        <f t="shared" si="0"/>
        <v>4</v>
      </c>
      <c r="B7" s="2" t="s">
        <v>9</v>
      </c>
      <c r="C7" s="2" t="s">
        <v>10</v>
      </c>
      <c r="D7" s="2" t="s">
        <v>11</v>
      </c>
      <c r="E7" s="2"/>
      <c r="F7" s="12"/>
      <c r="G7" s="12"/>
      <c r="H7" s="1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x14ac:dyDescent="0.25">
      <c r="A8" s="7">
        <f t="shared" si="0"/>
        <v>5</v>
      </c>
      <c r="B8" s="2" t="s">
        <v>12</v>
      </c>
      <c r="C8" s="2" t="s">
        <v>13</v>
      </c>
      <c r="D8" s="2" t="s">
        <v>14</v>
      </c>
      <c r="E8" s="2"/>
      <c r="F8" s="12"/>
      <c r="G8" s="12"/>
      <c r="H8" s="1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x14ac:dyDescent="0.25">
      <c r="A9" s="7">
        <f t="shared" si="0"/>
        <v>6</v>
      </c>
      <c r="B9" s="1" t="s">
        <v>15</v>
      </c>
      <c r="C9" s="2" t="s">
        <v>16</v>
      </c>
      <c r="D9" s="2" t="s">
        <v>4</v>
      </c>
      <c r="E9" s="2">
        <f>+[2]Main!$I$2</f>
        <v>237.7</v>
      </c>
      <c r="F9" s="12">
        <f>+[2]Main!$I$4</f>
        <v>12748.470683899999</v>
      </c>
      <c r="G9" s="12">
        <f>+[2]Main!$I$6-[2]Main!$I$5</f>
        <v>2082.558</v>
      </c>
      <c r="H9" s="12">
        <f>+F9+G9</f>
        <v>14831.0286839</v>
      </c>
      <c r="I9" s="14" t="s">
        <v>199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x14ac:dyDescent="0.25">
      <c r="A10" s="7">
        <f t="shared" si="0"/>
        <v>7</v>
      </c>
      <c r="B10" s="2" t="s">
        <v>17</v>
      </c>
      <c r="C10" s="2" t="s">
        <v>18</v>
      </c>
      <c r="D10" s="2" t="s">
        <v>4</v>
      </c>
      <c r="E10" s="2"/>
      <c r="F10" s="12"/>
      <c r="G10" s="12"/>
      <c r="H10" s="1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x14ac:dyDescent="0.25">
      <c r="A11" s="7">
        <f t="shared" si="0"/>
        <v>8</v>
      </c>
      <c r="B11" s="2" t="s">
        <v>19</v>
      </c>
      <c r="C11" s="2" t="s">
        <v>20</v>
      </c>
      <c r="D11" s="2" t="s">
        <v>4</v>
      </c>
      <c r="E11" s="2"/>
      <c r="F11" s="12"/>
      <c r="G11" s="12"/>
      <c r="H11" s="1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x14ac:dyDescent="0.25">
      <c r="A12" s="7">
        <f t="shared" si="0"/>
        <v>9</v>
      </c>
      <c r="B12" s="2" t="s">
        <v>21</v>
      </c>
      <c r="C12" s="2" t="s">
        <v>22</v>
      </c>
      <c r="D12" s="2" t="s">
        <v>23</v>
      </c>
      <c r="E12" s="2"/>
      <c r="F12" s="12"/>
      <c r="G12" s="12"/>
      <c r="H12" s="1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x14ac:dyDescent="0.25">
      <c r="A13" s="7">
        <f t="shared" si="0"/>
        <v>10</v>
      </c>
      <c r="B13" s="2" t="s">
        <v>24</v>
      </c>
      <c r="C13" s="2" t="s">
        <v>25</v>
      </c>
      <c r="D13" s="2" t="s">
        <v>26</v>
      </c>
      <c r="E13" s="2"/>
      <c r="F13" s="12"/>
      <c r="G13" s="12"/>
      <c r="H13" s="1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x14ac:dyDescent="0.25">
      <c r="A14" s="7">
        <f t="shared" si="0"/>
        <v>11</v>
      </c>
      <c r="B14" s="2" t="s">
        <v>27</v>
      </c>
      <c r="C14" s="2" t="s">
        <v>28</v>
      </c>
      <c r="D14" s="2" t="s">
        <v>29</v>
      </c>
      <c r="E14" s="2"/>
      <c r="F14" s="12"/>
      <c r="G14" s="12"/>
      <c r="H14" s="1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x14ac:dyDescent="0.25">
      <c r="A15" s="7">
        <f t="shared" si="0"/>
        <v>12</v>
      </c>
      <c r="B15" s="2" t="s">
        <v>30</v>
      </c>
      <c r="C15" s="2" t="s">
        <v>31</v>
      </c>
      <c r="D15" s="2" t="s">
        <v>4</v>
      </c>
      <c r="E15" s="2"/>
      <c r="F15" s="12"/>
      <c r="G15" s="12"/>
      <c r="H15" s="1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x14ac:dyDescent="0.25">
      <c r="A16" s="7">
        <f t="shared" si="0"/>
        <v>13</v>
      </c>
      <c r="B16" s="2" t="s">
        <v>32</v>
      </c>
      <c r="C16" s="2" t="s">
        <v>33</v>
      </c>
      <c r="D16" s="2" t="s">
        <v>34</v>
      </c>
      <c r="E16" s="2"/>
      <c r="F16" s="12"/>
      <c r="G16" s="12"/>
      <c r="H16" s="1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x14ac:dyDescent="0.25">
      <c r="A17" s="7">
        <f t="shared" si="0"/>
        <v>14</v>
      </c>
      <c r="B17" s="2" t="s">
        <v>35</v>
      </c>
      <c r="C17" s="2" t="s">
        <v>36</v>
      </c>
      <c r="D17" s="2" t="s">
        <v>4</v>
      </c>
      <c r="E17" s="2"/>
      <c r="F17" s="12"/>
      <c r="G17" s="12"/>
      <c r="H17" s="1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x14ac:dyDescent="0.25">
      <c r="A18" s="7">
        <f t="shared" si="0"/>
        <v>15</v>
      </c>
      <c r="B18" s="2" t="s">
        <v>37</v>
      </c>
      <c r="C18" s="2" t="s">
        <v>38</v>
      </c>
      <c r="D18" s="2" t="s">
        <v>39</v>
      </c>
      <c r="E18" s="2"/>
      <c r="F18" s="12"/>
      <c r="G18" s="12"/>
      <c r="H18" s="1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x14ac:dyDescent="0.25">
      <c r="A19" s="7">
        <f t="shared" si="0"/>
        <v>16</v>
      </c>
      <c r="B19" s="2" t="s">
        <v>40</v>
      </c>
      <c r="C19" s="2" t="s">
        <v>41</v>
      </c>
      <c r="D19" s="2" t="s">
        <v>11</v>
      </c>
      <c r="E19" s="2"/>
      <c r="F19" s="12"/>
      <c r="G19" s="12"/>
      <c r="H19" s="1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x14ac:dyDescent="0.25">
      <c r="A20" s="7">
        <f t="shared" si="0"/>
        <v>17</v>
      </c>
      <c r="B20" s="2" t="s">
        <v>42</v>
      </c>
      <c r="C20" s="2" t="s">
        <v>43</v>
      </c>
      <c r="D20" s="2" t="s">
        <v>44</v>
      </c>
      <c r="E20" s="2"/>
      <c r="F20" s="12"/>
      <c r="G20" s="12"/>
      <c r="H20" s="1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x14ac:dyDescent="0.25">
      <c r="A21" s="7">
        <f t="shared" si="0"/>
        <v>18</v>
      </c>
      <c r="B21" s="2" t="s">
        <v>45</v>
      </c>
      <c r="C21" s="2" t="s">
        <v>46</v>
      </c>
      <c r="D21" s="2" t="s">
        <v>47</v>
      </c>
      <c r="E21" s="2"/>
      <c r="F21" s="12"/>
      <c r="G21" s="12"/>
      <c r="H21" s="1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x14ac:dyDescent="0.25">
      <c r="A22" s="7">
        <f t="shared" si="0"/>
        <v>19</v>
      </c>
      <c r="B22" s="2" t="s">
        <v>48</v>
      </c>
      <c r="C22" s="2" t="s">
        <v>49</v>
      </c>
      <c r="D22" s="2" t="s">
        <v>4</v>
      </c>
      <c r="E22" s="2"/>
      <c r="F22" s="12"/>
      <c r="G22" s="12"/>
      <c r="H22" s="1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x14ac:dyDescent="0.25">
      <c r="A23" s="7">
        <f t="shared" si="0"/>
        <v>20</v>
      </c>
      <c r="B23" s="2" t="s">
        <v>50</v>
      </c>
      <c r="C23" s="2" t="s">
        <v>51</v>
      </c>
      <c r="D23" s="2" t="s">
        <v>11</v>
      </c>
      <c r="E23" s="2"/>
      <c r="F23" s="12"/>
      <c r="G23" s="12"/>
      <c r="H23" s="1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x14ac:dyDescent="0.25">
      <c r="A24" s="7">
        <f t="shared" si="0"/>
        <v>21</v>
      </c>
      <c r="B24" s="2" t="s">
        <v>52</v>
      </c>
      <c r="C24" s="2" t="s">
        <v>53</v>
      </c>
      <c r="D24" s="2" t="s">
        <v>34</v>
      </c>
      <c r="E24" s="2"/>
      <c r="F24" s="12"/>
      <c r="G24" s="12"/>
      <c r="H24" s="1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x14ac:dyDescent="0.25">
      <c r="A25" s="7">
        <f t="shared" si="0"/>
        <v>22</v>
      </c>
      <c r="B25" s="2" t="s">
        <v>54</v>
      </c>
      <c r="C25" s="2" t="s">
        <v>55</v>
      </c>
      <c r="D25" s="2" t="s">
        <v>4</v>
      </c>
      <c r="E25" s="2"/>
      <c r="F25" s="12"/>
      <c r="G25" s="12"/>
      <c r="H25" s="1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x14ac:dyDescent="0.25">
      <c r="A26" s="7">
        <f t="shared" si="0"/>
        <v>23</v>
      </c>
      <c r="B26" s="2" t="s">
        <v>56</v>
      </c>
      <c r="C26" s="2" t="s">
        <v>57</v>
      </c>
      <c r="D26" s="2" t="s">
        <v>11</v>
      </c>
      <c r="E26" s="2"/>
      <c r="F26" s="12"/>
      <c r="G26" s="12"/>
      <c r="H26" s="1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x14ac:dyDescent="0.25">
      <c r="A27" s="7">
        <f t="shared" si="0"/>
        <v>24</v>
      </c>
      <c r="B27" s="2" t="s">
        <v>58</v>
      </c>
      <c r="C27" s="2" t="s">
        <v>59</v>
      </c>
      <c r="D27" s="2" t="s">
        <v>29</v>
      </c>
      <c r="E27" s="2"/>
      <c r="F27" s="12"/>
      <c r="G27" s="12"/>
      <c r="H27" s="1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x14ac:dyDescent="0.25">
      <c r="A28" s="7">
        <f t="shared" si="0"/>
        <v>25</v>
      </c>
      <c r="B28" s="2" t="s">
        <v>60</v>
      </c>
      <c r="C28" s="2" t="s">
        <v>61</v>
      </c>
      <c r="D28" s="2" t="s">
        <v>14</v>
      </c>
      <c r="E28" s="2"/>
      <c r="F28" s="12"/>
      <c r="G28" s="12"/>
      <c r="H28" s="1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x14ac:dyDescent="0.25">
      <c r="A29" s="7">
        <f t="shared" si="0"/>
        <v>26</v>
      </c>
      <c r="B29" s="2" t="s">
        <v>62</v>
      </c>
      <c r="C29" s="2" t="s">
        <v>63</v>
      </c>
      <c r="D29" s="2" t="s">
        <v>23</v>
      </c>
      <c r="E29" s="2"/>
      <c r="F29" s="12"/>
      <c r="G29" s="12"/>
      <c r="H29" s="1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x14ac:dyDescent="0.25">
      <c r="A30" s="7">
        <f t="shared" si="0"/>
        <v>27</v>
      </c>
      <c r="B30" s="2" t="s">
        <v>64</v>
      </c>
      <c r="C30" s="2" t="s">
        <v>65</v>
      </c>
      <c r="D30" s="2" t="s">
        <v>4</v>
      </c>
      <c r="E30" s="2"/>
      <c r="F30" s="12"/>
      <c r="G30" s="12"/>
      <c r="H30" s="1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x14ac:dyDescent="0.25">
      <c r="A31" s="7">
        <f t="shared" si="0"/>
        <v>28</v>
      </c>
      <c r="B31" s="2" t="s">
        <v>66</v>
      </c>
      <c r="C31" s="2" t="s">
        <v>67</v>
      </c>
      <c r="D31" s="2" t="s">
        <v>68</v>
      </c>
      <c r="E31" s="2"/>
      <c r="F31" s="12"/>
      <c r="G31" s="12"/>
      <c r="H31" s="1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x14ac:dyDescent="0.25">
      <c r="A32" s="7">
        <f t="shared" si="0"/>
        <v>29</v>
      </c>
      <c r="B32" s="2" t="s">
        <v>69</v>
      </c>
      <c r="C32" s="2" t="s">
        <v>70</v>
      </c>
      <c r="D32" s="2" t="s">
        <v>71</v>
      </c>
      <c r="E32" s="2"/>
      <c r="F32" s="12"/>
      <c r="G32" s="12"/>
      <c r="H32" s="1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x14ac:dyDescent="0.25">
      <c r="A33" s="7">
        <f t="shared" si="0"/>
        <v>30</v>
      </c>
      <c r="B33" s="2" t="s">
        <v>72</v>
      </c>
      <c r="C33" s="2" t="s">
        <v>73</v>
      </c>
      <c r="D33" s="2" t="s">
        <v>14</v>
      </c>
      <c r="E33" s="2"/>
      <c r="F33" s="12"/>
      <c r="G33" s="12"/>
      <c r="H33" s="1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x14ac:dyDescent="0.25">
      <c r="A34" s="7">
        <f t="shared" si="0"/>
        <v>31</v>
      </c>
      <c r="B34" s="2" t="s">
        <v>74</v>
      </c>
      <c r="C34" s="2" t="s">
        <v>75</v>
      </c>
      <c r="D34" s="2" t="s">
        <v>4</v>
      </c>
      <c r="E34" s="2"/>
      <c r="F34" s="12"/>
      <c r="G34" s="12"/>
      <c r="H34" s="1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x14ac:dyDescent="0.25">
      <c r="A35" s="7">
        <f t="shared" si="0"/>
        <v>32</v>
      </c>
      <c r="B35" s="2" t="s">
        <v>76</v>
      </c>
      <c r="C35" s="2" t="s">
        <v>77</v>
      </c>
      <c r="D35" s="2" t="s">
        <v>78</v>
      </c>
      <c r="E35" s="2"/>
      <c r="F35" s="12"/>
      <c r="G35" s="12"/>
      <c r="H35" s="1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x14ac:dyDescent="0.25">
      <c r="A36" s="7">
        <f t="shared" si="0"/>
        <v>33</v>
      </c>
      <c r="B36" s="2" t="s">
        <v>79</v>
      </c>
      <c r="C36" s="2" t="s">
        <v>80</v>
      </c>
      <c r="D36" s="2" t="s">
        <v>4</v>
      </c>
      <c r="E36" s="2"/>
      <c r="F36" s="12"/>
      <c r="G36" s="12"/>
      <c r="H36" s="1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x14ac:dyDescent="0.25">
      <c r="A37" s="7">
        <f t="shared" si="0"/>
        <v>34</v>
      </c>
      <c r="B37" s="2" t="s">
        <v>81</v>
      </c>
      <c r="C37" s="2" t="s">
        <v>82</v>
      </c>
      <c r="D37" s="2" t="s">
        <v>14</v>
      </c>
      <c r="E37" s="2"/>
      <c r="F37" s="12"/>
      <c r="G37" s="12"/>
      <c r="H37" s="1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x14ac:dyDescent="0.25">
      <c r="A38" s="7">
        <f t="shared" si="0"/>
        <v>35</v>
      </c>
      <c r="B38" s="2" t="s">
        <v>83</v>
      </c>
      <c r="C38" s="2" t="s">
        <v>84</v>
      </c>
      <c r="D38" s="2" t="s">
        <v>4</v>
      </c>
      <c r="E38" s="2"/>
      <c r="F38" s="12"/>
      <c r="G38" s="12"/>
      <c r="H38" s="1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x14ac:dyDescent="0.25">
      <c r="A39" s="7">
        <f t="shared" si="0"/>
        <v>36</v>
      </c>
      <c r="B39" s="2" t="s">
        <v>85</v>
      </c>
      <c r="C39" s="2" t="s">
        <v>86</v>
      </c>
      <c r="D39" s="2" t="s">
        <v>14</v>
      </c>
      <c r="E39" s="2"/>
      <c r="F39" s="12"/>
      <c r="G39" s="12"/>
      <c r="H39" s="1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x14ac:dyDescent="0.25">
      <c r="A40" s="7">
        <f t="shared" si="0"/>
        <v>37</v>
      </c>
      <c r="B40" s="2"/>
      <c r="C40" s="2"/>
      <c r="D40" s="2"/>
      <c r="E40" s="2"/>
      <c r="F40" s="12"/>
      <c r="G40" s="12"/>
      <c r="H40" s="1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x14ac:dyDescent="0.25">
      <c r="A41" s="7">
        <f t="shared" si="0"/>
        <v>38</v>
      </c>
      <c r="B41" s="2"/>
      <c r="C41" s="2"/>
      <c r="D41" s="2"/>
      <c r="E41" s="2"/>
      <c r="F41" s="12"/>
      <c r="G41" s="12"/>
      <c r="H41" s="1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x14ac:dyDescent="0.25">
      <c r="A42" s="7">
        <f t="shared" si="0"/>
        <v>39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x14ac:dyDescent="0.25">
      <c r="A43" s="7">
        <f t="shared" si="0"/>
        <v>40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</sheetData>
  <hyperlinks>
    <hyperlink ref="A1" location="Main!A1" display="Main" xr:uid="{C2B40A9F-93B0-475C-8740-32215A06F0B9}"/>
    <hyperlink ref="B4" r:id="rId1" xr:uid="{384978A1-9B70-4F80-B1D9-5CAC25F81331}"/>
    <hyperlink ref="B9" r:id="rId2" xr:uid="{3F553720-DB4C-4EFB-A43C-9520ED62705D}"/>
    <hyperlink ref="B5" r:id="rId3" xr:uid="{6492C950-DDD3-47D2-9238-6FE2D71EE68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5D2D7-B0EC-4698-9ED9-946749FDBE50}">
  <dimension ref="A1"/>
  <sheetViews>
    <sheetView workbookViewId="0"/>
  </sheetViews>
  <sheetFormatPr defaultRowHeight="15" x14ac:dyDescent="0.25"/>
  <sheetData>
    <row r="1" spans="1:1" x14ac:dyDescent="0.25">
      <c r="A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Water</vt:lpstr>
      <vt:lpstr>Waste</vt:lpstr>
      <vt:lpstr>FX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2025-04-12T11:55:39Z</dcterms:created>
  <dcterms:modified xsi:type="dcterms:W3CDTF">2025-10-12T10:33:41Z</dcterms:modified>
</cp:coreProperties>
</file>