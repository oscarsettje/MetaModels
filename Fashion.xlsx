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DB521E3-CEF6-455C-9731-75581ABAF29C}" xr6:coauthVersionLast="47" xr6:coauthVersionMax="47" xr10:uidLastSave="{00000000-0000-0000-0000-000000000000}"/>
  <bookViews>
    <workbookView xWindow="225" yWindow="351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<sst xmlns="http://schemas.openxmlformats.org/spreadsheetml/2006/main" count="1396" uniqueCount="824">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</sst>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82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/>
    <xf numFmtId="0" fontId="2" fillId="0" borderId="0" xfId="0" applyFont="1"/>
    <xf numFmtId="0" fontId="2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2" fillId="0" borderId="0" xfId="0" applyFont="1" applyAlignment="1">
      <alignment horizontal="center"/>
    </xf>
    <xf numFmtId="166" fontId="2" fillId="0" borderId="0" xfId="0" applyNumberFormat="1" applyFont="1"/>
    <xf numFmtId="0" fontId="2" fillId="0" borderId="0" xfId="0" applyFont="1" applyAlignment="1">
      <alignment horizontal="left"/>
    </xf>
    <xf numFmtId="165" fontId="2" fillId="0" borderId="0" xfId="0" applyNumberFormat="1" applyFont="1"/>
    <xf numFmtId="17" fontId="2" fillId="0" borderId="0" xfId="0" applyNumberFormat="1" applyFont="1" applyAlignment="1">
      <alignment horizontal="right"/>
    </xf>
    <xf numFmtId="16" fontId="2" fillId="0" borderId="0" xfId="0" applyNumberFormat="1" applyFont="1"/>
    <xf numFmtId="9" fontId="2" fillId="0" borderId="0" xfId="1" applyFont="1"/>
    <xf numFmtId="168" fontId="2" fillId="0" borderId="0" xfId="0" applyNumberFormat="1" applyFont="1"/>
    <xf numFmtId="168" fontId="2" fillId="0" borderId="0" xfId="1" applyNumberFormat="1" applyFont="1"/>
    <xf numFmtId="164" fontId="2" fillId="0" borderId="0" xfId="1" applyNumberFormat="1" applyFont="1"/>
    <xf numFmtId="0" fontId="2" fillId="0" borderId="0" xfId="1" applyNumberFormat="1" applyFont="1" applyAlignment="1">
      <alignment horizontal="right"/>
    </xf>
    <xf numFmtId="0" fontId="11" fillId="0" borderId="0" xfId="2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2" fillId="0" borderId="0" xfId="0" quotePrefix="1" applyFont="1" applyAlignment="1">
      <alignment horizontal="left"/>
    </xf>
    <xf numFmtId="0" fontId="12" fillId="0" borderId="0" xfId="0" applyFont="1"/>
    <xf numFmtId="2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0" fontId="1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605.70000000000005</v>
          </cell>
        </row>
        <row r="6">
          <cell r="I6">
            <v>301904.66341620003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2186</v>
          </cell>
        </row>
        <row r="4">
          <cell r="K4">
            <v>229171.86980599997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45.46</v>
          </cell>
        </row>
        <row r="5">
          <cell r="J5">
            <v>141644.79719985998</v>
          </cell>
        </row>
        <row r="6">
          <cell r="J6">
            <v>10013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71.94</v>
          </cell>
        </row>
        <row r="5">
          <cell r="I5">
            <v>106226.60399999999</v>
          </cell>
        </row>
        <row r="6">
          <cell r="I6">
            <v>8575</v>
          </cell>
        </row>
        <row r="7">
          <cell r="I7">
            <v>7996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48290</v>
          </cell>
        </row>
        <row r="5">
          <cell r="J5">
            <v>14814725.010580001</v>
          </cell>
        </row>
        <row r="6">
          <cell r="J6">
            <v>1792940</v>
          </cell>
        </row>
        <row r="7">
          <cell r="J7">
            <v>315917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183</v>
          </cell>
        </row>
        <row r="4">
          <cell r="K4">
            <v>73541.602073999995</v>
          </cell>
        </row>
        <row r="5">
          <cell r="K5">
            <v>138.143</v>
          </cell>
        </row>
        <row r="6">
          <cell r="K6">
            <v>2425.7570000000001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174.02</v>
          </cell>
        </row>
        <row r="4">
          <cell r="I4">
            <v>19745.715629639999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331.65</v>
          </cell>
        </row>
        <row r="4">
          <cell r="H4">
            <v>40660.140425849997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87.2</v>
          </cell>
        </row>
        <row r="4">
          <cell r="M4">
            <v>13030.808300000001</v>
          </cell>
        </row>
        <row r="5">
          <cell r="M5">
            <v>1414.479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</sheetData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 refreshError="1"/>
      <sheetData sheetId="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</v>
          </cell>
        </row>
        <row r="4">
          <cell r="I4">
            <v>17826.147000000001</v>
          </cell>
        </row>
        <row r="5">
          <cell r="I5">
            <v>747.61900000000003</v>
          </cell>
        </row>
        <row r="6">
          <cell r="I6">
            <v>2039.3050000000001</v>
          </cell>
        </row>
      </sheetData>
      <sheetData sheetId="1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100.74</v>
          </cell>
        </row>
        <row r="4">
          <cell r="J4">
            <v>20616.416016480001</v>
          </cell>
        </row>
        <row r="5">
          <cell r="J5">
            <v>743.2</v>
          </cell>
        </row>
        <row r="6">
          <cell r="J6">
            <v>2635.4</v>
          </cell>
        </row>
      </sheetData>
      <sheetData sheetId="1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42.48</v>
          </cell>
        </row>
        <row r="5">
          <cell r="H5">
            <v>10705.028957783998</v>
          </cell>
        </row>
        <row r="6">
          <cell r="H6">
            <v>961.8</v>
          </cell>
        </row>
        <row r="7">
          <cell r="H7">
            <v>56.2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324.72000000000003</v>
          </cell>
        </row>
        <row r="4">
          <cell r="H4">
            <v>19691.234465760001</v>
          </cell>
        </row>
        <row r="5">
          <cell r="H5">
            <v>1645.5</v>
          </cell>
        </row>
        <row r="6">
          <cell r="H6">
            <v>1462.1000000000001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15.1</v>
          </cell>
        </row>
        <row r="4">
          <cell r="H4">
            <v>5899.9438458000004</v>
          </cell>
        </row>
        <row r="5">
          <cell r="H5">
            <v>419.11500000000001</v>
          </cell>
        </row>
        <row r="6">
          <cell r="H6">
            <v>4046.326</v>
          </cell>
        </row>
      </sheetData>
      <sheetData sheetId="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22.77</v>
          </cell>
        </row>
        <row r="4">
          <cell r="I4">
            <v>8899.1889901200011</v>
          </cell>
        </row>
        <row r="5">
          <cell r="I5">
            <v>707.5</v>
          </cell>
        </row>
        <row r="6">
          <cell r="I6">
            <v>1042.8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81.19</v>
          </cell>
        </row>
        <row r="4">
          <cell r="H4">
            <v>4215.0321918300006</v>
          </cell>
        </row>
        <row r="5">
          <cell r="H5">
            <v>153.97</v>
          </cell>
        </row>
        <row r="6">
          <cell r="H6">
            <v>1318.498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52.35</v>
          </cell>
        </row>
        <row r="4">
          <cell r="I4">
            <v>2867.2130074500001</v>
          </cell>
        </row>
        <row r="5">
          <cell r="I5">
            <v>578.30700000000002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88.25</v>
          </cell>
        </row>
        <row r="4">
          <cell r="J4">
            <v>4246.5707615000001</v>
          </cell>
        </row>
        <row r="5">
          <cell r="J5">
            <v>248.8</v>
          </cell>
        </row>
        <row r="6">
          <cell r="J6">
            <v>2256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26.13</v>
          </cell>
        </row>
        <row r="4">
          <cell r="I4">
            <v>2094.6979930499997</v>
          </cell>
        </row>
        <row r="5">
          <cell r="I5">
            <v>188</v>
          </cell>
        </row>
        <row r="6">
          <cell r="I6">
            <v>1052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29.25</v>
          </cell>
        </row>
        <row r="4">
          <cell r="J4">
            <v>2376.6897667500002</v>
          </cell>
        </row>
        <row r="5">
          <cell r="J5">
            <v>141</v>
          </cell>
        </row>
        <row r="6">
          <cell r="J6">
            <v>698.5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31" activePane="bottomRight" state="frozen"/>
      <selection pane="topRight" activeCell="C1" sqref="C1"/>
      <selection pane="bottomLeft" activeCell="A4" sqref="A4"/>
      <selection pane="bottomRight" activeCell="E39" sqref="E39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815</v>
      </c>
      <c r="N3" s="11" t="s">
        <v>816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1839527.9690861157</v>
      </c>
      <c r="G4" s="19">
        <f>+SUM(G6:G153)</f>
        <v>18811.411935200009</v>
      </c>
      <c r="H4" s="19">
        <f>SUM(H6:H153)</f>
        <v>1858339.3810213157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23889.973624495011</v>
      </c>
      <c r="G5" s="19">
        <f>AVERAGE(G6:G153)</f>
        <v>244.30405110649363</v>
      </c>
      <c r="H5" s="19">
        <f>AVERAGE(H6:H153)</f>
        <v>24134.277675601501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605.70000000000005</v>
      </c>
      <c r="F6" s="19">
        <f>+[1]Main!$I$6*FX!C3</f>
        <v>313980.84995284805</v>
      </c>
      <c r="G6" s="19">
        <f>(+[1]Main!$I$8-[1]Main!$I$7)*FX!C3</f>
        <v>14773.2</v>
      </c>
      <c r="H6" s="19">
        <f>F6+G6</f>
        <v>328754.04995284806</v>
      </c>
      <c r="I6" s="27" t="s">
        <v>818</v>
      </c>
      <c r="J6" s="28">
        <v>46080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2186</v>
      </c>
      <c r="F7" s="19">
        <f>+[2]Main!$K$4*FX!C3</f>
        <v>238338.74459823998</v>
      </c>
      <c r="G7" s="19">
        <f>+([2]Main!$K$6-[2]Main!$K$5)*FX!C3</f>
        <v>-10700.56</v>
      </c>
      <c r="H7" s="19">
        <f>F7+G7</f>
        <v>227638.18459823998</v>
      </c>
      <c r="I7" s="27" t="s">
        <v>818</v>
      </c>
      <c r="J7" s="28">
        <v>46034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45.46</v>
      </c>
      <c r="F8" s="19">
        <f>+[3]Main!$J$5*FX!C3</f>
        <v>147310.58908785437</v>
      </c>
      <c r="G8" s="19">
        <f>+([3]Main!$J$7-[3]Main!$J$6)*FX!C3</f>
        <v>-10412.48</v>
      </c>
      <c r="H8" s="19">
        <f t="shared" ref="H8:H35" si="1">F8+G8</f>
        <v>136898.10908785436</v>
      </c>
      <c r="I8" s="27" t="s">
        <v>149</v>
      </c>
      <c r="J8" s="28">
        <v>45994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800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32" t="s">
        <v>474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71.94</v>
      </c>
      <c r="F11" s="19">
        <f>+[6]Main!$I$5</f>
        <v>106226.60399999999</v>
      </c>
      <c r="G11" s="19">
        <f>+[6]Main!$I$7-[6]Main!$I$6</f>
        <v>-579</v>
      </c>
      <c r="H11" s="19">
        <f t="shared" si="1"/>
        <v>105647.60399999999</v>
      </c>
      <c r="I11" s="27" t="s">
        <v>716</v>
      </c>
      <c r="J11" s="28">
        <v>46009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48290</v>
      </c>
      <c r="F12" s="19">
        <f>+[7]Main!$J$5*FX!C5</f>
        <v>93332.767566654016</v>
      </c>
      <c r="G12" s="19">
        <f>+([7]Main!$J$7-[7]Main!$J$6)*FX!C5</f>
        <v>-9305.2448999999997</v>
      </c>
      <c r="H12" s="19">
        <f t="shared" si="1"/>
        <v>84027.522666654011</v>
      </c>
      <c r="I12" s="27" t="s">
        <v>714</v>
      </c>
      <c r="J12" s="28">
        <v>46030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183</v>
      </c>
      <c r="F13" s="19">
        <f>+[8]Main!$K$4</f>
        <v>73541.602073999995</v>
      </c>
      <c r="G13" s="19">
        <f>+[8]Main!$K$6-[8]Main!$K$5</f>
        <v>2287.614</v>
      </c>
      <c r="H13" s="19">
        <f t="shared" si="1"/>
        <v>75829.216073999996</v>
      </c>
      <c r="I13" s="27" t="s">
        <v>716</v>
      </c>
      <c r="J13" s="28">
        <v>46009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812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174.02</v>
      </c>
      <c r="F15" s="19">
        <f>+[10]Main!$I$4</f>
        <v>19745.715629639999</v>
      </c>
      <c r="G15" s="19">
        <f>+[10]Main!$I$6-[10]Main!$I$5</f>
        <v>-1155.7940000000001</v>
      </c>
      <c r="H15" s="19">
        <f>F15+G15</f>
        <v>18589.921629639997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157.55000000000001</v>
      </c>
      <c r="F16" s="19">
        <f>+[11]Main!$I$4*FX!C3</f>
        <v>29255.624511568003</v>
      </c>
      <c r="G16" s="19">
        <f>+([11]Main!$I$6-[11]Main!$I$5)*FX!C3</f>
        <v>1502.8</v>
      </c>
      <c r="H16" s="19">
        <f>F16+G16</f>
        <v>30758.424511568002</v>
      </c>
      <c r="I16" s="27" t="s">
        <v>818</v>
      </c>
      <c r="J16" s="28">
        <v>46090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331.65</v>
      </c>
      <c r="F17" s="19">
        <f>+[12]Main!$H$4*FX!C3</f>
        <v>42286.546042884002</v>
      </c>
      <c r="G17" s="19">
        <f>+([12]Main!$H$6-[12]Main!$H$5)*FX!C3</f>
        <v>9883.1200000000008</v>
      </c>
      <c r="H17" s="19">
        <f t="shared" si="1"/>
        <v>52169.666042884004</v>
      </c>
      <c r="I17" s="27" t="s">
        <v>818</v>
      </c>
      <c r="J17" s="28">
        <v>46063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87.2</v>
      </c>
      <c r="F19" s="19">
        <f>+[14]Main!$M$4</f>
        <v>13030.808300000001</v>
      </c>
      <c r="G19" s="19">
        <f>+[14]Main!$M$6-[14]Main!$M$5</f>
        <v>-1414.479</v>
      </c>
      <c r="H19" s="19">
        <f>F19+G19</f>
        <v>11616.329300000001</v>
      </c>
      <c r="I19" s="27" t="s">
        <v>812</v>
      </c>
      <c r="J19" s="28">
        <v>46051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171.25</v>
      </c>
      <c r="F20" s="19">
        <f>+[15]Main!$I$4*FX!C4</f>
        <v>26092.146624999998</v>
      </c>
      <c r="G20" s="19">
        <f>+([15]Main!$I$6-[15]Main!$I$5)*FX!C4</f>
        <v>5226.33</v>
      </c>
      <c r="H20" s="19">
        <f t="shared" si="1"/>
        <v>31318.476624999996</v>
      </c>
      <c r="I20" s="27" t="s">
        <v>818</v>
      </c>
      <c r="J20" s="28">
        <v>46051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818</v>
      </c>
      <c r="J21" s="28">
        <v>46084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/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818</v>
      </c>
      <c r="J23" s="28">
        <v>46072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</v>
      </c>
      <c r="F24" s="19">
        <f>+[19]Main!$I$4</f>
        <v>17826.147000000001</v>
      </c>
      <c r="G24" s="19">
        <f>+[19]Main!$I$6-[19]Main!$I$5</f>
        <v>1291.6860000000001</v>
      </c>
      <c r="H24" s="19">
        <f>F24+G24</f>
        <v>19117.833000000002</v>
      </c>
      <c r="I24" s="27" t="s">
        <v>149</v>
      </c>
      <c r="J24" s="28">
        <v>45986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100.74</v>
      </c>
      <c r="F25" s="19">
        <f>+[20]Main!$J$4</f>
        <v>20616.416016480001</v>
      </c>
      <c r="G25" s="19">
        <f>+[20]Main!$J$6-[20]Main!$J$5</f>
        <v>1892.2</v>
      </c>
      <c r="H25" s="19">
        <f t="shared" si="1"/>
        <v>22508.616016480002</v>
      </c>
      <c r="I25" s="27" t="s">
        <v>716</v>
      </c>
      <c r="J25" s="28">
        <v>46058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45959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42.48</v>
      </c>
      <c r="F28" s="19">
        <f>+[23]Main!$H$5*FX!C7</f>
        <v>11989.632432718079</v>
      </c>
      <c r="G28" s="19">
        <f>+([23]Main!$H$7-[23]Main!$H$6)*FX!C7</f>
        <v>-1014.272</v>
      </c>
      <c r="H28" s="19">
        <f>F28+G28</f>
        <v>10975.360432718078</v>
      </c>
      <c r="I28" s="27" t="s">
        <v>818</v>
      </c>
      <c r="J28" s="28">
        <v>46085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324.72000000000003</v>
      </c>
      <c r="F31" s="19">
        <f>+[26]Main!$H$4</f>
        <v>19691.234465760001</v>
      </c>
      <c r="G31" s="19">
        <f>+[26]Main!$H$6-[26]Main!$H$5</f>
        <v>-183.39999999999986</v>
      </c>
      <c r="H31" s="19">
        <f t="shared" si="1"/>
        <v>19507.834465759999</v>
      </c>
      <c r="I31" s="27" t="s">
        <v>812</v>
      </c>
      <c r="J31" s="28">
        <v>46058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15.1</v>
      </c>
      <c r="F34" s="19">
        <f>+[29]Main!$H$4</f>
        <v>5899.9438458000004</v>
      </c>
      <c r="G34" s="19">
        <f>+[29]Main!$H$6-[29]Main!$H$5</f>
        <v>3627.2110000000002</v>
      </c>
      <c r="H34" s="19">
        <f>+G34+F34</f>
        <v>9527.1548457999997</v>
      </c>
      <c r="I34" s="18" t="s">
        <v>800</v>
      </c>
      <c r="J34" s="28">
        <v>46050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745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817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93</v>
      </c>
      <c r="F38" s="19">
        <f>+[33]Main!$J$4*FX!C3</f>
        <v>6576.348342719999</v>
      </c>
      <c r="G38" s="19">
        <f>+([33]Main!$J$6-[33]Main!$J$5)*FX!C3</f>
        <v>-246.27304000000004</v>
      </c>
      <c r="H38" s="19">
        <f>F38+G38</f>
        <v>6330.0753027199989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22.77</v>
      </c>
      <c r="F40" s="19">
        <f>+[35]Main!$I$4</f>
        <v>8899.1889901200011</v>
      </c>
      <c r="G40" s="19">
        <f>+[35]Main!$I$6-[35]Main!$I$5</f>
        <v>335.29999999999995</v>
      </c>
      <c r="H40" s="19">
        <f>F40+G40</f>
        <v>9234.4889901200004</v>
      </c>
      <c r="I40" s="18" t="s">
        <v>818</v>
      </c>
      <c r="J40" s="28">
        <v>46050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17550</v>
      </c>
      <c r="F41" s="19">
        <f>+[36]Main!$I$4*FX!C11</f>
        <v>8142.7173750000002</v>
      </c>
      <c r="G41" s="19">
        <f>+([36]Main!$I$6-[36]Main!$I$5)*FX!C11</f>
        <v>171.25</v>
      </c>
      <c r="H41" s="19">
        <f>+F41+G41</f>
        <v>8313.9673750000002</v>
      </c>
      <c r="I41" s="18" t="s">
        <v>149</v>
      </c>
      <c r="J41" s="28">
        <v>46002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41240</v>
      </c>
      <c r="F43" s="19">
        <f>+[38]Main!$H$4*FX!C12</f>
        <v>5059.9509140399996</v>
      </c>
      <c r="G43" s="19">
        <f>+([38]Main!$H$6-[38]Main!$H$5)*FX!C12</f>
        <v>79.99563000000002</v>
      </c>
      <c r="H43" s="19">
        <f>+F43+G43</f>
        <v>5139.9465440399999</v>
      </c>
      <c r="I43" s="18" t="s">
        <v>716</v>
      </c>
      <c r="J43" s="28">
        <v>45975</v>
      </c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81.19</v>
      </c>
      <c r="F44" s="19">
        <f>+[39]Main!$H$4</f>
        <v>4215.0321918300006</v>
      </c>
      <c r="G44" s="19">
        <f>+[39]Main!$H$6-[39]Main!$H$5</f>
        <v>1164.528</v>
      </c>
      <c r="H44" s="19">
        <f>F44+G44</f>
        <v>5379.5601918300008</v>
      </c>
      <c r="I44" s="18" t="s">
        <v>818</v>
      </c>
      <c r="J44" s="28">
        <v>46065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0.93779999999999997</v>
      </c>
      <c r="F46" s="19">
        <f>+[41]Main!$I$4*FX!C8</f>
        <v>5962.0447439999998</v>
      </c>
      <c r="G46" s="19">
        <f>+([41]Main!$I$6-[41]Main!$I$5)*FX!C8</f>
        <v>155</v>
      </c>
      <c r="H46" s="19">
        <f>F46+G46</f>
        <v>6117.0447439999998</v>
      </c>
      <c r="I46" s="27" t="s">
        <v>812</v>
      </c>
      <c r="J46" s="28">
        <v>45981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86.42</v>
      </c>
      <c r="F47" s="19">
        <f>+[42]Main!$H$4*FX!C13</f>
        <v>6825.0480185999995</v>
      </c>
      <c r="G47" s="19">
        <f>+([42]Main!$H$6-[42]Main!$H$5)*FX!C13</f>
        <v>-201.90158999999997</v>
      </c>
      <c r="H47" s="19">
        <f>+F47+G47</f>
        <v>6623.1464285999991</v>
      </c>
      <c r="I47" s="18" t="s">
        <v>716</v>
      </c>
      <c r="J47" s="28">
        <v>45939</v>
      </c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812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3121.65137856</v>
      </c>
      <c r="G51" s="19">
        <f>+([46]Main!$I$6-[46]Main!$I$5)*FX!C3</f>
        <v>1093.3520000000003</v>
      </c>
      <c r="H51" s="19">
        <f t="shared" si="3"/>
        <v>4215.0033785600008</v>
      </c>
      <c r="I51" s="18" t="s">
        <v>149</v>
      </c>
      <c r="J51" s="28">
        <v>45960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52.35</v>
      </c>
      <c r="F54" s="19">
        <f>+[49]Main!$I$4</f>
        <v>2867.2130074500001</v>
      </c>
      <c r="G54" s="19">
        <f>+[49]Main!$I$6-[49]Main!$I$5</f>
        <v>-578.30700000000002</v>
      </c>
      <c r="H54" s="19">
        <f t="shared" si="3"/>
        <v>2288.9060074500003</v>
      </c>
      <c r="I54" s="18" t="s">
        <v>149</v>
      </c>
      <c r="J54" s="28">
        <v>45959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88.25</v>
      </c>
      <c r="F55" s="19">
        <f>+[50]Main!$J$4</f>
        <v>4246.5707615000001</v>
      </c>
      <c r="G55" s="19">
        <f>+([50]Main!$J$6-[50]Main!$J$5)</f>
        <v>2007.2</v>
      </c>
      <c r="H55" s="19">
        <f>F55+G55</f>
        <v>6253.7707614999999</v>
      </c>
      <c r="I55" s="18" t="s">
        <v>149</v>
      </c>
      <c r="J55" s="28">
        <v>45995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165.1</v>
      </c>
      <c r="F58" s="19">
        <f>+[53]Main!$I$4</f>
        <v>5044.7333572999996</v>
      </c>
      <c r="G58" s="19">
        <f>+[53]Main!$I$6-[53]Main!$I$5</f>
        <v>-95.319000000000003</v>
      </c>
      <c r="H58" s="19">
        <f t="shared" si="3"/>
        <v>4949.4143572999992</v>
      </c>
      <c r="I58" s="18" t="s">
        <v>716</v>
      </c>
      <c r="J58" s="28">
        <v>45957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78.680000000000007</v>
      </c>
      <c r="F59" s="19">
        <f>+[54]Main!$I$4</f>
        <v>4372.5807311200006</v>
      </c>
      <c r="G59" s="19">
        <f>+[54]Main!$I$6-[54]Main!$I$5</f>
        <v>1259.028</v>
      </c>
      <c r="H59" s="19">
        <f t="shared" si="3"/>
        <v>5631.6087311200008</v>
      </c>
      <c r="I59" s="18" t="s">
        <v>149</v>
      </c>
      <c r="J59" s="28">
        <v>45960</v>
      </c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 t="s">
        <v>823</v>
      </c>
      <c r="F60" s="19"/>
      <c r="G60" s="19"/>
      <c r="H60" s="19"/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+[55]Main!$J$2</f>
        <v>132.5</v>
      </c>
      <c r="F61" s="19">
        <f>+[55]Main!$J$4*FX!C15</f>
        <v>3925.244925</v>
      </c>
      <c r="G61" s="19">
        <f>+([55]Main!$J$6-[55]Main!$J$5)*FX!C15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+[56]Main!$J$2</f>
        <v>161.28</v>
      </c>
      <c r="F62" s="19">
        <f>+[56]Main!$J$4</f>
        <v>2990.6024601600002</v>
      </c>
      <c r="G62" s="19">
        <f>+[56]Main!$J$6-[56]Main!$J$5</f>
        <v>-211.91</v>
      </c>
      <c r="H62" s="19">
        <f>+F62+G62</f>
        <v>2778.6924601600003</v>
      </c>
      <c r="I62" s="18" t="s">
        <v>818</v>
      </c>
      <c r="J62" s="28">
        <v>45952</v>
      </c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696</v>
      </c>
      <c r="D63" s="3" t="s">
        <v>82</v>
      </c>
      <c r="E63" s="26">
        <f>+[57]Main!$J$2</f>
        <v>41.48</v>
      </c>
      <c r="F63" s="19">
        <f>+[57]Main!$J$4*FX!C3</f>
        <v>3036.9996799999999</v>
      </c>
      <c r="G63" s="19">
        <f>+([57]Main!$J$6-[57]Main!$J$5)*FX!C3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+[58]Main!$I$2</f>
        <v>5.0599999999999996</v>
      </c>
      <c r="F64" s="19">
        <f>+[58]Main!$I$4</f>
        <v>2169.8306218600001</v>
      </c>
      <c r="G64" s="19">
        <f>+[58]Main!$I$6-[58]Main!$I$5</f>
        <v>78.228999999999928</v>
      </c>
      <c r="H64" s="19">
        <f>+F64+G64</f>
        <v>2248.0596218599999</v>
      </c>
      <c r="I64" s="18" t="s">
        <v>716</v>
      </c>
      <c r="J64" s="28">
        <v>45967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+[59]Main!$I$2</f>
        <v>14.35</v>
      </c>
      <c r="F65" s="19">
        <f>+[59]Main!$I$4</f>
        <v>2756.6605860499999</v>
      </c>
      <c r="G65" s="19">
        <f>+[59]Main!$I$6-[59]Main!$I$5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+[60]Main!$I$2</f>
        <v>263.45</v>
      </c>
      <c r="F66" s="19">
        <f>+[60]Main!$I$4*FX!C12</f>
        <v>2976.4027894628493</v>
      </c>
      <c r="G66" s="19">
        <f>+([60]Main!$I$6-[60]Main!$I$5)*FX!C12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+[61]Main!$I$2</f>
        <v>26.13</v>
      </c>
      <c r="F67" s="19">
        <f>+[61]Main!$I$4</f>
        <v>2094.6979930499997</v>
      </c>
      <c r="G67" s="19">
        <f>+[61]Main!$I$6-[61]Main!$I$5</f>
        <v>864</v>
      </c>
      <c r="H67" s="19">
        <f>F67+G67</f>
        <v>2958.6979930499997</v>
      </c>
      <c r="I67" s="27" t="s">
        <v>149</v>
      </c>
      <c r="J67" s="28">
        <v>45996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+[62]Main!$H$2</f>
        <v>33.92</v>
      </c>
      <c r="F68" s="19">
        <f>+[62]Main!$H$4</f>
        <v>2464.3691366400003</v>
      </c>
      <c r="G68" s="19">
        <f>+[62]Main!$H$6-[62]Main!$H$5</f>
        <v>182.17599999999999</v>
      </c>
      <c r="H68" s="19">
        <f>+F68+G68</f>
        <v>2646.5451366400002</v>
      </c>
      <c r="I68" s="18" t="s">
        <v>149</v>
      </c>
      <c r="J68" s="28">
        <v>45967</v>
      </c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+[63]Main!$I$2</f>
        <v>19.670000000000002</v>
      </c>
      <c r="F69" s="19">
        <f>+[63]Main!$I$4</f>
        <v>2341.6752811900001</v>
      </c>
      <c r="G69" s="19">
        <f>+[63]Main!$I$6-[63]Main!$I$5</f>
        <v>1542</v>
      </c>
      <c r="H69" s="19">
        <f>+F69+G69</f>
        <v>3883.6752811900001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+[64]Main!$J$2</f>
        <v>9.6300000000000008</v>
      </c>
      <c r="F70" s="19">
        <f>+[64]Main!$J$4*FX!C3</f>
        <v>2534.083861608</v>
      </c>
      <c r="G70" s="19">
        <f>+([64]Main!$J$6-[64]Main!$J$5)*FX!C3</f>
        <v>122.12512000000007</v>
      </c>
      <c r="H70" s="19">
        <f>+F70+G70</f>
        <v>2656.2089816080002</v>
      </c>
      <c r="I70" s="18" t="s">
        <v>149</v>
      </c>
      <c r="J70" s="28">
        <v>45953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+[65]Main!$J$2</f>
        <v>828.4</v>
      </c>
      <c r="F71" s="19">
        <f>+[65]Main!$J$4*FX!C12</f>
        <v>2214.6636811287999</v>
      </c>
      <c r="G71" s="19">
        <f>+([65]Main!$J$6-[65]Main!$J$5)*FX!C12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+[66]Main!$I$2</f>
        <v>5.82</v>
      </c>
      <c r="F83" s="19">
        <f>+[66]Main!$I$4</f>
        <v>2055.0937514400002</v>
      </c>
      <c r="G83" s="19">
        <f>+[66]Main!$I$6-[66]Main!$I$5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+[67]Main!$H$2</f>
        <v>41.42</v>
      </c>
      <c r="F89" s="19">
        <f>+[67]Main!$H$4</f>
        <v>1491.5652650000002</v>
      </c>
      <c r="G89" s="19">
        <f>+[67]Main!$H$6-[67]Main!$H$5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+[68]Main!$I$2</f>
        <v>38.119999999999997</v>
      </c>
      <c r="F90" s="19">
        <f>+[68]Main!$I$4</f>
        <v>1935.4971035199997</v>
      </c>
      <c r="G90" s="19">
        <f>+[68]Main!$I$6-[68]Main!$I$5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+[69]Main!$I$2</f>
        <v>24.73</v>
      </c>
      <c r="F91" s="19">
        <f>+[69]Main!$I$4</f>
        <v>1761.5194085300002</v>
      </c>
      <c r="G91" s="19">
        <f>+[69]Main!$I$6-[69]Main!$I$5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+[70]Main!$I$2</f>
        <v>27.07</v>
      </c>
      <c r="F95" s="19">
        <f>+[70]Main!$I$4</f>
        <v>1188.01315849</v>
      </c>
      <c r="G95" s="19">
        <f>+[70]Main!$I$6-[70]Main!$I$5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+[71]Main!$I$2</f>
        <v>59.85</v>
      </c>
      <c r="F96" s="19">
        <f>+[71]Main!$I$4</f>
        <v>939.70682505000002</v>
      </c>
      <c r="G96" s="19">
        <f>+[71]Main!$I$6-[71]Main!$I$5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+[72]Main!$J$2</f>
        <v>15.34</v>
      </c>
      <c r="F97" s="19">
        <f>+[72]Main!$J$4*FX!C13</f>
        <v>1025.7928231121998</v>
      </c>
      <c r="G97" s="19">
        <f>+([72]Main!$J$6-[72]Main!$J$5)*FX!C13</f>
        <v>152.28300000000002</v>
      </c>
      <c r="H97" s="19">
        <f>+F97+G97</f>
        <v>1178.0758231121999</v>
      </c>
      <c r="I97" s="18" t="s">
        <v>716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+[73]Main!$I$2</f>
        <v>4.53</v>
      </c>
      <c r="F100" s="19">
        <f>+[73]Main!$I$4</f>
        <v>736.21656488999997</v>
      </c>
      <c r="G100" s="19">
        <f>+[73]Main!$I$6-[73]Main!$I$5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+[74]Main!$I$2</f>
        <v>16.75</v>
      </c>
      <c r="F101" s="19">
        <f>+[74]Main!$I$4</f>
        <v>872.38125524999998</v>
      </c>
      <c r="G101" s="19">
        <f>+[74]Main!$I$6-[74]Main!$I$5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+'[75]Main '!$F$2</f>
        <v>4.3620000000000001</v>
      </c>
      <c r="F116" s="19">
        <f>+'[75]Main '!$F$4*FX!C8</f>
        <v>644.11734022080009</v>
      </c>
      <c r="G116" s="19">
        <f>+('[75]Main '!$F$6-'[75]Main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+[76]Main!$H$2</f>
        <v>2.4</v>
      </c>
      <c r="F123" s="19">
        <f>+[76]Main!$H$4</f>
        <v>252.04949999999997</v>
      </c>
      <c r="G123" s="19">
        <f>+[76]Main!$H$6-[76]Main!$H$5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46" t="s">
        <v>246</v>
      </c>
      <c r="C125" s="4" t="s">
        <v>247</v>
      </c>
      <c r="D125" s="3" t="s">
        <v>21</v>
      </c>
      <c r="E125" s="26">
        <f>+[77]Main!$I$2</f>
        <v>17.79</v>
      </c>
      <c r="F125" s="19">
        <f>+[77]Main!$I$4</f>
        <v>270.90115659000003</v>
      </c>
      <c r="G125" s="19">
        <f>+[77]Main!$I$6-[77]Main!$I$5</f>
        <v>24.493000000000002</v>
      </c>
      <c r="H125" s="19">
        <f>+F125+G125</f>
        <v>295.39415659000002</v>
      </c>
      <c r="I125" s="18" t="s">
        <v>149</v>
      </c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477</v>
      </c>
      <c r="C154" s="4" t="s">
        <v>478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479</v>
      </c>
      <c r="C155" s="4" t="s">
        <v>480</v>
      </c>
      <c r="D155" s="3" t="s">
        <v>21</v>
      </c>
      <c r="E155" s="26">
        <f>+[79]Main!$J$2</f>
        <v>29.25</v>
      </c>
      <c r="F155" s="19">
        <f>+[79]Main!$J$4</f>
        <v>2376.6897667500002</v>
      </c>
      <c r="G155" s="19">
        <f>+[79]Main!$J$6-[79]Main!$J$5</f>
        <v>557.5</v>
      </c>
      <c r="H155" s="19">
        <f>+F155+G155</f>
        <v>2934.1897667500002</v>
      </c>
      <c r="I155" s="18" t="s">
        <v>149</v>
      </c>
      <c r="J155" s="28">
        <v>45967</v>
      </c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482</v>
      </c>
      <c r="C156" s="4" t="s">
        <v>481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483</v>
      </c>
      <c r="C157" s="4" t="s">
        <v>484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485</v>
      </c>
      <c r="C158" s="4" t="s">
        <v>486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487</v>
      </c>
      <c r="C159" s="4" t="s">
        <v>488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489</v>
      </c>
      <c r="C160" s="4" t="s">
        <v>490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491</v>
      </c>
      <c r="C161" s="4" t="s">
        <v>492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493</v>
      </c>
      <c r="C162" s="4" t="s">
        <v>494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496</v>
      </c>
      <c r="C163" s="4" t="s">
        <v>495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497</v>
      </c>
      <c r="C164" s="4" t="s">
        <v>499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498</v>
      </c>
      <c r="C165" s="4" t="s">
        <v>500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501</v>
      </c>
      <c r="C166" s="4" t="s">
        <v>504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502</v>
      </c>
      <c r="C167" s="4" t="s">
        <v>503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505</v>
      </c>
      <c r="C168" s="4" t="s">
        <v>378</v>
      </c>
      <c r="D168" s="3" t="s">
        <v>506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507</v>
      </c>
      <c r="C169" s="4" t="s">
        <v>508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509</v>
      </c>
      <c r="C170" s="4" t="s">
        <v>510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511</v>
      </c>
      <c r="C171" s="4" t="s">
        <v>512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513</v>
      </c>
      <c r="C172" s="4" t="s">
        <v>516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514</v>
      </c>
      <c r="C173" s="4" t="s">
        <v>515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517</v>
      </c>
      <c r="C174" s="4" t="s">
        <v>518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519</v>
      </c>
      <c r="C175" s="4" t="s">
        <v>520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521</v>
      </c>
      <c r="C176" s="4" t="s">
        <v>522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523</v>
      </c>
      <c r="C177" s="4" t="s">
        <v>524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525</v>
      </c>
      <c r="C178" s="4" t="s">
        <v>527</v>
      </c>
      <c r="D178" s="3" t="s">
        <v>526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528</v>
      </c>
      <c r="C179" s="4" t="s">
        <v>529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530</v>
      </c>
      <c r="C180" s="4" t="s">
        <v>672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531</v>
      </c>
      <c r="C181" s="4" t="s">
        <v>673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688</v>
      </c>
      <c r="C6" s="47" t="s">
        <v>106</v>
      </c>
      <c r="D6" s="47" t="s">
        <v>542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689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690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691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692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542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693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479</v>
      </c>
      <c r="C19" s="47" t="s">
        <v>480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483</v>
      </c>
      <c r="C20" s="47" t="s">
        <v>484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694</v>
      </c>
      <c r="C21" s="59" t="s">
        <v>478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485</v>
      </c>
      <c r="C22" s="47" t="s">
        <v>486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698</v>
      </c>
      <c r="C23" s="47" t="s">
        <v>488</v>
      </c>
      <c r="D23" s="47" t="s">
        <v>21</v>
      </c>
      <c r="E23" s="47" t="s">
        <v>715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700</v>
      </c>
      <c r="C24" s="47" t="s">
        <v>701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702</v>
      </c>
      <c r="C25" s="47" t="s">
        <v>518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703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521</v>
      </c>
      <c r="C27" s="47" t="s">
        <v>522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704</v>
      </c>
      <c r="C28" s="47" t="s">
        <v>705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706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519</v>
      </c>
      <c r="C30" s="47" t="s">
        <v>520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707</v>
      </c>
      <c r="C31" s="47" t="s">
        <v>708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709</v>
      </c>
      <c r="C32" s="47" t="s">
        <v>524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525</v>
      </c>
      <c r="C33" s="47" t="s">
        <v>527</v>
      </c>
      <c r="D33" s="47" t="s">
        <v>526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528</v>
      </c>
      <c r="C34" s="47" t="s">
        <v>529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710</v>
      </c>
      <c r="C35" s="47" t="s">
        <v>713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711</v>
      </c>
      <c r="C36" s="47" t="s">
        <v>712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716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697</v>
      </c>
      <c r="C6" s="59" t="s">
        <v>699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676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539</v>
      </c>
      <c r="C31" s="59" t="s">
        <v>538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535</v>
      </c>
      <c r="C32" s="59" t="s">
        <v>536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534</v>
      </c>
      <c r="C33" s="59" t="s">
        <v>537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540</v>
      </c>
      <c r="C34" s="59" t="s">
        <v>541</v>
      </c>
      <c r="D34" s="47" t="s">
        <v>542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543</v>
      </c>
      <c r="C35" s="59" t="s">
        <v>544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545</v>
      </c>
      <c r="C36" s="59" t="s">
        <v>546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547</v>
      </c>
      <c r="C37" s="59" t="s">
        <v>548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549</v>
      </c>
      <c r="C38" s="59" t="s">
        <v>550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551</v>
      </c>
      <c r="C39" s="59" t="s">
        <v>552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553</v>
      </c>
      <c r="C40" s="59" t="s">
        <v>554</v>
      </c>
      <c r="D40" s="47" t="s">
        <v>542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555</v>
      </c>
      <c r="C41" s="59" t="s">
        <v>556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557</v>
      </c>
      <c r="C42" s="59" t="s">
        <v>558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532</v>
      </c>
      <c r="C43" s="59" t="s">
        <v>674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533</v>
      </c>
      <c r="C44" s="59" t="s">
        <v>675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559</v>
      </c>
      <c r="C45" s="47" t="s">
        <v>560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561</v>
      </c>
      <c r="C46" s="47" t="s">
        <v>562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563</v>
      </c>
      <c r="C47" s="47" t="s">
        <v>564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565</v>
      </c>
      <c r="C48" s="47" t="s">
        <v>566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567</v>
      </c>
      <c r="C50" s="47" t="s">
        <v>568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569</v>
      </c>
      <c r="C51" s="47" t="s">
        <v>570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571</v>
      </c>
      <c r="C52" s="47" t="s">
        <v>572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573</v>
      </c>
      <c r="C53" s="47" t="s">
        <v>574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575</v>
      </c>
      <c r="C54" s="47" t="s">
        <v>576</v>
      </c>
      <c r="D54" s="47" t="s">
        <v>578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579</v>
      </c>
      <c r="C4" s="47" t="s">
        <v>580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581</v>
      </c>
      <c r="C5" s="47" t="s">
        <v>582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583</v>
      </c>
      <c r="C6" s="47" t="s">
        <v>584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585</v>
      </c>
      <c r="C7" s="47" t="s">
        <v>586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587</v>
      </c>
      <c r="C8" s="47" t="s">
        <v>588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589</v>
      </c>
      <c r="C9" s="47" t="s">
        <v>590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591</v>
      </c>
      <c r="C10" s="47" t="s">
        <v>592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593</v>
      </c>
      <c r="C11" s="47" t="s">
        <v>594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595</v>
      </c>
      <c r="C12" s="47" t="s">
        <v>596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597</v>
      </c>
      <c r="C13" s="47" t="s">
        <v>598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599</v>
      </c>
      <c r="C14" s="47" t="s">
        <v>600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601</v>
      </c>
      <c r="C15" s="47" t="s">
        <v>602</v>
      </c>
      <c r="D15" s="47" t="s">
        <v>542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603</v>
      </c>
      <c r="C16" s="47" t="s">
        <v>604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605</v>
      </c>
      <c r="C17" s="47" t="s">
        <v>606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607</v>
      </c>
      <c r="C18" s="47" t="s">
        <v>608</v>
      </c>
      <c r="D18" s="47" t="s">
        <v>668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609</v>
      </c>
      <c r="C19" s="47" t="s">
        <v>610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611</v>
      </c>
      <c r="C20" s="47" t="s">
        <v>612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613</v>
      </c>
      <c r="C21" s="47" t="s">
        <v>614</v>
      </c>
      <c r="D21" s="47" t="s">
        <v>669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615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616</v>
      </c>
      <c r="C23" s="47" t="s">
        <v>617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618</v>
      </c>
      <c r="C24" s="47" t="s">
        <v>619</v>
      </c>
      <c r="D24" s="47" t="s">
        <v>526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620</v>
      </c>
      <c r="C25" s="47" t="s">
        <v>621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622</v>
      </c>
      <c r="C26" s="47" t="s">
        <v>623</v>
      </c>
      <c r="D26" s="47" t="s">
        <v>670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624</v>
      </c>
      <c r="C27" s="47" t="s">
        <v>625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626</v>
      </c>
      <c r="C28" s="47" t="s">
        <v>627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628</v>
      </c>
      <c r="C29" s="47" t="s">
        <v>629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630</v>
      </c>
      <c r="C30" s="47" t="s">
        <v>631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632</v>
      </c>
      <c r="C31" s="47" t="s">
        <v>633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634</v>
      </c>
      <c r="C32" s="47" t="s">
        <v>635</v>
      </c>
      <c r="D32" s="47" t="s">
        <v>671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636</v>
      </c>
      <c r="C33" s="47" t="s">
        <v>637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638</v>
      </c>
      <c r="C34" s="47" t="s">
        <v>639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640</v>
      </c>
      <c r="C35" s="47" t="s">
        <v>641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642</v>
      </c>
      <c r="C36" s="47" t="s">
        <v>643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644</v>
      </c>
      <c r="C37" s="47" t="s">
        <v>645</v>
      </c>
      <c r="D37" s="47" t="s">
        <v>670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646</v>
      </c>
      <c r="C38" s="47" t="s">
        <v>647</v>
      </c>
      <c r="D38" s="47" t="s">
        <v>670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648</v>
      </c>
      <c r="C39" s="47" t="s">
        <v>649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650</v>
      </c>
      <c r="C40" s="47" t="s">
        <v>651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652</v>
      </c>
      <c r="C41" s="47" t="s">
        <v>653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654</v>
      </c>
      <c r="C42" s="47" t="s">
        <v>655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656</v>
      </c>
      <c r="C43" s="47" t="s">
        <v>657</v>
      </c>
      <c r="D43" s="47" t="s">
        <v>577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658</v>
      </c>
      <c r="C44" s="47" t="s">
        <v>659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660</v>
      </c>
      <c r="C45" s="47" t="s">
        <v>661</v>
      </c>
      <c r="D45" s="47" t="s">
        <v>670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662</v>
      </c>
      <c r="C46" s="47" t="s">
        <v>663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664</v>
      </c>
      <c r="C47" s="47" t="s">
        <v>665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666</v>
      </c>
      <c r="C48" s="47" t="s">
        <v>667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465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466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81" t="s">
        <v>820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81" t="s">
        <v>819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467</v>
      </c>
      <c r="C10" s="47" t="s">
        <v>468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469</v>
      </c>
      <c r="C11" s="47" t="s">
        <v>470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471</v>
      </c>
      <c r="C12" s="47" t="s">
        <v>472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81" t="s">
        <v>821</v>
      </c>
      <c r="C13" s="81" t="s">
        <v>822</v>
      </c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731</v>
      </c>
      <c r="D2" s="76" t="s">
        <v>718</v>
      </c>
      <c r="E2" s="76" t="s">
        <v>719</v>
      </c>
      <c r="F2" s="77" t="s">
        <v>4</v>
      </c>
      <c r="G2" s="77" t="s">
        <v>803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720</v>
      </c>
      <c r="C3" s="46" t="s">
        <v>721</v>
      </c>
      <c r="D3" s="47" t="s">
        <v>729</v>
      </c>
      <c r="E3" s="78">
        <v>45757</v>
      </c>
      <c r="F3" s="79" t="s">
        <v>474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692</v>
      </c>
      <c r="C4" s="46" t="s">
        <v>692</v>
      </c>
      <c r="D4" s="47" t="s">
        <v>727</v>
      </c>
      <c r="E4" s="78">
        <v>45782</v>
      </c>
      <c r="F4" s="48" t="s">
        <v>728</v>
      </c>
      <c r="G4" s="80">
        <v>9420</v>
      </c>
      <c r="H4" s="47" t="s">
        <v>804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730</v>
      </c>
      <c r="E5" s="78">
        <v>45637</v>
      </c>
      <c r="F5" s="79" t="s">
        <v>474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732</v>
      </c>
      <c r="C6" s="47" t="s">
        <v>732</v>
      </c>
      <c r="D6" s="47" t="s">
        <v>733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680</v>
      </c>
      <c r="E7" s="78">
        <v>45889</v>
      </c>
      <c r="F7" s="47">
        <v>16.75</v>
      </c>
      <c r="G7" s="47" t="s">
        <v>802</v>
      </c>
      <c r="H7" s="47" t="s">
        <v>801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476</v>
      </c>
      <c r="D8" s="47" t="s">
        <v>808</v>
      </c>
      <c r="E8" s="78">
        <v>45322</v>
      </c>
      <c r="F8" s="47"/>
      <c r="G8" s="47">
        <v>500</v>
      </c>
      <c r="H8" s="47" t="s">
        <v>809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813</v>
      </c>
      <c r="C9" s="47" t="s">
        <v>814</v>
      </c>
      <c r="D9" s="47" t="s">
        <v>689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722</v>
      </c>
      <c r="D2" s="47" t="s">
        <v>723</v>
      </c>
      <c r="E2" s="47" t="s">
        <v>724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726</v>
      </c>
      <c r="C3" s="47" t="s">
        <v>725</v>
      </c>
      <c r="D3" s="47" t="s">
        <v>8</v>
      </c>
      <c r="E3" s="47" t="s">
        <v>735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734</v>
      </c>
      <c r="C4" s="47" t="s">
        <v>739</v>
      </c>
      <c r="D4" s="47" t="s">
        <v>8</v>
      </c>
      <c r="E4" s="47" t="s">
        <v>736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740</v>
      </c>
      <c r="C5" s="47" t="s">
        <v>737</v>
      </c>
      <c r="D5" s="47" t="s">
        <v>7</v>
      </c>
      <c r="E5" s="47" t="s">
        <v>738</v>
      </c>
      <c r="F5" s="47" t="s">
        <v>741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742</v>
      </c>
      <c r="C6" s="47" t="s">
        <v>743</v>
      </c>
      <c r="D6" s="47" t="s">
        <v>9</v>
      </c>
      <c r="E6" s="47" t="s">
        <v>744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746</v>
      </c>
      <c r="C7" s="47" t="s">
        <v>747</v>
      </c>
      <c r="D7" s="47" t="s">
        <v>99</v>
      </c>
      <c r="E7" s="47" t="s">
        <v>748</v>
      </c>
      <c r="F7" s="47" t="s">
        <v>759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749</v>
      </c>
      <c r="D8" s="47" t="s">
        <v>135</v>
      </c>
      <c r="E8" s="47" t="s">
        <v>750</v>
      </c>
      <c r="F8" s="47" t="s">
        <v>751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752</v>
      </c>
      <c r="C9" s="47" t="s">
        <v>753</v>
      </c>
      <c r="D9" s="47" t="s">
        <v>682</v>
      </c>
      <c r="E9" s="47" t="s">
        <v>751</v>
      </c>
      <c r="F9" s="47" t="s">
        <v>754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755</v>
      </c>
      <c r="C10" s="47" t="s">
        <v>756</v>
      </c>
      <c r="D10" s="47" t="s">
        <v>757</v>
      </c>
      <c r="E10" s="47" t="s">
        <v>751</v>
      </c>
      <c r="F10" s="47" t="s">
        <v>758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760</v>
      </c>
      <c r="C11" s="47" t="s">
        <v>761</v>
      </c>
      <c r="D11" s="47" t="s">
        <v>7</v>
      </c>
      <c r="E11" s="47" t="s">
        <v>765</v>
      </c>
      <c r="F11" s="47" t="s">
        <v>762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763</v>
      </c>
      <c r="C12" s="47" t="s">
        <v>764</v>
      </c>
      <c r="D12" s="47" t="s">
        <v>123</v>
      </c>
      <c r="E12" s="47" t="s">
        <v>766</v>
      </c>
      <c r="F12" s="47" t="s">
        <v>767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720</v>
      </c>
      <c r="C13" s="47" t="s">
        <v>768</v>
      </c>
      <c r="D13" s="47" t="s">
        <v>135</v>
      </c>
      <c r="E13" s="47" t="s">
        <v>769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770</v>
      </c>
      <c r="C14" s="47" t="s">
        <v>771</v>
      </c>
      <c r="D14" s="47" t="s">
        <v>677</v>
      </c>
      <c r="E14" s="47" t="s">
        <v>776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772</v>
      </c>
      <c r="C15" s="47" t="s">
        <v>773</v>
      </c>
      <c r="D15" s="47" t="s">
        <v>774</v>
      </c>
      <c r="E15" s="47" t="s">
        <v>775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777</v>
      </c>
      <c r="C16" s="47" t="s">
        <v>778</v>
      </c>
      <c r="D16" s="47" t="s">
        <v>779</v>
      </c>
      <c r="E16" s="47" t="s">
        <v>780</v>
      </c>
      <c r="F16" s="47" t="s">
        <v>781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782</v>
      </c>
      <c r="C17" s="47" t="s">
        <v>783</v>
      </c>
      <c r="D17" s="47" t="s">
        <v>784</v>
      </c>
      <c r="E17" s="47" t="s">
        <v>776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799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785</v>
      </c>
      <c r="C21" s="47" t="s">
        <v>786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787</v>
      </c>
      <c r="C22" s="47" t="s">
        <v>788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789</v>
      </c>
      <c r="C23" s="47" t="s">
        <v>790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791</v>
      </c>
      <c r="C24" s="47" t="s">
        <v>792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793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794</v>
      </c>
      <c r="C26" s="47" t="s">
        <v>795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796</v>
      </c>
      <c r="C27" s="47" t="s">
        <v>797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720</v>
      </c>
      <c r="C28" s="47" t="s">
        <v>798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810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717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473</v>
      </c>
      <c r="C5" s="48" t="s">
        <v>474</v>
      </c>
      <c r="D5" s="47" t="s">
        <v>124</v>
      </c>
      <c r="E5" s="60" t="s">
        <v>475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677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678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679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680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681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682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683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684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685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686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687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695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805</v>
      </c>
      <c r="C18" s="59" t="s">
        <v>806</v>
      </c>
      <c r="D18" s="47"/>
      <c r="E18" s="60" t="s">
        <v>807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2025-11-15T17:33:58Z</dcterms:modified>
  <cp:category/>
  <cp:contentStatus/>
</cp:coreProperties>
</file>