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1EACF5A-BDBC-4BF4-97DC-EB5E6FB9FEC7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<sst xmlns="http://schemas.openxmlformats.org/spreadsheetml/2006/main" count="1531" uniqueCount="872">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</sst>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0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103">
    <xf numFmtId="0" fontId="0" fillId="0" borderId="0" xfId="0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left"/>
    </xf>
    <xf numFmtId="2" fontId="14" fillId="0" borderId="0" xfId="1" applyNumberFormat="1" applyFont="1"/>
    <xf numFmtId="0" fontId="14" fillId="0" borderId="0" xfId="1" applyNumberFormat="1" applyFont="1" applyAlignment="1">
      <alignment horizontal="right"/>
    </xf>
    <xf numFmtId="0" fontId="15" fillId="0" borderId="0" xfId="0" applyFont="1"/>
    <xf numFmtId="0" fontId="13" fillId="2" borderId="1" xfId="0" applyFont="1" applyFill="1" applyBorder="1" applyAlignment="1">
      <alignment horizontal="center"/>
    </xf>
    <xf numFmtId="0" fontId="13" fillId="2" borderId="2" xfId="0" applyFont="1" applyFill="1" applyBorder="1"/>
    <xf numFmtId="0" fontId="13" fillId="2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center"/>
    </xf>
    <xf numFmtId="0" fontId="13" fillId="2" borderId="2" xfId="1" applyNumberFormat="1" applyFont="1" applyFill="1" applyBorder="1" applyAlignment="1">
      <alignment horizontal="right"/>
    </xf>
    <xf numFmtId="0" fontId="16" fillId="2" borderId="2" xfId="0" applyFont="1" applyFill="1" applyBorder="1"/>
    <xf numFmtId="0" fontId="16" fillId="2" borderId="3" xfId="0" applyFont="1" applyFill="1" applyBorder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66" fontId="14" fillId="0" borderId="0" xfId="0" applyNumberFormat="1" applyFont="1"/>
    <xf numFmtId="9" fontId="14" fillId="0" borderId="0" xfId="0" applyNumberFormat="1" applyFont="1" applyAlignment="1">
      <alignment horizontal="right"/>
    </xf>
    <xf numFmtId="168" fontId="14" fillId="0" borderId="0" xfId="0" applyNumberFormat="1" applyFont="1" applyAlignment="1">
      <alignment horizontal="right"/>
    </xf>
    <xf numFmtId="168" fontId="14" fillId="0" borderId="0" xfId="1" applyNumberFormat="1" applyFont="1" applyAlignment="1">
      <alignment horizontal="right"/>
    </xf>
    <xf numFmtId="9" fontId="14" fillId="0" borderId="0" xfId="1" applyFont="1"/>
    <xf numFmtId="168" fontId="14" fillId="0" borderId="0" xfId="0" applyNumberFormat="1" applyFont="1"/>
    <xf numFmtId="0" fontId="17" fillId="0" borderId="0" xfId="2" applyFont="1"/>
    <xf numFmtId="165" fontId="14" fillId="0" borderId="0" xfId="0" applyNumberFormat="1" applyFont="1"/>
    <xf numFmtId="17" fontId="14" fillId="0" borderId="0" xfId="0" applyNumberFormat="1" applyFont="1" applyAlignment="1">
      <alignment horizontal="right"/>
    </xf>
    <xf numFmtId="16" fontId="14" fillId="0" borderId="0" xfId="0" applyNumberFormat="1" applyFont="1"/>
    <xf numFmtId="168" fontId="14" fillId="0" borderId="0" xfId="1" applyNumberFormat="1" applyFont="1"/>
    <xf numFmtId="164" fontId="14" fillId="0" borderId="0" xfId="1" applyNumberFormat="1" applyFont="1"/>
    <xf numFmtId="167" fontId="14" fillId="0" borderId="0" xfId="0" applyNumberFormat="1" applyFont="1"/>
    <xf numFmtId="16" fontId="14" fillId="0" borderId="0" xfId="0" applyNumberFormat="1" applyFont="1" applyAlignment="1">
      <alignment horizontal="right"/>
    </xf>
    <xf numFmtId="0" fontId="17" fillId="0" borderId="0" xfId="2" applyFont="1" applyAlignment="1">
      <alignment horizontal="left"/>
    </xf>
    <xf numFmtId="0" fontId="14" fillId="0" borderId="0" xfId="0" quotePrefix="1" applyFont="1" applyAlignment="1">
      <alignment horizontal="left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165" fontId="15" fillId="0" borderId="0" xfId="0" applyNumberFormat="1" applyFont="1"/>
    <xf numFmtId="0" fontId="15" fillId="0" borderId="0" xfId="0" applyFont="1" applyAlignment="1">
      <alignment horizontal="right"/>
    </xf>
    <xf numFmtId="9" fontId="15" fillId="0" borderId="0" xfId="1" applyFont="1"/>
    <xf numFmtId="168" fontId="15" fillId="0" borderId="0" xfId="0" applyNumberFormat="1" applyFont="1"/>
    <xf numFmtId="168" fontId="15" fillId="0" borderId="0" xfId="1" applyNumberFormat="1" applyFont="1"/>
    <xf numFmtId="164" fontId="15" fillId="0" borderId="0" xfId="1" applyNumberFormat="1" applyFont="1"/>
    <xf numFmtId="166" fontId="15" fillId="0" borderId="0" xfId="0" applyNumberFormat="1" applyFont="1"/>
    <xf numFmtId="0" fontId="15" fillId="0" borderId="0" xfId="1" applyNumberFormat="1" applyFont="1" applyAlignment="1">
      <alignment horizontal="right"/>
    </xf>
    <xf numFmtId="2" fontId="15" fillId="0" borderId="0" xfId="1" applyNumberFormat="1" applyFont="1"/>
    <xf numFmtId="0" fontId="18" fillId="0" borderId="0" xfId="2"/>
    <xf numFmtId="0" fontId="9" fillId="0" borderId="0" xfId="0" applyFont="1"/>
    <xf numFmtId="0" fontId="9" fillId="0" borderId="0" xfId="0" applyFont="1" applyAlignment="1">
      <alignment horizontal="right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12" fillId="2" borderId="2" xfId="1" applyNumberFormat="1" applyFont="1" applyFill="1" applyBorder="1" applyAlignment="1">
      <alignment horizontal="right"/>
    </xf>
    <xf numFmtId="0" fontId="12" fillId="2" borderId="2" xfId="1" applyNumberFormat="1" applyFont="1" applyFill="1" applyBorder="1" applyAlignment="1">
      <alignment horizontal="right"/>
    </xf>
    <xf numFmtId="0" fontId="12" fillId="2" borderId="3" xfId="0" applyFont="1" applyFill="1" applyBorder="1"/>
    <xf numFmtId="0" fontId="9" fillId="0" borderId="0" xfId="0" applyFont="1" applyAlignment="1">
      <alignment horizontal="center"/>
    </xf>
    <xf numFmtId="166" fontId="9" fillId="0" borderId="0" xfId="0" applyNumberFormat="1" applyFont="1"/>
    <xf numFmtId="0" fontId="9" fillId="0" borderId="0" xfId="0" applyFont="1" applyAlignment="1">
      <alignment horizontal="left"/>
    </xf>
    <xf numFmtId="165" fontId="9" fillId="0" borderId="0" xfId="0" applyNumberFormat="1" applyFont="1"/>
    <xf numFmtId="17" fontId="9" fillId="0" borderId="0" xfId="0" applyNumberFormat="1" applyFont="1" applyAlignment="1">
      <alignment horizontal="right"/>
    </xf>
    <xf numFmtId="16" fontId="9" fillId="0" borderId="0" xfId="0" applyNumberFormat="1" applyFont="1"/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0" fontId="9" fillId="0" borderId="0" xfId="1" applyNumberFormat="1" applyFont="1" applyAlignment="1">
      <alignment horizontal="right"/>
    </xf>
    <xf numFmtId="0" fontId="18" fillId="0" borderId="0" xfId="2" applyAlignment="1">
      <alignment horizontal="left"/>
    </xf>
    <xf numFmtId="165" fontId="12" fillId="2" borderId="2" xfId="0" applyNumberFormat="1" applyFont="1" applyFill="1" applyBorder="1"/>
    <xf numFmtId="166" fontId="12" fillId="2" borderId="2" xfId="0" applyNumberFormat="1" applyFont="1" applyFill="1" applyBorder="1"/>
    <xf numFmtId="166" fontId="12" fillId="2" borderId="2" xfId="0" applyNumberFormat="1" applyFont="1" applyFill="1" applyBorder="1" applyAlignment="1">
      <alignment horizontal="right"/>
    </xf>
    <xf numFmtId="9" fontId="12" fillId="2" borderId="2" xfId="1" applyFont="1" applyFill="1" applyBorder="1"/>
    <xf numFmtId="0" fontId="9" fillId="0" borderId="0" xfId="0" quotePrefix="1" applyFont="1" applyAlignment="1">
      <alignment horizontal="left"/>
    </xf>
    <xf numFmtId="0" fontId="19" fillId="0" borderId="0" xfId="0" applyFont="1"/>
    <xf numFmtId="2" fontId="9" fillId="0" borderId="0" xfId="0" applyNumberFormat="1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right"/>
    </xf>
    <xf numFmtId="14" fontId="9" fillId="0" borderId="0" xfId="0" applyNumberFormat="1" applyFont="1"/>
    <xf numFmtId="3" fontId="9" fillId="0" borderId="0" xfId="0" applyNumberFormat="1" applyFont="1" applyAlignment="1">
      <alignment horizontal="right"/>
    </xf>
    <xf numFmtId="3" fontId="9" fillId="0" borderId="0" xfId="0" applyNumberFormat="1" applyFont="1"/>
    <xf numFmtId="0" fontId="8" fillId="0" borderId="0" xfId="0" applyFont="1"/>
    <xf numFmtId="0" fontId="7" fillId="0" borderId="0" xfId="0" applyFont="1"/>
    <xf numFmtId="2" fontId="13" fillId="2" borderId="2" xfId="1" applyNumberFormat="1" applyFont="1" applyFill="1" applyBorder="1" applyAlignment="1">
      <alignment horizontal="left"/>
    </xf>
    <xf numFmtId="166" fontId="14" fillId="0" borderId="0" xfId="0" applyNumberFormat="1" applyFont="1" applyAlignment="1">
      <alignment horizontal="right"/>
    </xf>
    <xf numFmtId="0" fontId="14" fillId="0" borderId="4" xfId="0" applyFont="1" applyBorder="1" applyAlignment="1">
      <alignment horizontal="center"/>
    </xf>
    <xf numFmtId="0" fontId="13" fillId="0" borderId="4" xfId="0" applyFont="1" applyBorder="1"/>
    <xf numFmtId="0" fontId="14" fillId="0" borderId="4" xfId="0" applyFont="1" applyBorder="1"/>
    <xf numFmtId="166" fontId="14" fillId="0" borderId="4" xfId="0" applyNumberFormat="1" applyFont="1" applyBorder="1"/>
    <xf numFmtId="166" fontId="14" fillId="0" borderId="4" xfId="0" applyNumberFormat="1" applyFont="1" applyBorder="1" applyAlignment="1">
      <alignment horizontal="right"/>
    </xf>
    <xf numFmtId="9" fontId="14" fillId="0" borderId="4" xfId="1" applyFont="1" applyBorder="1"/>
    <xf numFmtId="168" fontId="14" fillId="0" borderId="4" xfId="0" applyNumberFormat="1" applyFont="1" applyBorder="1"/>
    <xf numFmtId="0" fontId="14" fillId="0" borderId="4" xfId="1" applyNumberFormat="1" applyFont="1" applyBorder="1" applyAlignment="1">
      <alignment horizontal="right"/>
    </xf>
    <xf numFmtId="0" fontId="15" fillId="0" borderId="4" xfId="0" applyFont="1" applyBorder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20" fillId="0" borderId="0" xfId="0" applyFont="1"/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499.3</v>
          </cell>
        </row>
        <row r="6">
          <cell r="I6">
            <v>248495.08914200001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1751</v>
          </cell>
        </row>
        <row r="4">
          <cell r="K4">
            <v>184852.040412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75540</v>
          </cell>
        </row>
        <row r="5">
          <cell r="J5">
            <v>23177866.739159998</v>
          </cell>
        </row>
        <row r="6">
          <cell r="J6">
            <v>1040505</v>
          </cell>
        </row>
        <row r="7">
          <cell r="J7">
            <v>255356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216.48</v>
          </cell>
        </row>
        <row r="5">
          <cell r="H5">
            <v>69783.79898159999</v>
          </cell>
        </row>
        <row r="6">
          <cell r="H6">
            <v>4594.3919999999998</v>
          </cell>
        </row>
        <row r="7">
          <cell r="H7">
            <v>1517.606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256.14999999999998</v>
          </cell>
        </row>
        <row r="4">
          <cell r="H4">
            <v>31405.222593799997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53.46</v>
          </cell>
        </row>
        <row r="4">
          <cell r="H4">
            <v>14462.152790580001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22.68</v>
          </cell>
        </row>
        <row r="4">
          <cell r="I4">
            <v>8722.6429726799997</v>
          </cell>
        </row>
        <row r="5">
          <cell r="I5">
            <v>812</v>
          </cell>
        </row>
        <row r="6">
          <cell r="I6">
            <v>1049.4000000000001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102.6</v>
          </cell>
        </row>
        <row r="4">
          <cell r="H4">
            <v>5098.1578847999999</v>
          </cell>
        </row>
        <row r="5">
          <cell r="H5">
            <v>130.881</v>
          </cell>
        </row>
        <row r="6">
          <cell r="H6">
            <v>1335.8209999999999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80.760000000000005</v>
          </cell>
        </row>
        <row r="4">
          <cell r="J4">
            <v>3699.7390012800006</v>
          </cell>
        </row>
        <row r="5">
          <cell r="J5">
            <v>701.6</v>
          </cell>
        </row>
        <row r="6">
          <cell r="J6">
            <v>2291.4</v>
          </cell>
        </row>
      </sheetData>
      <sheetData sheetId="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21" activePane="bottomRight" state="frozen"/>
      <selection pane="topRight" activeCell="C1" sqref="C1"/>
      <selection pane="bottomLeft" activeCell="A4" sqref="A4"/>
      <selection pane="bottomRight" activeCell="J1" sqref="J1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1804168.9836630011</v>
      </c>
      <c r="G4" s="18">
        <f>SUM(G6:G153)</f>
        <v>9783.1962152000033</v>
      </c>
      <c r="H4" s="18">
        <f>SUM(H6:H153)</f>
        <v>1813952.1798782004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22863.496956963281</v>
      </c>
      <c r="G5" s="87">
        <f>AVERAGE(G6:G153)</f>
        <v>127.05449630129874</v>
      </c>
      <c r="H5" s="87">
        <f>AVERAGE(H6:H153)</f>
        <v>23557.820517898708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499.3</v>
      </c>
      <c r="F6" s="18">
        <f>+[1]Main!$I$6*FX!C3</f>
        <v>258434.89270768003</v>
      </c>
      <c r="G6" s="18">
        <f>(+[1]Main!$I$8-[1]Main!$I$7)*FX!C3</f>
        <v>12010.960000000001</v>
      </c>
      <c r="H6" s="18">
        <f>F6+G6</f>
        <v>270445.85270768002</v>
      </c>
      <c r="I6" s="26" t="s">
        <v>829</v>
      </c>
      <c r="J6" s="27">
        <v>46231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1751</v>
      </c>
      <c r="F7" s="18">
        <f>+[2]Main!$K$4*FX!C3</f>
        <v>192246.12202848002</v>
      </c>
      <c r="G7" s="18">
        <f>+([2]Main!$K$6-[2]Main!$K$5)*FX!C3</f>
        <v>-12693.2</v>
      </c>
      <c r="H7" s="18">
        <f>F7+G7</f>
        <v>179552.92202848001</v>
      </c>
      <c r="I7" s="26" t="s">
        <v>338</v>
      </c>
      <c r="J7" s="27">
        <v>46232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48.01</v>
      </c>
      <c r="F11" s="18">
        <f>+[6]Main!$I$5</f>
        <v>71078.804999999993</v>
      </c>
      <c r="G11" s="18">
        <f>+[6]Main!$I$7-[6]Main!$I$6</f>
        <v>-28</v>
      </c>
      <c r="H11" s="18">
        <f t="shared" si="1"/>
        <v>71050.804999999993</v>
      </c>
      <c r="I11" s="26" t="s">
        <v>820</v>
      </c>
      <c r="J11" s="27">
        <v>46198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75540</v>
      </c>
      <c r="F12" s="18">
        <f>+[7]Main!$J$5*FX!C5</f>
        <v>146020.56045670799</v>
      </c>
      <c r="G12" s="18">
        <f>+([7]Main!$J$7-[7]Main!$J$6)*FX!C5</f>
        <v>-4946.4386999999997</v>
      </c>
      <c r="H12" s="18">
        <f t="shared" si="1"/>
        <v>141074.12175670799</v>
      </c>
      <c r="I12" s="26" t="s">
        <v>798</v>
      </c>
      <c r="J12" s="27">
        <v>46212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170</v>
      </c>
      <c r="F13" s="18">
        <f>+[8]Main!$K$4</f>
        <v>68068</v>
      </c>
      <c r="G13" s="18">
        <f>+[8]Main!$K$6-[8]Main!$K$5</f>
        <v>2473.587</v>
      </c>
      <c r="H13" s="18">
        <f t="shared" si="1"/>
        <v>70541.587</v>
      </c>
      <c r="I13" s="26" t="s">
        <v>820</v>
      </c>
      <c r="J13" s="27">
        <v>46219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216.48</v>
      </c>
      <c r="F14" s="18">
        <f>+[9]Main!$H$5</f>
        <v>69783.79898159999</v>
      </c>
      <c r="G14" s="18">
        <f>+[9]Main!$H$7-[9]Main!$H$6</f>
        <v>-3076.7860000000001</v>
      </c>
      <c r="H14" s="18">
        <f t="shared" si="1"/>
        <v>66707.012981599983</v>
      </c>
      <c r="I14" s="26" t="s">
        <v>830</v>
      </c>
      <c r="J14" s="27">
        <v>46163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156.36000000000001</v>
      </c>
      <c r="F15" s="18">
        <f>+[10]Main!$I$4</f>
        <v>17275.07043756</v>
      </c>
      <c r="G15" s="18">
        <f>+[10]Main!$I$6-[10]Main!$I$5</f>
        <v>-1807.202</v>
      </c>
      <c r="H15" s="18">
        <f>F15+G15</f>
        <v>15467.868437560001</v>
      </c>
      <c r="I15" s="26" t="s">
        <v>422</v>
      </c>
      <c r="J15" s="27">
        <v>46177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147.4</v>
      </c>
      <c r="F16" s="18">
        <f>+[11]Main!$I$4*FX!C3</f>
        <v>27162.897954192002</v>
      </c>
      <c r="G16" s="18">
        <f>+([11]Main!$I$6-[11]Main!$I$5)*FX!C3</f>
        <v>2208.96</v>
      </c>
      <c r="H16" s="18">
        <f>F16+G16</f>
        <v>29371.857954192001</v>
      </c>
      <c r="I16" s="26" t="s">
        <v>829</v>
      </c>
      <c r="J16" s="27">
        <v>46233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256.14999999999998</v>
      </c>
      <c r="F17" s="18">
        <f>+[12]Main!$H$4*FX!C3</f>
        <v>32661.431497551999</v>
      </c>
      <c r="G17" s="18">
        <f>+([12]Main!$H$6-[12]Main!$H$5)*FX!C3</f>
        <v>8578.9600000000009</v>
      </c>
      <c r="H17" s="18">
        <f t="shared" si="1"/>
        <v>41240.391497552002</v>
      </c>
      <c r="I17" s="26" t="s">
        <v>829</v>
      </c>
      <c r="J17" s="27">
        <v>46231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80.55</v>
      </c>
      <c r="F18" s="18">
        <f>+[13]Main!$H$5*FX!C9</f>
        <v>29160.086447520003</v>
      </c>
      <c r="G18" s="18">
        <f>+([13]Main!$H$7-[13]Main!$H$6)*FX!C9</f>
        <v>-1841.5600000000002</v>
      </c>
      <c r="H18" s="18">
        <f t="shared" si="1"/>
        <v>27318.526447520002</v>
      </c>
      <c r="I18" s="26" t="s">
        <v>422</v>
      </c>
      <c r="J18" s="31">
        <v>46260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170.3</v>
      </c>
      <c r="F20" s="18">
        <f>+[15]Main!$I$4*FX!C4</f>
        <v>25871.945346</v>
      </c>
      <c r="G20" s="18">
        <f>+([15]Main!$I$6-[15]Main!$I$5)*FX!C4</f>
        <v>184.49</v>
      </c>
      <c r="H20" s="18">
        <f t="shared" si="1"/>
        <v>26056.435346000002</v>
      </c>
      <c r="I20" s="26" t="s">
        <v>829</v>
      </c>
      <c r="J20" s="27">
        <v>46198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34.700000000000003</v>
      </c>
      <c r="F21" s="18">
        <f>+[16]Main!$H$5*FX!C3</f>
        <v>11081.140861440002</v>
      </c>
      <c r="G21" s="18">
        <f>(+[16]Main!$H$7-[16]Main!$H$6)*FX!C3</f>
        <v>489.51760000000007</v>
      </c>
      <c r="H21" s="18">
        <f t="shared" si="1"/>
        <v>11570.658461440002</v>
      </c>
      <c r="I21" s="26" t="s">
        <v>829</v>
      </c>
      <c r="J21" s="27">
        <v>46203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53.46</v>
      </c>
      <c r="F23" s="18">
        <f>+[18]Main!$H$4*FX!C3</f>
        <v>15040.638902203202</v>
      </c>
      <c r="G23" s="18">
        <f>+([18]Main!$H$6-[18]Main!$H$5)*FX!C3</f>
        <v>-376.31984</v>
      </c>
      <c r="H23" s="18">
        <f t="shared" si="1"/>
        <v>14664.319062203202</v>
      </c>
      <c r="I23" s="26" t="s">
        <v>829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304.51</v>
      </c>
      <c r="F24" s="18">
        <f>+[19]Main!$I$4</f>
        <v>19088.948091260001</v>
      </c>
      <c r="G24" s="18">
        <f>+[19]Main!$I$6-[19]Main!$I$5</f>
        <v>1451.345</v>
      </c>
      <c r="H24" s="18">
        <f>F24+G24</f>
        <v>20540.293091260002</v>
      </c>
      <c r="I24" s="26" t="s">
        <v>422</v>
      </c>
      <c r="J24" s="27">
        <v>46170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134.28</v>
      </c>
      <c r="F25" s="18">
        <f>+[20]Main!$J$4</f>
        <v>27130.56419592</v>
      </c>
      <c r="G25" s="18">
        <f>+[20]Main!$J$6-[20]Main!$J$5</f>
        <v>1330.5779</v>
      </c>
      <c r="H25" s="18">
        <f t="shared" si="1"/>
        <v>28461.14209592</v>
      </c>
      <c r="I25" s="26" t="s">
        <v>820</v>
      </c>
      <c r="J25" s="27">
        <v>46247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4496</v>
      </c>
      <c r="F26" s="18">
        <f>+[21]Main!$I$4*FX!C5</f>
        <v>20073.934380225597</v>
      </c>
      <c r="G26" s="18">
        <f>+([21]Main!$I$6-[21]Main!$I$5)*FX!C5</f>
        <v>-279.65070000000003</v>
      </c>
      <c r="H26" s="18">
        <f>F26+G26</f>
        <v>19794.283680225599</v>
      </c>
      <c r="I26" s="17" t="s">
        <v>829</v>
      </c>
      <c r="J26" s="27">
        <v>46247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36.42</v>
      </c>
      <c r="F28" s="18">
        <f>+[23]Main!$H$5*FX!C7</f>
        <v>10293.145395479522</v>
      </c>
      <c r="G28" s="18">
        <f>+([23]Main!$H$7-[23]Main!$H$6)*FX!C7</f>
        <v>-1077.8880000000001</v>
      </c>
      <c r="H28" s="18">
        <f>F28+G28</f>
        <v>9215.2573954795207</v>
      </c>
      <c r="I28" s="26" t="s">
        <v>829</v>
      </c>
      <c r="J28" s="27">
        <v>46245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47.12</v>
      </c>
      <c r="F30" s="18">
        <f>+[25]Main!$J$5*FX!C9</f>
        <v>8726.4826075060482</v>
      </c>
      <c r="G30" s="18">
        <f>+([25]Main!$J$7-[25]Main!$J$6)*FX!C9</f>
        <v>-1503.0597399999999</v>
      </c>
      <c r="H30" s="18">
        <f t="shared" si="1"/>
        <v>7223.4228675060485</v>
      </c>
      <c r="I30" s="26" t="s">
        <v>149</v>
      </c>
      <c r="J30" s="31">
        <v>46260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19.87</v>
      </c>
      <c r="F33" s="18">
        <f>+[28]Main!$I$4*FX!C3</f>
        <v>5381.1139200000007</v>
      </c>
      <c r="G33" s="18">
        <f>+([28]Main!$I$6-[28]Main!$I$5)*FX!C3</f>
        <v>-565.76</v>
      </c>
      <c r="H33" s="18">
        <f>F33+G33</f>
        <v>4815.3539200000005</v>
      </c>
      <c r="I33" s="26" t="s">
        <v>829</v>
      </c>
      <c r="J33" s="27"/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29.172000000000001</v>
      </c>
      <c r="F35" s="18">
        <f>+[30]Main!$I$5*FX!C3</f>
        <v>5579.5037642572797</v>
      </c>
      <c r="G35" s="18">
        <f>+([30]Main!$I$7-[30]Main!$I$6)*FX!C3</f>
        <v>985.08904000000018</v>
      </c>
      <c r="H35" s="18">
        <f t="shared" si="1"/>
        <v>6564.5928042572796</v>
      </c>
      <c r="I35" s="17" t="s">
        <v>808</v>
      </c>
      <c r="J35" s="27">
        <v>46247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46210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63.14</v>
      </c>
      <c r="F39" s="18">
        <f>+[34]Main!$I$4</f>
        <v>11754.016119999998</v>
      </c>
      <c r="G39" s="18">
        <f>+[34]Main!$I$6-[34]Main!$I$5</f>
        <v>4478.0450000000001</v>
      </c>
      <c r="H39" s="18">
        <f>F39+G39</f>
        <v>16232.061119999998</v>
      </c>
      <c r="I39" s="17" t="s">
        <v>829</v>
      </c>
      <c r="J39" s="27">
        <v>46233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22.68</v>
      </c>
      <c r="F40" s="18">
        <f>+[35]Main!$I$4</f>
        <v>8722.6429726799997</v>
      </c>
      <c r="G40" s="18">
        <f>+[35]Main!$I$6-[35]Main!$I$5</f>
        <v>237.40000000000009</v>
      </c>
      <c r="H40" s="18">
        <f>F40+G40</f>
        <v>8960.0429726799994</v>
      </c>
      <c r="I40" s="17" t="s">
        <v>829</v>
      </c>
      <c r="J40" s="27">
        <v>46212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102.6</v>
      </c>
      <c r="F44" s="18">
        <f>+[39]Main!$H$4</f>
        <v>5098.1578847999999</v>
      </c>
      <c r="G44" s="18">
        <f>+[39]Main!$H$6-[39]Main!$H$5</f>
        <v>1204.9399999999998</v>
      </c>
      <c r="H44" s="18">
        <f>F44+G44</f>
        <v>6303.0978847999995</v>
      </c>
      <c r="I44" s="17" t="s">
        <v>829</v>
      </c>
      <c r="J44" s="27">
        <v>46240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25.98</v>
      </c>
      <c r="F51" s="18">
        <f>+[46]Main!$I$4*FX!C3</f>
        <v>3978.0368159999998</v>
      </c>
      <c r="G51" s="18">
        <f>+([46]Main!$I$6-[46]Main!$I$5)*FX!C3</f>
        <v>1411.904</v>
      </c>
      <c r="H51" s="18">
        <f t="shared" si="3"/>
        <v>5389.9408160000003</v>
      </c>
      <c r="I51" s="17" t="s">
        <v>829</v>
      </c>
      <c r="J51" s="27">
        <v>46233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58.06</v>
      </c>
      <c r="F54" s="18">
        <f>+[49]Main!$I$4</f>
        <v>2969.2344415800003</v>
      </c>
      <c r="G54" s="18">
        <f>+[49]Main!$I$6-[49]Main!$I$5</f>
        <v>-535.35400000000004</v>
      </c>
      <c r="H54" s="18">
        <f t="shared" si="3"/>
        <v>2433.8804415800005</v>
      </c>
      <c r="I54" s="17" t="s">
        <v>422</v>
      </c>
      <c r="J54" s="27">
        <v>46233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80.760000000000005</v>
      </c>
      <c r="F55" s="18">
        <f>+[50]Main!$J$4</f>
        <v>3699.7390012800006</v>
      </c>
      <c r="G55" s="18">
        <f>+([50]Main!$J$6-[50]Main!$J$5)</f>
        <v>1589.8000000000002</v>
      </c>
      <c r="H55" s="18">
        <f>F55+G55</f>
        <v>5289.5390012800008</v>
      </c>
      <c r="I55" s="17" t="s">
        <v>422</v>
      </c>
      <c r="J55" s="27">
        <v>46177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10.93</v>
      </c>
      <c r="F57" s="18">
        <f>+[52]Main!$I$4*FX!C3</f>
        <v>4072.8677600000001</v>
      </c>
      <c r="G57" s="18">
        <f>+([52]Main!$I$6-[52]Main!$I$5)*FX!C3</f>
        <v>-107.12</v>
      </c>
      <c r="H57" s="18">
        <f>+F57+G57</f>
        <v>3965.7477600000002</v>
      </c>
      <c r="I57" s="17" t="s">
        <v>830</v>
      </c>
      <c r="J57" s="27"/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35.700000000000003</v>
      </c>
      <c r="F63" s="18">
        <f>+[57]Main!$J$4*FX!C3</f>
        <v>2562.4323597600001</v>
      </c>
      <c r="G63" s="18">
        <f>+([57]Main!$J$6-[57]Main!$J$5)*FX!C3</f>
        <v>-17.68</v>
      </c>
      <c r="H63" s="18">
        <f>+F63+G63</f>
        <v>2544.7523597600002</v>
      </c>
      <c r="I63" s="17" t="s">
        <v>829</v>
      </c>
      <c r="J63" s="27"/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4.97</v>
      </c>
      <c r="F64" s="18">
        <f>+[58]Main!$I$4</f>
        <v>2117.1355100000001</v>
      </c>
      <c r="G64" s="18">
        <f>+[58]Main!$I$6-[58]Main!$I$5</f>
        <v>881.27599999999995</v>
      </c>
      <c r="H64" s="18">
        <f>+F64+G64</f>
        <v>2998.4115099999999</v>
      </c>
      <c r="I64" s="17" t="s">
        <v>828</v>
      </c>
      <c r="J64" s="27">
        <v>46241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10.61</v>
      </c>
      <c r="F70" s="18">
        <f>+[64]Main!$J$4*FX!C3</f>
        <v>2791.9657083759998</v>
      </c>
      <c r="G70" s="18">
        <f>+([64]Main!$J$6-[64]Main!$J$5)*FX!C3</f>
        <v>-53.418560000000006</v>
      </c>
      <c r="H70" s="18">
        <f>+F70+G70</f>
        <v>2738.5471483759998</v>
      </c>
      <c r="I70" s="17" t="s">
        <v>422</v>
      </c>
      <c r="J70" s="27">
        <v>46226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13.57</v>
      </c>
      <c r="F97" s="18">
        <f>+[72]Main!$J$4*FX!C13</f>
        <v>909.50776909709987</v>
      </c>
      <c r="G97" s="18">
        <f>+([72]Main!$J$6-[72]Main!$J$5)*FX!C13</f>
        <v>1.6559999999999842</v>
      </c>
      <c r="H97" s="18">
        <f>+F97+G97</f>
        <v>911.16376909709982</v>
      </c>
      <c r="I97" s="17" t="s">
        <v>871</v>
      </c>
      <c r="J97" s="27">
        <v>46233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2.4350000000000001</v>
      </c>
      <c r="F116" s="18">
        <f>+'[75]Main '!$F$4*FX!C8</f>
        <v>360.19879762439996</v>
      </c>
      <c r="G116" s="18">
        <f>+('[75]Main '!$F$6-'[75]Main '!$F$5)*FX!C8</f>
        <v>229.02800000000005</v>
      </c>
      <c r="H116" s="18">
        <f>+F116+G116</f>
        <v>589.22679762439998</v>
      </c>
      <c r="I116" s="17" t="s">
        <v>422</v>
      </c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7" sqref="J7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177.95</v>
      </c>
      <c r="F7" s="57">
        <f>+[84]Main!$I$5*FX!C7</f>
        <v>10344.705947284801</v>
      </c>
      <c r="G7" s="57">
        <f>+([84]Main!$I$7-[84]Main!$I$6)*FX!C7</f>
        <v>-1336.16</v>
      </c>
      <c r="H7" s="57">
        <f>+F7+G7</f>
        <v>9008.5459472848015</v>
      </c>
      <c r="I7" s="97" t="s">
        <v>422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H11" sqref="H11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98" t="s">
        <v>867</v>
      </c>
      <c r="C10" s="46"/>
      <c r="D10" s="98" t="s">
        <v>866</v>
      </c>
      <c r="E10" s="77">
        <v>46112</v>
      </c>
      <c r="F10" s="99" t="s">
        <v>474</v>
      </c>
      <c r="G10" s="46">
        <v>39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101" t="s">
        <v>869</v>
      </c>
      <c r="C11" s="101" t="s">
        <v>8</v>
      </c>
      <c r="D11" s="101" t="s">
        <v>870</v>
      </c>
      <c r="E11" s="77">
        <v>46156</v>
      </c>
      <c r="F11" s="102" t="s">
        <v>474</v>
      </c>
      <c r="G11" s="46">
        <v>850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7" bestFit="1" customWidth="1"/>
    <col min="2" max="2" width="24.28515625" style="7" bestFit="1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98" t="s">
        <v>865</v>
      </c>
      <c r="C15" s="100" t="s">
        <v>868</v>
      </c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686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687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46" t="s">
        <v>695</v>
      </c>
      <c r="C18" s="58"/>
      <c r="D18" s="46"/>
      <c r="E18" s="59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95" t="s">
        <v>850</v>
      </c>
      <c r="C19" s="58" t="s">
        <v>803</v>
      </c>
      <c r="D19" s="46"/>
      <c r="E19" s="59" t="s">
        <v>804</v>
      </c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46"/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822</v>
      </c>
      <c r="C21" s="58"/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81" t="s">
        <v>823</v>
      </c>
      <c r="C22" s="81" t="s">
        <v>824</v>
      </c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58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  <row r="24" spans="1:17">
      <c r="A24" s="46"/>
      <c r="B24" s="46"/>
      <c r="C24" s="72"/>
      <c r="D24" s="46"/>
      <c r="E24" s="59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2026-05-15T12:24:46Z</dcterms:modified>
  <cp:category/>
  <cp:contentStatus/>
</cp:coreProperties>
</file>