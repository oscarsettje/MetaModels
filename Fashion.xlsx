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99E08C0-DC38-4BCB-BF76-9B824A2C8E36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H125" i="1" s="1"/>
  <c r="F125" i="1"/>
  <c r="E125" i="1"/>
  <c r="G36" i="1"/>
  <c r="F36" i="1"/>
  <c r="E36" i="1"/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<sst xmlns="http://schemas.openxmlformats.org/spreadsheetml/2006/main" count="1392" uniqueCount="822">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</sst>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2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  <xf numFmtId="2" fontId="6" fillId="0" borderId="0" xfId="1" applyNumberFormat="1" applyFont="1"/>
    <xf numFmtId="0" fontId="6" fillId="0" borderId="0" xfId="1" applyNumberFormat="1" applyFont="1" applyAlignment="1">
      <alignment horizontal="right"/>
    </xf>
    <xf numFmtId="0" fontId="7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8" fillId="2" borderId="2" xfId="0" applyFont="1" applyFill="1" applyBorder="1"/>
    <xf numFmtId="0" fontId="8" fillId="2" borderId="3" xfId="0" applyFont="1" applyFill="1" applyBorder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166" fontId="6" fillId="0" borderId="0" xfId="0" applyNumberFormat="1" applyFont="1"/>
    <xf numFmtId="9" fontId="6" fillId="0" borderId="0" xfId="0" applyNumberFormat="1" applyFont="1" applyAlignment="1">
      <alignment horizontal="right"/>
    </xf>
    <xf numFmtId="168" fontId="6" fillId="0" borderId="0" xfId="0" applyNumberFormat="1" applyFont="1" applyAlignment="1">
      <alignment horizontal="right"/>
    </xf>
    <xf numFmtId="168" fontId="6" fillId="0" borderId="0" xfId="1" applyNumberFormat="1" applyFont="1" applyAlignment="1">
      <alignment horizontal="right"/>
    </xf>
    <xf numFmtId="9" fontId="6" fillId="0" borderId="0" xfId="1" applyFont="1"/>
    <xf numFmtId="168" fontId="6" fillId="0" borderId="0" xfId="0" applyNumberFormat="1" applyFont="1"/>
    <xf numFmtId="0" fontId="9" fillId="0" borderId="0" xfId="2" applyFont="1"/>
    <xf numFmtId="165" fontId="6" fillId="0" borderId="0" xfId="0" applyNumberFormat="1" applyFont="1"/>
    <xf numFmtId="17" fontId="6" fillId="0" borderId="0" xfId="0" applyNumberFormat="1" applyFont="1" applyAlignment="1">
      <alignment horizontal="right"/>
    </xf>
    <xf numFmtId="16" fontId="6" fillId="0" borderId="0" xfId="0" applyNumberFormat="1" applyFont="1"/>
    <xf numFmtId="168" fontId="6" fillId="0" borderId="0" xfId="1" applyNumberFormat="1" applyFont="1"/>
    <xf numFmtId="164" fontId="6" fillId="0" borderId="0" xfId="1" applyNumberFormat="1" applyFont="1"/>
    <xf numFmtId="167" fontId="6" fillId="0" borderId="0" xfId="0" applyNumberFormat="1" applyFont="1"/>
    <xf numFmtId="16" fontId="6" fillId="0" borderId="0" xfId="0" applyNumberFormat="1" applyFont="1" applyAlignment="1">
      <alignment horizontal="right"/>
    </xf>
    <xf numFmtId="0" fontId="9" fillId="0" borderId="0" xfId="2" applyFont="1" applyAlignment="1">
      <alignment horizontal="left"/>
    </xf>
    <xf numFmtId="0" fontId="6" fillId="0" borderId="0" xfId="0" quotePrefix="1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5" fontId="7" fillId="0" borderId="0" xfId="0" applyNumberFormat="1" applyFont="1"/>
    <xf numFmtId="0" fontId="7" fillId="0" borderId="0" xfId="0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6" fontId="7" fillId="0" borderId="0" xfId="0" applyNumberFormat="1" applyFont="1"/>
    <xf numFmtId="0" fontId="7" fillId="0" borderId="0" xfId="1" applyNumberFormat="1" applyFont="1" applyAlignment="1">
      <alignment horizontal="right"/>
    </xf>
    <xf numFmtId="2" fontId="7" fillId="0" borderId="0" xfId="1" applyNumberFormat="1" applyFont="1"/>
    <xf numFmtId="0" fontId="10" fillId="0" borderId="0" xfId="2"/>
    <xf numFmtId="0" fontId="1" fillId="0" borderId="0" xfId="0" applyFont="1"/>
    <xf numFmtId="0" fontId="1" fillId="0" borderId="0" xfId="0" applyFont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2" fontId="4" fillId="2" borderId="2" xfId="1" applyNumberFormat="1" applyFont="1" applyFill="1" applyBorder="1" applyAlignment="1">
      <alignment horizontal="right"/>
    </xf>
    <xf numFmtId="0" fontId="4" fillId="2" borderId="2" xfId="1" applyNumberFormat="1" applyFont="1" applyFill="1" applyBorder="1" applyAlignment="1">
      <alignment horizontal="right"/>
    </xf>
    <xf numFmtId="0" fontId="4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0" fillId="0" borderId="0" xfId="2" applyAlignment="1">
      <alignment horizontal="left"/>
    </xf>
    <xf numFmtId="165" fontId="4" fillId="2" borderId="2" xfId="0" applyNumberFormat="1" applyFont="1" applyFill="1" applyBorder="1"/>
    <xf numFmtId="166" fontId="4" fillId="2" borderId="2" xfId="0" applyNumberFormat="1" applyFont="1" applyFill="1" applyBorder="1"/>
    <xf numFmtId="166" fontId="4" fillId="2" borderId="2" xfId="0" applyNumberFormat="1" applyFont="1" applyFill="1" applyBorder="1" applyAlignment="1">
      <alignment horizontal="right"/>
    </xf>
    <xf numFmtId="9" fontId="4" fillId="2" borderId="2" xfId="1" applyFont="1" applyFill="1" applyBorder="1"/>
    <xf numFmtId="0" fontId="1" fillId="0" borderId="0" xfId="0" quotePrefix="1" applyFont="1" applyAlignment="1">
      <alignment horizontal="left"/>
    </xf>
    <xf numFmtId="0" fontId="11" fillId="0" borderId="0" xfId="0" applyFont="1"/>
    <xf numFmtId="2" fontId="1" fillId="0" borderId="0" xfId="0" applyNumberFormat="1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177.4</v>
          </cell>
        </row>
        <row r="4">
          <cell r="I4">
            <v>20129.237746800001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85.3</v>
          </cell>
        </row>
        <row r="4">
          <cell r="J4">
            <v>5799.8605627999996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17935</v>
          </cell>
        </row>
        <row r="4">
          <cell r="I4">
            <v>33272.832649999997</v>
          </cell>
        </row>
        <row r="5">
          <cell r="I5">
            <v>1643</v>
          </cell>
        </row>
        <row r="6">
          <cell r="I6">
            <v>2042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24" activePane="bottomRight" state="frozen"/>
      <selection pane="topRight" activeCell="C1" sqref="C1"/>
      <selection pane="bottomLeft" activeCell="A4" sqref="A4"/>
      <selection pane="bottomRight" activeCell="B47" sqref="B47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1767580.9085336619</v>
      </c>
      <c r="G4" s="19">
        <f>+SUM(G6:G153)</f>
        <v>19364.686735200008</v>
      </c>
      <c r="H4" s="19">
        <f>SUM(H6:H153)</f>
        <v>1786945.5952688619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22661.293699149512</v>
      </c>
      <c r="G5" s="19">
        <f>AVERAGE(G6:G153)</f>
        <v>248.26521455384625</v>
      </c>
      <c r="H5" s="19">
        <f>AVERAGE(H6:H153)</f>
        <v>22909.558913703357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177.4</v>
      </c>
      <c r="F15" s="19">
        <f>+[10]Main!$I$4</f>
        <v>20129.237746800001</v>
      </c>
      <c r="G15" s="19">
        <f>+[10]Main!$I$6-[10]Main!$I$5</f>
        <v>-1155.7940000000001</v>
      </c>
      <c r="H15" s="19">
        <f>F15+G15</f>
        <v>18973.4437468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821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820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85.3</v>
      </c>
      <c r="F38" s="19">
        <f>+[33]Main!$J$4*FX!C3</f>
        <v>6031.8549853119994</v>
      </c>
      <c r="G38" s="19">
        <f>+([33]Main!$J$6-[33]Main!$J$5)*FX!C3</f>
        <v>-246.27304000000004</v>
      </c>
      <c r="H38" s="19">
        <f>F38+G38</f>
        <v>5785.5819453119993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17935</v>
      </c>
      <c r="F41" s="19">
        <f>+[36]Main!$I$4*FX!C11</f>
        <v>8318.2081624999992</v>
      </c>
      <c r="G41" s="19">
        <f>+([36]Main!$I$6-[36]Main!$I$5)*FX!C11</f>
        <v>99.75</v>
      </c>
      <c r="H41" s="19">
        <f>+F41+G41</f>
        <v>8417.9581624999992</v>
      </c>
      <c r="I41" s="18" t="s">
        <v>432</v>
      </c>
      <c r="J41" s="28">
        <v>45925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719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16.75</v>
      </c>
      <c r="F101" s="19">
        <f>+[75]Main!$I$4</f>
        <v>872.38125524999998</v>
      </c>
      <c r="G101" s="19">
        <f>+[75]Main!$I$6-[75]Main!$I$5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+[78]Main!$I$2</f>
        <v>17.79</v>
      </c>
      <c r="F125" s="19">
        <f>+[78]Main!$I$4</f>
        <v>270.90115659000003</v>
      </c>
      <c r="G125" s="19">
        <f>+[78]Main!$I$6-[78]Main!$I$5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+[79]Main!$I$2</f>
        <v>2540</v>
      </c>
      <c r="F154" s="19">
        <f>+[79]Main!$I$4*FX!C5</f>
        <v>409.27593709799999</v>
      </c>
      <c r="G154" s="19">
        <f>+([79]Main!$I$6-[79]Main!$I$5)*FX!C5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+[80]Main!$J$2</f>
        <v>29.25</v>
      </c>
      <c r="F155" s="19">
        <f>+[80]Main!$J$4</f>
        <v>2376.6897667500002</v>
      </c>
      <c r="G155" s="19">
        <f>+[80]Main!$J$6-[80]Main!$J$5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+[81]Main!$J$2</f>
        <v>180.8</v>
      </c>
      <c r="F20" s="58">
        <f>+[81]Main!$J$4</f>
        <v>14437.908028799999</v>
      </c>
      <c r="G20" s="58">
        <f>+[81]Main!$J$6-[81]Main!$J$5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+[82]Main!$I$2</f>
        <v>257.3</v>
      </c>
      <c r="F4" s="58">
        <f>+[82]Main!$I$4*FX!C3</f>
        <v>121467.16982951201</v>
      </c>
      <c r="G4" s="58">
        <f>+([82]Main!$I$6-[82]Main!$I$5)*FX!C3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+[83]Main!$J$2</f>
        <v>149.9</v>
      </c>
      <c r="F5" s="58">
        <f>+[83]Main!$J$5*FX!C7</f>
        <v>104409.88297600002</v>
      </c>
      <c r="G5" s="58">
        <f>+([83]Main!$J$7-[83]Main!$J$6)*FX!C7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+[84]Main!$K$2</f>
        <v>63.49</v>
      </c>
      <c r="F6" s="58">
        <f>+[84]Main!$K$4</f>
        <v>22840.653210200002</v>
      </c>
      <c r="G6" s="58">
        <f>+([84]Main!$K$6-[84]Main!$K$5)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+[85]Main!$I$3</f>
        <v>140.1</v>
      </c>
      <c r="F7" s="58">
        <f>+[85]Main!$I$5*FX!C7</f>
        <v>8097.3307833600002</v>
      </c>
      <c r="G7" s="58">
        <f>+([85]Main!$I$7-[85]Main!$I$6)*FX!C7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B5" sqref="B5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2025-09-26T12:48:56Z</dcterms:modified>
  <cp:category/>
  <cp:contentStatus/>
</cp:coreProperties>
</file>