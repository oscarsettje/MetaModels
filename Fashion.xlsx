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3E85F0DD-A13F-4980-9D95-EA0AAD49D306}" xr6:coauthVersionLast="47" xr6:coauthVersionMax="47" xr10:uidLastSave="{00000000-0000-0000-0000-000000000000}"/>
  <bookViews>
    <workbookView xWindow="-120" yWindow="-120" windowWidth="38640" windowHeight="21120" xr2:uid="{E4FC37F3-4088-4285-9A96-75C9B19F2D05}"/>
  </bookViews>
  <sheets>
    <sheet name="Main" sheetId="1" r:id="rId1"/>
    <sheet name="Sports" sheetId="6" r:id="rId2"/>
    <sheet name="Retail" sheetId="5" r:id="rId3"/>
    <sheet name="Accessoires" sheetId="4" r:id="rId4"/>
    <sheet name="Luxury" sheetId="8" r:id="rId5"/>
    <sheet name="Furniture" sheetId="7" r:id="rId6"/>
    <sheet name="Shoes" sheetId="13" r:id="rId7"/>
    <sheet name="Glossar" sheetId="3" r:id="rId8"/>
    <sheet name="FX" sheetId="2" r:id="rId9"/>
    <sheet name="Acquisitions" sheetId="9" r:id="rId10"/>
    <sheet name="People" sheetId="10" r:id="rId11"/>
    <sheet name="Industry" sheetId="11" r:id="rId12"/>
    <sheet name="Private" sheetId="12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</externalReferences>
  <definedNames>
    <definedName name="_xlnm._FilterDatabase" localSheetId="0" hidden="1">Main!$A$1:$AE$183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5" i="1" l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G17" i="1"/>
  <c r="F17" i="1"/>
  <c r="H17" i="1" s="1"/>
  <c r="E17" i="1"/>
  <c r="G25" i="1" l="1"/>
  <c r="F25" i="1"/>
  <c r="E25" i="1"/>
  <c r="H25" i="1" l="1"/>
  <c r="G19" i="6"/>
  <c r="F19" i="6"/>
  <c r="E19" i="6"/>
  <c r="H19" i="6" l="1"/>
  <c r="M19" i="1"/>
  <c r="K19" i="1"/>
  <c r="N12" i="1" l="1"/>
  <c r="K7" i="1" l="1"/>
  <c r="P20" i="1" l="1"/>
  <c r="K6" i="1" l="1"/>
  <c r="D5" i="1" l="1" a="1"/>
  <c r="D5" i="1" s="1"/>
  <c r="C4" i="1"/>
  <c r="D4" i="1"/>
  <c r="G128" i="1" l="1"/>
  <c r="F128" i="1"/>
  <c r="E128" i="1"/>
  <c r="G38" i="1"/>
  <c r="F38" i="1"/>
  <c r="E38" i="1"/>
  <c r="H128" i="1" l="1"/>
  <c r="M12" i="1"/>
  <c r="R5" i="1" l="1"/>
  <c r="U5" i="1"/>
  <c r="V5" i="1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" i="8"/>
  <c r="G20" i="6" l="1"/>
  <c r="F20" i="6"/>
  <c r="E20" i="6"/>
  <c r="A34" i="6"/>
  <c r="A35" i="6" s="1"/>
  <c r="A36" i="6" s="1"/>
  <c r="A37" i="6" s="1"/>
  <c r="A38" i="6" s="1"/>
  <c r="A39" i="6" s="1"/>
  <c r="A32" i="6"/>
  <c r="A33" i="6" s="1"/>
  <c r="A29" i="6"/>
  <c r="A30" i="6" s="1"/>
  <c r="A31" i="6" s="1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5" i="6"/>
  <c r="G7" i="4"/>
  <c r="F7" i="4"/>
  <c r="E7" i="4"/>
  <c r="H20" i="6" l="1"/>
  <c r="G6" i="4"/>
  <c r="F6" i="4"/>
  <c r="E6" i="4"/>
  <c r="H6" i="4" l="1"/>
  <c r="A7" i="5"/>
  <c r="A8" i="5" s="1"/>
  <c r="A9" i="5" s="1"/>
  <c r="A10" i="5" s="1"/>
  <c r="A11" i="5" s="1"/>
  <c r="G157" i="1" l="1"/>
  <c r="F157" i="1"/>
  <c r="E157" i="1"/>
  <c r="G95" i="1"/>
  <c r="F95" i="1"/>
  <c r="E95" i="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" i="7"/>
  <c r="H95" i="1" l="1"/>
  <c r="H157" i="1"/>
  <c r="A7" i="1"/>
  <c r="A8" i="1" s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6" i="5"/>
  <c r="A5" i="5"/>
  <c r="G5" i="4"/>
  <c r="F5" i="4"/>
  <c r="E5" i="4"/>
  <c r="H7" i="4" l="1"/>
  <c r="H5" i="4"/>
  <c r="G4" i="4"/>
  <c r="F4" i="4"/>
  <c r="E4" i="4"/>
  <c r="H4" i="4" l="1"/>
  <c r="A5" i="4"/>
  <c r="A7" i="4" s="1"/>
  <c r="A6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G63" i="1"/>
  <c r="F63" i="1"/>
  <c r="E63" i="1"/>
  <c r="G51" i="1" l="1"/>
  <c r="F51" i="1"/>
  <c r="E51" i="1"/>
  <c r="E52" i="1"/>
  <c r="G50" i="1"/>
  <c r="F50" i="1"/>
  <c r="E50" i="1"/>
  <c r="G44" i="1" l="1"/>
  <c r="F44" i="1"/>
  <c r="E44" i="1"/>
  <c r="G34" i="1"/>
  <c r="F34" i="1"/>
  <c r="E34" i="1"/>
  <c r="G23" i="1"/>
  <c r="F23" i="1"/>
  <c r="E23" i="1"/>
  <c r="G33" i="1" l="1"/>
  <c r="F33" i="1"/>
  <c r="E33" i="1"/>
  <c r="G28" i="1"/>
  <c r="F28" i="1"/>
  <c r="E28" i="1"/>
  <c r="G19" i="1" l="1"/>
  <c r="F19" i="1"/>
  <c r="E19" i="1"/>
  <c r="M18" i="1" l="1"/>
  <c r="G18" i="1"/>
  <c r="F18" i="1"/>
  <c r="E18" i="1"/>
  <c r="G27" i="1" l="1"/>
  <c r="F27" i="1"/>
  <c r="E27" i="1"/>
  <c r="G103" i="1"/>
  <c r="F103" i="1"/>
  <c r="E103" i="1"/>
  <c r="G92" i="1"/>
  <c r="F92" i="1"/>
  <c r="E92" i="1"/>
  <c r="H103" i="1" l="1"/>
  <c r="H27" i="1"/>
  <c r="H92" i="1"/>
  <c r="G8" i="1" l="1"/>
  <c r="E8" i="1"/>
  <c r="F8" i="1" l="1"/>
  <c r="G91" i="1" l="1"/>
  <c r="F91" i="1"/>
  <c r="E91" i="1"/>
  <c r="G99" i="1"/>
  <c r="F99" i="1"/>
  <c r="E99" i="1"/>
  <c r="G85" i="1"/>
  <c r="F85" i="1"/>
  <c r="E85" i="1"/>
  <c r="H99" i="1" l="1"/>
  <c r="H91" i="1"/>
  <c r="H85" i="1"/>
  <c r="H63" i="1"/>
  <c r="G64" i="1"/>
  <c r="L5" i="1"/>
  <c r="F64" i="1"/>
  <c r="E64" i="1"/>
  <c r="G58" i="1"/>
  <c r="F58" i="1"/>
  <c r="E58" i="1"/>
  <c r="G31" i="1"/>
  <c r="E55" i="1"/>
  <c r="F55" i="1"/>
  <c r="G55" i="1"/>
  <c r="G93" i="1"/>
  <c r="F93" i="1"/>
  <c r="E93" i="1"/>
  <c r="E26" i="1"/>
  <c r="F26" i="1"/>
  <c r="G26" i="1"/>
  <c r="H64" i="1" l="1"/>
  <c r="H58" i="1"/>
  <c r="H55" i="1"/>
  <c r="H93" i="1"/>
  <c r="H26" i="1"/>
  <c r="G98" i="1"/>
  <c r="F98" i="1"/>
  <c r="E98" i="1"/>
  <c r="F32" i="1"/>
  <c r="G32" i="1"/>
  <c r="E32" i="1"/>
  <c r="G104" i="1"/>
  <c r="F104" i="1"/>
  <c r="E104" i="1"/>
  <c r="G72" i="1"/>
  <c r="G73" i="1"/>
  <c r="F73" i="1"/>
  <c r="E73" i="1"/>
  <c r="G35" i="1"/>
  <c r="F35" i="1"/>
  <c r="E35" i="1"/>
  <c r="G30" i="1"/>
  <c r="F30" i="1"/>
  <c r="E30" i="1"/>
  <c r="H98" i="1" l="1"/>
  <c r="H32" i="1"/>
  <c r="H104" i="1"/>
  <c r="H51" i="1"/>
  <c r="H73" i="1"/>
  <c r="H30" i="1"/>
  <c r="H35" i="1"/>
  <c r="K22" i="1"/>
  <c r="F31" i="1" l="1"/>
  <c r="N18" i="1" l="1"/>
  <c r="K18" i="1"/>
  <c r="G52" i="1" l="1"/>
  <c r="F52" i="1"/>
  <c r="G68" i="1"/>
  <c r="F68" i="1"/>
  <c r="E68" i="1"/>
  <c r="G49" i="1"/>
  <c r="F49" i="1"/>
  <c r="E49" i="1"/>
  <c r="G47" i="1"/>
  <c r="E47" i="1"/>
  <c r="F47" i="1"/>
  <c r="G70" i="1"/>
  <c r="F70" i="1"/>
  <c r="E70" i="1"/>
  <c r="G66" i="1"/>
  <c r="F66" i="1"/>
  <c r="E66" i="1"/>
  <c r="G65" i="1"/>
  <c r="F65" i="1"/>
  <c r="E65" i="1"/>
  <c r="G100" i="1"/>
  <c r="F100" i="1"/>
  <c r="E100" i="1"/>
  <c r="G69" i="1"/>
  <c r="F69" i="1"/>
  <c r="E69" i="1"/>
  <c r="G67" i="1"/>
  <c r="F67" i="1"/>
  <c r="E67" i="1"/>
  <c r="G45" i="1"/>
  <c r="E45" i="1"/>
  <c r="F45" i="1"/>
  <c r="G59" i="1"/>
  <c r="F59" i="1"/>
  <c r="E59" i="1"/>
  <c r="F72" i="1"/>
  <c r="E72" i="1"/>
  <c r="G43" i="1"/>
  <c r="E43" i="1"/>
  <c r="F43" i="1"/>
  <c r="G61" i="1"/>
  <c r="F61" i="1"/>
  <c r="E61" i="1"/>
  <c r="G60" i="1"/>
  <c r="F60" i="1"/>
  <c r="E60" i="1"/>
  <c r="G56" i="1"/>
  <c r="F56" i="1"/>
  <c r="E56" i="1"/>
  <c r="G54" i="1"/>
  <c r="F54" i="1"/>
  <c r="E54" i="1"/>
  <c r="G41" i="1"/>
  <c r="F41" i="1"/>
  <c r="E41" i="1"/>
  <c r="G57" i="1"/>
  <c r="F57" i="1"/>
  <c r="E57" i="1"/>
  <c r="G40" i="1"/>
  <c r="F40" i="1"/>
  <c r="E40" i="1"/>
  <c r="G53" i="1"/>
  <c r="F53" i="1"/>
  <c r="E53" i="1"/>
  <c r="G24" i="1"/>
  <c r="F24" i="1"/>
  <c r="E24" i="1"/>
  <c r="G36" i="1"/>
  <c r="F36" i="1"/>
  <c r="E36" i="1"/>
  <c r="G37" i="1"/>
  <c r="F37" i="1"/>
  <c r="E37" i="1"/>
  <c r="G48" i="1"/>
  <c r="F48" i="1"/>
  <c r="E48" i="1"/>
  <c r="G21" i="1"/>
  <c r="F21" i="1"/>
  <c r="E21" i="1"/>
  <c r="G29" i="1"/>
  <c r="F29" i="1"/>
  <c r="E29" i="1"/>
  <c r="N6" i="1"/>
  <c r="M6" i="1"/>
  <c r="H70" i="1" l="1"/>
  <c r="H47" i="1"/>
  <c r="H67" i="1"/>
  <c r="H66" i="1"/>
  <c r="H68" i="1"/>
  <c r="H48" i="1"/>
  <c r="H52" i="1"/>
  <c r="H29" i="1"/>
  <c r="H44" i="1"/>
  <c r="H69" i="1"/>
  <c r="H49" i="1"/>
  <c r="H65" i="1"/>
  <c r="H100" i="1"/>
  <c r="H59" i="1"/>
  <c r="H33" i="1"/>
  <c r="H43" i="1"/>
  <c r="H45" i="1"/>
  <c r="H72" i="1"/>
  <c r="H54" i="1"/>
  <c r="H60" i="1"/>
  <c r="H61" i="1"/>
  <c r="H41" i="1"/>
  <c r="H56" i="1"/>
  <c r="H57" i="1"/>
  <c r="H50" i="1"/>
  <c r="H24" i="1"/>
  <c r="H53" i="1"/>
  <c r="H40" i="1"/>
  <c r="H34" i="1"/>
  <c r="H36" i="1"/>
  <c r="H37" i="1"/>
  <c r="H21" i="1"/>
  <c r="P6" i="1"/>
  <c r="G9" i="1"/>
  <c r="F9" i="1"/>
  <c r="E9" i="1"/>
  <c r="G126" i="1" l="1"/>
  <c r="F126" i="1"/>
  <c r="E126" i="1"/>
  <c r="G71" i="1"/>
  <c r="F71" i="1"/>
  <c r="E71" i="1"/>
  <c r="G46" i="1"/>
  <c r="F46" i="1"/>
  <c r="E46" i="1"/>
  <c r="H46" i="1" l="1"/>
  <c r="G42" i="1"/>
  <c r="F42" i="1"/>
  <c r="E42" i="1"/>
  <c r="H42" i="1" l="1"/>
  <c r="G39" i="1" l="1"/>
  <c r="F39" i="1"/>
  <c r="E39" i="1"/>
  <c r="E31" i="1" l="1"/>
  <c r="G22" i="1"/>
  <c r="F22" i="1"/>
  <c r="E22" i="1"/>
  <c r="G15" i="1" l="1"/>
  <c r="F15" i="1"/>
  <c r="E15" i="1"/>
  <c r="G16" i="1" l="1"/>
  <c r="F16" i="1"/>
  <c r="E16" i="1"/>
  <c r="G14" i="1" l="1"/>
  <c r="F14" i="1"/>
  <c r="E14" i="1"/>
  <c r="G12" i="1" l="1"/>
  <c r="F12" i="1"/>
  <c r="E12" i="1"/>
  <c r="G10" i="1"/>
  <c r="F10" i="1"/>
  <c r="E10" i="1"/>
  <c r="G7" i="1" l="1"/>
  <c r="F7" i="1"/>
  <c r="E7" i="1"/>
  <c r="G20" i="1" l="1"/>
  <c r="F20" i="1"/>
  <c r="E20" i="1"/>
  <c r="G13" i="1" l="1"/>
  <c r="F13" i="1"/>
  <c r="E13" i="1"/>
  <c r="G6" i="1" l="1"/>
  <c r="F6" i="1"/>
  <c r="E6" i="1"/>
  <c r="G11" i="1" l="1"/>
  <c r="E11" i="1"/>
  <c r="F11" i="1"/>
  <c r="G119" i="1" l="1"/>
  <c r="G5" i="1" s="1"/>
  <c r="F119" i="1"/>
  <c r="F5" i="1" s="1"/>
  <c r="E119" i="1"/>
  <c r="G4" i="1" l="1"/>
  <c r="F4" i="1"/>
  <c r="H119" i="1"/>
  <c r="H38" i="1"/>
  <c r="AA5" i="1"/>
  <c r="N16" i="1"/>
  <c r="M16" i="1"/>
  <c r="K16" i="1"/>
  <c r="H15" i="1"/>
  <c r="K12" i="1"/>
  <c r="H71" i="1" l="1"/>
  <c r="H126" i="1"/>
  <c r="H31" i="1"/>
  <c r="H14" i="1"/>
  <c r="H39" i="1"/>
  <c r="H13" i="1"/>
  <c r="H12" i="1" l="1"/>
  <c r="H10" i="1" l="1"/>
  <c r="H9" i="1"/>
  <c r="H22" i="1" l="1"/>
  <c r="H6" i="1" l="1"/>
  <c r="S23" i="1"/>
  <c r="S7" i="1"/>
  <c r="N8" i="1" l="1"/>
  <c r="M8" i="1"/>
  <c r="K8" i="1"/>
  <c r="H8" i="1"/>
  <c r="H19" i="1"/>
  <c r="L4" i="1" l="1"/>
  <c r="K4" i="1"/>
  <c r="N7" i="1"/>
  <c r="M7" i="1"/>
  <c r="H23" i="1"/>
  <c r="H28" i="1"/>
  <c r="H20" i="1"/>
  <c r="H16" i="1"/>
  <c r="H18" i="1"/>
  <c r="H11" i="1"/>
  <c r="H7" i="1"/>
  <c r="H4" i="1" l="1"/>
  <c r="K5" i="1"/>
  <c r="H5" i="1"/>
  <c r="Z5" i="1"/>
  <c r="Y5" i="1"/>
  <c r="W5" i="1"/>
  <c r="T5" i="1"/>
  <c r="S5" i="1"/>
  <c r="Q5" i="1"/>
  <c r="P5" i="1"/>
  <c r="O5" i="1"/>
  <c r="X5" i="1"/>
  <c r="M5" i="1" l="1"/>
  <c r="M4" i="1" s="1"/>
  <c r="N5" i="1"/>
  <c r="N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<sst xmlns="http://schemas.openxmlformats.org/spreadsheetml/2006/main" count="1570" uniqueCount="905">
  <si>
    <t>Fashion Universe</t>
  </si>
  <si>
    <t>#</t>
  </si>
  <si>
    <t>Name</t>
  </si>
  <si>
    <t>TCKR</t>
  </si>
  <si>
    <t>Price</t>
  </si>
  <si>
    <t>MC</t>
  </si>
  <si>
    <t>EV</t>
  </si>
  <si>
    <t>Kering</t>
  </si>
  <si>
    <t>LVMH</t>
  </si>
  <si>
    <t>Hermes</t>
  </si>
  <si>
    <t>Nike</t>
  </si>
  <si>
    <t>RMS</t>
  </si>
  <si>
    <t>NKE</t>
  </si>
  <si>
    <t>Adidas</t>
  </si>
  <si>
    <t>ADS</t>
  </si>
  <si>
    <t>Anta Sport Products</t>
  </si>
  <si>
    <t>Deckers Outdor</t>
  </si>
  <si>
    <t>DECK</t>
  </si>
  <si>
    <t>Moncler</t>
  </si>
  <si>
    <t>Country</t>
  </si>
  <si>
    <t>FRA</t>
  </si>
  <si>
    <t>US</t>
  </si>
  <si>
    <t>Shenzou International</t>
  </si>
  <si>
    <t>ONON</t>
  </si>
  <si>
    <t>On Holding Ag</t>
  </si>
  <si>
    <t>Ralph Lauren Corp</t>
  </si>
  <si>
    <t>Birkenstock Holding</t>
  </si>
  <si>
    <t>BIRK</t>
  </si>
  <si>
    <t>Skechers Inc</t>
  </si>
  <si>
    <t>SKX</t>
  </si>
  <si>
    <t>Asics Corp</t>
  </si>
  <si>
    <t>Levis &amp; Straus</t>
  </si>
  <si>
    <t>LEVI</t>
  </si>
  <si>
    <t>Crocs Inc</t>
  </si>
  <si>
    <t>CROX</t>
  </si>
  <si>
    <t>Puma</t>
  </si>
  <si>
    <t>PVH Corp</t>
  </si>
  <si>
    <t>PVH</t>
  </si>
  <si>
    <t>Gildan Activewear</t>
  </si>
  <si>
    <t>GIL</t>
  </si>
  <si>
    <t>Bosideng International</t>
  </si>
  <si>
    <t>HLA Group Corp</t>
  </si>
  <si>
    <t>Columbia Sportswear</t>
  </si>
  <si>
    <t>COLM</t>
  </si>
  <si>
    <t>VFC</t>
  </si>
  <si>
    <t>Ermenegildo Zegna</t>
  </si>
  <si>
    <t>ZGN</t>
  </si>
  <si>
    <t>Youngor Fashion</t>
  </si>
  <si>
    <t xml:space="preserve">Burberry </t>
  </si>
  <si>
    <t>ABC Mart</t>
  </si>
  <si>
    <t>Feng Tay Enterprise</t>
  </si>
  <si>
    <t>Ryohin Keikau</t>
  </si>
  <si>
    <t>ECLAT Textile</t>
  </si>
  <si>
    <t>Hugo Boss</t>
  </si>
  <si>
    <t>Pou Chen</t>
  </si>
  <si>
    <t>Steve Madden</t>
  </si>
  <si>
    <t>SHOO</t>
  </si>
  <si>
    <t>KPR MILL</t>
  </si>
  <si>
    <t>Under Armor</t>
  </si>
  <si>
    <t>KPRMILL</t>
  </si>
  <si>
    <t>UA</t>
  </si>
  <si>
    <t>Yue Yue Industrials</t>
  </si>
  <si>
    <t>Makalot Industrials</t>
  </si>
  <si>
    <t>Goldwin</t>
  </si>
  <si>
    <t>002832</t>
  </si>
  <si>
    <t>BIEM L FDLKK GARME</t>
  </si>
  <si>
    <t>Zhejiang Semir Gar</t>
  </si>
  <si>
    <t>002563</t>
  </si>
  <si>
    <t>Relaxo Footwear</t>
  </si>
  <si>
    <t>BATA India</t>
  </si>
  <si>
    <t>F&amp;F</t>
  </si>
  <si>
    <t>XTEP International Holding</t>
  </si>
  <si>
    <t>RELAXO</t>
  </si>
  <si>
    <t>BATAINDIA</t>
  </si>
  <si>
    <t>HBI</t>
  </si>
  <si>
    <t>Hanesbrands Inc</t>
  </si>
  <si>
    <t>P/B</t>
  </si>
  <si>
    <t>EV/EBITDA</t>
  </si>
  <si>
    <t>ROE</t>
  </si>
  <si>
    <t>ROIC</t>
  </si>
  <si>
    <t>ROCE</t>
  </si>
  <si>
    <t>Beta</t>
  </si>
  <si>
    <t>GER</t>
  </si>
  <si>
    <t>Richemont</t>
  </si>
  <si>
    <t>CFR.SW</t>
  </si>
  <si>
    <t>SW</t>
  </si>
  <si>
    <t>EV/Sales</t>
  </si>
  <si>
    <t>Net Debt</t>
  </si>
  <si>
    <t>Industry Average</t>
  </si>
  <si>
    <t>GM</t>
  </si>
  <si>
    <t>EBIT-M.</t>
  </si>
  <si>
    <t>A. P/E</t>
  </si>
  <si>
    <t>F. P/E</t>
  </si>
  <si>
    <t>A. PEG</t>
  </si>
  <si>
    <t>F. PEG</t>
  </si>
  <si>
    <t>RG</t>
  </si>
  <si>
    <t>Descripition</t>
  </si>
  <si>
    <t>Appereal and other</t>
  </si>
  <si>
    <t>Dior</t>
  </si>
  <si>
    <t>Inditex</t>
  </si>
  <si>
    <t>SPA</t>
  </si>
  <si>
    <t>CDI.PA</t>
  </si>
  <si>
    <t>MC.PA</t>
  </si>
  <si>
    <t>TJX Companies</t>
  </si>
  <si>
    <t>TJX</t>
  </si>
  <si>
    <t>LuluLemon</t>
  </si>
  <si>
    <t>LULU</t>
  </si>
  <si>
    <t>CAN</t>
  </si>
  <si>
    <t>H&amp;M</t>
  </si>
  <si>
    <t>SWE</t>
  </si>
  <si>
    <t>HM-B.ST</t>
  </si>
  <si>
    <t>GAP Inc</t>
  </si>
  <si>
    <t>Abercrombie&amp;Fitch</t>
  </si>
  <si>
    <t>ANF</t>
  </si>
  <si>
    <t>Leather Goods, Luxury/Appereal</t>
  </si>
  <si>
    <t>Athletic Footwear, Appereal</t>
  </si>
  <si>
    <t>Fast Fashion</t>
  </si>
  <si>
    <t>Athletic/Outdoor Shoes</t>
  </si>
  <si>
    <t>Retailer</t>
  </si>
  <si>
    <t>YEN/USD</t>
  </si>
  <si>
    <t>SEK M/USD</t>
  </si>
  <si>
    <t>EUR/USD</t>
  </si>
  <si>
    <t>HKN Dollar/US Dollar</t>
  </si>
  <si>
    <t>Fast Retailing</t>
  </si>
  <si>
    <t>JAP</t>
  </si>
  <si>
    <t>9983.T</t>
  </si>
  <si>
    <t>Notes</t>
  </si>
  <si>
    <t>Zalando</t>
  </si>
  <si>
    <t>About You</t>
  </si>
  <si>
    <t>Currencies</t>
  </si>
  <si>
    <t>Schweizer Franken/USD</t>
  </si>
  <si>
    <t>Cintas</t>
  </si>
  <si>
    <t>Ross Stores</t>
  </si>
  <si>
    <t>CTAS</t>
  </si>
  <si>
    <t>ROST</t>
  </si>
  <si>
    <t>Prada</t>
  </si>
  <si>
    <t>1913.HK</t>
  </si>
  <si>
    <t>Uniform/Work Clothing</t>
  </si>
  <si>
    <t>Essilor Luxottica</t>
  </si>
  <si>
    <t>EL.PA</t>
  </si>
  <si>
    <t>Titan Company</t>
  </si>
  <si>
    <t>TITAN.NS</t>
  </si>
  <si>
    <t xml:space="preserve">Pandora </t>
  </si>
  <si>
    <t>DEN</t>
  </si>
  <si>
    <t>PNDRA</t>
  </si>
  <si>
    <t>EBIT LFY</t>
  </si>
  <si>
    <t>NI LFY</t>
  </si>
  <si>
    <t>Rev LFY</t>
  </si>
  <si>
    <t>Q224</t>
  </si>
  <si>
    <t>Q225</t>
  </si>
  <si>
    <t>Uni First</t>
  </si>
  <si>
    <t>UNF</t>
  </si>
  <si>
    <t>Urban Outfitters</t>
  </si>
  <si>
    <t>URBN</t>
  </si>
  <si>
    <t>Lojas Renner</t>
  </si>
  <si>
    <t>LREN.3.SA</t>
  </si>
  <si>
    <t>BRA</t>
  </si>
  <si>
    <t>The Fonschi Group</t>
  </si>
  <si>
    <t>TFG.JO</t>
  </si>
  <si>
    <t>SAF</t>
  </si>
  <si>
    <t>Topspots International</t>
  </si>
  <si>
    <t>Victoria Secret</t>
  </si>
  <si>
    <t>6110.HK</t>
  </si>
  <si>
    <t>Carter's</t>
  </si>
  <si>
    <t>CRI</t>
  </si>
  <si>
    <t>ITA</t>
  </si>
  <si>
    <t>SWI</t>
  </si>
  <si>
    <t>Buckle</t>
  </si>
  <si>
    <t>BKE</t>
  </si>
  <si>
    <t>Revolve</t>
  </si>
  <si>
    <t>RVLV</t>
  </si>
  <si>
    <t>F&amp;F CO</t>
  </si>
  <si>
    <t>SK</t>
  </si>
  <si>
    <t>383220.SK</t>
  </si>
  <si>
    <t>Fila</t>
  </si>
  <si>
    <t>081660.SK</t>
  </si>
  <si>
    <t>Saver Value Village</t>
  </si>
  <si>
    <t>SVV</t>
  </si>
  <si>
    <t>G-III Appereal Group</t>
  </si>
  <si>
    <t>GIII</t>
  </si>
  <si>
    <t>Oxford Industries</t>
  </si>
  <si>
    <t>OXM</t>
  </si>
  <si>
    <t>GOOS</t>
  </si>
  <si>
    <t>Arvind</t>
  </si>
  <si>
    <t>AVIND.NS</t>
  </si>
  <si>
    <t>IND</t>
  </si>
  <si>
    <t>Delta Galil Industries</t>
  </si>
  <si>
    <t>DELG.TA</t>
  </si>
  <si>
    <t>ISRL</t>
  </si>
  <si>
    <t>Figs</t>
  </si>
  <si>
    <t>FIGS</t>
  </si>
  <si>
    <t>Guess</t>
  </si>
  <si>
    <t>GES</t>
  </si>
  <si>
    <t>Fox Wizel</t>
  </si>
  <si>
    <t>FOX.TA</t>
  </si>
  <si>
    <t>Mavi Giyim Sanayi ve Ticaret</t>
  </si>
  <si>
    <t>MAVI.IS</t>
  </si>
  <si>
    <t>TUR</t>
  </si>
  <si>
    <t>PDS Multinational</t>
  </si>
  <si>
    <t>PDSL.NS</t>
  </si>
  <si>
    <t>Gokalda Exports</t>
  </si>
  <si>
    <t>GOKEX.NS</t>
  </si>
  <si>
    <t>Fenix Outdoors</t>
  </si>
  <si>
    <t>FOI-B.ST</t>
  </si>
  <si>
    <t>OVS S.pa</t>
  </si>
  <si>
    <t>OVS.MI</t>
  </si>
  <si>
    <t>BOOZT.ST</t>
  </si>
  <si>
    <t>Boozt</t>
  </si>
  <si>
    <t>Lux Industries</t>
  </si>
  <si>
    <t>LUXIND.NS</t>
  </si>
  <si>
    <t>MYT Netherland Parents</t>
  </si>
  <si>
    <t>MYTE</t>
  </si>
  <si>
    <t>Asos</t>
  </si>
  <si>
    <t>Marimekko</t>
  </si>
  <si>
    <t>FIN</t>
  </si>
  <si>
    <t>MEKKO.HE</t>
  </si>
  <si>
    <t>Lands End</t>
  </si>
  <si>
    <t>LE</t>
  </si>
  <si>
    <t>Bohoo Group</t>
  </si>
  <si>
    <t>UK</t>
  </si>
  <si>
    <t>BOO.L</t>
  </si>
  <si>
    <t>Thob Al Assel Company</t>
  </si>
  <si>
    <t>4012.SR</t>
  </si>
  <si>
    <t>SR</t>
  </si>
  <si>
    <t>RVRC Holding</t>
  </si>
  <si>
    <t>RVRC.ST</t>
  </si>
  <si>
    <t>Lindex Group</t>
  </si>
  <si>
    <t>LINDEX.HE</t>
  </si>
  <si>
    <t>Kewan Kiran Clothing</t>
  </si>
  <si>
    <t>KKCL.NS</t>
  </si>
  <si>
    <t>TCNS Clothing</t>
  </si>
  <si>
    <t>TCSBRANDS.NS</t>
  </si>
  <si>
    <t>Zumiez</t>
  </si>
  <si>
    <t>ZUMZ</t>
  </si>
  <si>
    <t>Van de Velde</t>
  </si>
  <si>
    <t>BEL</t>
  </si>
  <si>
    <t>VAN.BR</t>
  </si>
  <si>
    <t>Delta Isreal Brands</t>
  </si>
  <si>
    <t>DLTI.TA</t>
  </si>
  <si>
    <t>Kitex Garments</t>
  </si>
  <si>
    <t>KITEX.NS</t>
  </si>
  <si>
    <t>CURV</t>
  </si>
  <si>
    <t>Torrid</t>
  </si>
  <si>
    <t>Interloop</t>
  </si>
  <si>
    <t>ILP.PK</t>
  </si>
  <si>
    <t>PAK</t>
  </si>
  <si>
    <t>J.Jill</t>
  </si>
  <si>
    <t>JILL</t>
  </si>
  <si>
    <t>Dollar Industires</t>
  </si>
  <si>
    <t>DOLLAR.NS</t>
  </si>
  <si>
    <t>Stitch Fix</t>
  </si>
  <si>
    <t>SFIX</t>
  </si>
  <si>
    <t>Giordano</t>
  </si>
  <si>
    <t>0709.HK</t>
  </si>
  <si>
    <t>HK</t>
  </si>
  <si>
    <t>Eagle Niece</t>
  </si>
  <si>
    <t>2368.HK</t>
  </si>
  <si>
    <t>Rupa Company</t>
  </si>
  <si>
    <t>RUPA.NS</t>
  </si>
  <si>
    <t>Superior Group of Companies</t>
  </si>
  <si>
    <t>SGC</t>
  </si>
  <si>
    <t>CALIDA Holding</t>
  </si>
  <si>
    <t>CALN.SW</t>
  </si>
  <si>
    <t>AKA</t>
  </si>
  <si>
    <t>a.k.a Brands</t>
  </si>
  <si>
    <t>Cantabil Retail India</t>
  </si>
  <si>
    <t>CANTABIL.NS</t>
  </si>
  <si>
    <t>SMCP</t>
  </si>
  <si>
    <t>SMCP.PA</t>
  </si>
  <si>
    <t>NZ</t>
  </si>
  <si>
    <t>KMD.NZ</t>
  </si>
  <si>
    <t>KMD Brands</t>
  </si>
  <si>
    <t>Monte Carlo Fashion</t>
  </si>
  <si>
    <t>MONTECARLO.NS</t>
  </si>
  <si>
    <t>The Childrens Place</t>
  </si>
  <si>
    <t>PLCE</t>
  </si>
  <si>
    <t>Texwinca Holdings</t>
  </si>
  <si>
    <t>0321.HK</t>
  </si>
  <si>
    <t>Destination XL</t>
  </si>
  <si>
    <t>DXLG</t>
  </si>
  <si>
    <t>GEOX</t>
  </si>
  <si>
    <t>GEO.MI</t>
  </si>
  <si>
    <t>Lakeland Industries</t>
  </si>
  <si>
    <t>LAKE</t>
  </si>
  <si>
    <t>Björn Borg</t>
  </si>
  <si>
    <t>BORG.ST</t>
  </si>
  <si>
    <t>Tillys</t>
  </si>
  <si>
    <t>TLYS</t>
  </si>
  <si>
    <t>Duluth Holdings</t>
  </si>
  <si>
    <t>DLTH</t>
  </si>
  <si>
    <t>Nueva Expresion Textil</t>
  </si>
  <si>
    <t>NXT.MC</t>
  </si>
  <si>
    <t>Answear.com</t>
  </si>
  <si>
    <t>ANR.WA</t>
  </si>
  <si>
    <t>POL</t>
  </si>
  <si>
    <t>Cato Fashion</t>
  </si>
  <si>
    <t>CATO</t>
  </si>
  <si>
    <t xml:space="preserve">Thred up </t>
  </si>
  <si>
    <t>TDUP</t>
  </si>
  <si>
    <t>Ludwig Beck am Ratshauseck</t>
  </si>
  <si>
    <t>ECK.DE</t>
  </si>
  <si>
    <t>Lulus Fashion Lounge</t>
  </si>
  <si>
    <t>LVLU</t>
  </si>
  <si>
    <t>LUX</t>
  </si>
  <si>
    <t>GFG.DE</t>
  </si>
  <si>
    <t>Global Fashion Group</t>
  </si>
  <si>
    <t>Burlington Store</t>
  </si>
  <si>
    <t>Next plc</t>
  </si>
  <si>
    <t>NXT.L</t>
  </si>
  <si>
    <t>BURL</t>
  </si>
  <si>
    <t>Tapestry</t>
  </si>
  <si>
    <t>TPR</t>
  </si>
  <si>
    <t>JD Sports Fashion</t>
  </si>
  <si>
    <t>JD.L</t>
  </si>
  <si>
    <t>VF Corporation</t>
  </si>
  <si>
    <t>x</t>
  </si>
  <si>
    <t>BOOT</t>
  </si>
  <si>
    <t>Boot Barn Holdings</t>
  </si>
  <si>
    <t>KTB</t>
  </si>
  <si>
    <t>Capri Holdings</t>
  </si>
  <si>
    <t>CPRI</t>
  </si>
  <si>
    <t>LPP SA</t>
  </si>
  <si>
    <t>LPP.WA</t>
  </si>
  <si>
    <t>Pages Industries</t>
  </si>
  <si>
    <t>Pepkor</t>
  </si>
  <si>
    <t>SA</t>
  </si>
  <si>
    <t>PPH.JO</t>
  </si>
  <si>
    <t>American Eagle Outfiters</t>
  </si>
  <si>
    <t>AEO</t>
  </si>
  <si>
    <t>Aritzia</t>
  </si>
  <si>
    <t>ATZ.TO</t>
  </si>
  <si>
    <t>MANYAVAR.NS</t>
  </si>
  <si>
    <t>Aditya Birla Fashion &amp; Retail</t>
  </si>
  <si>
    <t>ABFRL.NS</t>
  </si>
  <si>
    <t>FQ225</t>
  </si>
  <si>
    <t>ASC.L</t>
  </si>
  <si>
    <t>GBP/USD</t>
  </si>
  <si>
    <t>Q324</t>
  </si>
  <si>
    <t>Q424</t>
  </si>
  <si>
    <t>Chow Tai Fook</t>
  </si>
  <si>
    <t>1929.HK</t>
  </si>
  <si>
    <t>COTY</t>
  </si>
  <si>
    <t>Coty</t>
  </si>
  <si>
    <t>Kaylan Jewellers India</t>
  </si>
  <si>
    <t>KALYANKJIL.NS</t>
  </si>
  <si>
    <t>Nordstrom</t>
  </si>
  <si>
    <t>JWN</t>
  </si>
  <si>
    <t>BER</t>
  </si>
  <si>
    <t>Signet Jewelers</t>
  </si>
  <si>
    <t>SIG</t>
  </si>
  <si>
    <t>Lovisa Holdings</t>
  </si>
  <si>
    <t>LOV.AX</t>
  </si>
  <si>
    <t>AX</t>
  </si>
  <si>
    <t>Phu Nhuan Jewelery</t>
  </si>
  <si>
    <t>VN</t>
  </si>
  <si>
    <t>PNJ.VN</t>
  </si>
  <si>
    <t>Salvatore Ferregamo</t>
  </si>
  <si>
    <t>SFER.MI</t>
  </si>
  <si>
    <t>Mytherese</t>
  </si>
  <si>
    <t>Ethos Wathces</t>
  </si>
  <si>
    <t>ETHOSLTD.NS</t>
  </si>
  <si>
    <t>Rajesh Exports</t>
  </si>
  <si>
    <t>Chow Sang Sang</t>
  </si>
  <si>
    <t>Movado</t>
  </si>
  <si>
    <t xml:space="preserve">Vand de Velde </t>
  </si>
  <si>
    <t>Fitaihi Holding</t>
  </si>
  <si>
    <t>Cettire Lmtd</t>
  </si>
  <si>
    <t>Lalique Group</t>
  </si>
  <si>
    <t>Bijou Brigitte</t>
  </si>
  <si>
    <t>SMCO</t>
  </si>
  <si>
    <t>Lanvin Group</t>
  </si>
  <si>
    <t>RAJESHEXPO.NS</t>
  </si>
  <si>
    <t>0116.HK</t>
  </si>
  <si>
    <t>MOV</t>
  </si>
  <si>
    <t>4180.SR</t>
  </si>
  <si>
    <t>CTT.AX</t>
  </si>
  <si>
    <t>LLQ.SW</t>
  </si>
  <si>
    <t>BIJ.DE</t>
  </si>
  <si>
    <t>LANV</t>
  </si>
  <si>
    <t>RMB/USD</t>
  </si>
  <si>
    <t>FQ325</t>
  </si>
  <si>
    <t>Huali Industrial</t>
  </si>
  <si>
    <t>7936.T</t>
  </si>
  <si>
    <t>Q423</t>
  </si>
  <si>
    <t>Shoe Manufacturer</t>
  </si>
  <si>
    <t>PUM.DE</t>
  </si>
  <si>
    <t>BC.MI</t>
  </si>
  <si>
    <t>Brunello Cucinelli</t>
  </si>
  <si>
    <t>Li Ning Corp</t>
  </si>
  <si>
    <t>HKD/RMB</t>
  </si>
  <si>
    <t>3998.HK</t>
  </si>
  <si>
    <t>PLN/USD</t>
  </si>
  <si>
    <t>PAGEIND.NS</t>
  </si>
  <si>
    <t>INR/USD</t>
  </si>
  <si>
    <t>VSCO</t>
  </si>
  <si>
    <t>Canada Goose</t>
  </si>
  <si>
    <t>CAD/USD</t>
  </si>
  <si>
    <t>ZAR/USD</t>
  </si>
  <si>
    <t>Founded</t>
  </si>
  <si>
    <t xml:space="preserve">Discounter </t>
  </si>
  <si>
    <t>Luxury Appereal</t>
  </si>
  <si>
    <t>Leather Goods, Appereal</t>
  </si>
  <si>
    <t>Athletic Appereal, Footwear</t>
  </si>
  <si>
    <t>Sandals</t>
  </si>
  <si>
    <t>n.a</t>
  </si>
  <si>
    <t>Total Industry</t>
  </si>
  <si>
    <t>Work Appereal</t>
  </si>
  <si>
    <t>Footwear</t>
  </si>
  <si>
    <t>Shoes/ Sandals</t>
  </si>
  <si>
    <t>Activewear</t>
  </si>
  <si>
    <t>Western footwear &amp; other</t>
  </si>
  <si>
    <t>Kontoor Brands</t>
  </si>
  <si>
    <t>Appereal and other, Spin-off VF Corp</t>
  </si>
  <si>
    <t>Appereal and Accesoires</t>
  </si>
  <si>
    <t>ZAL.DE</t>
  </si>
  <si>
    <t>Online Retailer</t>
  </si>
  <si>
    <t>Vedant Fashions</t>
  </si>
  <si>
    <t>2670.T</t>
  </si>
  <si>
    <t>Amer Sports</t>
  </si>
  <si>
    <t>AS</t>
  </si>
  <si>
    <t>Farfetch</t>
  </si>
  <si>
    <t>Swatch Group</t>
  </si>
  <si>
    <t>Q425</t>
  </si>
  <si>
    <t>Haute couture</t>
  </si>
  <si>
    <t>Pret-á-porter</t>
  </si>
  <si>
    <t>(wörtlich: gehobene Schneiderkunst -&gt; Maßgeschneiderte Mode, die individuell für Kunden gefertigt werden -&gt; Handarbeit</t>
  </si>
  <si>
    <t xml:space="preserve">auch Ready to wear fashion -&gt; in Serie produzierte Kleidung nach Maßgrößen </t>
  </si>
  <si>
    <t>Vertical Integration</t>
  </si>
  <si>
    <t>Erhöhung der Fertigungstiefe bzw. Verlängerung der Produktionskette</t>
  </si>
  <si>
    <t>Tods</t>
  </si>
  <si>
    <t>Sports Goods</t>
  </si>
  <si>
    <t>Discounter</t>
  </si>
  <si>
    <t>Q125</t>
  </si>
  <si>
    <t>TWN</t>
  </si>
  <si>
    <t xml:space="preserve">SHEIN </t>
  </si>
  <si>
    <t>Stores</t>
  </si>
  <si>
    <t>Employees</t>
  </si>
  <si>
    <t>TWD/USD</t>
  </si>
  <si>
    <t>UHR.SW</t>
  </si>
  <si>
    <t xml:space="preserve">Nordstrom </t>
  </si>
  <si>
    <t>Trent Ltd</t>
  </si>
  <si>
    <t>TRENT.NS</t>
  </si>
  <si>
    <t>Updated</t>
  </si>
  <si>
    <t>Nxt Rslts</t>
  </si>
  <si>
    <t>in mio USD</t>
  </si>
  <si>
    <t>ITX.MC</t>
  </si>
  <si>
    <t>KER.PA</t>
  </si>
  <si>
    <t>2020.HK</t>
  </si>
  <si>
    <t>MONC.MI</t>
  </si>
  <si>
    <t>2313.HK</t>
  </si>
  <si>
    <t>300979.SZ</t>
  </si>
  <si>
    <t>RL</t>
  </si>
  <si>
    <t>2331.HK</t>
  </si>
  <si>
    <t>600177.SS</t>
  </si>
  <si>
    <t>CH</t>
  </si>
  <si>
    <t>BRBY.L</t>
  </si>
  <si>
    <t>9910.TW</t>
  </si>
  <si>
    <t>Ticker</t>
  </si>
  <si>
    <t>Next</t>
  </si>
  <si>
    <t>Main</t>
  </si>
  <si>
    <t>numbers in mio USD</t>
  </si>
  <si>
    <t>Spring/Summer</t>
  </si>
  <si>
    <t>Autumn/ Winter</t>
  </si>
  <si>
    <t>Pre-Fall</t>
  </si>
  <si>
    <t>Resort/Cruise</t>
  </si>
  <si>
    <t>Haupt-Kollektion September/Oktober</t>
  </si>
  <si>
    <t>Haupt-Kollektion Februar/März</t>
  </si>
  <si>
    <t>Big Four</t>
  </si>
  <si>
    <t>NY, London, Milan, Paris -&gt; Fashion Weeks</t>
  </si>
  <si>
    <t>Défilés de mode</t>
  </si>
  <si>
    <t>Modeschau</t>
  </si>
  <si>
    <t>A-Linie</t>
  </si>
  <si>
    <t>Kleidungsstpck bildet die Form eines A</t>
  </si>
  <si>
    <t xml:space="preserve">Hit Union </t>
  </si>
  <si>
    <t>n.a.</t>
  </si>
  <si>
    <t>Brands: Fred Perry</t>
  </si>
  <si>
    <t>FTCH</t>
  </si>
  <si>
    <t>Mizuno Corporation</t>
  </si>
  <si>
    <t>8022.T</t>
  </si>
  <si>
    <t>Wolverine Worldwide</t>
  </si>
  <si>
    <t>WWW</t>
  </si>
  <si>
    <t>3591.T</t>
  </si>
  <si>
    <t>Wacoal Holding</t>
  </si>
  <si>
    <t>Dicks Sporting Goods</t>
  </si>
  <si>
    <t>DKS</t>
  </si>
  <si>
    <t>Shimano</t>
  </si>
  <si>
    <t>7309.T</t>
  </si>
  <si>
    <t>Foot Locker</t>
  </si>
  <si>
    <t>FL</t>
  </si>
  <si>
    <t>CCC.SA</t>
  </si>
  <si>
    <t>CCC.WA</t>
  </si>
  <si>
    <t>Arezzo Industria</t>
  </si>
  <si>
    <t>ARZZ3.SA</t>
  </si>
  <si>
    <t>Campus Activewear</t>
  </si>
  <si>
    <t>CAMPUS.NS</t>
  </si>
  <si>
    <t>CAL</t>
  </si>
  <si>
    <t>Caleres</t>
  </si>
  <si>
    <t>Shoe Carnival</t>
  </si>
  <si>
    <t>Grendene</t>
  </si>
  <si>
    <t>SCVL</t>
  </si>
  <si>
    <t>GRND3.SA</t>
  </si>
  <si>
    <t>Accent Group</t>
  </si>
  <si>
    <t>Weyco Group</t>
  </si>
  <si>
    <t>WEYS</t>
  </si>
  <si>
    <t>AX1.AX</t>
  </si>
  <si>
    <t>Lanvin</t>
  </si>
  <si>
    <t>CHI</t>
  </si>
  <si>
    <t>Designer Brands</t>
  </si>
  <si>
    <t>DBI</t>
  </si>
  <si>
    <t>Rocky Brands</t>
  </si>
  <si>
    <t>RCKY</t>
  </si>
  <si>
    <t>Shoe Zone</t>
  </si>
  <si>
    <t>SHOE.L</t>
  </si>
  <si>
    <t>Mirza International</t>
  </si>
  <si>
    <t>Allbrids</t>
  </si>
  <si>
    <t>BIRD</t>
  </si>
  <si>
    <t>MIRZAINT.NS</t>
  </si>
  <si>
    <t>Acushnet Holding</t>
  </si>
  <si>
    <t>GOLF</t>
  </si>
  <si>
    <t>Peloton</t>
  </si>
  <si>
    <t>PTON</t>
  </si>
  <si>
    <t>Academy Sports</t>
  </si>
  <si>
    <t>ASO</t>
  </si>
  <si>
    <t>Escalde Sports</t>
  </si>
  <si>
    <t>ESCA</t>
  </si>
  <si>
    <t>XXL ASA</t>
  </si>
  <si>
    <t>NOR</t>
  </si>
  <si>
    <t>XXL.OL</t>
  </si>
  <si>
    <t>Sportsman Warehouse</t>
  </si>
  <si>
    <t>SPWH</t>
  </si>
  <si>
    <t>Marks &amp; Spencers</t>
  </si>
  <si>
    <t>Dillards</t>
  </si>
  <si>
    <t>Watches of Switzerland</t>
  </si>
  <si>
    <t>Fossil</t>
  </si>
  <si>
    <t>Fielmann</t>
  </si>
  <si>
    <t>Cooper Companies</t>
  </si>
  <si>
    <t>COO</t>
  </si>
  <si>
    <t>FIE.F</t>
  </si>
  <si>
    <t>7741.T</t>
  </si>
  <si>
    <t>Hoya</t>
  </si>
  <si>
    <t>Bausch + Lomb</t>
  </si>
  <si>
    <t>BLCO</t>
  </si>
  <si>
    <t>CA</t>
  </si>
  <si>
    <t>Warby Paker</t>
  </si>
  <si>
    <t>WRBY</t>
  </si>
  <si>
    <t>National Vision</t>
  </si>
  <si>
    <t>EYE</t>
  </si>
  <si>
    <t>Synsam</t>
  </si>
  <si>
    <t>SYNSAM.ST</t>
  </si>
  <si>
    <t>Menicon CO</t>
  </si>
  <si>
    <t>7780.T</t>
  </si>
  <si>
    <t>Safilo Group</t>
  </si>
  <si>
    <t>SFL.MI</t>
  </si>
  <si>
    <t>Kits Eyecare</t>
  </si>
  <si>
    <t>KITS.TO</t>
  </si>
  <si>
    <t>Mister Spex</t>
  </si>
  <si>
    <t>MRX.F</t>
  </si>
  <si>
    <t>Innovative Eyewear</t>
  </si>
  <si>
    <t>LUCY</t>
  </si>
  <si>
    <t>Givaudan</t>
  </si>
  <si>
    <t>GIVN.SW</t>
  </si>
  <si>
    <t>International Flavors &amp; Fragrances</t>
  </si>
  <si>
    <t>IFF</t>
  </si>
  <si>
    <t>Symrise</t>
  </si>
  <si>
    <t>SY1.DE</t>
  </si>
  <si>
    <t>Puig Brands</t>
  </si>
  <si>
    <t>PUIG.MC</t>
  </si>
  <si>
    <t>Interparfums</t>
  </si>
  <si>
    <t>IPAR</t>
  </si>
  <si>
    <t>Robertet</t>
  </si>
  <si>
    <t>CBE.PA</t>
  </si>
  <si>
    <t>Takasago International Corporation</t>
  </si>
  <si>
    <t>4914.T</t>
  </si>
  <si>
    <t>Al Majed for Oud Company</t>
  </si>
  <si>
    <t>4165.SR</t>
  </si>
  <si>
    <t>Turpaz Industries</t>
  </si>
  <si>
    <t>TRPZ.TA</t>
  </si>
  <si>
    <t>DE</t>
  </si>
  <si>
    <t>IS</t>
  </si>
  <si>
    <t>Williams-Sonoma</t>
  </si>
  <si>
    <t>WSM</t>
  </si>
  <si>
    <t>The AZEK Company</t>
  </si>
  <si>
    <t>AZEK</t>
  </si>
  <si>
    <t>Wayfair</t>
  </si>
  <si>
    <t>W</t>
  </si>
  <si>
    <t>Harvey Norman</t>
  </si>
  <si>
    <t>HVN.AX</t>
  </si>
  <si>
    <t>Restoration Hardware</t>
  </si>
  <si>
    <t>RH</t>
  </si>
  <si>
    <t>HNI Corporation</t>
  </si>
  <si>
    <t>HNI</t>
  </si>
  <si>
    <t>La-Z-Boy</t>
  </si>
  <si>
    <t>LZB</t>
  </si>
  <si>
    <t>MasterBrand</t>
  </si>
  <si>
    <t>MBC</t>
  </si>
  <si>
    <t>Rusta AB</t>
  </si>
  <si>
    <t>RUSTA.ST</t>
  </si>
  <si>
    <t>Steelcase</t>
  </si>
  <si>
    <t>SCS</t>
  </si>
  <si>
    <t>Arhaus</t>
  </si>
  <si>
    <t>ARHS</t>
  </si>
  <si>
    <t>Leon's Furniture</t>
  </si>
  <si>
    <t>LNF.TO</t>
  </si>
  <si>
    <t>MillerKnoll</t>
  </si>
  <si>
    <t>MLKN</t>
  </si>
  <si>
    <t>Nick Scali Limited</t>
  </si>
  <si>
    <t>NCK.AX</t>
  </si>
  <si>
    <t>Takara Standard</t>
  </si>
  <si>
    <t>7981.T</t>
  </si>
  <si>
    <t>Ethan Allen</t>
  </si>
  <si>
    <t>ETD</t>
  </si>
  <si>
    <t>Italtile</t>
  </si>
  <si>
    <t>ITE.JO</t>
  </si>
  <si>
    <t>RAK Ceramics</t>
  </si>
  <si>
    <t>RAKCEC.AE</t>
  </si>
  <si>
    <t>Al-Saif Stores for Development &amp;amp</t>
  </si>
  <si>
    <t>Itoki Corporation</t>
  </si>
  <si>
    <t>7972.T</t>
  </si>
  <si>
    <t>Kid ASA</t>
  </si>
  <si>
    <t>KID.OL</t>
  </si>
  <si>
    <t>DFS Furniture</t>
  </si>
  <si>
    <t>DFS.L</t>
  </si>
  <si>
    <t>Roche Bobois</t>
  </si>
  <si>
    <t>RBO.PA</t>
  </si>
  <si>
    <t>Havertys</t>
  </si>
  <si>
    <t>HVT</t>
  </si>
  <si>
    <t>home24</t>
  </si>
  <si>
    <t>H24.HM</t>
  </si>
  <si>
    <t>LoveSac</t>
  </si>
  <si>
    <t>LOVE</t>
  </si>
  <si>
    <t>Nobia AB</t>
  </si>
  <si>
    <t>NOBI.ST</t>
  </si>
  <si>
    <t>Dexelance</t>
  </si>
  <si>
    <t>DEX.MI</t>
  </si>
  <si>
    <t>Vista Alegre Atlantis</t>
  </si>
  <si>
    <t>VAF.LS</t>
  </si>
  <si>
    <t>Flexsteel Industries</t>
  </si>
  <si>
    <t>FLXS</t>
  </si>
  <si>
    <t>Westwing Group</t>
  </si>
  <si>
    <t>WEW.DE</t>
  </si>
  <si>
    <t>Bassett Furniture</t>
  </si>
  <si>
    <t>BSET</t>
  </si>
  <si>
    <t>Sleep Number</t>
  </si>
  <si>
    <t>SNBR</t>
  </si>
  <si>
    <t>Vente-Unique.com</t>
  </si>
  <si>
    <t>ALVU.PA</t>
  </si>
  <si>
    <t>Maisons du Monde</t>
  </si>
  <si>
    <t>MDM.PA</t>
  </si>
  <si>
    <t>Hooker Furnishings</t>
  </si>
  <si>
    <t>HOFT</t>
  </si>
  <si>
    <t>Viomi Technology</t>
  </si>
  <si>
    <t>VIOT</t>
  </si>
  <si>
    <t>Kewaunee Scientific Corporation</t>
  </si>
  <si>
    <t>KEQU</t>
  </si>
  <si>
    <t>Purple Innovation</t>
  </si>
  <si>
    <t>PRPL</t>
  </si>
  <si>
    <t>Gabriel Holding A/S</t>
  </si>
  <si>
    <t>GABR.CO</t>
  </si>
  <si>
    <t>Natuzzi</t>
  </si>
  <si>
    <t>NTZ</t>
  </si>
  <si>
    <t>U10 Corp</t>
  </si>
  <si>
    <t>ALU10.PA</t>
  </si>
  <si>
    <t>Northann Corp</t>
  </si>
  <si>
    <t>NCL</t>
  </si>
  <si>
    <t>FGI Industries</t>
  </si>
  <si>
    <t>FGI</t>
  </si>
  <si>
    <t>Conn's</t>
  </si>
  <si>
    <t>CONN</t>
  </si>
  <si>
    <t>Japan</t>
  </si>
  <si>
    <t>UAE</t>
  </si>
  <si>
    <t>FR</t>
  </si>
  <si>
    <t>POR</t>
  </si>
  <si>
    <t>MASKY</t>
  </si>
  <si>
    <t>DDS</t>
  </si>
  <si>
    <t>WOSF</t>
  </si>
  <si>
    <t>FOSL</t>
  </si>
  <si>
    <t>TODGF</t>
  </si>
  <si>
    <t>Chanel</t>
  </si>
  <si>
    <t>Rolex SA</t>
  </si>
  <si>
    <t>Primark</t>
  </si>
  <si>
    <t>Authentic Brands</t>
  </si>
  <si>
    <t>C&amp;A</t>
  </si>
  <si>
    <t>Armani</t>
  </si>
  <si>
    <t>Audemar Piguet</t>
  </si>
  <si>
    <t>Patek Phillippe</t>
  </si>
  <si>
    <t>New Balance</t>
  </si>
  <si>
    <t>Calzedonia</t>
  </si>
  <si>
    <t>Dolce &amp; Gabbana</t>
  </si>
  <si>
    <t>Lululemon</t>
  </si>
  <si>
    <t>Anta Sports</t>
  </si>
  <si>
    <t>Deckers Outdoor</t>
  </si>
  <si>
    <t>On Holding</t>
  </si>
  <si>
    <t>Skechers</t>
  </si>
  <si>
    <t>Geox</t>
  </si>
  <si>
    <t>Mizuno Corp</t>
  </si>
  <si>
    <t>Zellerfeld</t>
  </si>
  <si>
    <t>BOSS.DE</t>
  </si>
  <si>
    <t>Estee Lauder</t>
  </si>
  <si>
    <t>Footlocker</t>
  </si>
  <si>
    <t>EL</t>
  </si>
  <si>
    <t>Planet Fitness</t>
  </si>
  <si>
    <t>PLNT</t>
  </si>
  <si>
    <t>Acushnet Holdings</t>
  </si>
  <si>
    <t>Columbia Spotswear</t>
  </si>
  <si>
    <t>Technogym</t>
  </si>
  <si>
    <t>TGYM.MI</t>
  </si>
  <si>
    <t>Topsports International</t>
  </si>
  <si>
    <t>Topgolg Callaway Brands</t>
  </si>
  <si>
    <t>MODG</t>
  </si>
  <si>
    <t>Escalade Sports</t>
  </si>
  <si>
    <t>Big 5 Sporting Goods</t>
  </si>
  <si>
    <t>Connexa Sports Technologies</t>
  </si>
  <si>
    <t>YYAI</t>
  </si>
  <si>
    <t>BGFV</t>
  </si>
  <si>
    <t>Acquired by Dicks Sporting Goods for 2.4 billion USD</t>
  </si>
  <si>
    <t>FQ126</t>
  </si>
  <si>
    <t>Buyer</t>
  </si>
  <si>
    <t>Date</t>
  </si>
  <si>
    <t>Versace</t>
  </si>
  <si>
    <t>Capri Holding</t>
  </si>
  <si>
    <t>First</t>
  </si>
  <si>
    <t>Company</t>
  </si>
  <si>
    <t>Role</t>
  </si>
  <si>
    <t>Bernhard</t>
  </si>
  <si>
    <t>Arnault</t>
  </si>
  <si>
    <t>3 G Capital</t>
  </si>
  <si>
    <t>63$</t>
  </si>
  <si>
    <t>Prada (1913.HK)</t>
  </si>
  <si>
    <t>Zalando SE</t>
  </si>
  <si>
    <t xml:space="preserve">Hansebrand </t>
  </si>
  <si>
    <t xml:space="preserve">Gildan </t>
  </si>
  <si>
    <t>Williams</t>
  </si>
  <si>
    <t>LVMH CEO</t>
  </si>
  <si>
    <t>CD Louis Vuitton</t>
  </si>
  <si>
    <t>Demna</t>
  </si>
  <si>
    <t>CD Gucci</t>
  </si>
  <si>
    <t>Pharrell</t>
  </si>
  <si>
    <t>Gvasalia</t>
  </si>
  <si>
    <t xml:space="preserve">Former Creative Director of Balenciaga, Founder of Vetements </t>
  </si>
  <si>
    <t>Dumas</t>
  </si>
  <si>
    <t>Axel</t>
  </si>
  <si>
    <t>CEO of Hermes</t>
  </si>
  <si>
    <t>GAP</t>
  </si>
  <si>
    <t>Ortega</t>
  </si>
  <si>
    <t>Amancio</t>
  </si>
  <si>
    <t>CEO of Inditex</t>
  </si>
  <si>
    <t>Miuccia</t>
  </si>
  <si>
    <t>Co-CEO Prada</t>
  </si>
  <si>
    <t>Designer</t>
  </si>
  <si>
    <t xml:space="preserve">Armani </t>
  </si>
  <si>
    <t>Girogio</t>
  </si>
  <si>
    <t>Founder of Armani</t>
  </si>
  <si>
    <t>Lauren</t>
  </si>
  <si>
    <t>Raloh</t>
  </si>
  <si>
    <t>Ralph Lauren</t>
  </si>
  <si>
    <t>Founder of Ralph Lauren</t>
  </si>
  <si>
    <t>Founder of Inditex</t>
  </si>
  <si>
    <t>Pinault</t>
  </si>
  <si>
    <t>Franciose-Henri</t>
  </si>
  <si>
    <t>Former CEO of Kering</t>
  </si>
  <si>
    <t>Yanai</t>
  </si>
  <si>
    <t>Tadashi</t>
  </si>
  <si>
    <t>Chairman</t>
  </si>
  <si>
    <t>CEO</t>
  </si>
  <si>
    <t>Founder of Fast Retailing</t>
  </si>
  <si>
    <t>Donatella</t>
  </si>
  <si>
    <t>Creative Director at Versace</t>
  </si>
  <si>
    <t>Blazy</t>
  </si>
  <si>
    <t>Mattieu</t>
  </si>
  <si>
    <t>Wintour</t>
  </si>
  <si>
    <t>Anna</t>
  </si>
  <si>
    <t>Vouge</t>
  </si>
  <si>
    <t>Chief Editor</t>
  </si>
  <si>
    <t>Creative Director</t>
  </si>
  <si>
    <t>Neves</t>
  </si>
  <si>
    <t>Jose</t>
  </si>
  <si>
    <t>Coupon</t>
  </si>
  <si>
    <t>CEO Farfetch</t>
  </si>
  <si>
    <t>Founded Farfetch</t>
  </si>
  <si>
    <t>Ford</t>
  </si>
  <si>
    <t>Tom</t>
  </si>
  <si>
    <t>Tom Ford</t>
  </si>
  <si>
    <t>Yves</t>
  </si>
  <si>
    <t xml:space="preserve">Chanel </t>
  </si>
  <si>
    <t>Gabrielle "Coco"</t>
  </si>
  <si>
    <t>McQueen</t>
  </si>
  <si>
    <t>Alexander</t>
  </si>
  <si>
    <t>Balenciaga</t>
  </si>
  <si>
    <t>Cristobal</t>
  </si>
  <si>
    <t>Christian</t>
  </si>
  <si>
    <t>Lagerfeld</t>
  </si>
  <si>
    <t>Karl</t>
  </si>
  <si>
    <t>Westwood</t>
  </si>
  <si>
    <t>Vivienne</t>
  </si>
  <si>
    <t>Gianni</t>
  </si>
  <si>
    <t>Former influencial people</t>
  </si>
  <si>
    <t>https://investors.guess.com/news-releases/news-release-details/guess-co-founders-maurice-and-paul-marciano-and-ceo-carlos</t>
  </si>
  <si>
    <t>1.4 Billion USD</t>
  </si>
  <si>
    <t>Value</t>
  </si>
  <si>
    <t>https://investors.skechers.com/press-releases/detail/665/skechers-agrees-to-be-acquired-by-3g-capital</t>
  </si>
  <si>
    <t>630 Mio Rev in 2024</t>
  </si>
  <si>
    <t>150 stores</t>
  </si>
  <si>
    <t>Coupang</t>
  </si>
  <si>
    <t>See Coupang Model for Farfetch numbers, buyed YOOX too</t>
  </si>
  <si>
    <t>Private</t>
  </si>
  <si>
    <t>Q226</t>
  </si>
  <si>
    <t xml:space="preserve">Jack Wolfskin </t>
  </si>
  <si>
    <t>Topgolf Callaway Brands</t>
  </si>
  <si>
    <t>EBIT</t>
  </si>
  <si>
    <t>NI</t>
  </si>
  <si>
    <t>Acquired</t>
  </si>
  <si>
    <t>Q325</t>
  </si>
  <si>
    <t>Nebenkollektion November/Dezember</t>
  </si>
  <si>
    <t>Nebenkollektion Mai/Juni</t>
  </si>
  <si>
    <t>androgyn</t>
  </si>
  <si>
    <t xml:space="preserve">Vereinigung von weiblichen und männlichen Elementen </t>
  </si>
  <si>
    <t>Private by Nordstorm family</t>
  </si>
  <si>
    <t>FQ326</t>
  </si>
  <si>
    <t>Q326</t>
  </si>
  <si>
    <t>Bankrupt</t>
  </si>
  <si>
    <t>Closed</t>
  </si>
  <si>
    <t>Marc'o Polo bought 75%</t>
  </si>
  <si>
    <t>Saint Laurent</t>
  </si>
  <si>
    <t>Coco Chanel</t>
  </si>
  <si>
    <t>/</t>
  </si>
  <si>
    <t>FQ426</t>
  </si>
  <si>
    <t>Q126</t>
  </si>
  <si>
    <t>Q426</t>
  </si>
  <si>
    <t>Essillor Luxottica</t>
  </si>
  <si>
    <t>RMS.PA</t>
  </si>
  <si>
    <t>Pandora</t>
  </si>
  <si>
    <t>PNDORA.CO</t>
  </si>
  <si>
    <t>Burberry</t>
  </si>
  <si>
    <t>Signet Juwellery</t>
  </si>
  <si>
    <t>Ermeneglido Zegna</t>
  </si>
  <si>
    <t>Pattern Group</t>
  </si>
  <si>
    <t>PTRN</t>
  </si>
  <si>
    <t>AUS</t>
  </si>
  <si>
    <t>WOSG.L</t>
  </si>
  <si>
    <t>Salvatore Ferragamo</t>
  </si>
  <si>
    <t>Leather Goods</t>
  </si>
  <si>
    <t>Eyewear</t>
  </si>
  <si>
    <t>Description</t>
  </si>
  <si>
    <t>Jewellery</t>
  </si>
  <si>
    <t>Apperal</t>
  </si>
  <si>
    <t>Beauty</t>
  </si>
  <si>
    <t>Este Lauder</t>
  </si>
  <si>
    <t>Marc'o Polo</t>
  </si>
  <si>
    <t>Ressources</t>
  </si>
  <si>
    <t>https://www.mckinsey.com/industries/retail/our-insights/state-of-fashion</t>
  </si>
  <si>
    <t>https://www.businessoffashion.com/reports/the-state-of-fashion-industry/</t>
  </si>
  <si>
    <t>https://www.businessoffashion.com/user/newsletters/</t>
  </si>
  <si>
    <t>Books</t>
  </si>
  <si>
    <t>The luxury strategy</t>
  </si>
  <si>
    <t>Deluxe</t>
  </si>
  <si>
    <t>https://www.bain.com/insights/finding-a-new-longevity-for-luxury/</t>
  </si>
  <si>
    <t>https://dressedhistory.com/</t>
  </si>
  <si>
    <t>https://www.businessoffashion.com/podcasts/</t>
  </si>
  <si>
    <t>https://www.vogue.com/business</t>
  </si>
  <si>
    <t>https://monocle.com/newsletters/</t>
  </si>
  <si>
    <t>https://www.deloitte.com/global/en/Industries/consumer/perspectives/global-powers-of-luxury.html</t>
  </si>
  <si>
    <t>Thierry</t>
  </si>
  <si>
    <t>American Exchange Group</t>
  </si>
  <si>
    <t>American Exchane Group</t>
  </si>
  <si>
    <t>Allbirds</t>
  </si>
  <si>
    <t>Brands: Ed Hardy, Allbirds etc.</t>
  </si>
  <si>
    <t>Marc Jacob</t>
  </si>
  <si>
    <t>WHP Global: (joint venture with G-III Apparel Group)</t>
  </si>
  <si>
    <t>SHEIN</t>
  </si>
  <si>
    <t>Everlane</t>
  </si>
  <si>
    <t>Parent/Owner</t>
  </si>
  <si>
    <t>L Catterton</t>
  </si>
  <si>
    <t>FQ127</t>
  </si>
  <si>
    <t>Q127</t>
  </si>
  <si>
    <t>Atelier</t>
  </si>
  <si>
    <t xml:space="preserve">Werksatt eines Couturiers -&gt; Modelle entworfen und handgefetigt </t>
  </si>
  <si>
    <t>Chabre Syndicale de la Haute Coutre</t>
  </si>
  <si>
    <t>Verband der Pariser Haute-Couture Häuser (seit 1868)</t>
  </si>
  <si>
    <t>Look</t>
  </si>
  <si>
    <t>Einzlenes Outfit innerhalb einer Kollektion</t>
  </si>
  <si>
    <t>Capsule Collection</t>
  </si>
  <si>
    <t>kleine, zeitlich limitierte Kollektion</t>
  </si>
  <si>
    <t>Kurze Kollektionszyklen und niedrigen Preispunkten</t>
  </si>
  <si>
    <t>Silhouette</t>
  </si>
  <si>
    <t>Gesamte äußere Kontur eines Kleidungsstücks</t>
  </si>
  <si>
    <t>Toile</t>
  </si>
  <si>
    <t>Probemodell um Passform und Konstruktion zu testen</t>
  </si>
  <si>
    <t>Trunk Show</t>
  </si>
  <si>
    <t>Exklusive Präsentation einer Kollektion in einem Einzelhandelgeschäft</t>
  </si>
  <si>
    <t>Greige</t>
  </si>
  <si>
    <t>Ungefärbtes Rohmaterial</t>
  </si>
  <si>
    <t>Courturier</t>
  </si>
  <si>
    <t>Inhaber/Leitender Designer eines Haute-Couture Hauses</t>
  </si>
  <si>
    <t>Maison</t>
  </si>
  <si>
    <t>Tradionreiches Modehaus</t>
  </si>
  <si>
    <t>Link</t>
  </si>
  <si>
    <t>VSXY</t>
  </si>
  <si>
    <t>https://gildancorp.com/en/media/news/gildan-completes-acquisition-of-hanesbrands/</t>
  </si>
  <si>
    <t>FQ227</t>
  </si>
  <si>
    <t>Q227</t>
  </si>
  <si>
    <t>KOR</t>
  </si>
  <si>
    <t>CPNG</t>
  </si>
  <si>
    <t>Shein</t>
  </si>
  <si>
    <t xml:space="preserve">IPO on </t>
  </si>
  <si>
    <t>0625.HK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</si>
</sst>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;[Red]#,##0.0"/>
    <numFmt numFmtId="166" formatCode="#,##0;\(#,##0\)"/>
    <numFmt numFmtId="167" formatCode="#,##0;[Red]#,##0"/>
    <numFmt numFmtId="168" formatCode="#,##0.0;\(#,##0.0\)"/>
  </numFmts>
  <fonts count="2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s"/>
    </font>
    <font>
      <sz val="10"/>
      <color theme="1"/>
      <name val="Arials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0"/>
      <color theme="10"/>
      <name val="Arials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6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11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2" fontId="19" fillId="0" borderId="0" xfId="1" applyNumberFormat="1" applyFont="1"/>
    <xf numFmtId="0" fontId="19" fillId="0" borderId="0" xfId="1" applyNumberFormat="1" applyFont="1" applyAlignment="1">
      <alignment horizontal="right"/>
    </xf>
    <xf numFmtId="0" fontId="20" fillId="0" borderId="0" xfId="0" applyFont="1"/>
    <xf numFmtId="0" fontId="18" fillId="2" borderId="1" xfId="0" applyFont="1" applyFill="1" applyBorder="1" applyAlignment="1">
      <alignment horizontal="center"/>
    </xf>
    <xf numFmtId="0" fontId="18" fillId="2" borderId="2" xfId="0" applyFont="1" applyFill="1" applyBorder="1"/>
    <xf numFmtId="0" fontId="18" fillId="2" borderId="2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right"/>
    </xf>
    <xf numFmtId="0" fontId="18" fillId="2" borderId="2" xfId="0" applyFont="1" applyFill="1" applyBorder="1" applyAlignment="1">
      <alignment horizontal="center"/>
    </xf>
    <xf numFmtId="0" fontId="18" fillId="2" borderId="2" xfId="1" applyNumberFormat="1" applyFont="1" applyFill="1" applyBorder="1" applyAlignment="1">
      <alignment horizontal="right"/>
    </xf>
    <xf numFmtId="0" fontId="21" fillId="2" borderId="2" xfId="0" applyFont="1" applyFill="1" applyBorder="1"/>
    <xf numFmtId="0" fontId="21" fillId="2" borderId="3" xfId="0" applyFont="1" applyFill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166" fontId="19" fillId="0" borderId="0" xfId="0" applyNumberFormat="1" applyFont="1"/>
    <xf numFmtId="9" fontId="19" fillId="0" borderId="0" xfId="0" applyNumberFormat="1" applyFont="1" applyAlignment="1">
      <alignment horizontal="right"/>
    </xf>
    <xf numFmtId="168" fontId="19" fillId="0" borderId="0" xfId="0" applyNumberFormat="1" applyFont="1" applyAlignment="1">
      <alignment horizontal="right"/>
    </xf>
    <xf numFmtId="168" fontId="19" fillId="0" borderId="0" xfId="1" applyNumberFormat="1" applyFont="1" applyAlignment="1">
      <alignment horizontal="right"/>
    </xf>
    <xf numFmtId="9" fontId="19" fillId="0" borderId="0" xfId="1" applyFont="1"/>
    <xf numFmtId="168" fontId="19" fillId="0" borderId="0" xfId="0" applyNumberFormat="1" applyFont="1"/>
    <xf numFmtId="0" fontId="22" fillId="0" borderId="0" xfId="2" applyFont="1"/>
    <xf numFmtId="165" fontId="19" fillId="0" borderId="0" xfId="0" applyNumberFormat="1" applyFont="1"/>
    <xf numFmtId="17" fontId="19" fillId="0" borderId="0" xfId="0" applyNumberFormat="1" applyFont="1" applyAlignment="1">
      <alignment horizontal="right"/>
    </xf>
    <xf numFmtId="16" fontId="19" fillId="0" borderId="0" xfId="0" applyNumberFormat="1" applyFont="1"/>
    <xf numFmtId="168" fontId="19" fillId="0" borderId="0" xfId="1" applyNumberFormat="1" applyFont="1"/>
    <xf numFmtId="164" fontId="19" fillId="0" borderId="0" xfId="1" applyNumberFormat="1" applyFont="1"/>
    <xf numFmtId="167" fontId="19" fillId="0" borderId="0" xfId="0" applyNumberFormat="1" applyFont="1"/>
    <xf numFmtId="16" fontId="19" fillId="0" borderId="0" xfId="0" applyNumberFormat="1" applyFont="1" applyAlignment="1">
      <alignment horizontal="right"/>
    </xf>
    <xf numFmtId="0" fontId="22" fillId="0" borderId="0" xfId="2" applyFont="1" applyAlignment="1">
      <alignment horizontal="left"/>
    </xf>
    <xf numFmtId="0" fontId="19" fillId="0" borderId="0" xfId="0" quotePrefix="1" applyFont="1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165" fontId="20" fillId="0" borderId="0" xfId="0" applyNumberFormat="1" applyFont="1"/>
    <xf numFmtId="0" fontId="20" fillId="0" borderId="0" xfId="0" applyFont="1" applyAlignment="1">
      <alignment horizontal="right"/>
    </xf>
    <xf numFmtId="9" fontId="20" fillId="0" borderId="0" xfId="1" applyFont="1"/>
    <xf numFmtId="168" fontId="20" fillId="0" borderId="0" xfId="0" applyNumberFormat="1" applyFont="1"/>
    <xf numFmtId="168" fontId="20" fillId="0" borderId="0" xfId="1" applyNumberFormat="1" applyFont="1"/>
    <xf numFmtId="164" fontId="20" fillId="0" borderId="0" xfId="1" applyNumberFormat="1" applyFont="1"/>
    <xf numFmtId="166" fontId="20" fillId="0" borderId="0" xfId="0" applyNumberFormat="1" applyFont="1"/>
    <xf numFmtId="0" fontId="20" fillId="0" borderId="0" xfId="1" applyNumberFormat="1" applyFont="1" applyAlignment="1">
      <alignment horizontal="right"/>
    </xf>
    <xf numFmtId="2" fontId="20" fillId="0" borderId="0" xfId="1" applyNumberFormat="1" applyFont="1"/>
    <xf numFmtId="0" fontId="23" fillId="0" borderId="0" xfId="2"/>
    <xf numFmtId="0" fontId="15" fillId="0" borderId="0" xfId="0" applyFont="1"/>
    <xf numFmtId="0" fontId="15" fillId="0" borderId="0" xfId="0" applyFont="1" applyAlignment="1">
      <alignment horizontal="right"/>
    </xf>
    <xf numFmtId="0" fontId="17" fillId="2" borderId="1" xfId="0" applyFont="1" applyFill="1" applyBorder="1" applyAlignment="1">
      <alignment horizontal="center"/>
    </xf>
    <xf numFmtId="0" fontId="17" fillId="2" borderId="2" xfId="0" applyFont="1" applyFill="1" applyBorder="1"/>
    <xf numFmtId="0" fontId="17" fillId="2" borderId="2" xfId="0" applyFont="1" applyFill="1" applyBorder="1" applyAlignment="1">
      <alignment horizontal="left"/>
    </xf>
    <xf numFmtId="0" fontId="17" fillId="2" borderId="2" xfId="0" applyFont="1" applyFill="1" applyBorder="1" applyAlignment="1">
      <alignment horizontal="right"/>
    </xf>
    <xf numFmtId="0" fontId="17" fillId="2" borderId="2" xfId="0" applyFont="1" applyFill="1" applyBorder="1" applyAlignment="1">
      <alignment horizontal="center"/>
    </xf>
    <xf numFmtId="2" fontId="17" fillId="2" borderId="2" xfId="1" applyNumberFormat="1" applyFont="1" applyFill="1" applyBorder="1" applyAlignment="1">
      <alignment horizontal="right"/>
    </xf>
    <xf numFmtId="0" fontId="17" fillId="2" borderId="2" xfId="1" applyNumberFormat="1" applyFont="1" applyFill="1" applyBorder="1" applyAlignment="1">
      <alignment horizontal="right"/>
    </xf>
    <xf numFmtId="0" fontId="17" fillId="2" borderId="3" xfId="0" applyFont="1" applyFill="1" applyBorder="1"/>
    <xf numFmtId="0" fontId="15" fillId="0" borderId="0" xfId="0" applyFont="1" applyAlignment="1">
      <alignment horizontal="center"/>
    </xf>
    <xf numFmtId="166" fontId="15" fillId="0" borderId="0" xfId="0" applyNumberFormat="1" applyFont="1"/>
    <xf numFmtId="0" fontId="15" fillId="0" borderId="0" xfId="0" applyFont="1" applyAlignment="1">
      <alignment horizontal="left"/>
    </xf>
    <xf numFmtId="165" fontId="15" fillId="0" borderId="0" xfId="0" applyNumberFormat="1" applyFont="1"/>
    <xf numFmtId="17" fontId="15" fillId="0" borderId="0" xfId="0" applyNumberFormat="1" applyFont="1" applyAlignment="1">
      <alignment horizontal="right"/>
    </xf>
    <xf numFmtId="16" fontId="15" fillId="0" borderId="0" xfId="0" applyNumberFormat="1" applyFont="1"/>
    <xf numFmtId="9" fontId="15" fillId="0" borderId="0" xfId="1" applyFont="1"/>
    <xf numFmtId="168" fontId="15" fillId="0" borderId="0" xfId="0" applyNumberFormat="1" applyFont="1"/>
    <xf numFmtId="168" fontId="15" fillId="0" borderId="0" xfId="1" applyNumberFormat="1" applyFont="1"/>
    <xf numFmtId="164" fontId="15" fillId="0" borderId="0" xfId="1" applyNumberFormat="1" applyFont="1"/>
    <xf numFmtId="0" fontId="15" fillId="0" borderId="0" xfId="1" applyNumberFormat="1" applyFont="1" applyAlignment="1">
      <alignment horizontal="right"/>
    </xf>
    <xf numFmtId="0" fontId="23" fillId="0" borderId="0" xfId="2" applyAlignment="1">
      <alignment horizontal="left"/>
    </xf>
    <xf numFmtId="165" fontId="17" fillId="2" borderId="2" xfId="0" applyNumberFormat="1" applyFont="1" applyFill="1" applyBorder="1"/>
    <xf numFmtId="166" fontId="17" fillId="2" borderId="2" xfId="0" applyNumberFormat="1" applyFont="1" applyFill="1" applyBorder="1"/>
    <xf numFmtId="166" fontId="17" fillId="2" borderId="2" xfId="0" applyNumberFormat="1" applyFont="1" applyFill="1" applyBorder="1" applyAlignment="1">
      <alignment horizontal="right"/>
    </xf>
    <xf numFmtId="9" fontId="17" fillId="2" borderId="2" xfId="1" applyFont="1" applyFill="1" applyBorder="1"/>
    <xf numFmtId="0" fontId="15" fillId="0" borderId="0" xfId="0" quotePrefix="1" applyFont="1" applyAlignment="1">
      <alignment horizontal="left"/>
    </xf>
    <xf numFmtId="0" fontId="24" fillId="0" borderId="0" xfId="0" applyFont="1"/>
    <xf numFmtId="2" fontId="15" fillId="0" borderId="0" xfId="0" applyNumberFormat="1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right"/>
    </xf>
    <xf numFmtId="0" fontId="14" fillId="0" borderId="0" xfId="0" applyFont="1"/>
    <xf numFmtId="0" fontId="13" fillId="0" borderId="0" xfId="0" applyFont="1"/>
    <xf numFmtId="2" fontId="18" fillId="2" borderId="2" xfId="1" applyNumberFormat="1" applyFont="1" applyFill="1" applyBorder="1" applyAlignment="1">
      <alignment horizontal="left"/>
    </xf>
    <xf numFmtId="166" fontId="19" fillId="0" borderId="0" xfId="0" applyNumberFormat="1" applyFont="1" applyAlignment="1">
      <alignment horizontal="right"/>
    </xf>
    <xf numFmtId="0" fontId="19" fillId="0" borderId="4" xfId="0" applyFont="1" applyBorder="1" applyAlignment="1">
      <alignment horizontal="center"/>
    </xf>
    <xf numFmtId="0" fontId="18" fillId="0" borderId="4" xfId="0" applyFont="1" applyBorder="1"/>
    <xf numFmtId="0" fontId="19" fillId="0" borderId="4" xfId="0" applyFont="1" applyBorder="1"/>
    <xf numFmtId="166" fontId="19" fillId="0" borderId="4" xfId="0" applyNumberFormat="1" applyFont="1" applyBorder="1"/>
    <xf numFmtId="166" fontId="19" fillId="0" borderId="4" xfId="0" applyNumberFormat="1" applyFont="1" applyBorder="1" applyAlignment="1">
      <alignment horizontal="right"/>
    </xf>
    <xf numFmtId="9" fontId="19" fillId="0" borderId="4" xfId="1" applyFont="1" applyBorder="1"/>
    <xf numFmtId="168" fontId="19" fillId="0" borderId="4" xfId="0" applyNumberFormat="1" applyFont="1" applyBorder="1"/>
    <xf numFmtId="0" fontId="19" fillId="0" borderId="4" xfId="1" applyNumberFormat="1" applyFont="1" applyBorder="1" applyAlignment="1">
      <alignment horizontal="right"/>
    </xf>
    <xf numFmtId="0" fontId="20" fillId="0" borderId="4" xfId="0" applyFont="1" applyBorder="1"/>
    <xf numFmtId="0" fontId="12" fillId="0" borderId="0" xfId="0" applyFont="1"/>
    <xf numFmtId="0" fontId="25" fillId="0" borderId="0" xfId="0" applyFont="1"/>
    <xf numFmtId="0" fontId="11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8" fillId="0" borderId="0" xfId="0" applyFont="1"/>
    <xf numFmtId="14" fontId="8" fillId="0" borderId="0" xfId="0" applyNumberFormat="1" applyFont="1"/>
    <xf numFmtId="3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3" fontId="8" fillId="0" borderId="0" xfId="0" applyNumberFormat="1" applyFont="1"/>
    <xf numFmtId="0" fontId="8" fillId="0" borderId="0" xfId="0" applyFont="1" applyAlignment="1">
      <alignment horizontal="left"/>
    </xf>
    <xf numFmtId="0" fontId="7" fillId="0" borderId="0" xfId="0" applyFont="1"/>
    <xf numFmtId="16" fontId="6" fillId="0" borderId="0" xfId="0" applyNumberFormat="1" applyFont="1"/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6" fillId="0" borderId="0" xfId="0" applyFont="1"/>
    <xf numFmtId="0" fontId="1" fillId="0" borderId="0" xfId="0" applyFont="1" applyAlignment="1">
      <alignment horizontal="left"/>
    </xf>
  </cellXfs>
  <cellStyles count="3">
    <cellStyle name="Hyperlink" xfId="2" builtinId="8" customBuiltin="1"/>
    <cellStyle name="Normal" xfId="0" builtinId="0"/>
    <cellStyle name="Per 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1.xml"/><Relationship Id="rId89" Type="http://schemas.openxmlformats.org/officeDocument/2006/relationships/externalLink" Target="externalLinks/externalLink76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1.xml"/><Relationship Id="rId79" Type="http://schemas.openxmlformats.org/officeDocument/2006/relationships/externalLink" Target="externalLinks/externalLink66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7.xml"/><Relationship Id="rId95" Type="http://schemas.openxmlformats.org/officeDocument/2006/relationships/externalLink" Target="externalLinks/externalLink82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7.xml"/><Relationship Id="rId85" Type="http://schemas.openxmlformats.org/officeDocument/2006/relationships/externalLink" Target="externalLinks/externalLink72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103" Type="http://schemas.openxmlformats.org/officeDocument/2006/relationships/sheetMetadata" Target="metadata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83" Type="http://schemas.openxmlformats.org/officeDocument/2006/relationships/externalLink" Target="externalLinks/externalLink70.xml"/><Relationship Id="rId88" Type="http://schemas.openxmlformats.org/officeDocument/2006/relationships/externalLink" Target="externalLinks/externalLink75.xml"/><Relationship Id="rId91" Type="http://schemas.openxmlformats.org/officeDocument/2006/relationships/externalLink" Target="externalLinks/externalLink78.xml"/><Relationship Id="rId96" Type="http://schemas.openxmlformats.org/officeDocument/2006/relationships/externalLink" Target="externalLinks/externalLink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externalLink" Target="externalLinks/externalLink65.xml"/><Relationship Id="rId81" Type="http://schemas.openxmlformats.org/officeDocument/2006/relationships/externalLink" Target="externalLinks/externalLink68.xml"/><Relationship Id="rId86" Type="http://schemas.openxmlformats.org/officeDocument/2006/relationships/externalLink" Target="externalLinks/externalLink73.xml"/><Relationship Id="rId94" Type="http://schemas.openxmlformats.org/officeDocument/2006/relationships/externalLink" Target="externalLinks/externalLink81.xml"/><Relationship Id="rId99" Type="http://schemas.openxmlformats.org/officeDocument/2006/relationships/externalLink" Target="externalLinks/externalLink86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97" Type="http://schemas.openxmlformats.org/officeDocument/2006/relationships/externalLink" Target="externalLinks/externalLink84.xml"/><Relationship Id="rId10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92" Type="http://schemas.openxmlformats.org/officeDocument/2006/relationships/externalLink" Target="externalLinks/externalLink7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Relationship Id="rId24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53.xml"/><Relationship Id="rId87" Type="http://schemas.openxmlformats.org/officeDocument/2006/relationships/externalLink" Target="externalLinks/externalLink74.xml"/><Relationship Id="rId61" Type="http://schemas.openxmlformats.org/officeDocument/2006/relationships/externalLink" Target="externalLinks/externalLink48.xml"/><Relationship Id="rId82" Type="http://schemas.openxmlformats.org/officeDocument/2006/relationships/externalLink" Target="externalLinks/externalLink69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43.xml"/><Relationship Id="rId77" Type="http://schemas.openxmlformats.org/officeDocument/2006/relationships/externalLink" Target="externalLinks/externalLink64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93" Type="http://schemas.openxmlformats.org/officeDocument/2006/relationships/externalLink" Target="externalLinks/externalLink80.xml"/><Relationship Id="rId98" Type="http://schemas.openxmlformats.org/officeDocument/2006/relationships/externalLink" Target="externalLinks/externalLink85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C.PA.xlsx" TargetMode="External"/><Relationship Id="rId2" Type="http://schemas.openxmlformats.org/officeDocument/2006/relationships/externalLinkPath" Target="file:///E:\1.Finance\Anaylsen\Models\MC.PA.xlsx" TargetMode="External"/><Relationship Id="rId1" Type="http://schemas.openxmlformats.org/officeDocument/2006/relationships/externalLinkPath" Target="/1.Finance/Anaylsen/Models/MC.P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MS.xlsx" TargetMode="External"/><Relationship Id="rId2" Type="http://schemas.openxmlformats.org/officeDocument/2006/relationships/externalLinkPath" Target="file:///E:\1.Finance\Anaylsen\Models\RMS.xlsx" TargetMode="External"/><Relationship Id="rId1" Type="http://schemas.openxmlformats.org/officeDocument/2006/relationships/externalLinkPath" Target="/1.Finance/Anaylsen/Models/RM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ITX.MC.xlsx" TargetMode="External"/><Relationship Id="rId2" Type="http://schemas.openxmlformats.org/officeDocument/2006/relationships/externalLinkPath" Target="file:///E:\1.Finance\Anaylsen\Models\ITX.MC.xlsx" TargetMode="External"/><Relationship Id="rId1" Type="http://schemas.openxmlformats.org/officeDocument/2006/relationships/externalLinkPath" Target="/1.Finance/Anaylsen/Models/ITX.MC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JX.xlsx" TargetMode="External"/><Relationship Id="rId2" Type="http://schemas.openxmlformats.org/officeDocument/2006/relationships/externalLinkPath" Target="file:///E:\1.Finance\Anaylsen\Models\TJX.xlsx" TargetMode="External"/><Relationship Id="rId1" Type="http://schemas.openxmlformats.org/officeDocument/2006/relationships/externalLinkPath" Target="/1.Finance/Anaylsen/Models/TJX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DI.PA.xlsx" TargetMode="External"/><Relationship Id="rId2" Type="http://schemas.openxmlformats.org/officeDocument/2006/relationships/externalLinkPath" Target="file:///E:\1.Finance\Anaylsen\Models\CDI.PA.xlsx" TargetMode="External"/><Relationship Id="rId1" Type="http://schemas.openxmlformats.org/officeDocument/2006/relationships/externalLinkPath" Target="/1.Finance/Anaylsen/Models/CDI.PA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KE.xlsx" TargetMode="External"/><Relationship Id="rId2" Type="http://schemas.openxmlformats.org/officeDocument/2006/relationships/externalLinkPath" Target="file:///E:\1.Finance\Anaylsen\Models\NKE.xlsx" TargetMode="External"/><Relationship Id="rId1" Type="http://schemas.openxmlformats.org/officeDocument/2006/relationships/externalLinkPath" Target="/1.Finance/Anaylsen/Models/NKE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9983.T.xlsx" TargetMode="External"/><Relationship Id="rId2" Type="http://schemas.openxmlformats.org/officeDocument/2006/relationships/externalLinkPath" Target="file:///E:\1.Finance\Anaylsen\Models\9983.T.xlsx" TargetMode="External"/><Relationship Id="rId1" Type="http://schemas.openxmlformats.org/officeDocument/2006/relationships/externalLinkPath" Target="/1.Finance/Anaylsen/Models/9983.T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TAS.xlsx" TargetMode="External"/><Relationship Id="rId2" Type="http://schemas.openxmlformats.org/officeDocument/2006/relationships/externalLinkPath" Target="file:///E:\1.Finance\Anaylsen\Models\CTAS.xlsx" TargetMode="External"/><Relationship Id="rId1" Type="http://schemas.openxmlformats.org/officeDocument/2006/relationships/externalLinkPath" Target="/1.Finance/Anaylsen/Models/CTAS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OST.xlsx" TargetMode="External"/><Relationship Id="rId2" Type="http://schemas.openxmlformats.org/officeDocument/2006/relationships/externalLinkPath" Target="file:///E:\1.Finance\Anaylsen\Models\ROST.xlsx" TargetMode="External"/><Relationship Id="rId1" Type="http://schemas.openxmlformats.org/officeDocument/2006/relationships/externalLinkPath" Target="/1.Finance/Anaylsen/Models/ROST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LULU.xlsx" TargetMode="External"/><Relationship Id="rId2" Type="http://schemas.openxmlformats.org/officeDocument/2006/relationships/externalLinkPath" Target="file:///E:\1.Finance\Anaylsen\Models\LULU.xlsx" TargetMode="External"/><Relationship Id="rId1" Type="http://schemas.openxmlformats.org/officeDocument/2006/relationships/externalLinkPath" Target="/1.Finance/Anaylsen/Models/LULU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DS.xlsx" TargetMode="External"/><Relationship Id="rId2" Type="http://schemas.openxmlformats.org/officeDocument/2006/relationships/externalLinkPath" Target="file:///E:\1.Finance\Anaylsen\Models\ADS.xlsx" TargetMode="External"/><Relationship Id="rId1" Type="http://schemas.openxmlformats.org/officeDocument/2006/relationships/externalLinkPath" Target="/1.Finance/Anaylsen/Models/ADS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KER.PA.xlsx" TargetMode="External"/><Relationship Id="rId2" Type="http://schemas.openxmlformats.org/officeDocument/2006/relationships/externalLinkPath" Target="file:///E:\1.Finance\Anaylsen\Models\KER.PA.xlsx" TargetMode="External"/><Relationship Id="rId1" Type="http://schemas.openxmlformats.org/officeDocument/2006/relationships/externalLinkPath" Target="/1.Finance/Anaylsen/Models/KER.PA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2020.HK.xlsx" TargetMode="External"/><Relationship Id="rId2" Type="http://schemas.openxmlformats.org/officeDocument/2006/relationships/externalLinkPath" Target="file:///E:\1.Finance\Anaylsen\Models\2020.HK.xlsx" TargetMode="External"/><Relationship Id="rId1" Type="http://schemas.openxmlformats.org/officeDocument/2006/relationships/externalLinkPath" Target="/1.Finance/Anaylsen/Models/2020.HK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ECK.xlsx" TargetMode="External"/><Relationship Id="rId2" Type="http://schemas.openxmlformats.org/officeDocument/2006/relationships/externalLinkPath" Target="file:///E:\1.Finance\Anaylsen\Models\DECK.xlsx" TargetMode="External"/><Relationship Id="rId1" Type="http://schemas.openxmlformats.org/officeDocument/2006/relationships/externalLinkPath" Target="/1.Finance/Anaylsen/Models/DECK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PR.xlsx" TargetMode="External"/><Relationship Id="rId2" Type="http://schemas.openxmlformats.org/officeDocument/2006/relationships/externalLinkPath" Target="file:///E:\1.Finance\Anaylsen\Models\TPR.xlsx" TargetMode="External"/><Relationship Id="rId1" Type="http://schemas.openxmlformats.org/officeDocument/2006/relationships/externalLinkPath" Target="/1.Finance/Anaylsen/Models/TPR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HM.BST.xlsx" TargetMode="External"/><Relationship Id="rId2" Type="http://schemas.openxmlformats.org/officeDocument/2006/relationships/externalLinkPath" Target="file:///E:\1.Finance\Anaylsen\Models\HM.BST.xlsx" TargetMode="External"/><Relationship Id="rId1" Type="http://schemas.openxmlformats.org/officeDocument/2006/relationships/externalLinkPath" Target="/1.Finance/Anaylsen/Models/HM.BST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L.xlsx" TargetMode="External"/><Relationship Id="rId2" Type="http://schemas.openxmlformats.org/officeDocument/2006/relationships/externalLinkPath" Target="file:///E:\1.Finance\Anaylsen\Models\RL.xlsx" TargetMode="External"/><Relationship Id="rId1" Type="http://schemas.openxmlformats.org/officeDocument/2006/relationships/externalLinkPath" Target="/1.Finance/Anaylsen/Models/RL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7936.T.xlsx" TargetMode="External"/><Relationship Id="rId2" Type="http://schemas.openxmlformats.org/officeDocument/2006/relationships/externalLinkPath" Target="file:///E:\1.Finance\Anaylsen\Models\7936.T.xlsx" TargetMode="External"/><Relationship Id="rId1" Type="http://schemas.openxmlformats.org/officeDocument/2006/relationships/externalLinkPath" Target="/1.Finance/Anaylsen/Models/7936.T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1913.HK.xlsx" TargetMode="External"/><Relationship Id="rId2" Type="http://schemas.openxmlformats.org/officeDocument/2006/relationships/externalLinkPath" Target="file:///E:\1.Finance\Anaylsen\Models\1913.HK.xlsx" TargetMode="External"/><Relationship Id="rId1" Type="http://schemas.openxmlformats.org/officeDocument/2006/relationships/externalLinkPath" Target="/1.Finance/Anaylsen/Models/1913.HK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RENT.NS.xlsx" TargetMode="External"/><Relationship Id="rId2" Type="http://schemas.openxmlformats.org/officeDocument/2006/relationships/externalLinkPath" Target="file:///E:\1.Finance\Anaylsen\Models\TRENT.NS.xlsx" TargetMode="External"/><Relationship Id="rId1" Type="http://schemas.openxmlformats.org/officeDocument/2006/relationships/externalLinkPath" Target="/1.Finance/Anaylsen/Models/TRENT.NS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ONC.MI.xlsx" TargetMode="External"/><Relationship Id="rId2" Type="http://schemas.openxmlformats.org/officeDocument/2006/relationships/externalLinkPath" Target="file:///E:\1.Finance\Anaylsen\Models\MONC.MI.xlsx" TargetMode="External"/><Relationship Id="rId1" Type="http://schemas.openxmlformats.org/officeDocument/2006/relationships/externalLinkPath" Target="/1.Finance/Anaylsen/Models/MONC.MI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URL.xlsx" TargetMode="External"/><Relationship Id="rId2" Type="http://schemas.openxmlformats.org/officeDocument/2006/relationships/externalLinkPath" Target="file:///E:\1.Finance\Anaylsen\Models\BURL.xlsx" TargetMode="External"/><Relationship Id="rId1" Type="http://schemas.openxmlformats.org/officeDocument/2006/relationships/externalLinkPath" Target="/1.Finance/Anaylsen/Models/BURL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XT.L.xlsx" TargetMode="External"/><Relationship Id="rId2" Type="http://schemas.openxmlformats.org/officeDocument/2006/relationships/externalLinkPath" Target="file:///E:\1.Finance\Anaylsen\Models\NXT.L.xlsx" TargetMode="External"/><Relationship Id="rId1" Type="http://schemas.openxmlformats.org/officeDocument/2006/relationships/externalLinkPath" Target="/1.Finance/Anaylsen/Models/NXT.L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ONON.xlsx" TargetMode="External"/><Relationship Id="rId2" Type="http://schemas.openxmlformats.org/officeDocument/2006/relationships/externalLinkPath" Target="file:///E:\1.Finance\Anaylsen\Models\ONON.xlsx" TargetMode="External"/><Relationship Id="rId1" Type="http://schemas.openxmlformats.org/officeDocument/2006/relationships/externalLinkPath" Target="/1.Finance/Anaylsen/Models/ONON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S.xlsx" TargetMode="External"/><Relationship Id="rId2" Type="http://schemas.openxmlformats.org/officeDocument/2006/relationships/externalLinkPath" Target="file:///E:\1.Finance\Anaylsen\Models\AS.xlsx" TargetMode="External"/><Relationship Id="rId1" Type="http://schemas.openxmlformats.org/officeDocument/2006/relationships/externalLinkPath" Target="/1.Finance/Anaylsen/Models/AS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2313.HK.xlsx" TargetMode="External"/><Relationship Id="rId2" Type="http://schemas.openxmlformats.org/officeDocument/2006/relationships/externalLinkPath" Target="file:///E:\1.Finance\Anaylsen\Models\2313.HK.xlsx" TargetMode="External"/><Relationship Id="rId1" Type="http://schemas.openxmlformats.org/officeDocument/2006/relationships/externalLinkPath" Target="/1.Finance/Anaylsen/Models/2313.HK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300979.SZ.xlsx" TargetMode="External"/><Relationship Id="rId2" Type="http://schemas.openxmlformats.org/officeDocument/2006/relationships/externalLinkPath" Target="file:///E:\1.Finance\Anaylsen\Models\300979.SZ.xlsx" TargetMode="External"/><Relationship Id="rId1" Type="http://schemas.openxmlformats.org/officeDocument/2006/relationships/externalLinkPath" Target="/1.Finance/Anaylsen/Models/300979.SZ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ZAL.DE.xlsx" TargetMode="External"/><Relationship Id="rId2" Type="http://schemas.openxmlformats.org/officeDocument/2006/relationships/externalLinkPath" Target="file:///E:\1.Finance\Anaylsen\Models\ZAL.DE.xlsx" TargetMode="External"/><Relationship Id="rId1" Type="http://schemas.openxmlformats.org/officeDocument/2006/relationships/externalLinkPath" Target="/1.Finance/Anaylsen/Models/ZAL.DE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VFC.xlsx" TargetMode="External"/><Relationship Id="rId2" Type="http://schemas.openxmlformats.org/officeDocument/2006/relationships/externalLinkPath" Target="file:///E:\1.Finance\Anaylsen\Models\VFC.xlsx" TargetMode="External"/><Relationship Id="rId1" Type="http://schemas.openxmlformats.org/officeDocument/2006/relationships/externalLinkPath" Target="/1.Finance/Anaylsen/Models/VFC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IRK.xlsx" TargetMode="External"/><Relationship Id="rId2" Type="http://schemas.openxmlformats.org/officeDocument/2006/relationships/externalLinkPath" Target="file:///E:\1.Finance\Anaylsen\Models\BIRK.xlsx" TargetMode="External"/><Relationship Id="rId1" Type="http://schemas.openxmlformats.org/officeDocument/2006/relationships/externalLinkPath" Target="/1.Finance/Anaylsen/Models/BIRK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AP.xlsx" TargetMode="External"/><Relationship Id="rId2" Type="http://schemas.openxmlformats.org/officeDocument/2006/relationships/externalLinkPath" Target="file:///E:\1.Finance\Anaylsen\Models\GAP.xlsx" TargetMode="External"/><Relationship Id="rId1" Type="http://schemas.openxmlformats.org/officeDocument/2006/relationships/externalLinkPath" Target="/1.Finance/Anaylsen/Models/GAP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KX.xlsx" TargetMode="External"/><Relationship Id="rId2" Type="http://schemas.openxmlformats.org/officeDocument/2006/relationships/externalLinkPath" Target="file:///E:\1.Finance\Anaylsen\Models\SKX.xlsx" TargetMode="External"/><Relationship Id="rId1" Type="http://schemas.openxmlformats.org/officeDocument/2006/relationships/externalLinkPath" Target="/1.Finance/Anaylsen/Models/SKX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C.MI.xlsx" TargetMode="External"/><Relationship Id="rId2" Type="http://schemas.openxmlformats.org/officeDocument/2006/relationships/externalLinkPath" Target="file:///E:\1.Finance\Anaylsen\Models\BC.MI.xlsx" TargetMode="External"/><Relationship Id="rId1" Type="http://schemas.openxmlformats.org/officeDocument/2006/relationships/externalLinkPath" Target="/1.Finance/Anaylsen/Models/BC.MI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IL.xlsx" TargetMode="External"/><Relationship Id="rId2" Type="http://schemas.openxmlformats.org/officeDocument/2006/relationships/externalLinkPath" Target="file:///E:\1.Finance\Anaylsen\Models\GIL.xlsx" TargetMode="External"/><Relationship Id="rId1" Type="http://schemas.openxmlformats.org/officeDocument/2006/relationships/externalLinkPath" Target="/1.Finance/Anaylsen/Models/GIL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LEVI.xlsx" TargetMode="External"/><Relationship Id="rId2" Type="http://schemas.openxmlformats.org/officeDocument/2006/relationships/externalLinkPath" Target="file:///E:\1.Finance\Anaylsen\Models\LEVI.xlsx" TargetMode="External"/><Relationship Id="rId1" Type="http://schemas.openxmlformats.org/officeDocument/2006/relationships/externalLinkPath" Target="/1.Finance/Anaylsen/Models/LEVI.xlsx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LPP.WA.xlsx" TargetMode="External"/><Relationship Id="rId2" Type="http://schemas.openxmlformats.org/officeDocument/2006/relationships/externalLinkPath" Target="file:///E:\1.Finance\Anaylsen\Models\LPP.WA.xlsx" TargetMode="External"/><Relationship Id="rId1" Type="http://schemas.openxmlformats.org/officeDocument/2006/relationships/externalLinkPath" Target="/1.Finance/Anaylsen/Models/LPP.WA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600398.SS.xlsx" TargetMode="External"/><Relationship Id="rId2" Type="http://schemas.openxmlformats.org/officeDocument/2006/relationships/externalLinkPath" Target="file:///E:\1.Finance\Anaylsen\Models\600398.SS.xlsx" TargetMode="External"/><Relationship Id="rId1" Type="http://schemas.openxmlformats.org/officeDocument/2006/relationships/externalLinkPath" Target="/1.Finance/Anaylsen/Models/600398.SS.xlsx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AGEIND.NS.xlsx" TargetMode="External"/><Relationship Id="rId2" Type="http://schemas.openxmlformats.org/officeDocument/2006/relationships/externalLinkPath" Target="file:///E:\1.Finance\Anaylsen\Models\PAGEIND.NS.xlsx" TargetMode="External"/><Relationship Id="rId1" Type="http://schemas.openxmlformats.org/officeDocument/2006/relationships/externalLinkPath" Target="/1.Finance/Anaylsen/Models/PAGEIND.NS.xlsx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ROX.xlsx" TargetMode="External"/><Relationship Id="rId2" Type="http://schemas.openxmlformats.org/officeDocument/2006/relationships/externalLinkPath" Target="file:///E:\1.Finance\Anaylsen\Models\CROX.xlsx" TargetMode="External"/><Relationship Id="rId1" Type="http://schemas.openxmlformats.org/officeDocument/2006/relationships/externalLinkPath" Target="/1.Finance/Anaylsen/Models/CROX.xlsx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PH.JO.xlsx" TargetMode="External"/><Relationship Id="rId2" Type="http://schemas.openxmlformats.org/officeDocument/2006/relationships/externalLinkPath" Target="file:///E:\1.Finance\Anaylsen\Models\PPH.JO.xlsx" TargetMode="External"/><Relationship Id="rId1" Type="http://schemas.openxmlformats.org/officeDocument/2006/relationships/externalLinkPath" Target="/1.Finance/Anaylsen/Models/PPH.JO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JD.L.xlsx" TargetMode="External"/><Relationship Id="rId2" Type="http://schemas.openxmlformats.org/officeDocument/2006/relationships/externalLinkPath" Target="file:///E:\1.Finance\Anaylsen\Models\JD.L.xlsx" TargetMode="External"/><Relationship Id="rId1" Type="http://schemas.openxmlformats.org/officeDocument/2006/relationships/externalLinkPath" Target="/1.Finance/Anaylsen/Models/JD.L.xlsx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TZ.TO.xlsx" TargetMode="External"/><Relationship Id="rId2" Type="http://schemas.openxmlformats.org/officeDocument/2006/relationships/externalLinkPath" Target="file:///E:\1.Finance\Anaylsen\Models\ATZ.TO.xlsx" TargetMode="External"/><Relationship Id="rId1" Type="http://schemas.openxmlformats.org/officeDocument/2006/relationships/externalLinkPath" Target="/1.Finance/Anaylsen/Models/ATZ.TO.xlsx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2331.HK.xlsx" TargetMode="External"/><Relationship Id="rId2" Type="http://schemas.openxmlformats.org/officeDocument/2006/relationships/externalLinkPath" Target="file:///E:\1.Finance\Anaylsen\Models\2331.HK.xlsx" TargetMode="External"/><Relationship Id="rId1" Type="http://schemas.openxmlformats.org/officeDocument/2006/relationships/externalLinkPath" Target="/1.Finance/Anaylsen/Models/2331.HK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600177.SS.xlsx" TargetMode="External"/><Relationship Id="rId2" Type="http://schemas.openxmlformats.org/officeDocument/2006/relationships/externalLinkPath" Target="file:///E:\1.Finance\Anaylsen\Models\600177.SS.xlsx" TargetMode="External"/><Relationship Id="rId1" Type="http://schemas.openxmlformats.org/officeDocument/2006/relationships/externalLinkPath" Target="/1.Finance/Anaylsen/Models/600177.SS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URBN.xlsx" TargetMode="External"/><Relationship Id="rId2" Type="http://schemas.openxmlformats.org/officeDocument/2006/relationships/externalLinkPath" Target="file:///E:\1.Finance\Anaylsen\Models\URBN.xlsx" TargetMode="External"/><Relationship Id="rId1" Type="http://schemas.openxmlformats.org/officeDocument/2006/relationships/externalLinkPath" Target="/1.Finance/Anaylsen/Models/URBN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UM.DE.xlsx" TargetMode="External"/><Relationship Id="rId2" Type="http://schemas.openxmlformats.org/officeDocument/2006/relationships/externalLinkPath" Target="file:///E:\1.Finance\Anaylsen\Models\PUM.DE.xlsx" TargetMode="External"/><Relationship Id="rId1" Type="http://schemas.openxmlformats.org/officeDocument/2006/relationships/externalLinkPath" Target="/1.Finance/Anaylsen/Models/PUM.DE.xlsx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3998.HK.xlsx" TargetMode="External"/><Relationship Id="rId2" Type="http://schemas.openxmlformats.org/officeDocument/2006/relationships/externalLinkPath" Target="file:///E:\1.Finance\Anaylsen\Models\3998.HK.xlsx" TargetMode="External"/><Relationship Id="rId1" Type="http://schemas.openxmlformats.org/officeDocument/2006/relationships/externalLinkPath" Target="/1.Finance/Anaylsen/Models/3998.HK.xlsx" TargetMode="External"/></Relationships>
</file>

<file path=xl/externalLinks/_rels/externalLink4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NF.xlsx" TargetMode="External"/><Relationship Id="rId2" Type="http://schemas.openxmlformats.org/officeDocument/2006/relationships/externalLinkPath" Target="file:///E:\1.Finance\Anaylsen\Models\ANF.xlsx" TargetMode="External"/><Relationship Id="rId1" Type="http://schemas.openxmlformats.org/officeDocument/2006/relationships/externalLinkPath" Target="/1.Finance/Anaylsen/Models/ANF.xlsx" TargetMode="External"/></Relationships>
</file>

<file path=xl/externalLinks/_rels/externalLink4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OLM.xlsx" TargetMode="External"/><Relationship Id="rId2" Type="http://schemas.openxmlformats.org/officeDocument/2006/relationships/externalLinkPath" Target="file:///E:\1.Finance\Anaylsen\Models\COLM.xlsx" TargetMode="External"/><Relationship Id="rId1" Type="http://schemas.openxmlformats.org/officeDocument/2006/relationships/externalLinkPath" Target="/1.Finance/Anaylsen/Models/COLM.xlsx" TargetMode="External"/></Relationships>
</file>

<file path=xl/externalLinks/_rels/externalLink5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VH.xlsx" TargetMode="External"/><Relationship Id="rId2" Type="http://schemas.openxmlformats.org/officeDocument/2006/relationships/externalLinkPath" Target="file:///E:\1.Finance\Anaylsen\Models\PVH.xlsx" TargetMode="External"/><Relationship Id="rId1" Type="http://schemas.openxmlformats.org/officeDocument/2006/relationships/externalLinkPath" Target="/1.Finance/Anaylsen/Models/PVH.xlsx" TargetMode="External"/></Relationships>
</file>

<file path=xl/externalLinks/_rels/externalLink5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2670.T.xlsx" TargetMode="External"/><Relationship Id="rId2" Type="http://schemas.openxmlformats.org/officeDocument/2006/relationships/externalLinkPath" Target="file:///E:\1.Finance\Anaylsen\Models\2670.T.xlsx" TargetMode="External"/><Relationship Id="rId1" Type="http://schemas.openxmlformats.org/officeDocument/2006/relationships/externalLinkPath" Target="/1.Finance/Anaylsen/Models/2670.T.xlsx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RBY.L.xlsx" TargetMode="External"/><Relationship Id="rId2" Type="http://schemas.openxmlformats.org/officeDocument/2006/relationships/externalLinkPath" Target="file:///E:\1.Finance\Anaylsen\Models\BRBY.L.xlsx" TargetMode="External"/><Relationship Id="rId1" Type="http://schemas.openxmlformats.org/officeDocument/2006/relationships/externalLinkPath" Target="/1.Finance/Anaylsen/Models/BRBY.L.xlsx" TargetMode="External"/></Relationships>
</file>

<file path=xl/externalLinks/_rels/externalLink5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OOT.xlsx" TargetMode="External"/><Relationship Id="rId2" Type="http://schemas.openxmlformats.org/officeDocument/2006/relationships/externalLinkPath" Target="file:///E:\1.Finance\Anaylsen\Models\BOOT.xlsx" TargetMode="External"/><Relationship Id="rId1" Type="http://schemas.openxmlformats.org/officeDocument/2006/relationships/externalLinkPath" Target="/1.Finance/Anaylsen/Models/BOOT.xlsx" TargetMode="External"/></Relationships>
</file>

<file path=xl/externalLinks/_rels/externalLink5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KTB.xlsx" TargetMode="External"/><Relationship Id="rId2" Type="http://schemas.openxmlformats.org/officeDocument/2006/relationships/externalLinkPath" Target="file:///E:\1.Finance\Anaylsen\Models\KTB.xlsx" TargetMode="External"/><Relationship Id="rId1" Type="http://schemas.openxmlformats.org/officeDocument/2006/relationships/externalLinkPath" Target="/1.Finance/Anaylsen/Models/KTB.xlsx" TargetMode="External"/></Relationships>
</file>

<file path=xl/externalLinks/_rels/externalLink5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9910.TW.xlsx" TargetMode="External"/><Relationship Id="rId2" Type="http://schemas.openxmlformats.org/officeDocument/2006/relationships/externalLinkPath" Target="file:///E:\1.Finance\Anaylsen\Models\9910.TW.xlsx" TargetMode="External"/><Relationship Id="rId1" Type="http://schemas.openxmlformats.org/officeDocument/2006/relationships/externalLinkPath" Target="/1.Finance/Anaylsen/Models/9910.TW.xlsx" TargetMode="External"/></Relationships>
</file>

<file path=xl/externalLinks/_rels/externalLink5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UNF.xlsx" TargetMode="External"/><Relationship Id="rId2" Type="http://schemas.openxmlformats.org/officeDocument/2006/relationships/externalLinkPath" Target="file:///E:\1.Finance\Anaylsen\Models\UNF.xlsx" TargetMode="External"/><Relationship Id="rId1" Type="http://schemas.openxmlformats.org/officeDocument/2006/relationships/externalLinkPath" Target="/1.Finance/Anaylsen/Models/UNF.xlsx" TargetMode="External"/></Relationships>
</file>

<file path=xl/externalLinks/_rels/externalLink5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OSS.DE.xlsx" TargetMode="External"/><Relationship Id="rId2" Type="http://schemas.openxmlformats.org/officeDocument/2006/relationships/externalLinkPath" Target="file:///E:\1.Finance\Anaylsen\Models\BOSS.DE.xlsx" TargetMode="External"/><Relationship Id="rId1" Type="http://schemas.openxmlformats.org/officeDocument/2006/relationships/externalLinkPath" Target="/1.Finance/Anaylsen/Models/BOSS.DE.xlsx" TargetMode="External"/></Relationships>
</file>

<file path=xl/externalLinks/_rels/externalLink5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UA.xlsx" TargetMode="External"/><Relationship Id="rId2" Type="http://schemas.openxmlformats.org/officeDocument/2006/relationships/externalLinkPath" Target="file:///E:\1.Finance\Anaylsen\Models\UA.xlsx" TargetMode="External"/><Relationship Id="rId1" Type="http://schemas.openxmlformats.org/officeDocument/2006/relationships/externalLinkPath" Target="/1.Finance/Anaylsen/Models/UA.xlsx" TargetMode="External"/></Relationships>
</file>

<file path=xl/externalLinks/_rels/externalLink5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EO.xlsx" TargetMode="External"/><Relationship Id="rId2" Type="http://schemas.openxmlformats.org/officeDocument/2006/relationships/externalLinkPath" Target="file:///E:\1.Finance\Anaylsen\Models\AEO.xlsx" TargetMode="External"/><Relationship Id="rId1" Type="http://schemas.openxmlformats.org/officeDocument/2006/relationships/externalLinkPath" Target="/1.Finance/Anaylsen/Models/AEO.xlsx" TargetMode="External"/></Relationships>
</file>

<file path=xl/externalLinks/_rels/externalLink6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BFRL.NS.xlsx" TargetMode="External"/><Relationship Id="rId2" Type="http://schemas.openxmlformats.org/officeDocument/2006/relationships/externalLinkPath" Target="file:///E:\1.Finance\Anaylsen\Models\ABFRL.NS.xlsx" TargetMode="External"/><Relationship Id="rId1" Type="http://schemas.openxmlformats.org/officeDocument/2006/relationships/externalLinkPath" Target="/1.Finance/Anaylsen/Models/ABFRL.NS.xlsx" TargetMode="External"/></Relationships>
</file>

<file path=xl/externalLinks/_rels/externalLink6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VSXY.xlsx" TargetMode="External"/><Relationship Id="rId2" Type="http://schemas.openxmlformats.org/officeDocument/2006/relationships/externalLinkPath" Target="file:///E:\1.Finance\Anaylsen\Models\VSXY.xlsx" TargetMode="External"/><Relationship Id="rId1" Type="http://schemas.openxmlformats.org/officeDocument/2006/relationships/externalLinkPath" Target="/1.Finance/Anaylsen/Models/VSXY.xlsx" TargetMode="External"/></Relationships>
</file>

<file path=xl/externalLinks/_rels/externalLink6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HOO.xlsx" TargetMode="External"/><Relationship Id="rId2" Type="http://schemas.openxmlformats.org/officeDocument/2006/relationships/externalLinkPath" Target="file:///E:\1.Finance\Anaylsen\Models\SHOO.xlsx" TargetMode="External"/><Relationship Id="rId1" Type="http://schemas.openxmlformats.org/officeDocument/2006/relationships/externalLinkPath" Target="/1.Finance/Anaylsen/Models/SHOO.xlsx" TargetMode="External"/></Relationships>
</file>

<file path=xl/externalLinks/_rels/externalLink6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PRI.xlsx" TargetMode="External"/><Relationship Id="rId2" Type="http://schemas.openxmlformats.org/officeDocument/2006/relationships/externalLinkPath" Target="file:///E:\1.Finance\Anaylsen\Models\CPRI.xlsx" TargetMode="External"/><Relationship Id="rId1" Type="http://schemas.openxmlformats.org/officeDocument/2006/relationships/externalLinkPath" Target="/1.Finance/Anaylsen/Models/CPRI.xlsx" TargetMode="External"/></Relationships>
</file>

<file path=xl/externalLinks/_rels/externalLink6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ZGN.xlsx" TargetMode="External"/><Relationship Id="rId2" Type="http://schemas.openxmlformats.org/officeDocument/2006/relationships/externalLinkPath" Target="file:///E:\1.Finance\Anaylsen\Models\ZGN.xlsx" TargetMode="External"/><Relationship Id="rId1" Type="http://schemas.openxmlformats.org/officeDocument/2006/relationships/externalLinkPath" Target="/1.Finance/Anaylsen/Models/ZGN.xlsx" TargetMode="External"/></Relationships>
</file>

<file path=xl/externalLinks/_rels/externalLink6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ANYAVAR.NS.xlsx" TargetMode="External"/><Relationship Id="rId2" Type="http://schemas.openxmlformats.org/officeDocument/2006/relationships/externalLinkPath" Target="file:///E:\1.Finance\Anaylsen\Models\MANYAVAR.NS.xlsx" TargetMode="External"/><Relationship Id="rId1" Type="http://schemas.openxmlformats.org/officeDocument/2006/relationships/externalLinkPath" Target="/1.Finance/Anaylsen/Models/MANYAVAR.NS.xlsx" TargetMode="External"/></Relationships>
</file>

<file path=xl/externalLinks/_rels/externalLink6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HBI.xlsx" TargetMode="External"/><Relationship Id="rId2" Type="http://schemas.openxmlformats.org/officeDocument/2006/relationships/externalLinkPath" Target="file:///E:\1.Finance\Anaylsen\Models\HBI.xlsx" TargetMode="External"/><Relationship Id="rId1" Type="http://schemas.openxmlformats.org/officeDocument/2006/relationships/externalLinkPath" Target="/1.Finance/Anaylsen/Models/HBI.xlsx" TargetMode="External"/></Relationships>
</file>

<file path=xl/externalLinks/_rels/externalLink6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RI.xlsx" TargetMode="External"/><Relationship Id="rId2" Type="http://schemas.openxmlformats.org/officeDocument/2006/relationships/externalLinkPath" Target="file:///E:\1.Finance\Anaylsen\Models\CRI.xlsx" TargetMode="External"/><Relationship Id="rId1" Type="http://schemas.openxmlformats.org/officeDocument/2006/relationships/externalLinkPath" Target="/1.Finance/Anaylsen/Models/CRI.xlsx" TargetMode="External"/></Relationships>
</file>

<file path=xl/externalLinks/_rels/externalLink6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KE.xlsx" TargetMode="External"/><Relationship Id="rId2" Type="http://schemas.openxmlformats.org/officeDocument/2006/relationships/externalLinkPath" Target="file:///E:\1.Finance\Anaylsen\Models\BKE.xlsx" TargetMode="External"/><Relationship Id="rId1" Type="http://schemas.openxmlformats.org/officeDocument/2006/relationships/externalLinkPath" Target="/1.Finance/Anaylsen/Models/BKE.xlsx" TargetMode="External"/></Relationships>
</file>

<file path=xl/externalLinks/_rels/externalLink6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VLV.xlsx" TargetMode="External"/><Relationship Id="rId2" Type="http://schemas.openxmlformats.org/officeDocument/2006/relationships/externalLinkPath" Target="file:///E:\1.Finance\Anaylsen\Models\RVLV.xlsx" TargetMode="External"/><Relationship Id="rId1" Type="http://schemas.openxmlformats.org/officeDocument/2006/relationships/externalLinkPath" Target="/1.Finance/Anaylsen/Models/RVLV.xlsx" TargetMode="External"/></Relationships>
</file>

<file path=xl/externalLinks/_rels/externalLink7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III.xlsx" TargetMode="External"/><Relationship Id="rId2" Type="http://schemas.openxmlformats.org/officeDocument/2006/relationships/externalLinkPath" Target="file:///E:\1.Finance\Anaylsen\Models\GIII.xlsx" TargetMode="External"/><Relationship Id="rId1" Type="http://schemas.openxmlformats.org/officeDocument/2006/relationships/externalLinkPath" Target="/1.Finance/Anaylsen/Models/GIII.xlsx" TargetMode="External"/></Relationships>
</file>

<file path=xl/externalLinks/_rels/externalLink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OXM.xlsx" TargetMode="External"/><Relationship Id="rId2" Type="http://schemas.openxmlformats.org/officeDocument/2006/relationships/externalLinkPath" Target="file:///E:\1.Finance\Anaylsen\Models\OXM.xlsx" TargetMode="External"/><Relationship Id="rId1" Type="http://schemas.openxmlformats.org/officeDocument/2006/relationships/externalLinkPath" Target="/1.Finance/Anaylsen/Models/OXM.xlsx" TargetMode="External"/></Relationships>
</file>

<file path=xl/externalLinks/_rels/externalLink7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OOS.xlsx" TargetMode="External"/><Relationship Id="rId2" Type="http://schemas.openxmlformats.org/officeDocument/2006/relationships/externalLinkPath" Target="file:///E:\1.Finance\Anaylsen\Models\GOOS.xlsx" TargetMode="External"/><Relationship Id="rId1" Type="http://schemas.openxmlformats.org/officeDocument/2006/relationships/externalLinkPath" Target="/1.Finance/Anaylsen/Models/GOOS.xlsx" TargetMode="External"/></Relationships>
</file>

<file path=xl/externalLinks/_rels/externalLink7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FIGS.xlsx" TargetMode="External"/><Relationship Id="rId2" Type="http://schemas.openxmlformats.org/officeDocument/2006/relationships/externalLinkPath" Target="file:///E:\1.Finance\Anaylsen\Models\FIGS.xlsx" TargetMode="External"/><Relationship Id="rId1" Type="http://schemas.openxmlformats.org/officeDocument/2006/relationships/externalLinkPath" Target="/1.Finance/Anaylsen/Models/FIGS.xlsx" TargetMode="External"/></Relationships>
</file>

<file path=xl/externalLinks/_rels/externalLink7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ES.xlsx" TargetMode="External"/><Relationship Id="rId2" Type="http://schemas.openxmlformats.org/officeDocument/2006/relationships/externalLinkPath" Target="file:///E:\1.Finance\Anaylsen\Models\GES.xlsx" TargetMode="External"/><Relationship Id="rId1" Type="http://schemas.openxmlformats.org/officeDocument/2006/relationships/externalLinkPath" Target="/1.Finance/Anaylsen/Models/GES.xlsx" TargetMode="External"/></Relationships>
</file>

<file path=xl/externalLinks/_rels/externalLink7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SC.L.xlsx" TargetMode="External"/><Relationship Id="rId2" Type="http://schemas.openxmlformats.org/officeDocument/2006/relationships/externalLinkPath" Target="file:///E:\1.Finance\Anaylsen\Models\ASC.L.xlsx" TargetMode="External"/><Relationship Id="rId1" Type="http://schemas.openxmlformats.org/officeDocument/2006/relationships/externalLinkPath" Target="/1.Finance/Anaylsen/Models/ASC.L.xlsx" TargetMode="External"/></Relationships>
</file>

<file path=xl/externalLinks/_rels/externalLink7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URV.xlsx" TargetMode="External"/><Relationship Id="rId2" Type="http://schemas.openxmlformats.org/officeDocument/2006/relationships/externalLinkPath" Target="file:///E:\1.Finance\Anaylsen\Models\CURV.xlsx" TargetMode="External"/><Relationship Id="rId1" Type="http://schemas.openxmlformats.org/officeDocument/2006/relationships/externalLinkPath" Target="/1.Finance/Anaylsen/Models/CURV.xlsx" TargetMode="External"/></Relationships>
</file>

<file path=xl/externalLinks/_rels/externalLink7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JILL.xlsx" TargetMode="External"/><Relationship Id="rId2" Type="http://schemas.openxmlformats.org/officeDocument/2006/relationships/externalLinkPath" Target="file:///E:\1.Finance\Anaylsen\Models\JILL.xlsx" TargetMode="External"/><Relationship Id="rId1" Type="http://schemas.openxmlformats.org/officeDocument/2006/relationships/externalLinkPath" Target="/1.Finance/Anaylsen/Models/JILL.xlsx" TargetMode="External"/></Relationships>
</file>

<file path=xl/externalLinks/_rels/externalLink7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8022.T.xlsx" TargetMode="External"/><Relationship Id="rId2" Type="http://schemas.openxmlformats.org/officeDocument/2006/relationships/externalLinkPath" Target="file:///E:\1.Finance\Anaylsen\Models\8022.T.xlsx" TargetMode="External"/><Relationship Id="rId1" Type="http://schemas.openxmlformats.org/officeDocument/2006/relationships/externalLinkPath" Target="/1.Finance/Anaylsen/Models/8022.T.xlsx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WWW.xlsx" TargetMode="External"/><Relationship Id="rId2" Type="http://schemas.openxmlformats.org/officeDocument/2006/relationships/externalLinkPath" Target="file:///E:\1.Finance\Anaylsen\Models\WWW.xlsx" TargetMode="External"/><Relationship Id="rId1" Type="http://schemas.openxmlformats.org/officeDocument/2006/relationships/externalLinkPath" Target="/1.Finance/Anaylsen/Models/WWW.xlsx" TargetMode="External"/></Relationships>
</file>

<file path=xl/externalLinks/_rels/externalLink8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0625.HK.xlsx" TargetMode="External"/><Relationship Id="rId2" Type="http://schemas.openxmlformats.org/officeDocument/2006/relationships/externalLinkPath" Target="file:///E:\1.Finance\Anaylsen\Models\0625.HK.xlsx" TargetMode="External"/><Relationship Id="rId1" Type="http://schemas.openxmlformats.org/officeDocument/2006/relationships/externalLinkPath" Target="/1.Finance/Anaylsen/Models/0625.HK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KS.xlsx" TargetMode="External"/><Relationship Id="rId2" Type="http://schemas.openxmlformats.org/officeDocument/2006/relationships/externalLinkPath" Target="file:///E:\1.Finance\Anaylsen\Models\DKS.xlsx" TargetMode="External"/><Relationship Id="rId1" Type="http://schemas.openxmlformats.org/officeDocument/2006/relationships/externalLinkPath" Target="/1.Finance/Anaylsen/Models/DKS.xlsx" TargetMode="External"/></Relationships>
</file>

<file path=xl/externalLinks/_rels/externalLink8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EL.PA.xlsx" TargetMode="External"/><Relationship Id="rId2" Type="http://schemas.openxmlformats.org/officeDocument/2006/relationships/externalLinkPath" Target="file:///E:\1.Finance\Anaylsen\Models\EL.PA.xlsx" TargetMode="External"/><Relationship Id="rId1" Type="http://schemas.openxmlformats.org/officeDocument/2006/relationships/externalLinkPath" Target="/1.Finance/Anaylsen/Models/EL.PA.xlsx" TargetMode="External"/></Relationships>
</file>

<file path=xl/externalLinks/_rels/externalLink8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FR.SW.xlsx" TargetMode="External"/><Relationship Id="rId2" Type="http://schemas.openxmlformats.org/officeDocument/2006/relationships/externalLinkPath" Target="file:///E:\1.Finance\Anaylsen\Models\CFR.SW.xlsx" TargetMode="External"/><Relationship Id="rId1" Type="http://schemas.openxmlformats.org/officeDocument/2006/relationships/externalLinkPath" Target="/1.Finance/Anaylsen/Models/CFR.SW.xlsx" TargetMode="External"/></Relationships>
</file>

<file path=xl/externalLinks/_rels/externalLink8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EL.xlsx" TargetMode="External"/><Relationship Id="rId2" Type="http://schemas.openxmlformats.org/officeDocument/2006/relationships/externalLinkPath" Target="file:///E:\1.Finance\Anaylsen\Models\EL.xlsx" TargetMode="External"/><Relationship Id="rId1" Type="http://schemas.openxmlformats.org/officeDocument/2006/relationships/externalLinkPath" Target="/1.Finance/Anaylsen/Models/EL.xlsx" TargetMode="External"/></Relationships>
</file>

<file path=xl/externalLinks/_rels/externalLink8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UHR.SW.xlsx" TargetMode="External"/><Relationship Id="rId2" Type="http://schemas.openxmlformats.org/officeDocument/2006/relationships/externalLinkPath" Target="file:///E:\1.Finance\Anaylsen\Models\UHR.SW.xlsx" TargetMode="External"/><Relationship Id="rId1" Type="http://schemas.openxmlformats.org/officeDocument/2006/relationships/externalLinkPath" Target="/1.Finance/Anaylsen/Models/UHR.SW.xlsx" TargetMode="External"/></Relationships>
</file>

<file path=xl/externalLinks/_rels/externalLink8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PNG.xlsx" TargetMode="External"/><Relationship Id="rId2" Type="http://schemas.openxmlformats.org/officeDocument/2006/relationships/externalLinkPath" Target="file:///E:\1.Finance\Anaylsen\Models\CPNG.xlsx" TargetMode="External"/><Relationship Id="rId1" Type="http://schemas.openxmlformats.org/officeDocument/2006/relationships/externalLinkPath" Target="/1.Finance/Anaylsen/Models/CP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Quarters"/>
      <sheetName val="Model"/>
      <sheetName val="Ratios"/>
      <sheetName val="DCF"/>
    </sheetNames>
    <sheetDataSet>
      <sheetData sheetId="0">
        <row r="4">
          <cell r="I4">
            <v>459.1</v>
          </cell>
        </row>
        <row r="6">
          <cell r="I6">
            <v>227626.86682800003</v>
          </cell>
        </row>
        <row r="7">
          <cell r="I7">
            <v>6803</v>
          </cell>
        </row>
        <row r="8">
          <cell r="I8">
            <v>20485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Quarters"/>
      <sheetName val="Ratios"/>
      <sheetName val="DCF"/>
    </sheetNames>
    <sheetDataSet>
      <sheetData sheetId="0">
        <row r="2">
          <cell r="K2">
            <v>1553</v>
          </cell>
        </row>
        <row r="4">
          <cell r="K4">
            <v>162743.90016699999</v>
          </cell>
        </row>
        <row r="5">
          <cell r="K5">
            <v>12310</v>
          </cell>
        </row>
        <row r="6">
          <cell r="K6">
            <v>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  <sheetName val="DCF"/>
    </sheetNames>
    <sheetDataSet>
      <sheetData sheetId="0">
        <row r="3">
          <cell r="J3">
            <v>54.85</v>
          </cell>
        </row>
        <row r="5">
          <cell r="J5">
            <v>170908.29641415001</v>
          </cell>
        </row>
        <row r="6">
          <cell r="J6">
            <v>10399</v>
          </cell>
        </row>
        <row r="7">
          <cell r="J7">
            <v>1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  <sheetName val="DCF"/>
    </sheetNames>
    <sheetDataSet>
      <sheetData sheetId="0">
        <row r="3">
          <cell r="I3">
            <v>141.19</v>
          </cell>
        </row>
        <row r="5">
          <cell r="I5">
            <v>157709.23000000001</v>
          </cell>
        </row>
        <row r="6">
          <cell r="I6">
            <v>6004</v>
          </cell>
        </row>
        <row r="7">
          <cell r="I7">
            <v>2871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Financial"/>
    </sheetNames>
    <sheetDataSet>
      <sheetData sheetId="0">
        <row r="2">
          <cell r="I2">
            <v>471.6</v>
          </cell>
        </row>
        <row r="4">
          <cell r="I4">
            <v>85081.629528000005</v>
          </cell>
        </row>
        <row r="5">
          <cell r="I5">
            <v>9760</v>
          </cell>
        </row>
        <row r="6">
          <cell r="I6">
            <v>22957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  <sheetName val="DCF"/>
      <sheetName val="CoC"/>
    </sheetNames>
    <sheetDataSet>
      <sheetData sheetId="0">
        <row r="3">
          <cell r="I3">
            <v>44.05</v>
          </cell>
        </row>
        <row r="5">
          <cell r="I5">
            <v>65348.117867149995</v>
          </cell>
        </row>
        <row r="6">
          <cell r="I6">
            <v>9027</v>
          </cell>
        </row>
        <row r="7">
          <cell r="I7">
            <v>7942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J3">
            <v>82110</v>
          </cell>
        </row>
        <row r="5">
          <cell r="J5">
            <v>25194231.538980003</v>
          </cell>
        </row>
        <row r="6">
          <cell r="J6">
            <v>1132.078</v>
          </cell>
        </row>
        <row r="7">
          <cell r="J7">
            <v>232915</v>
          </cell>
        </row>
      </sheetData>
      <sheetData sheetId="1">
        <row r="20">
          <cell r="C20">
            <v>146688</v>
          </cell>
          <cell r="G20">
            <v>157556</v>
          </cell>
          <cell r="H20">
            <v>146661</v>
          </cell>
          <cell r="I20">
            <v>146735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205.28</v>
          </cell>
        </row>
        <row r="4">
          <cell r="K4">
            <v>82146.807482079996</v>
          </cell>
        </row>
        <row r="5">
          <cell r="K5">
            <v>289.01799999999997</v>
          </cell>
        </row>
        <row r="6">
          <cell r="K6">
            <v>2428.0729999999999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H3">
            <v>249.68</v>
          </cell>
        </row>
        <row r="5">
          <cell r="H5">
            <v>79320.090160000007</v>
          </cell>
        </row>
        <row r="6">
          <cell r="H6">
            <v>4288.1239999999998</v>
          </cell>
        </row>
        <row r="7">
          <cell r="H7">
            <v>1018.5119999999999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  <sheetName val="DCF"/>
    </sheetNames>
    <sheetDataSet>
      <sheetData sheetId="0">
        <row r="2">
          <cell r="I2">
            <v>99.65</v>
          </cell>
        </row>
        <row r="4">
          <cell r="I4">
            <v>10522.448477600001</v>
          </cell>
        </row>
        <row r="5">
          <cell r="I5">
            <v>189.73699999999999</v>
          </cell>
        </row>
        <row r="6">
          <cell r="I6">
            <v>0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159.1</v>
          </cell>
        </row>
        <row r="4">
          <cell r="I4">
            <v>28044.802332200001</v>
          </cell>
        </row>
        <row r="5">
          <cell r="I5">
            <v>1159</v>
          </cell>
        </row>
        <row r="6">
          <cell r="I6">
            <v>3049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Brands"/>
      <sheetName val="Macro"/>
      <sheetName val="Model"/>
      <sheetName val="Quart"/>
      <sheetName val="Ratios"/>
      <sheetName val="DCF"/>
      <sheetName val="CoC"/>
      <sheetName val="TradingComps"/>
    </sheetNames>
    <sheetDataSet>
      <sheetData sheetId="0">
        <row r="2">
          <cell r="H2">
            <v>250.5</v>
          </cell>
        </row>
        <row r="4">
          <cell r="H4">
            <v>30716.233848</v>
          </cell>
        </row>
        <row r="5">
          <cell r="H5">
            <v>8480</v>
          </cell>
        </row>
        <row r="6">
          <cell r="H6">
            <v>11804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78.75</v>
          </cell>
        </row>
        <row r="5">
          <cell r="H5">
            <v>202919.14124999999</v>
          </cell>
        </row>
        <row r="6">
          <cell r="H6">
            <v>43397</v>
          </cell>
        </row>
        <row r="7">
          <cell r="H7">
            <v>23488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M2">
            <v>103.91</v>
          </cell>
        </row>
        <row r="4">
          <cell r="M4">
            <v>14174.802327570002</v>
          </cell>
        </row>
        <row r="5">
          <cell r="M5">
            <v>1602.5889999999999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130</v>
          </cell>
        </row>
        <row r="4">
          <cell r="J4">
            <v>25920.918140000002</v>
          </cell>
        </row>
        <row r="5">
          <cell r="J5">
            <v>1152</v>
          </cell>
        </row>
        <row r="6">
          <cell r="J6">
            <v>2379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166.25</v>
          </cell>
        </row>
        <row r="4">
          <cell r="I4">
            <v>265601.16625000001</v>
          </cell>
        </row>
        <row r="5">
          <cell r="I5">
            <v>18697</v>
          </cell>
        </row>
        <row r="6">
          <cell r="I6">
            <v>20675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</sheetNames>
    <sheetDataSet>
      <sheetData sheetId="0">
        <row r="2">
          <cell r="H2">
            <v>389.9</v>
          </cell>
        </row>
        <row r="4">
          <cell r="H4">
            <v>23231.114986099998</v>
          </cell>
        </row>
        <row r="5">
          <cell r="H5">
            <v>1941.6</v>
          </cell>
        </row>
        <row r="6">
          <cell r="H6">
            <v>1308.0999999999999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5281</v>
          </cell>
        </row>
        <row r="4">
          <cell r="I4">
            <v>3743141.2143390002</v>
          </cell>
        </row>
        <row r="5">
          <cell r="I5">
            <v>112267</v>
          </cell>
        </row>
        <row r="6">
          <cell r="I6">
            <v>37500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Quarters"/>
      <sheetName val="Model"/>
      <sheetName val="Ratios"/>
      <sheetName val="DCF"/>
      <sheetName val="WACC"/>
    </sheetNames>
    <sheetDataSet>
      <sheetData sheetId="0">
        <row r="2">
          <cell r="H2">
            <v>43.26</v>
          </cell>
        </row>
        <row r="5">
          <cell r="H5">
            <v>13283.367148799998</v>
          </cell>
        </row>
        <row r="6">
          <cell r="H6">
            <v>1020.558</v>
          </cell>
        </row>
        <row r="7">
          <cell r="H7">
            <v>1719.8150000000001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2992.7</v>
          </cell>
        </row>
        <row r="4">
          <cell r="I4">
            <v>1063867.3245347</v>
          </cell>
        </row>
        <row r="5">
          <cell r="I5">
            <v>262002</v>
          </cell>
        </row>
        <row r="6">
          <cell r="I6">
            <v>499890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Quarter"/>
      <sheetName val="Model"/>
    </sheetNames>
    <sheetDataSet>
      <sheetData sheetId="0">
        <row r="2">
          <cell r="H2">
            <v>47.32</v>
          </cell>
        </row>
        <row r="4">
          <cell r="H4">
            <v>12801.14235036</v>
          </cell>
        </row>
        <row r="5">
          <cell r="H5">
            <v>1341.982</v>
          </cell>
        </row>
        <row r="6">
          <cell r="H6">
            <v>980.13599999999997</v>
          </cell>
        </row>
      </sheetData>
      <sheetData sheetId="1"/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294.94</v>
          </cell>
        </row>
        <row r="4">
          <cell r="I4">
            <v>18845.486239999998</v>
          </cell>
        </row>
        <row r="5">
          <cell r="I5">
            <v>703.68600000000004</v>
          </cell>
        </row>
        <row r="6">
          <cell r="I6">
            <v>1893.511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156</v>
          </cell>
        </row>
        <row r="4">
          <cell r="I4">
            <v>18236.400000000001</v>
          </cell>
        </row>
        <row r="5">
          <cell r="I5">
            <v>96.2</v>
          </cell>
        </row>
        <row r="6">
          <cell r="I6">
            <v>808.9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KPIs"/>
      <sheetName val="CoC"/>
      <sheetName val="DCF"/>
    </sheetNames>
    <sheetDataSet>
      <sheetData sheetId="0">
        <row r="2">
          <cell r="H2">
            <v>30.85</v>
          </cell>
        </row>
        <row r="5">
          <cell r="H5">
            <v>7784.7614990425</v>
          </cell>
        </row>
        <row r="6">
          <cell r="H6">
            <v>1020.4</v>
          </cell>
        </row>
        <row r="7">
          <cell r="H7">
            <v>58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33.79</v>
          </cell>
        </row>
        <row r="4">
          <cell r="J4">
            <v>19685.281459229998</v>
          </cell>
        </row>
        <row r="5">
          <cell r="J5">
            <v>720.4</v>
          </cell>
        </row>
        <row r="6">
          <cell r="J6">
            <v>147.4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35.46</v>
          </cell>
        </row>
        <row r="5">
          <cell r="J5">
            <v>46907.754253905601</v>
          </cell>
        </row>
        <row r="6">
          <cell r="J6">
            <v>26779.968000000001</v>
          </cell>
        </row>
        <row r="7">
          <cell r="J7">
            <v>197</v>
          </cell>
        </row>
      </sheetData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K2">
            <v>76.739999999999995</v>
          </cell>
        </row>
        <row r="4">
          <cell r="K4">
            <v>89555.579999999987</v>
          </cell>
        </row>
        <row r="5">
          <cell r="K5">
            <v>6221.5751200000004</v>
          </cell>
        </row>
        <row r="6">
          <cell r="K6">
            <v>898.55169000000001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25.27</v>
          </cell>
        </row>
        <row r="4">
          <cell r="I4">
            <v>6292.23</v>
          </cell>
        </row>
        <row r="5">
          <cell r="I5">
            <v>1397.8</v>
          </cell>
        </row>
        <row r="6">
          <cell r="I6">
            <v>939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14.5</v>
          </cell>
        </row>
        <row r="4">
          <cell r="H4">
            <v>5700.4512649999997</v>
          </cell>
        </row>
        <row r="5">
          <cell r="H5">
            <v>670.06299999999999</v>
          </cell>
        </row>
        <row r="6">
          <cell r="H6">
            <v>3013.105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I3">
            <v>34.85</v>
          </cell>
        </row>
        <row r="5">
          <cell r="I5">
            <v>6409.1260516000002</v>
          </cell>
        </row>
        <row r="6">
          <cell r="I6">
            <v>693.63499999999999</v>
          </cell>
        </row>
        <row r="7">
          <cell r="I7">
            <v>1687.41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23.84</v>
          </cell>
        </row>
        <row r="4">
          <cell r="J4">
            <v>8463.2000000000007</v>
          </cell>
        </row>
        <row r="5">
          <cell r="J5">
            <v>2485</v>
          </cell>
        </row>
        <row r="6">
          <cell r="J6">
            <v>1493</v>
          </cell>
        </row>
      </sheetData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Financials"/>
    </sheetNames>
    <sheetDataSet>
      <sheetData sheetId="0">
        <row r="2">
          <cell r="I2">
            <v>60.4</v>
          </cell>
        </row>
        <row r="4">
          <cell r="I4">
            <v>9118.7085583999997</v>
          </cell>
        </row>
        <row r="5">
          <cell r="I5">
            <v>1467.8490000000002</v>
          </cell>
        </row>
        <row r="6">
          <cell r="I6">
            <v>628.88699999999994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87.92</v>
          </cell>
        </row>
        <row r="4">
          <cell r="J4">
            <v>5978.0039939199996</v>
          </cell>
        </row>
        <row r="5">
          <cell r="J5">
            <v>180.76900000000001</v>
          </cell>
        </row>
        <row r="6">
          <cell r="J6">
            <v>399.72299999999996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55.89</v>
          </cell>
        </row>
        <row r="4">
          <cell r="I4">
            <v>10349.486639999999</v>
          </cell>
        </row>
        <row r="5">
          <cell r="I5">
            <v>268.30200000000002</v>
          </cell>
        </row>
        <row r="6">
          <cell r="I6">
            <v>4531.0609999999997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24.26</v>
          </cell>
        </row>
        <row r="4">
          <cell r="I4">
            <v>8463.1146341200019</v>
          </cell>
        </row>
        <row r="5">
          <cell r="I5">
            <v>977.8</v>
          </cell>
        </row>
        <row r="6">
          <cell r="I6">
            <v>1043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21560</v>
          </cell>
        </row>
        <row r="4">
          <cell r="I4">
            <v>40073.744480000001</v>
          </cell>
        </row>
        <row r="5">
          <cell r="I5">
            <v>1384</v>
          </cell>
        </row>
        <row r="6">
          <cell r="I6">
            <v>2565</v>
          </cell>
        </row>
      </sheetData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8.7799999999999994</v>
          </cell>
        </row>
        <row r="4">
          <cell r="J4">
            <v>42144</v>
          </cell>
        </row>
        <row r="5">
          <cell r="J5">
            <v>6390</v>
          </cell>
        </row>
        <row r="6">
          <cell r="J6">
            <v>1540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41240</v>
          </cell>
        </row>
        <row r="4">
          <cell r="H4">
            <v>459995.53764</v>
          </cell>
        </row>
        <row r="5">
          <cell r="H5">
            <v>45360.78</v>
          </cell>
        </row>
        <row r="6">
          <cell r="H6">
            <v>52633.11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  <sheetName val="Coc"/>
      <sheetName val="DCF"/>
      <sheetName val="Data"/>
    </sheetNames>
    <sheetDataSet>
      <sheetData sheetId="0">
        <row r="2">
          <cell r="H2">
            <v>121.86</v>
          </cell>
        </row>
        <row r="4">
          <cell r="H4">
            <v>5842.5868395000007</v>
          </cell>
        </row>
        <row r="5">
          <cell r="H5">
            <v>170.27600000000001</v>
          </cell>
        </row>
        <row r="6">
          <cell r="H6">
            <v>1307.6579999999999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27.8</v>
          </cell>
        </row>
        <row r="4">
          <cell r="I4">
            <v>102081.60000000001</v>
          </cell>
        </row>
        <row r="5">
          <cell r="I5">
            <v>4793</v>
          </cell>
        </row>
        <row r="6">
          <cell r="I6">
            <v>12059</v>
          </cell>
        </row>
      </sheetData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0.93779999999999997</v>
          </cell>
        </row>
        <row r="4">
          <cell r="I4">
            <v>4808.1005999999998</v>
          </cell>
        </row>
        <row r="5">
          <cell r="I5">
            <v>531</v>
          </cell>
        </row>
        <row r="6">
          <cell r="I6">
            <v>656</v>
          </cell>
        </row>
      </sheetData>
      <sheetData sheetId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86.42</v>
          </cell>
        </row>
        <row r="4">
          <cell r="H4">
            <v>9891.3739399999995</v>
          </cell>
        </row>
        <row r="5">
          <cell r="H5">
            <v>292.61099999999999</v>
          </cell>
        </row>
        <row r="6">
          <cell r="H6">
            <v>0</v>
          </cell>
        </row>
      </sheetData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16.02</v>
          </cell>
        </row>
        <row r="5">
          <cell r="H5">
            <v>37954.121342400002</v>
          </cell>
        </row>
        <row r="6">
          <cell r="H6">
            <v>17557.536999999997</v>
          </cell>
        </row>
        <row r="7">
          <cell r="H7">
            <v>0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I2">
            <v>8.01</v>
          </cell>
        </row>
        <row r="4">
          <cell r="I4">
            <v>36725.331993300002</v>
          </cell>
        </row>
        <row r="5">
          <cell r="I5">
            <v>8082.48891</v>
          </cell>
        </row>
        <row r="6">
          <cell r="I6">
            <v>20208.361519999999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79.900000000000006</v>
          </cell>
        </row>
        <row r="4">
          <cell r="J4">
            <v>6842.1251993000005</v>
          </cell>
        </row>
        <row r="5">
          <cell r="J5">
            <v>716.12699999999995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25.8</v>
          </cell>
        </row>
        <row r="4">
          <cell r="I4">
            <v>3797.9897489999998</v>
          </cell>
        </row>
        <row r="5">
          <cell r="I5">
            <v>326.2</v>
          </cell>
        </row>
        <row r="6">
          <cell r="I6">
            <v>1683.8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3.75</v>
          </cell>
        </row>
        <row r="5">
          <cell r="I5">
            <v>37653.589800000002</v>
          </cell>
        </row>
        <row r="6">
          <cell r="I6">
            <v>5665.9049999999997</v>
          </cell>
        </row>
        <row r="7">
          <cell r="I7">
            <v>995.54700000000003</v>
          </cell>
        </row>
      </sheetData>
      <sheetData sheetId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  <sheetName val="WACC"/>
      <sheetName val="DCF"/>
    </sheetNames>
    <sheetDataSet>
      <sheetData sheetId="0">
        <row r="2">
          <cell r="I2">
            <v>148.80000000000001</v>
          </cell>
        </row>
        <row r="4">
          <cell r="I4">
            <v>6512.5296000000008</v>
          </cell>
        </row>
        <row r="5">
          <cell r="I5">
            <v>637.99900000000002</v>
          </cell>
        </row>
        <row r="6">
          <cell r="I6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56.92</v>
          </cell>
        </row>
        <row r="4">
          <cell r="I4">
            <v>2913.9166024800002</v>
          </cell>
        </row>
        <row r="5">
          <cell r="I5">
            <v>624.601</v>
          </cell>
        </row>
        <row r="6">
          <cell r="I6">
            <v>0</v>
          </cell>
        </row>
      </sheetData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72.459999999999994</v>
          </cell>
        </row>
        <row r="4">
          <cell r="J4">
            <v>3343.1473791799999</v>
          </cell>
        </row>
        <row r="5">
          <cell r="J5">
            <v>965.9</v>
          </cell>
        </row>
        <row r="6">
          <cell r="J6">
            <v>2236.5</v>
          </cell>
        </row>
      </sheetData>
      <sheetData sheetId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I2">
            <v>2816.5</v>
          </cell>
        </row>
        <row r="4">
          <cell r="I4">
            <v>697412.87774050003</v>
          </cell>
        </row>
        <row r="5">
          <cell r="I5">
            <v>138918</v>
          </cell>
        </row>
        <row r="6">
          <cell r="I6">
            <v>5959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10.93</v>
          </cell>
        </row>
        <row r="4">
          <cell r="I4">
            <v>3916.2190000000001</v>
          </cell>
        </row>
        <row r="5">
          <cell r="I5">
            <v>671</v>
          </cell>
        </row>
        <row r="6">
          <cell r="I6">
            <v>568</v>
          </cell>
        </row>
      </sheetData>
      <sheetData sheetId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165.1</v>
          </cell>
        </row>
        <row r="4">
          <cell r="I4">
            <v>5044.7333572999996</v>
          </cell>
        </row>
        <row r="5">
          <cell r="I5">
            <v>95.319000000000003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78.680000000000007</v>
          </cell>
        </row>
        <row r="4">
          <cell r="I4">
            <v>4372.5807311200006</v>
          </cell>
        </row>
        <row r="5">
          <cell r="I5">
            <v>107.482</v>
          </cell>
        </row>
        <row r="6">
          <cell r="I6">
            <v>1366.51</v>
          </cell>
        </row>
      </sheetData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132.5</v>
          </cell>
        </row>
        <row r="4">
          <cell r="J4">
            <v>130841.4975</v>
          </cell>
        </row>
        <row r="5">
          <cell r="J5">
            <v>3309.02</v>
          </cell>
        </row>
        <row r="6">
          <cell r="J6">
            <v>7400.7630000000008</v>
          </cell>
        </row>
      </sheetData>
      <sheetData sheetId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161.28</v>
          </cell>
        </row>
        <row r="4">
          <cell r="J4">
            <v>2990.6024601600002</v>
          </cell>
        </row>
        <row r="5">
          <cell r="J5">
            <v>211.91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37.94</v>
          </cell>
        </row>
        <row r="4">
          <cell r="J4">
            <v>2618.4733759799997</v>
          </cell>
        </row>
        <row r="5">
          <cell r="J5">
            <v>231</v>
          </cell>
        </row>
        <row r="6">
          <cell r="J6">
            <v>179</v>
          </cell>
        </row>
      </sheetData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5.53</v>
          </cell>
        </row>
        <row r="4">
          <cell r="I4">
            <v>1932.9868362000002</v>
          </cell>
        </row>
        <row r="5">
          <cell r="I5">
            <v>395.98099999999999</v>
          </cell>
        </row>
        <row r="6">
          <cell r="I6">
            <v>591.15800000000002</v>
          </cell>
        </row>
      </sheetData>
      <sheetData sheetId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17.37</v>
          </cell>
        </row>
        <row r="4">
          <cell r="I4">
            <v>2910.7487942100001</v>
          </cell>
        </row>
        <row r="5">
          <cell r="I5">
            <v>103.286</v>
          </cell>
        </row>
        <row r="6">
          <cell r="I6">
            <v>85</v>
          </cell>
        </row>
      </sheetData>
      <sheetData sheetId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I2">
            <v>263.45</v>
          </cell>
        </row>
        <row r="4">
          <cell r="I4">
            <v>270582.07176934998</v>
          </cell>
        </row>
        <row r="5">
          <cell r="I5">
            <v>1259.98</v>
          </cell>
        </row>
        <row r="6">
          <cell r="I6">
            <v>3707.71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73.62</v>
          </cell>
        </row>
        <row r="4">
          <cell r="I4">
            <v>5852.1810889800008</v>
          </cell>
        </row>
        <row r="5">
          <cell r="I5">
            <v>207</v>
          </cell>
        </row>
        <row r="6">
          <cell r="I6">
            <v>990</v>
          </cell>
        </row>
      </sheetData>
      <sheetData sheetId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44.03</v>
          </cell>
        </row>
        <row r="4">
          <cell r="H4">
            <v>3217.9517470800001</v>
          </cell>
        </row>
        <row r="5">
          <cell r="H5">
            <v>77.156000000000006</v>
          </cell>
        </row>
        <row r="6">
          <cell r="H6">
            <v>286.49700000000001</v>
          </cell>
        </row>
      </sheetData>
      <sheetData sheetId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18.14</v>
          </cell>
        </row>
        <row r="4">
          <cell r="I4">
            <v>2154.9996926600002</v>
          </cell>
        </row>
        <row r="5">
          <cell r="I5">
            <v>135</v>
          </cell>
        </row>
        <row r="6">
          <cell r="I6">
            <v>357</v>
          </cell>
        </row>
      </sheetData>
      <sheetData sheetId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11.0596</v>
          </cell>
        </row>
        <row r="4">
          <cell r="J4">
            <v>2798.3419078839997</v>
          </cell>
        </row>
        <row r="5">
          <cell r="J5">
            <v>226.715</v>
          </cell>
        </row>
        <row r="6">
          <cell r="J6">
            <v>224.79700000000003</v>
          </cell>
        </row>
      </sheetData>
      <sheetData sheetId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828.4</v>
          </cell>
        </row>
        <row r="4">
          <cell r="J4">
            <v>201333.06192080001</v>
          </cell>
        </row>
        <row r="5">
          <cell r="J5">
            <v>440.44</v>
          </cell>
        </row>
        <row r="6">
          <cell r="J6">
            <v>269.23</v>
          </cell>
        </row>
      </sheetData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5.82</v>
          </cell>
        </row>
        <row r="4">
          <cell r="I4">
            <v>2055.0937514400002</v>
          </cell>
        </row>
        <row r="5">
          <cell r="I5">
            <v>214.85400000000001</v>
          </cell>
        </row>
        <row r="6">
          <cell r="I6">
            <v>2186.0569999999998</v>
          </cell>
        </row>
      </sheetData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41.42</v>
          </cell>
        </row>
        <row r="4">
          <cell r="H4">
            <v>1491.5652650000002</v>
          </cell>
        </row>
        <row r="5">
          <cell r="H5">
            <v>412.92599999999999</v>
          </cell>
        </row>
        <row r="6">
          <cell r="H6">
            <v>498.12</v>
          </cell>
        </row>
      </sheetData>
      <sheetData sheetId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38.119999999999997</v>
          </cell>
        </row>
        <row r="4">
          <cell r="I4">
            <v>1935.4971035199997</v>
          </cell>
        </row>
        <row r="5">
          <cell r="I5">
            <v>325.44000000000005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24.73</v>
          </cell>
        </row>
        <row r="4">
          <cell r="I4">
            <v>1761.5194085300002</v>
          </cell>
        </row>
        <row r="5">
          <cell r="I5">
            <v>256.60000000000002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27.07</v>
          </cell>
        </row>
        <row r="4">
          <cell r="I4">
            <v>1188.01315849</v>
          </cell>
        </row>
        <row r="5">
          <cell r="I5">
            <v>104.68600000000001</v>
          </cell>
        </row>
        <row r="6">
          <cell r="I6">
            <v>224.17499999999998</v>
          </cell>
        </row>
      </sheetData>
      <sheetData sheetId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59.85</v>
          </cell>
        </row>
        <row r="4">
          <cell r="I4">
            <v>939.70682505000002</v>
          </cell>
        </row>
        <row r="5">
          <cell r="I5">
            <v>7.0270000000000001</v>
          </cell>
        </row>
        <row r="6">
          <cell r="I6">
            <v>57.816000000000003</v>
          </cell>
        </row>
      </sheetData>
      <sheetData sheetId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12.17</v>
          </cell>
        </row>
        <row r="4">
          <cell r="J4">
            <v>1184.3104429100001</v>
          </cell>
        </row>
        <row r="5">
          <cell r="J5">
            <v>206.9</v>
          </cell>
        </row>
        <row r="6">
          <cell r="J6">
            <v>436.3</v>
          </cell>
        </row>
      </sheetData>
      <sheetData sheetId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4.53</v>
          </cell>
        </row>
        <row r="4">
          <cell r="I4">
            <v>736.21656488999997</v>
          </cell>
        </row>
        <row r="5">
          <cell r="I5">
            <v>245.11399999999998</v>
          </cell>
        </row>
        <row r="6">
          <cell r="I6">
            <v>9.6039999999999992</v>
          </cell>
        </row>
      </sheetData>
      <sheetData sheetId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16.75</v>
          </cell>
        </row>
        <row r="4">
          <cell r="I4">
            <v>872.38125524999998</v>
          </cell>
        </row>
        <row r="5">
          <cell r="I5">
            <v>189.63499999999999</v>
          </cell>
        </row>
        <row r="6">
          <cell r="I6">
            <v>623.71199999999999</v>
          </cell>
        </row>
      </sheetData>
      <sheetData sheetId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 "/>
      <sheetName val="Model"/>
    </sheetNames>
    <sheetDataSet>
      <sheetData sheetId="0">
        <row r="2">
          <cell r="F2">
            <v>2.4350000000000001</v>
          </cell>
        </row>
        <row r="4">
          <cell r="F4">
            <v>290.48290130999999</v>
          </cell>
        </row>
        <row r="5">
          <cell r="F5">
            <v>318.89999999999998</v>
          </cell>
        </row>
        <row r="6">
          <cell r="F6">
            <v>503.6</v>
          </cell>
        </row>
      </sheetData>
      <sheetData sheetId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0.98</v>
          </cell>
        </row>
        <row r="4">
          <cell r="H4">
            <v>97.21301296</v>
          </cell>
        </row>
        <row r="5">
          <cell r="H5">
            <v>17.213000000000001</v>
          </cell>
        </row>
        <row r="6">
          <cell r="H6">
            <v>291.31400000000002</v>
          </cell>
        </row>
      </sheetData>
      <sheetData sheetId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17.79</v>
          </cell>
        </row>
        <row r="4">
          <cell r="I4">
            <v>270.90115659000003</v>
          </cell>
        </row>
        <row r="5">
          <cell r="I5">
            <v>45.523000000000003</v>
          </cell>
        </row>
        <row r="6">
          <cell r="I6">
            <v>70.016000000000005</v>
          </cell>
        </row>
      </sheetData>
      <sheetData sheetId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2540</v>
          </cell>
        </row>
        <row r="4">
          <cell r="I4">
            <v>64964.434459999997</v>
          </cell>
        </row>
        <row r="5">
          <cell r="I5">
            <v>33044</v>
          </cell>
        </row>
        <row r="6">
          <cell r="I6">
            <v>13470</v>
          </cell>
        </row>
      </sheetData>
      <sheetData sheetId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19.989999999999998</v>
          </cell>
        </row>
        <row r="4">
          <cell r="J4">
            <v>1640.5061166099999</v>
          </cell>
        </row>
        <row r="5">
          <cell r="J5">
            <v>158.5</v>
          </cell>
        </row>
        <row r="6">
          <cell r="J6">
            <v>547.1</v>
          </cell>
        </row>
      </sheetData>
      <sheetData sheetId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le"/>
    </sheetNames>
    <sheetDataSet>
      <sheetData sheetId="0">
        <row r="2">
          <cell r="J2">
            <v>48.5</v>
          </cell>
        </row>
        <row r="5">
          <cell r="J5">
            <v>26772.307449745003</v>
          </cell>
        </row>
        <row r="6">
          <cell r="J6">
            <v>15210</v>
          </cell>
        </row>
        <row r="7">
          <cell r="J7">
            <v>0</v>
          </cell>
        </row>
      </sheetData>
      <sheetData sheetId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127.52</v>
          </cell>
        </row>
        <row r="4">
          <cell r="J4">
            <v>11289.983199999999</v>
          </cell>
        </row>
        <row r="5">
          <cell r="J5">
            <v>913.73599999999999</v>
          </cell>
        </row>
        <row r="6">
          <cell r="J6">
            <v>1906.348</v>
          </cell>
        </row>
      </sheetData>
      <sheetData sheetId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Quarter"/>
    </sheetNames>
    <sheetDataSet>
      <sheetData sheetId="0">
        <row r="2">
          <cell r="I2">
            <v>165.3</v>
          </cell>
        </row>
        <row r="4">
          <cell r="I4">
            <v>75875.820202800009</v>
          </cell>
        </row>
        <row r="5">
          <cell r="I5">
            <v>1931</v>
          </cell>
        </row>
        <row r="6">
          <cell r="I6">
            <v>11409</v>
          </cell>
        </row>
      </sheetData>
      <sheetData sheetId="1"/>
      <sheetData sheetId="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Quartr"/>
      <sheetName val="Model"/>
    </sheetNames>
    <sheetDataSet>
      <sheetData sheetId="0">
        <row r="2">
          <cell r="J2">
            <v>157.35</v>
          </cell>
        </row>
        <row r="5">
          <cell r="J5">
            <v>98056.428899999999</v>
          </cell>
        </row>
        <row r="6">
          <cell r="J6">
            <v>8522</v>
          </cell>
        </row>
        <row r="7">
          <cell r="J7">
            <v>8739</v>
          </cell>
        </row>
      </sheetData>
      <sheetData sheetId="1"/>
      <sheetData sheetId="2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80.58</v>
          </cell>
        </row>
        <row r="4">
          <cell r="K4">
            <v>29153.4342507</v>
          </cell>
        </row>
        <row r="5">
          <cell r="K5">
            <v>3126</v>
          </cell>
        </row>
        <row r="6">
          <cell r="K6">
            <v>7312</v>
          </cell>
        </row>
      </sheetData>
      <sheetData sheetId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I3">
            <v>177.95</v>
          </cell>
        </row>
        <row r="5">
          <cell r="I5">
            <v>9236.3445957900003</v>
          </cell>
        </row>
        <row r="6">
          <cell r="I6">
            <v>1231</v>
          </cell>
        </row>
        <row r="7">
          <cell r="I7">
            <v>38</v>
          </cell>
        </row>
      </sheetData>
      <sheetData sheetId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22.51</v>
          </cell>
        </row>
        <row r="4">
          <cell r="I4">
            <v>40518</v>
          </cell>
        </row>
        <row r="5">
          <cell r="I5">
            <v>6030</v>
          </cell>
        </row>
        <row r="6">
          <cell r="I6">
            <v>1533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\Models\ASC.L.xlsx" TargetMode="External"/><Relationship Id="rId21" Type="http://schemas.openxmlformats.org/officeDocument/2006/relationships/hyperlink" Target="..\Models\CROX.xlsx" TargetMode="External"/><Relationship Id="rId42" Type="http://schemas.openxmlformats.org/officeDocument/2006/relationships/hyperlink" Target="..\Models\BOOT.xlsx" TargetMode="External"/><Relationship Id="rId47" Type="http://schemas.openxmlformats.org/officeDocument/2006/relationships/hyperlink" Target="..\Models\PAGEIND.NS.xlsx" TargetMode="External"/><Relationship Id="rId63" Type="http://schemas.openxmlformats.org/officeDocument/2006/relationships/hyperlink" Target="..\Models\AS.xlsx" TargetMode="External"/><Relationship Id="rId68" Type="http://schemas.openxmlformats.org/officeDocument/2006/relationships/hyperlink" Target="..\Models\2670.T.xlsx" TargetMode="External"/><Relationship Id="rId16" Type="http://schemas.openxmlformats.org/officeDocument/2006/relationships/hyperlink" Target="..\Models\9983.T.xlsx" TargetMode="External"/><Relationship Id="rId11" Type="http://schemas.openxmlformats.org/officeDocument/2006/relationships/hyperlink" Target="..\Models\CDI.PA.xlsx" TargetMode="External"/><Relationship Id="rId32" Type="http://schemas.openxmlformats.org/officeDocument/2006/relationships/hyperlink" Target="..\Models\7936.T.xlsx" TargetMode="External"/><Relationship Id="rId37" Type="http://schemas.openxmlformats.org/officeDocument/2006/relationships/hyperlink" Target="..\Models\2331.HK.xlsx" TargetMode="External"/><Relationship Id="rId53" Type="http://schemas.openxmlformats.org/officeDocument/2006/relationships/hyperlink" Target="..\Models\SHOO.xlsx" TargetMode="External"/><Relationship Id="rId58" Type="http://schemas.openxmlformats.org/officeDocument/2006/relationships/hyperlink" Target="..\Models\NXT.L.xlsx" TargetMode="External"/><Relationship Id="rId74" Type="http://schemas.openxmlformats.org/officeDocument/2006/relationships/hyperlink" Target="..\Models\BKE.xlsx" TargetMode="External"/><Relationship Id="rId79" Type="http://schemas.openxmlformats.org/officeDocument/2006/relationships/hyperlink" Target="..\Models\8022.T.xlsx" TargetMode="External"/><Relationship Id="rId5" Type="http://schemas.openxmlformats.org/officeDocument/2006/relationships/hyperlink" Target="..\Models\ITX.MC.xlsx" TargetMode="External"/><Relationship Id="rId61" Type="http://schemas.openxmlformats.org/officeDocument/2006/relationships/hyperlink" Target="..\Models\600177.SS.xlsx" TargetMode="External"/><Relationship Id="rId82" Type="http://schemas.openxmlformats.org/officeDocument/2006/relationships/hyperlink" Target="..\Models\0625.HK.xlsx" TargetMode="External"/><Relationship Id="rId19" Type="http://schemas.openxmlformats.org/officeDocument/2006/relationships/hyperlink" Target="..\Models\CTAS.xlsx" TargetMode="External"/><Relationship Id="rId14" Type="http://schemas.openxmlformats.org/officeDocument/2006/relationships/hyperlink" Target="..\Models\KER.PA.xlsx" TargetMode="External"/><Relationship Id="rId22" Type="http://schemas.openxmlformats.org/officeDocument/2006/relationships/hyperlink" Target="..\Models\ONON.xlsx" TargetMode="External"/><Relationship Id="rId27" Type="http://schemas.openxmlformats.org/officeDocument/2006/relationships/hyperlink" Target="..\Models\BURL.xlsx" TargetMode="External"/><Relationship Id="rId30" Type="http://schemas.openxmlformats.org/officeDocument/2006/relationships/hyperlink" Target="..\Models\BIRK.xlsx" TargetMode="External"/><Relationship Id="rId35" Type="http://schemas.openxmlformats.org/officeDocument/2006/relationships/hyperlink" Target="..\Models\BC.MI.xlsx" TargetMode="External"/><Relationship Id="rId43" Type="http://schemas.openxmlformats.org/officeDocument/2006/relationships/hyperlink" Target="..\Models\KTB.xlsx" TargetMode="External"/><Relationship Id="rId48" Type="http://schemas.openxmlformats.org/officeDocument/2006/relationships/hyperlink" Target="..\Models\AEO.xlsx" TargetMode="External"/><Relationship Id="rId56" Type="http://schemas.openxmlformats.org/officeDocument/2006/relationships/hyperlink" Target="..\Models\ABFRL.NS.xlsx" TargetMode="External"/><Relationship Id="rId64" Type="http://schemas.openxmlformats.org/officeDocument/2006/relationships/hyperlink" Target="..\Models\GIII.xlsx" TargetMode="External"/><Relationship Id="rId69" Type="http://schemas.openxmlformats.org/officeDocument/2006/relationships/hyperlink" Target="..\Models\UNF.xlsx" TargetMode="External"/><Relationship Id="rId77" Type="http://schemas.openxmlformats.org/officeDocument/2006/relationships/hyperlink" Target="..\Models\TRENT.NS.xlsx" TargetMode="External"/><Relationship Id="rId8" Type="http://schemas.openxmlformats.org/officeDocument/2006/relationships/hyperlink" Target="..\Models\ADS.xlsx" TargetMode="External"/><Relationship Id="rId51" Type="http://schemas.openxmlformats.org/officeDocument/2006/relationships/hyperlink" Target="..\Models\BOSS.DE.xlsx" TargetMode="External"/><Relationship Id="rId72" Type="http://schemas.openxmlformats.org/officeDocument/2006/relationships/hyperlink" Target="..\Models\OXM.xlsx" TargetMode="External"/><Relationship Id="rId80" Type="http://schemas.openxmlformats.org/officeDocument/2006/relationships/hyperlink" Target="..\Models\JILL.xlsx" TargetMode="External"/><Relationship Id="rId3" Type="http://schemas.openxmlformats.org/officeDocument/2006/relationships/hyperlink" Target="..\Models\NKE.xlsx" TargetMode="External"/><Relationship Id="rId12" Type="http://schemas.openxmlformats.org/officeDocument/2006/relationships/hyperlink" Target="..\Models\MONC.MI.xlsx" TargetMode="External"/><Relationship Id="rId17" Type="http://schemas.openxmlformats.org/officeDocument/2006/relationships/hyperlink" Target="..\Models\ROST.xlsx" TargetMode="External"/><Relationship Id="rId25" Type="http://schemas.openxmlformats.org/officeDocument/2006/relationships/hyperlink" Target="..\Models\CURV.xlsx" TargetMode="External"/><Relationship Id="rId33" Type="http://schemas.openxmlformats.org/officeDocument/2006/relationships/hyperlink" Target="..\Models\300979.SZ.xlsx" TargetMode="External"/><Relationship Id="rId38" Type="http://schemas.openxmlformats.org/officeDocument/2006/relationships/hyperlink" Target="..\Models\GIL.xlsx" TargetMode="External"/><Relationship Id="rId46" Type="http://schemas.openxmlformats.org/officeDocument/2006/relationships/hyperlink" Target="..\Models\BRBY.L.xlsx" TargetMode="External"/><Relationship Id="rId59" Type="http://schemas.openxmlformats.org/officeDocument/2006/relationships/hyperlink" Target="..\Models\ZAL.DE.xlsx" TargetMode="External"/><Relationship Id="rId67" Type="http://schemas.openxmlformats.org/officeDocument/2006/relationships/hyperlink" Target="..\Models\ANF.xlsx" TargetMode="External"/><Relationship Id="rId20" Type="http://schemas.openxmlformats.org/officeDocument/2006/relationships/hyperlink" Target="..\Models\LEVI.xlsx" TargetMode="External"/><Relationship Id="rId41" Type="http://schemas.openxmlformats.org/officeDocument/2006/relationships/hyperlink" Target="..\Models\COLM.xlsx" TargetMode="External"/><Relationship Id="rId54" Type="http://schemas.openxmlformats.org/officeDocument/2006/relationships/hyperlink" Target="..\Models\PPH.JO.xlsx" TargetMode="External"/><Relationship Id="rId62" Type="http://schemas.openxmlformats.org/officeDocument/2006/relationships/hyperlink" Target="..\Models\GES.xlsx" TargetMode="External"/><Relationship Id="rId70" Type="http://schemas.openxmlformats.org/officeDocument/2006/relationships/hyperlink" Target="..\Models\9910.TW.xlsx" TargetMode="External"/><Relationship Id="rId75" Type="http://schemas.openxmlformats.org/officeDocument/2006/relationships/hyperlink" Target="..\Models\FIGS.xlsx" TargetMode="External"/><Relationship Id="rId83" Type="http://schemas.openxmlformats.org/officeDocument/2006/relationships/printerSettings" Target="../printerSettings/printerSettings1.bin"/><Relationship Id="rId1" Type="http://schemas.openxmlformats.org/officeDocument/2006/relationships/hyperlink" Target="..\Models\RL.xlsx" TargetMode="External"/><Relationship Id="rId6" Type="http://schemas.openxmlformats.org/officeDocument/2006/relationships/hyperlink" Target="..\Models\MC.PA.xlsx" TargetMode="External"/><Relationship Id="rId15" Type="http://schemas.openxmlformats.org/officeDocument/2006/relationships/hyperlink" Target="..\Models\GAP.xlsx" TargetMode="External"/><Relationship Id="rId23" Type="http://schemas.openxmlformats.org/officeDocument/2006/relationships/hyperlink" Target="..\Models\2313.HK.xlsx" TargetMode="External"/><Relationship Id="rId28" Type="http://schemas.openxmlformats.org/officeDocument/2006/relationships/hyperlink" Target="..\Models\TPR.xlsx" TargetMode="External"/><Relationship Id="rId36" Type="http://schemas.openxmlformats.org/officeDocument/2006/relationships/hyperlink" Target="..\Models\PVH.xlsx" TargetMode="External"/><Relationship Id="rId49" Type="http://schemas.openxmlformats.org/officeDocument/2006/relationships/hyperlink" Target="..\Models\VSXY.xlsx" TargetMode="External"/><Relationship Id="rId57" Type="http://schemas.openxmlformats.org/officeDocument/2006/relationships/hyperlink" Target="..\Models\URBN.xlsx" TargetMode="External"/><Relationship Id="rId10" Type="http://schemas.openxmlformats.org/officeDocument/2006/relationships/hyperlink" Target="..\Models\LULU.xlsx" TargetMode="External"/><Relationship Id="rId31" Type="http://schemas.openxmlformats.org/officeDocument/2006/relationships/hyperlink" Target="..\Models\VFC.xlsx" TargetMode="External"/><Relationship Id="rId44" Type="http://schemas.openxmlformats.org/officeDocument/2006/relationships/hyperlink" Target="..\Models\LPP.WA.xlsx" TargetMode="External"/><Relationship Id="rId52" Type="http://schemas.openxmlformats.org/officeDocument/2006/relationships/hyperlink" Target="..\Models\UA.xlsx" TargetMode="External"/><Relationship Id="rId60" Type="http://schemas.openxmlformats.org/officeDocument/2006/relationships/hyperlink" Target="..\Models\MANYAVAR.NS.xlsx" TargetMode="External"/><Relationship Id="rId65" Type="http://schemas.openxmlformats.org/officeDocument/2006/relationships/hyperlink" Target="..\Models\1913.HK.xlsx" TargetMode="External"/><Relationship Id="rId73" Type="http://schemas.openxmlformats.org/officeDocument/2006/relationships/hyperlink" Target="..\Models\CRI.xlsx" TargetMode="External"/><Relationship Id="rId78" Type="http://schemas.openxmlformats.org/officeDocument/2006/relationships/hyperlink" Target="..\Models\WWW.xlsx" TargetMode="External"/><Relationship Id="rId81" Type="http://schemas.openxmlformats.org/officeDocument/2006/relationships/hyperlink" Target="..\Models\CPNG.xlsx" TargetMode="External"/><Relationship Id="rId4" Type="http://schemas.openxmlformats.org/officeDocument/2006/relationships/hyperlink" Target="..\Models\DECK.xlsx" TargetMode="External"/><Relationship Id="rId9" Type="http://schemas.openxmlformats.org/officeDocument/2006/relationships/hyperlink" Target="..\Models\TJX.xlsx" TargetMode="External"/><Relationship Id="rId13" Type="http://schemas.openxmlformats.org/officeDocument/2006/relationships/hyperlink" Target="..\Models\2020.HK.xlsx" TargetMode="External"/><Relationship Id="rId18" Type="http://schemas.openxmlformats.org/officeDocument/2006/relationships/hyperlink" Target="..\Models\SKX.xlsx" TargetMode="External"/><Relationship Id="rId39" Type="http://schemas.openxmlformats.org/officeDocument/2006/relationships/hyperlink" Target="..\Models\3998.HK.xlsx" TargetMode="External"/><Relationship Id="rId34" Type="http://schemas.openxmlformats.org/officeDocument/2006/relationships/hyperlink" Target="..\Models\PUM.DE.xlsx" TargetMode="External"/><Relationship Id="rId50" Type="http://schemas.openxmlformats.org/officeDocument/2006/relationships/hyperlink" Target="..\Models\GOOS.xlsx" TargetMode="External"/><Relationship Id="rId55" Type="http://schemas.openxmlformats.org/officeDocument/2006/relationships/hyperlink" Target="..\Models\ATZ.TO.xlsx" TargetMode="External"/><Relationship Id="rId76" Type="http://schemas.openxmlformats.org/officeDocument/2006/relationships/hyperlink" Target="..\Models\JWN.xlsx" TargetMode="External"/><Relationship Id="rId7" Type="http://schemas.openxmlformats.org/officeDocument/2006/relationships/hyperlink" Target="..\Models\HM.BST.xlsx" TargetMode="External"/><Relationship Id="rId71" Type="http://schemas.openxmlformats.org/officeDocument/2006/relationships/hyperlink" Target="..\Models\HBI.xlsx" TargetMode="External"/><Relationship Id="rId2" Type="http://schemas.openxmlformats.org/officeDocument/2006/relationships/hyperlink" Target="..\Models\RMS.xlsx" TargetMode="External"/><Relationship Id="rId29" Type="http://schemas.openxmlformats.org/officeDocument/2006/relationships/hyperlink" Target="..\Models\JD.L.xlsx" TargetMode="External"/><Relationship Id="rId24" Type="http://schemas.openxmlformats.org/officeDocument/2006/relationships/hyperlink" Target="..\Models\CPRI.xlsx" TargetMode="External"/><Relationship Id="rId40" Type="http://schemas.openxmlformats.org/officeDocument/2006/relationships/hyperlink" Target="..\Models\600398.SS.xlsx" TargetMode="External"/><Relationship Id="rId45" Type="http://schemas.openxmlformats.org/officeDocument/2006/relationships/hyperlink" Target="..\Models\ZGN.xlsx" TargetMode="External"/><Relationship Id="rId66" Type="http://schemas.openxmlformats.org/officeDocument/2006/relationships/hyperlink" Target="..\Models\RVLV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\Models\AS.xlsx" TargetMode="External"/><Relationship Id="rId13" Type="http://schemas.openxmlformats.org/officeDocument/2006/relationships/hyperlink" Target="..\Models\2331.HK.xlsx" TargetMode="External"/><Relationship Id="rId18" Type="http://schemas.openxmlformats.org/officeDocument/2006/relationships/hyperlink" Target="..\Models\DKS.xlsx" TargetMode="External"/><Relationship Id="rId3" Type="http://schemas.openxmlformats.org/officeDocument/2006/relationships/hyperlink" Target="..\Models\LULU.xlsx" TargetMode="External"/><Relationship Id="rId7" Type="http://schemas.openxmlformats.org/officeDocument/2006/relationships/hyperlink" Target="..\Models\ONON.xlsx" TargetMode="External"/><Relationship Id="rId12" Type="http://schemas.openxmlformats.org/officeDocument/2006/relationships/hyperlink" Target="..\Models\JD.L.xlsx" TargetMode="External"/><Relationship Id="rId17" Type="http://schemas.openxmlformats.org/officeDocument/2006/relationships/hyperlink" Target="..\Models\COLM.xlsx" TargetMode="External"/><Relationship Id="rId2" Type="http://schemas.openxmlformats.org/officeDocument/2006/relationships/hyperlink" Target="..\Models\ADS.xlsx" TargetMode="External"/><Relationship Id="rId16" Type="http://schemas.openxmlformats.org/officeDocument/2006/relationships/hyperlink" Target="..\Models\8022.T.xlsx" TargetMode="External"/><Relationship Id="rId1" Type="http://schemas.openxmlformats.org/officeDocument/2006/relationships/hyperlink" Target="..\Models\NKE.xlsx" TargetMode="External"/><Relationship Id="rId6" Type="http://schemas.openxmlformats.org/officeDocument/2006/relationships/hyperlink" Target="..\Models\2020.HK.xlsx" TargetMode="External"/><Relationship Id="rId11" Type="http://schemas.openxmlformats.org/officeDocument/2006/relationships/hyperlink" Target="..\Models\WWW.xlsx" TargetMode="External"/><Relationship Id="rId5" Type="http://schemas.openxmlformats.org/officeDocument/2006/relationships/hyperlink" Target="..\Models\DECK.xlsx" TargetMode="External"/><Relationship Id="rId15" Type="http://schemas.openxmlformats.org/officeDocument/2006/relationships/hyperlink" Target="..\Models\UA.xlsx" TargetMode="External"/><Relationship Id="rId10" Type="http://schemas.openxmlformats.org/officeDocument/2006/relationships/hyperlink" Target="..\Models\GIL.xlsx" TargetMode="External"/><Relationship Id="rId4" Type="http://schemas.openxmlformats.org/officeDocument/2006/relationships/hyperlink" Target="..\Models\7936.T.xlsx" TargetMode="External"/><Relationship Id="rId9" Type="http://schemas.openxmlformats.org/officeDocument/2006/relationships/hyperlink" Target="..\Models\SKX.xlsx" TargetMode="External"/><Relationship Id="rId14" Type="http://schemas.openxmlformats.org/officeDocument/2006/relationships/hyperlink" Target="..\Models\PUM.DE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\Models\RVLV.xlsx" TargetMode="External"/><Relationship Id="rId3" Type="http://schemas.openxmlformats.org/officeDocument/2006/relationships/hyperlink" Target="..\Models\NXT.L.xlsx" TargetMode="External"/><Relationship Id="rId7" Type="http://schemas.openxmlformats.org/officeDocument/2006/relationships/hyperlink" Target="..\Models\VSCO.xlsx" TargetMode="External"/><Relationship Id="rId2" Type="http://schemas.openxmlformats.org/officeDocument/2006/relationships/hyperlink" Target="..\Models\BURL.xlsx" TargetMode="External"/><Relationship Id="rId1" Type="http://schemas.openxmlformats.org/officeDocument/2006/relationships/hyperlink" Target="..\Models\TJX.xlsx" TargetMode="External"/><Relationship Id="rId6" Type="http://schemas.openxmlformats.org/officeDocument/2006/relationships/hyperlink" Target="..\Models\JWN.xlsx" TargetMode="External"/><Relationship Id="rId5" Type="http://schemas.openxmlformats.org/officeDocument/2006/relationships/hyperlink" Target="..\Models\PPH.JO.xlsx" TargetMode="External"/><Relationship Id="rId4" Type="http://schemas.openxmlformats.org/officeDocument/2006/relationships/hyperlink" Target="..\Models\ZAL.DE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\Models\UHR.SW.xlsx" TargetMode="External"/><Relationship Id="rId2" Type="http://schemas.openxmlformats.org/officeDocument/2006/relationships/hyperlink" Target="..\Models\CFR.SW.xlsx" TargetMode="External"/><Relationship Id="rId1" Type="http://schemas.openxmlformats.org/officeDocument/2006/relationships/hyperlink" Target="..\Models\EL.PA.xlsx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..\Models\EL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..\..\..\4.Bibliothek\Notes\fashion_glossar_2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..\Models\GES.xlsx" TargetMode="External"/><Relationship Id="rId2" Type="http://schemas.openxmlformats.org/officeDocument/2006/relationships/hyperlink" Target="..\Models\CPRI.xlsx" TargetMode="External"/><Relationship Id="rId1" Type="http://schemas.openxmlformats.org/officeDocument/2006/relationships/hyperlink" Target="..\Models\SKX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ckinsey.com/industries/retail/our-insights/state-of-fash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AEA3-CFE3-4821-A533-830373FE4419}">
  <dimension ref="A1:AH212"/>
  <sheetViews>
    <sheetView tabSelected="1" zoomScale="200" zoomScaleNormal="200" workbookViewId="0">
      <pane xSplit="2" ySplit="3" topLeftCell="C93" activePane="bottomRight" state="frozen"/>
      <selection pane="topRight" activeCell="C1" sqref="C1"/>
      <selection pane="bottomLeft" activeCell="A4" sqref="A4"/>
      <selection pane="bottomRight" activeCell="C93" sqref="C93"/>
    </sheetView>
  </sheetViews>
  <sheetFormatPr defaultColWidth="8.85546875" defaultRowHeight="13.5"/>
  <cols>
    <col min="1" max="1" width="4.7109375" style="33" customWidth="1"/>
    <col min="2" max="2" width="24.5703125" style="6" bestFit="1" customWidth="1"/>
    <col min="3" max="3" width="9.5703125" style="34" bestFit="1" customWidth="1"/>
    <col min="4" max="4" width="8.85546875" style="6"/>
    <col min="5" max="5" width="8.7109375" style="35" customWidth="1"/>
    <col min="6" max="6" width="10.7109375" style="6" customWidth="1"/>
    <col min="7" max="7" width="10" style="6" bestFit="1" customWidth="1"/>
    <col min="8" max="8" width="10.42578125" style="6" bestFit="1" customWidth="1"/>
    <col min="9" max="9" width="9.5703125" style="36" bestFit="1" customWidth="1"/>
    <col min="10" max="10" width="10.140625" style="6" bestFit="1" customWidth="1"/>
    <col min="11" max="11" width="9.7109375" style="35" bestFit="1" customWidth="1"/>
    <col min="12" max="12" width="8.7109375" style="37" customWidth="1"/>
    <col min="13" max="14" width="8.7109375" style="35" customWidth="1"/>
    <col min="15" max="16" width="8.7109375" style="37" customWidth="1"/>
    <col min="17" max="17" width="8.7109375" style="35" customWidth="1"/>
    <col min="18" max="20" width="8.7109375" style="6" customWidth="1"/>
    <col min="21" max="22" width="8.85546875" style="6"/>
    <col min="23" max="23" width="8.7109375" style="43" customWidth="1"/>
    <col min="24" max="29" width="8.85546875" style="6"/>
    <col min="30" max="30" width="8.85546875" style="42"/>
    <col min="31" max="31" width="26.140625" style="6" customWidth="1"/>
    <col min="32" max="16384" width="8.85546875" style="6"/>
  </cols>
  <sheetData>
    <row r="1" spans="1:34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"/>
      <c r="X1" s="2"/>
      <c r="Y1" s="2"/>
      <c r="Z1" s="2"/>
      <c r="AA1" s="2"/>
      <c r="AB1" s="2"/>
      <c r="AC1" s="2"/>
      <c r="AD1" s="5"/>
      <c r="AE1" s="2"/>
      <c r="AF1" s="2"/>
    </row>
    <row r="2" spans="1:34">
      <c r="A2" s="2" t="s">
        <v>444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4"/>
      <c r="X2" s="2"/>
      <c r="Y2" s="2"/>
      <c r="Z2" s="2"/>
      <c r="AA2" s="2"/>
      <c r="AB2" s="2"/>
      <c r="AC2" s="2"/>
      <c r="AD2" s="5"/>
      <c r="AE2" s="2"/>
      <c r="AF2" s="2"/>
    </row>
    <row r="3" spans="1:34">
      <c r="A3" s="7" t="s">
        <v>1</v>
      </c>
      <c r="B3" s="8" t="s">
        <v>2</v>
      </c>
      <c r="C3" s="9" t="s">
        <v>3</v>
      </c>
      <c r="D3" s="9" t="s">
        <v>19</v>
      </c>
      <c r="E3" s="10" t="s">
        <v>4</v>
      </c>
      <c r="F3" s="10" t="s">
        <v>5</v>
      </c>
      <c r="G3" s="8" t="s">
        <v>87</v>
      </c>
      <c r="H3" s="10" t="s">
        <v>6</v>
      </c>
      <c r="I3" s="9" t="s">
        <v>442</v>
      </c>
      <c r="J3" s="9" t="s">
        <v>443</v>
      </c>
      <c r="K3" s="10" t="s">
        <v>147</v>
      </c>
      <c r="L3" s="11" t="s">
        <v>95</v>
      </c>
      <c r="M3" s="10" t="s">
        <v>808</v>
      </c>
      <c r="N3" s="10" t="s">
        <v>809</v>
      </c>
      <c r="O3" s="10" t="s">
        <v>89</v>
      </c>
      <c r="P3" s="10" t="s">
        <v>90</v>
      </c>
      <c r="Q3" s="10" t="s">
        <v>91</v>
      </c>
      <c r="R3" s="10" t="s">
        <v>92</v>
      </c>
      <c r="S3" s="10" t="s">
        <v>93</v>
      </c>
      <c r="T3" s="10" t="s">
        <v>94</v>
      </c>
      <c r="U3" s="10" t="s">
        <v>76</v>
      </c>
      <c r="V3" s="10" t="s">
        <v>86</v>
      </c>
      <c r="W3" s="78" t="s">
        <v>77</v>
      </c>
      <c r="X3" s="10" t="s">
        <v>81</v>
      </c>
      <c r="Y3" s="10" t="s">
        <v>78</v>
      </c>
      <c r="Z3" s="10" t="s">
        <v>80</v>
      </c>
      <c r="AA3" s="10" t="s">
        <v>79</v>
      </c>
      <c r="AB3" s="10" t="s">
        <v>435</v>
      </c>
      <c r="AC3" s="8" t="s">
        <v>436</v>
      </c>
      <c r="AD3" s="12" t="s">
        <v>398</v>
      </c>
      <c r="AE3" s="11" t="s">
        <v>96</v>
      </c>
      <c r="AF3" s="8"/>
      <c r="AG3" s="13"/>
      <c r="AH3" s="14" t="s">
        <v>126</v>
      </c>
    </row>
    <row r="4" spans="1:34">
      <c r="A4" s="15" t="s">
        <v>315</v>
      </c>
      <c r="B4" s="1" t="s">
        <v>405</v>
      </c>
      <c r="C4" s="15">
        <f>+COUNTA(C6:C183)</f>
        <v>178</v>
      </c>
      <c r="D4" s="15">
        <f>+COUNTA(_xlfn.UNIQUE(D6:D183))</f>
        <v>32</v>
      </c>
      <c r="E4" s="15" t="s">
        <v>824</v>
      </c>
      <c r="F4" s="17">
        <f>SUM(F6:F156)</f>
        <v>1834524.3301594281</v>
      </c>
      <c r="G4" s="17">
        <f>SUM(G6:G156)</f>
        <v>-8675.0033961999943</v>
      </c>
      <c r="H4" s="17">
        <f>SUM(H6:H156)</f>
        <v>1825849.3267632276</v>
      </c>
      <c r="I4" s="79" t="s">
        <v>422</v>
      </c>
      <c r="J4" s="15" t="s">
        <v>824</v>
      </c>
      <c r="K4" s="17">
        <f>SUM(K6:K156)</f>
        <v>492429.91060000006</v>
      </c>
      <c r="L4" s="18">
        <f>SUMPRODUCT(L6:L183,K6:K183)/SUM(K6:K1820)</f>
        <v>3.9002440539402931E-2</v>
      </c>
      <c r="M4" s="17">
        <f>SUM(M6:M87)</f>
        <v>86102.331999999995</v>
      </c>
      <c r="N4" s="17">
        <f>SUM(N6:N87)</f>
        <v>51484.742999999995</v>
      </c>
      <c r="O4" s="16"/>
      <c r="P4" s="16"/>
      <c r="Q4" s="19"/>
      <c r="R4" s="19"/>
      <c r="S4" s="19"/>
      <c r="T4" s="19"/>
      <c r="U4" s="19"/>
      <c r="V4" s="19"/>
      <c r="W4" s="20"/>
      <c r="X4" s="19"/>
      <c r="Y4" s="16"/>
      <c r="Z4" s="16"/>
      <c r="AA4" s="16"/>
      <c r="AB4" s="17"/>
      <c r="AC4" s="17"/>
      <c r="AD4" s="5"/>
      <c r="AE4" s="15"/>
      <c r="AF4" s="2"/>
    </row>
    <row r="5" spans="1:34" ht="14.25" thickBot="1">
      <c r="A5" s="80" t="s">
        <v>315</v>
      </c>
      <c r="B5" s="81" t="s">
        <v>88</v>
      </c>
      <c r="C5" s="80" t="s">
        <v>824</v>
      </c>
      <c r="D5" s="82" t="str" cm="1">
        <f t="array" ref="D5">_xlfn.LET(_xlpm.rng,D6:D183,INDEX(_xlpm.rng,MATCH(MAX(COUNTIF(_xlpm.rng,_xlpm.rng)),COUNTIF(_xlpm.rng,_xlpm.rng),0)))</f>
        <v>US</v>
      </c>
      <c r="E5" s="80" t="s">
        <v>824</v>
      </c>
      <c r="F5" s="83">
        <f>+AVERAGE(F6:F183)</f>
        <v>22653.501309833657</v>
      </c>
      <c r="G5" s="83">
        <f>AVERAGE(G6:G156)</f>
        <v>-108.43754245249993</v>
      </c>
      <c r="H5" s="83">
        <f>AVERAGE(H6:H156)</f>
        <v>22823.116584540345</v>
      </c>
      <c r="I5" s="84" t="s">
        <v>422</v>
      </c>
      <c r="J5" s="80" t="s">
        <v>824</v>
      </c>
      <c r="K5" s="83">
        <f>AVERAGE(K6:K156)</f>
        <v>25917.363715789477</v>
      </c>
      <c r="L5" s="85">
        <f>AVERAGE(L6:L183)</f>
        <v>5.8894736842105264E-2</v>
      </c>
      <c r="M5" s="83">
        <f t="shared" ref="M5:AA5" si="0">AVERAGE(M6:M87)</f>
        <v>4783.4628888888883</v>
      </c>
      <c r="N5" s="83">
        <f t="shared" si="0"/>
        <v>3028.5142941176468</v>
      </c>
      <c r="O5" s="85">
        <f t="shared" si="0"/>
        <v>0.54647058823529415</v>
      </c>
      <c r="P5" s="85">
        <f t="shared" si="0"/>
        <v>0.16238104755529126</v>
      </c>
      <c r="Q5" s="86">
        <f t="shared" si="0"/>
        <v>29.227272727272727</v>
      </c>
      <c r="R5" s="86">
        <f t="shared" si="0"/>
        <v>30.644444444444439</v>
      </c>
      <c r="S5" s="86">
        <f t="shared" si="0"/>
        <v>1.1667142857142856</v>
      </c>
      <c r="T5" s="86">
        <f t="shared" si="0"/>
        <v>-1.1000000000000001</v>
      </c>
      <c r="U5" s="86">
        <f t="shared" si="0"/>
        <v>7.2519999999999998</v>
      </c>
      <c r="V5" s="86">
        <f t="shared" si="0"/>
        <v>4.020999999999999</v>
      </c>
      <c r="W5" s="86">
        <f t="shared" si="0"/>
        <v>16.98714285714286</v>
      </c>
      <c r="X5" s="86">
        <f t="shared" si="0"/>
        <v>0.78666666666666663</v>
      </c>
      <c r="Y5" s="85">
        <f t="shared" si="0"/>
        <v>0.27285714285714285</v>
      </c>
      <c r="Z5" s="85">
        <f t="shared" si="0"/>
        <v>0.25428571428571434</v>
      </c>
      <c r="AA5" s="85">
        <f t="shared" si="0"/>
        <v>0.19857142857142862</v>
      </c>
      <c r="AB5" s="83"/>
      <c r="AC5" s="83"/>
      <c r="AD5" s="87"/>
      <c r="AE5" s="82"/>
      <c r="AF5" s="82"/>
      <c r="AG5" s="88"/>
      <c r="AH5" s="88"/>
    </row>
    <row r="6" spans="1:34">
      <c r="A6" s="15">
        <v>1</v>
      </c>
      <c r="B6" s="23" t="s">
        <v>8</v>
      </c>
      <c r="C6" s="3" t="s">
        <v>102</v>
      </c>
      <c r="D6" s="2" t="s">
        <v>20</v>
      </c>
      <c r="E6" s="24">
        <f>+[1]Main!$I$4</f>
        <v>459.1</v>
      </c>
      <c r="F6" s="17">
        <f>+[1]Main!$I$6*FX!C3</f>
        <v>236731.94150112005</v>
      </c>
      <c r="G6" s="17">
        <f>(+[1]Main!$I$8-[1]Main!$I$7)*FX!C3</f>
        <v>14229.28</v>
      </c>
      <c r="H6" s="17">
        <f>F6+G6</f>
        <v>250961.22150112005</v>
      </c>
      <c r="I6" s="25" t="s">
        <v>805</v>
      </c>
      <c r="J6" s="26">
        <v>46308</v>
      </c>
      <c r="K6" s="17">
        <f>80807*FX!C3</f>
        <v>84039.28</v>
      </c>
      <c r="L6" s="21">
        <v>-0.05</v>
      </c>
      <c r="M6" s="17">
        <f>18907*FX!C3</f>
        <v>19663.280000000002</v>
      </c>
      <c r="N6" s="17">
        <f>12550*FX!C3</f>
        <v>13052</v>
      </c>
      <c r="O6" s="21">
        <v>0.67</v>
      </c>
      <c r="P6" s="21">
        <f>+M6/K6</f>
        <v>0.23397725444577824</v>
      </c>
      <c r="Q6" s="22">
        <v>25.7</v>
      </c>
      <c r="R6" s="22">
        <v>23.3</v>
      </c>
      <c r="S6" s="22">
        <v>1.752</v>
      </c>
      <c r="T6" s="22">
        <v>-11.97</v>
      </c>
      <c r="U6" s="22">
        <v>3.4</v>
      </c>
      <c r="V6" s="22">
        <v>3.1</v>
      </c>
      <c r="W6" s="27">
        <v>13.73</v>
      </c>
      <c r="X6" s="22"/>
      <c r="Y6" s="28">
        <v>0.18</v>
      </c>
      <c r="Z6" s="28">
        <v>0.13</v>
      </c>
      <c r="AA6" s="28">
        <v>0.14000000000000001</v>
      </c>
      <c r="AB6" s="17">
        <v>6307</v>
      </c>
      <c r="AC6" s="17">
        <v>213618</v>
      </c>
      <c r="AD6" s="5">
        <v>1987</v>
      </c>
      <c r="AE6" s="28" t="s">
        <v>114</v>
      </c>
      <c r="AF6" s="2"/>
    </row>
    <row r="7" spans="1:34">
      <c r="A7" s="15">
        <f>+A6+1</f>
        <v>2</v>
      </c>
      <c r="B7" s="23" t="s">
        <v>9</v>
      </c>
      <c r="C7" s="3" t="s">
        <v>11</v>
      </c>
      <c r="D7" s="2" t="s">
        <v>20</v>
      </c>
      <c r="E7" s="29">
        <f>+[2]Main!$K$2</f>
        <v>1553</v>
      </c>
      <c r="F7" s="17">
        <f>+[2]Main!$K$4*FX!C3</f>
        <v>169253.65617367998</v>
      </c>
      <c r="G7" s="17">
        <f>+([2]Main!$K$6-[2]Main!$K$5)*FX!C3</f>
        <v>-12797.2</v>
      </c>
      <c r="H7" s="17">
        <f>F7+G7</f>
        <v>156456.45617367997</v>
      </c>
      <c r="I7" s="25" t="s">
        <v>805</v>
      </c>
      <c r="J7" s="26">
        <v>46318</v>
      </c>
      <c r="K7" s="17">
        <f>16002*FX!C3</f>
        <v>16642.080000000002</v>
      </c>
      <c r="L7" s="21">
        <v>0.05</v>
      </c>
      <c r="M7" s="17">
        <f>5650*1.08</f>
        <v>6102</v>
      </c>
      <c r="N7" s="17">
        <f>4311*1.08</f>
        <v>4655.88</v>
      </c>
      <c r="O7" s="21">
        <v>0.7</v>
      </c>
      <c r="P7" s="21">
        <v>0.37</v>
      </c>
      <c r="Q7" s="22">
        <v>55.2</v>
      </c>
      <c r="R7" s="22">
        <v>46.9</v>
      </c>
      <c r="S7" s="22">
        <f>155.7/100</f>
        <v>1.5569999999999999</v>
      </c>
      <c r="T7" s="22">
        <v>2.4</v>
      </c>
      <c r="U7" s="22">
        <v>11.1</v>
      </c>
      <c r="V7" s="22">
        <v>13.1</v>
      </c>
      <c r="W7" s="27">
        <v>32.200000000000003</v>
      </c>
      <c r="X7" s="22">
        <v>0.74</v>
      </c>
      <c r="Y7" s="28">
        <v>0.26</v>
      </c>
      <c r="Z7" s="28">
        <v>0.5</v>
      </c>
      <c r="AA7" s="28">
        <v>0.33</v>
      </c>
      <c r="AB7" s="17"/>
      <c r="AC7" s="17">
        <v>23242</v>
      </c>
      <c r="AD7" s="5">
        <v>1837</v>
      </c>
      <c r="AE7" s="28" t="s">
        <v>114</v>
      </c>
      <c r="AF7" s="2"/>
    </row>
    <row r="8" spans="1:34">
      <c r="A8" s="15">
        <f>+A7+1</f>
        <v>3</v>
      </c>
      <c r="B8" s="23" t="s">
        <v>99</v>
      </c>
      <c r="C8" s="3" t="s">
        <v>445</v>
      </c>
      <c r="D8" s="2" t="s">
        <v>100</v>
      </c>
      <c r="E8" s="24">
        <f>+[3]Main!$J$3</f>
        <v>54.85</v>
      </c>
      <c r="F8" s="17">
        <f>+[3]Main!$J$5*FX!C3</f>
        <v>177744.62827071603</v>
      </c>
      <c r="G8" s="17">
        <f>+([3]Main!$J$7-[3]Main!$J$6)*FX!C3</f>
        <v>-10813.92</v>
      </c>
      <c r="H8" s="17">
        <f t="shared" ref="H8:H37" si="1">F8+G8</f>
        <v>166930.70827071602</v>
      </c>
      <c r="I8" s="25" t="s">
        <v>805</v>
      </c>
      <c r="J8" s="26">
        <v>46358</v>
      </c>
      <c r="K8" s="17">
        <f>35947*FX!C3</f>
        <v>37384.880000000005</v>
      </c>
      <c r="L8" s="21">
        <v>0.1</v>
      </c>
      <c r="M8" s="17">
        <f>6808*FX!C3</f>
        <v>7080.3200000000006</v>
      </c>
      <c r="N8" s="17">
        <f>5394*FX!C3</f>
        <v>5609.76</v>
      </c>
      <c r="O8" s="21">
        <v>0.57999999999999996</v>
      </c>
      <c r="P8" s="21">
        <v>0.19</v>
      </c>
      <c r="Q8" s="22">
        <v>22.6</v>
      </c>
      <c r="R8" s="27">
        <v>21.4</v>
      </c>
      <c r="S8" s="27">
        <v>1.7</v>
      </c>
      <c r="T8" s="22">
        <v>3.9</v>
      </c>
      <c r="U8" s="22">
        <v>7.3</v>
      </c>
      <c r="V8" s="22">
        <v>3.3</v>
      </c>
      <c r="W8" s="27">
        <v>12.81</v>
      </c>
      <c r="X8" s="22"/>
      <c r="Y8" s="28">
        <v>0.24</v>
      </c>
      <c r="Z8" s="28">
        <v>0.4</v>
      </c>
      <c r="AA8" s="28">
        <v>0.32</v>
      </c>
      <c r="AB8" s="17">
        <v>5695</v>
      </c>
      <c r="AC8" s="17"/>
      <c r="AD8" s="5">
        <v>1985</v>
      </c>
      <c r="AE8" s="28" t="s">
        <v>116</v>
      </c>
      <c r="AF8" s="2"/>
    </row>
    <row r="9" spans="1:34">
      <c r="A9" s="15">
        <f t="shared" ref="A9:A74" si="2">+A8+1</f>
        <v>4</v>
      </c>
      <c r="B9" s="23" t="s">
        <v>103</v>
      </c>
      <c r="C9" s="3" t="s">
        <v>104</v>
      </c>
      <c r="D9" s="2" t="s">
        <v>21</v>
      </c>
      <c r="E9" s="24">
        <f>+[4]Main!$I$3</f>
        <v>141.19</v>
      </c>
      <c r="F9" s="17">
        <f>+[4]Main!$I$5</f>
        <v>157709.23000000001</v>
      </c>
      <c r="G9" s="17">
        <f>+[4]Main!$I$7-[4]Main!$I$6</f>
        <v>-3133</v>
      </c>
      <c r="H9" s="17">
        <f>F9+G9</f>
        <v>154576.23000000001</v>
      </c>
      <c r="I9" s="25" t="s">
        <v>898</v>
      </c>
      <c r="J9" s="26">
        <v>46344</v>
      </c>
      <c r="K9" s="24">
        <v>54217</v>
      </c>
      <c r="L9" s="21">
        <v>0.09</v>
      </c>
      <c r="M9" s="17">
        <v>5797</v>
      </c>
      <c r="N9" s="17">
        <v>4474</v>
      </c>
      <c r="O9" s="21">
        <v>0.28999999999999998</v>
      </c>
      <c r="P9" s="21">
        <v>0.11</v>
      </c>
      <c r="Q9" s="22">
        <v>32.1</v>
      </c>
      <c r="R9" s="27">
        <v>29.4</v>
      </c>
      <c r="S9" s="22">
        <v>2</v>
      </c>
      <c r="T9" s="22"/>
      <c r="U9" s="22">
        <v>17.399999999999999</v>
      </c>
      <c r="V9" s="22">
        <v>2.6</v>
      </c>
      <c r="W9" s="27">
        <v>17</v>
      </c>
      <c r="X9" s="22"/>
      <c r="Y9" s="28">
        <v>0.56999999999999995</v>
      </c>
      <c r="Z9" s="28">
        <v>0.28999999999999998</v>
      </c>
      <c r="AA9" s="28">
        <v>0.28999999999999998</v>
      </c>
      <c r="AB9" s="17">
        <v>4952</v>
      </c>
      <c r="AC9" s="17"/>
      <c r="AD9" s="5">
        <v>1987</v>
      </c>
      <c r="AE9" s="28" t="s">
        <v>118</v>
      </c>
      <c r="AF9" s="2"/>
    </row>
    <row r="10" spans="1:34">
      <c r="A10" s="15">
        <f t="shared" si="2"/>
        <v>5</v>
      </c>
      <c r="B10" s="23" t="s">
        <v>98</v>
      </c>
      <c r="C10" s="3" t="s">
        <v>101</v>
      </c>
      <c r="D10" s="2" t="s">
        <v>20</v>
      </c>
      <c r="E10" s="24">
        <f>+[5]Main!$I$2</f>
        <v>471.6</v>
      </c>
      <c r="F10" s="17">
        <f>+[5]Main!$I$4*FX!C3</f>
        <v>88484.89470912001</v>
      </c>
      <c r="G10" s="17">
        <f>+([5]Main!$I$6-[5]Main!$I$5)*FX!C3</f>
        <v>13724.880000000001</v>
      </c>
      <c r="H10" s="17">
        <f>F10+G10</f>
        <v>102209.77470912001</v>
      </c>
      <c r="I10" s="25" t="s">
        <v>338</v>
      </c>
      <c r="J10" s="30" t="s">
        <v>474</v>
      </c>
      <c r="K10" s="17">
        <v>86153</v>
      </c>
      <c r="L10" s="21">
        <v>0.09</v>
      </c>
      <c r="M10" s="17">
        <v>22796</v>
      </c>
      <c r="N10" s="17">
        <v>6304</v>
      </c>
      <c r="O10" s="21">
        <v>0.68</v>
      </c>
      <c r="P10" s="21">
        <v>0.27</v>
      </c>
      <c r="Q10" s="22"/>
      <c r="R10" s="27"/>
      <c r="S10" s="22"/>
      <c r="T10" s="22"/>
      <c r="U10" s="22"/>
      <c r="V10" s="22"/>
      <c r="W10" s="27"/>
      <c r="X10" s="22"/>
      <c r="Y10" s="28"/>
      <c r="Z10" s="28"/>
      <c r="AA10" s="28"/>
      <c r="AB10" s="17"/>
      <c r="AC10" s="17"/>
      <c r="AD10" s="5">
        <v>1945</v>
      </c>
      <c r="AE10" s="28" t="s">
        <v>114</v>
      </c>
      <c r="AF10" s="2"/>
    </row>
    <row r="11" spans="1:34">
      <c r="A11" s="15">
        <f t="shared" si="2"/>
        <v>6</v>
      </c>
      <c r="B11" s="23" t="s">
        <v>10</v>
      </c>
      <c r="C11" s="3" t="s">
        <v>12</v>
      </c>
      <c r="D11" s="2" t="s">
        <v>21</v>
      </c>
      <c r="E11" s="24">
        <f>+[6]Main!$I$3</f>
        <v>44.05</v>
      </c>
      <c r="F11" s="17">
        <f>+[6]Main!$I$5</f>
        <v>65348.117867149995</v>
      </c>
      <c r="G11" s="17">
        <f>+[6]Main!$I$7-[6]Main!$I$6</f>
        <v>-1085</v>
      </c>
      <c r="H11" s="17">
        <f t="shared" si="1"/>
        <v>64263.117867149995</v>
      </c>
      <c r="I11" s="25" t="s">
        <v>825</v>
      </c>
      <c r="J11" s="26">
        <v>46294</v>
      </c>
      <c r="K11" s="17">
        <v>51362</v>
      </c>
      <c r="L11" s="21">
        <v>0</v>
      </c>
      <c r="M11" s="17">
        <v>6311</v>
      </c>
      <c r="N11" s="17">
        <v>6097</v>
      </c>
      <c r="O11" s="21">
        <v>0.45</v>
      </c>
      <c r="P11" s="21">
        <v>0.12</v>
      </c>
      <c r="Q11" s="22">
        <v>34.9</v>
      </c>
      <c r="R11" s="27">
        <v>40.799999999999997</v>
      </c>
      <c r="S11" s="22">
        <v>0.56999999999999995</v>
      </c>
      <c r="T11" s="22">
        <v>1.27</v>
      </c>
      <c r="U11" s="22">
        <v>7.2</v>
      </c>
      <c r="V11" s="22">
        <v>1.9</v>
      </c>
      <c r="W11" s="27">
        <v>25.2</v>
      </c>
      <c r="X11" s="22"/>
      <c r="Y11" s="28">
        <v>0.37</v>
      </c>
      <c r="Z11" s="28">
        <v>0.24</v>
      </c>
      <c r="AA11" s="28">
        <v>0.14000000000000001</v>
      </c>
      <c r="AB11" s="17">
        <v>1045</v>
      </c>
      <c r="AC11" s="17"/>
      <c r="AD11" s="5">
        <v>1964</v>
      </c>
      <c r="AE11" s="28" t="s">
        <v>115</v>
      </c>
      <c r="AF11" s="2"/>
    </row>
    <row r="12" spans="1:34">
      <c r="A12" s="15">
        <f t="shared" si="2"/>
        <v>7</v>
      </c>
      <c r="B12" s="23" t="s">
        <v>123</v>
      </c>
      <c r="C12" s="3" t="s">
        <v>125</v>
      </c>
      <c r="D12" s="2" t="s">
        <v>124</v>
      </c>
      <c r="E12" s="29">
        <f>+[7]Main!$J$3</f>
        <v>82110</v>
      </c>
      <c r="F12" s="17">
        <f>+[7]Main!$J$5*FX!C5</f>
        <v>158723.65869557403</v>
      </c>
      <c r="G12" s="17">
        <f>+([7]Main!$J$7-[7]Main!$J$6)*FX!C5</f>
        <v>1460.2324085999999</v>
      </c>
      <c r="H12" s="17">
        <f t="shared" si="1"/>
        <v>160183.89110417402</v>
      </c>
      <c r="I12" s="25" t="s">
        <v>817</v>
      </c>
      <c r="J12" s="26">
        <v>46303</v>
      </c>
      <c r="K12" s="17">
        <f>2301122*FX!C5</f>
        <v>14497.068600000001</v>
      </c>
      <c r="L12" s="21">
        <v>0.08</v>
      </c>
      <c r="M12" s="17">
        <f>+SUM([7]Model!$G$20:$I$20,[7]Model!$C$20)*FX!C5</f>
        <v>3765.1320000000001</v>
      </c>
      <c r="N12" s="17">
        <f>433010*FX!C5</f>
        <v>2727.9630000000002</v>
      </c>
      <c r="O12" s="21">
        <v>0.55000000000000004</v>
      </c>
      <c r="P12" s="21">
        <v>0.18</v>
      </c>
      <c r="Q12" s="22">
        <v>36.799999999999997</v>
      </c>
      <c r="R12" s="27">
        <v>35.6</v>
      </c>
      <c r="S12" s="22"/>
      <c r="T12" s="22"/>
      <c r="U12" s="22">
        <v>6.9</v>
      </c>
      <c r="V12" s="22">
        <v>4.4000000000000004</v>
      </c>
      <c r="W12" s="27"/>
      <c r="X12" s="22"/>
      <c r="Y12" s="28"/>
      <c r="Z12" s="28"/>
      <c r="AA12" s="28"/>
      <c r="AB12" s="17">
        <v>1512</v>
      </c>
      <c r="AC12" s="17"/>
      <c r="AD12" s="5">
        <v>1949</v>
      </c>
      <c r="AE12" s="28" t="s">
        <v>116</v>
      </c>
      <c r="AF12" s="2"/>
    </row>
    <row r="13" spans="1:34">
      <c r="A13" s="15">
        <f t="shared" si="2"/>
        <v>8</v>
      </c>
      <c r="B13" s="23" t="s">
        <v>131</v>
      </c>
      <c r="C13" s="3" t="s">
        <v>133</v>
      </c>
      <c r="D13" s="2" t="s">
        <v>21</v>
      </c>
      <c r="E13" s="24">
        <f>+[8]Main!$K$2</f>
        <v>205.28</v>
      </c>
      <c r="F13" s="17">
        <f>+[8]Main!$K$4</f>
        <v>82146.807482079996</v>
      </c>
      <c r="G13" s="17">
        <f>+[8]Main!$K$6-[8]Main!$K$5</f>
        <v>2139.0549999999998</v>
      </c>
      <c r="H13" s="17">
        <f t="shared" si="1"/>
        <v>84285.862482079989</v>
      </c>
      <c r="I13" s="25" t="s">
        <v>825</v>
      </c>
      <c r="J13" s="26">
        <v>46288</v>
      </c>
      <c r="K13" s="17">
        <v>8815.7999999999993</v>
      </c>
      <c r="L13" s="21">
        <v>0.12</v>
      </c>
      <c r="M13" s="17">
        <v>1807.2</v>
      </c>
      <c r="N13" s="17">
        <v>1348</v>
      </c>
      <c r="O13" s="21">
        <v>0.47</v>
      </c>
      <c r="P13" s="21">
        <v>0.2</v>
      </c>
      <c r="Q13" s="22">
        <v>41.7</v>
      </c>
      <c r="R13" s="27">
        <v>39.5</v>
      </c>
      <c r="S13" s="22"/>
      <c r="T13" s="22"/>
      <c r="U13" s="22"/>
      <c r="V13" s="22"/>
      <c r="W13" s="27"/>
      <c r="X13" s="22"/>
      <c r="Y13" s="28"/>
      <c r="Z13" s="28"/>
      <c r="AA13" s="28"/>
      <c r="AB13" s="17"/>
      <c r="AC13" s="17"/>
      <c r="AD13" s="5">
        <v>1929</v>
      </c>
      <c r="AE13" s="28" t="s">
        <v>137</v>
      </c>
      <c r="AF13" s="2"/>
    </row>
    <row r="14" spans="1:34">
      <c r="A14" s="15">
        <f t="shared" si="2"/>
        <v>9</v>
      </c>
      <c r="B14" s="23" t="s">
        <v>132</v>
      </c>
      <c r="C14" s="3" t="s">
        <v>134</v>
      </c>
      <c r="D14" s="2" t="s">
        <v>21</v>
      </c>
      <c r="E14" s="24">
        <f>+[9]Main!$H$3</f>
        <v>249.68</v>
      </c>
      <c r="F14" s="17">
        <f>+[9]Main!$H$5</f>
        <v>79320.090160000007</v>
      </c>
      <c r="G14" s="17">
        <f>+[9]Main!$H$7-[9]Main!$H$6</f>
        <v>-3269.6120000000001</v>
      </c>
      <c r="H14" s="17">
        <f t="shared" si="1"/>
        <v>76050.478160000013</v>
      </c>
      <c r="I14" s="25" t="s">
        <v>899</v>
      </c>
      <c r="J14" s="26">
        <v>46345</v>
      </c>
      <c r="K14" s="17">
        <v>20376.900000000001</v>
      </c>
      <c r="L14" s="21">
        <v>0.09</v>
      </c>
      <c r="M14" s="17">
        <v>2307.6999999999998</v>
      </c>
      <c r="N14" s="17">
        <v>1874.5</v>
      </c>
      <c r="O14" s="21">
        <v>0.28000000000000003</v>
      </c>
      <c r="P14" s="21">
        <v>0.12</v>
      </c>
      <c r="Q14" s="22"/>
      <c r="R14" s="27"/>
      <c r="S14" s="22"/>
      <c r="T14" s="22"/>
      <c r="U14" s="22"/>
      <c r="V14" s="22"/>
      <c r="W14" s="27"/>
      <c r="X14" s="22"/>
      <c r="Y14" s="28"/>
      <c r="Z14" s="28"/>
      <c r="AA14" s="28"/>
      <c r="AB14" s="17"/>
      <c r="AC14" s="17"/>
      <c r="AD14" s="5">
        <v>1982</v>
      </c>
      <c r="AE14" s="28" t="s">
        <v>399</v>
      </c>
      <c r="AF14" s="2"/>
    </row>
    <row r="15" spans="1:34">
      <c r="A15" s="15">
        <f t="shared" si="2"/>
        <v>10</v>
      </c>
      <c r="B15" s="23" t="s">
        <v>105</v>
      </c>
      <c r="C15" s="3" t="s">
        <v>106</v>
      </c>
      <c r="D15" s="2" t="s">
        <v>107</v>
      </c>
      <c r="E15" s="24">
        <f>+[10]Main!$I$2</f>
        <v>99.65</v>
      </c>
      <c r="F15" s="17">
        <f>+[10]Main!$I$4</f>
        <v>10522.448477600001</v>
      </c>
      <c r="G15" s="17">
        <f>+[10]Main!$I$6-[10]Main!$I$5</f>
        <v>-189.73699999999999</v>
      </c>
      <c r="H15" s="17">
        <f>F15+G15</f>
        <v>10332.711477600002</v>
      </c>
      <c r="I15" s="25" t="s">
        <v>826</v>
      </c>
      <c r="J15" s="26">
        <v>46366</v>
      </c>
      <c r="K15" s="17">
        <v>9619.2999999999993</v>
      </c>
      <c r="L15" s="21">
        <v>0.19</v>
      </c>
      <c r="M15" s="17">
        <v>2132.6999999999998</v>
      </c>
      <c r="N15" s="17">
        <v>1550.2</v>
      </c>
      <c r="O15" s="21">
        <v>0.57999999999999996</v>
      </c>
      <c r="P15" s="21">
        <v>0.2</v>
      </c>
      <c r="Q15" s="22"/>
      <c r="R15" s="22"/>
      <c r="S15" s="22"/>
      <c r="T15" s="22"/>
      <c r="U15" s="22"/>
      <c r="V15" s="22"/>
      <c r="W15" s="27"/>
      <c r="X15" s="22"/>
      <c r="Y15" s="28"/>
      <c r="Z15" s="28"/>
      <c r="AA15" s="28"/>
      <c r="AB15" s="17"/>
      <c r="AC15" s="17"/>
      <c r="AD15" s="5">
        <v>1998</v>
      </c>
      <c r="AE15" s="28" t="s">
        <v>402</v>
      </c>
      <c r="AF15" s="2"/>
    </row>
    <row r="16" spans="1:34">
      <c r="A16" s="15">
        <f t="shared" si="2"/>
        <v>11</v>
      </c>
      <c r="B16" s="23" t="s">
        <v>13</v>
      </c>
      <c r="C16" s="3" t="s">
        <v>14</v>
      </c>
      <c r="D16" s="3" t="s">
        <v>82</v>
      </c>
      <c r="E16" s="24">
        <f>+[11]Main!$I$2</f>
        <v>159.1</v>
      </c>
      <c r="F16" s="17">
        <f>+[11]Main!$I$4*FX!C3</f>
        <v>29166.594425488001</v>
      </c>
      <c r="G16" s="17">
        <f>+([11]Main!$I$6-[11]Main!$I$5)*FX!C3</f>
        <v>1965.6000000000001</v>
      </c>
      <c r="H16" s="17">
        <f>F16+G16</f>
        <v>31132.194425488</v>
      </c>
      <c r="I16" s="25" t="s">
        <v>826</v>
      </c>
      <c r="J16" s="26">
        <v>46324</v>
      </c>
      <c r="K16" s="17">
        <f>21427*FX!C3</f>
        <v>22284.080000000002</v>
      </c>
      <c r="L16" s="21">
        <v>-0.05</v>
      </c>
      <c r="M16" s="17">
        <f>267*FX!C3</f>
        <v>277.68</v>
      </c>
      <c r="N16" s="17">
        <f>-77*FX!C3</f>
        <v>-80.08</v>
      </c>
      <c r="O16" s="21">
        <v>0.5</v>
      </c>
      <c r="P16" s="21">
        <v>0.06</v>
      </c>
      <c r="Q16" s="22"/>
      <c r="R16" s="22"/>
      <c r="S16" s="22"/>
      <c r="T16" s="22"/>
      <c r="U16" s="22"/>
      <c r="V16" s="22"/>
      <c r="W16" s="27"/>
      <c r="X16" s="22"/>
      <c r="Y16" s="28"/>
      <c r="Z16" s="28"/>
      <c r="AA16" s="28"/>
      <c r="AB16" s="17"/>
      <c r="AC16" s="17"/>
      <c r="AD16" s="5">
        <v>1949</v>
      </c>
      <c r="AE16" s="28" t="s">
        <v>115</v>
      </c>
      <c r="AF16" s="2"/>
    </row>
    <row r="17" spans="1:32">
      <c r="A17" s="15">
        <f t="shared" si="2"/>
        <v>12</v>
      </c>
      <c r="B17" s="44" t="s">
        <v>802</v>
      </c>
      <c r="C17" s="3" t="s">
        <v>901</v>
      </c>
      <c r="D17" s="2" t="s">
        <v>900</v>
      </c>
      <c r="E17" s="24">
        <f>+[86]Main!$I$2</f>
        <v>22.51</v>
      </c>
      <c r="F17" s="17">
        <f>+[86]Main!$I$4</f>
        <v>40518</v>
      </c>
      <c r="G17" s="17">
        <f>+[86]Main!$I$6-[86]Main!$I$5</f>
        <v>-4497</v>
      </c>
      <c r="H17" s="17">
        <f>+F17+G17</f>
        <v>36021</v>
      </c>
      <c r="I17" s="16" t="s">
        <v>422</v>
      </c>
      <c r="J17" s="2"/>
      <c r="K17" s="24"/>
      <c r="L17" s="21"/>
      <c r="M17" s="24"/>
      <c r="N17" s="24"/>
      <c r="O17" s="21"/>
      <c r="P17" s="21"/>
      <c r="Q17" s="22"/>
      <c r="R17" s="22"/>
      <c r="S17" s="22"/>
      <c r="T17" s="22"/>
      <c r="U17" s="22"/>
      <c r="V17" s="22"/>
      <c r="W17" s="27"/>
      <c r="X17" s="22"/>
      <c r="Y17" s="28"/>
      <c r="Z17" s="28"/>
      <c r="AA17" s="28"/>
      <c r="AB17" s="17"/>
      <c r="AC17" s="17"/>
      <c r="AD17" s="5"/>
      <c r="AE17" s="28"/>
      <c r="AF17" s="2"/>
    </row>
    <row r="18" spans="1:32">
      <c r="A18" s="15">
        <f t="shared" si="2"/>
        <v>13</v>
      </c>
      <c r="B18" s="23" t="s">
        <v>7</v>
      </c>
      <c r="C18" s="3" t="s">
        <v>446</v>
      </c>
      <c r="D18" s="3" t="s">
        <v>20</v>
      </c>
      <c r="E18" s="24">
        <f>+[12]Main!$H$2</f>
        <v>250.5</v>
      </c>
      <c r="F18" s="17">
        <f>+[12]Main!$H$4*FX!C3</f>
        <v>31944.883201920002</v>
      </c>
      <c r="G18" s="17">
        <f>+([12]Main!$H$6-[12]Main!$H$5)*FX!C3</f>
        <v>3456.96</v>
      </c>
      <c r="H18" s="17">
        <f t="shared" si="1"/>
        <v>35401.843201920005</v>
      </c>
      <c r="I18" s="25" t="s">
        <v>805</v>
      </c>
      <c r="J18" s="26">
        <v>46316</v>
      </c>
      <c r="K18" s="17">
        <f>17194*FX!C3</f>
        <v>17881.760000000002</v>
      </c>
      <c r="L18" s="21">
        <v>-0.12</v>
      </c>
      <c r="M18" s="17">
        <f>2313*FX!C3</f>
        <v>2405.52</v>
      </c>
      <c r="N18" s="17">
        <f>1133*FX!C3</f>
        <v>1178.32</v>
      </c>
      <c r="O18" s="21">
        <v>0.74</v>
      </c>
      <c r="P18" s="21">
        <v>0.15</v>
      </c>
      <c r="Q18" s="22">
        <v>16.7</v>
      </c>
      <c r="R18" s="22"/>
      <c r="S18" s="22">
        <v>0.7</v>
      </c>
      <c r="T18" s="22"/>
      <c r="U18" s="22">
        <v>5.3</v>
      </c>
      <c r="V18" s="22">
        <v>4</v>
      </c>
      <c r="W18" s="27">
        <v>7.67</v>
      </c>
      <c r="X18" s="22">
        <v>0.87</v>
      </c>
      <c r="Y18" s="28">
        <v>0.08</v>
      </c>
      <c r="Z18" s="28">
        <v>0.08</v>
      </c>
      <c r="AA18" s="28">
        <v>7.0000000000000007E-2</v>
      </c>
      <c r="AB18" s="17">
        <v>1794</v>
      </c>
      <c r="AC18" s="17">
        <v>46930</v>
      </c>
      <c r="AD18" s="5">
        <v>1962</v>
      </c>
      <c r="AE18" s="28" t="s">
        <v>114</v>
      </c>
      <c r="AF18" s="2"/>
    </row>
    <row r="19" spans="1:32">
      <c r="A19" s="15">
        <f t="shared" si="2"/>
        <v>14</v>
      </c>
      <c r="B19" s="23" t="s">
        <v>15</v>
      </c>
      <c r="C19" s="3" t="s">
        <v>447</v>
      </c>
      <c r="D19" s="2" t="s">
        <v>454</v>
      </c>
      <c r="E19" s="24">
        <f>+[13]Main!$H$2</f>
        <v>78.75</v>
      </c>
      <c r="F19" s="17">
        <f>+[13]Main!$H$5*FX!C9</f>
        <v>28408.679775000001</v>
      </c>
      <c r="G19" s="17">
        <f>+([13]Main!$H$7-[13]Main!$H$6)*FX!C9</f>
        <v>-2787.26</v>
      </c>
      <c r="H19" s="17">
        <f t="shared" si="1"/>
        <v>25621.419775000002</v>
      </c>
      <c r="I19" s="25" t="s">
        <v>805</v>
      </c>
      <c r="J19" s="26"/>
      <c r="K19" s="17">
        <f>70826*FX!C9</f>
        <v>9915.6400000000012</v>
      </c>
      <c r="L19" s="21">
        <v>0.14000000000000001</v>
      </c>
      <c r="M19" s="17">
        <f>16595*FX!C9</f>
        <v>2323.3000000000002</v>
      </c>
      <c r="N19" s="17"/>
      <c r="O19" s="21"/>
      <c r="P19" s="21"/>
      <c r="Q19" s="22">
        <v>19.5</v>
      </c>
      <c r="R19" s="22">
        <v>19.5</v>
      </c>
      <c r="S19" s="22"/>
      <c r="T19" s="22"/>
      <c r="U19" s="22">
        <v>3.2</v>
      </c>
      <c r="V19" s="22">
        <v>3</v>
      </c>
      <c r="W19" s="27"/>
      <c r="X19" s="22"/>
      <c r="Y19" s="28"/>
      <c r="Z19" s="28"/>
      <c r="AA19" s="28"/>
      <c r="AB19" s="17"/>
      <c r="AC19" s="17"/>
      <c r="AD19" s="5">
        <v>1991</v>
      </c>
      <c r="AE19" s="28" t="s">
        <v>402</v>
      </c>
      <c r="AF19" s="2"/>
    </row>
    <row r="20" spans="1:32">
      <c r="A20" s="15">
        <f t="shared" si="2"/>
        <v>15</v>
      </c>
      <c r="B20" s="23" t="s">
        <v>16</v>
      </c>
      <c r="C20" s="3" t="s">
        <v>17</v>
      </c>
      <c r="D20" s="2" t="s">
        <v>21</v>
      </c>
      <c r="E20" s="24">
        <f>+[14]Main!$M$2</f>
        <v>103.91</v>
      </c>
      <c r="F20" s="17">
        <f>+[14]Main!$M$4</f>
        <v>14174.802327570002</v>
      </c>
      <c r="G20" s="17">
        <f>+[14]Main!$M$6-[14]Main!$M$5</f>
        <v>-1602.5889999999999</v>
      </c>
      <c r="H20" s="17">
        <f>F20+G20</f>
        <v>12572.213327570002</v>
      </c>
      <c r="I20" s="25" t="s">
        <v>873</v>
      </c>
      <c r="J20" s="26">
        <v>46317</v>
      </c>
      <c r="K20" s="17">
        <v>4985.6120000000001</v>
      </c>
      <c r="L20" s="21">
        <v>0.16</v>
      </c>
      <c r="M20" s="17">
        <v>1179.0999999999999</v>
      </c>
      <c r="N20" s="17">
        <v>967.2</v>
      </c>
      <c r="O20" s="21">
        <v>0.57999999999999996</v>
      </c>
      <c r="P20" s="21">
        <f>+M20/K20</f>
        <v>0.23650055399417361</v>
      </c>
      <c r="Q20" s="22">
        <v>19</v>
      </c>
      <c r="R20" s="22">
        <v>19.399999999999999</v>
      </c>
      <c r="S20" s="22"/>
      <c r="T20" s="22"/>
      <c r="U20" s="22">
        <v>7.2</v>
      </c>
      <c r="V20" s="22">
        <v>3.3</v>
      </c>
      <c r="W20" s="27"/>
      <c r="X20" s="22"/>
      <c r="Y20" s="28"/>
      <c r="Z20" s="28"/>
      <c r="AA20" s="28"/>
      <c r="AB20" s="17"/>
      <c r="AC20" s="17"/>
      <c r="AD20" s="5">
        <v>1973</v>
      </c>
      <c r="AE20" s="28" t="s">
        <v>117</v>
      </c>
      <c r="AF20" s="2"/>
    </row>
    <row r="21" spans="1:32">
      <c r="A21" s="15">
        <f t="shared" si="2"/>
        <v>16</v>
      </c>
      <c r="B21" s="23" t="s">
        <v>310</v>
      </c>
      <c r="C21" s="3" t="s">
        <v>311</v>
      </c>
      <c r="D21" s="2" t="s">
        <v>21</v>
      </c>
      <c r="E21" s="24">
        <f>+[15]Main!$J$2</f>
        <v>130</v>
      </c>
      <c r="F21" s="17">
        <f>+[15]Main!$J$4</f>
        <v>25920.918140000002</v>
      </c>
      <c r="G21" s="17">
        <f>+[15]Main!$J$6-[15]Main!$J$5</f>
        <v>1227</v>
      </c>
      <c r="H21" s="17">
        <f>F21+G21</f>
        <v>27147.918140000002</v>
      </c>
      <c r="I21" s="25" t="s">
        <v>825</v>
      </c>
      <c r="J21" s="26">
        <v>46331</v>
      </c>
      <c r="K21" s="24"/>
      <c r="L21" s="21"/>
      <c r="M21" s="17"/>
      <c r="N21" s="24"/>
      <c r="O21" s="21"/>
      <c r="P21" s="21"/>
      <c r="Q21" s="22"/>
      <c r="R21" s="22"/>
      <c r="S21" s="22"/>
      <c r="T21" s="22"/>
      <c r="U21" s="22"/>
      <c r="V21" s="22"/>
      <c r="W21" s="27"/>
      <c r="X21" s="22"/>
      <c r="Y21" s="28"/>
      <c r="Z21" s="28"/>
      <c r="AA21" s="28"/>
      <c r="AB21" s="17"/>
      <c r="AC21" s="17"/>
      <c r="AD21" s="5">
        <v>2000</v>
      </c>
      <c r="AE21" s="28" t="s">
        <v>401</v>
      </c>
      <c r="AF21" s="2"/>
    </row>
    <row r="22" spans="1:32">
      <c r="A22" s="15">
        <f t="shared" si="2"/>
        <v>17</v>
      </c>
      <c r="B22" s="23" t="s">
        <v>108</v>
      </c>
      <c r="C22" s="3" t="s">
        <v>110</v>
      </c>
      <c r="D22" s="3" t="s">
        <v>109</v>
      </c>
      <c r="E22" s="24">
        <f>+[16]Main!$I$2</f>
        <v>166.25</v>
      </c>
      <c r="F22" s="17">
        <f>+[16]Main!$I$4*FX!C4</f>
        <v>25232.110793750002</v>
      </c>
      <c r="G22" s="17">
        <f>+([16]Main!$I$6-[16]Main!$I$5)*FX!C4</f>
        <v>187.91</v>
      </c>
      <c r="H22" s="17">
        <f t="shared" si="1"/>
        <v>25420.020793750002</v>
      </c>
      <c r="I22" s="25" t="s">
        <v>805</v>
      </c>
      <c r="J22" s="26">
        <v>46289</v>
      </c>
      <c r="K22" s="17">
        <f>234478*FX!C4</f>
        <v>22275.41</v>
      </c>
      <c r="L22" s="21">
        <v>-0.01</v>
      </c>
      <c r="M22" s="17"/>
      <c r="N22" s="24"/>
      <c r="O22" s="21"/>
      <c r="P22" s="21"/>
      <c r="Q22" s="22"/>
      <c r="R22" s="22"/>
      <c r="S22" s="22"/>
      <c r="T22" s="22"/>
      <c r="U22" s="22"/>
      <c r="V22" s="22"/>
      <c r="W22" s="27"/>
      <c r="X22" s="22"/>
      <c r="Y22" s="28"/>
      <c r="Z22" s="28"/>
      <c r="AA22" s="28"/>
      <c r="AB22" s="17"/>
      <c r="AC22" s="17"/>
      <c r="AD22" s="5">
        <v>1947</v>
      </c>
      <c r="AE22" s="28" t="s">
        <v>116</v>
      </c>
      <c r="AF22" s="2"/>
    </row>
    <row r="23" spans="1:32">
      <c r="A23" s="15">
        <f t="shared" si="2"/>
        <v>18</v>
      </c>
      <c r="B23" s="23" t="s">
        <v>25</v>
      </c>
      <c r="C23" s="3" t="s">
        <v>451</v>
      </c>
      <c r="D23" s="2" t="s">
        <v>21</v>
      </c>
      <c r="E23" s="24">
        <f>+[17]Main!$H$2</f>
        <v>389.9</v>
      </c>
      <c r="F23" s="17">
        <f>+[17]Main!$H$4</f>
        <v>23231.114986099998</v>
      </c>
      <c r="G23" s="17">
        <f>+[17]Main!$H$6-[17]Main!$H$5</f>
        <v>-633.5</v>
      </c>
      <c r="H23" s="17">
        <f>F23+G23</f>
        <v>22597.614986099998</v>
      </c>
      <c r="I23" s="25" t="s">
        <v>873</v>
      </c>
      <c r="J23" s="26">
        <v>46331</v>
      </c>
      <c r="K23" s="17">
        <v>6631.4</v>
      </c>
      <c r="L23" s="21">
        <v>2.9000000000000001E-2</v>
      </c>
      <c r="M23" s="17">
        <v>756.4</v>
      </c>
      <c r="N23" s="17">
        <v>646.29999999999995</v>
      </c>
      <c r="O23" s="21">
        <v>0.64</v>
      </c>
      <c r="P23" s="21">
        <v>0.11</v>
      </c>
      <c r="Q23" s="22">
        <v>17.3</v>
      </c>
      <c r="R23" s="22"/>
      <c r="S23" s="22">
        <f>-11.2/100</f>
        <v>-0.11199999999999999</v>
      </c>
      <c r="T23" s="22"/>
      <c r="U23" s="22">
        <v>3.52</v>
      </c>
      <c r="V23" s="22">
        <v>1.51</v>
      </c>
      <c r="W23" s="27">
        <v>10.3</v>
      </c>
      <c r="X23" s="22">
        <v>0.75</v>
      </c>
      <c r="Y23" s="28">
        <v>0.21</v>
      </c>
      <c r="Z23" s="28">
        <v>0.14000000000000001</v>
      </c>
      <c r="AA23" s="28">
        <v>0.1</v>
      </c>
      <c r="AB23" s="17"/>
      <c r="AC23" s="17"/>
      <c r="AD23" s="5">
        <v>1967</v>
      </c>
      <c r="AE23" s="28" t="s">
        <v>97</v>
      </c>
      <c r="AF23" s="2"/>
    </row>
    <row r="24" spans="1:32">
      <c r="A24" s="15">
        <f t="shared" si="2"/>
        <v>19</v>
      </c>
      <c r="B24" s="23" t="s">
        <v>30</v>
      </c>
      <c r="C24" s="3" t="s">
        <v>382</v>
      </c>
      <c r="D24" s="2" t="s">
        <v>124</v>
      </c>
      <c r="E24" s="24">
        <f>+[18]Main!$I$2</f>
        <v>5281</v>
      </c>
      <c r="F24" s="17">
        <f>+[18]Main!$I$4*FX!C5</f>
        <v>23581.789650335701</v>
      </c>
      <c r="G24" s="17">
        <f>+([18]Main!$I$6-[18]Main!$I$5)*FX!C5</f>
        <v>-471.03210000000001</v>
      </c>
      <c r="H24" s="17">
        <f>F24+G24</f>
        <v>23110.7575503357</v>
      </c>
      <c r="I24" s="16" t="s">
        <v>805</v>
      </c>
      <c r="J24" s="26">
        <v>46337</v>
      </c>
      <c r="K24" s="17"/>
      <c r="L24" s="21"/>
      <c r="M24" s="17"/>
      <c r="N24" s="24"/>
      <c r="O24" s="21"/>
      <c r="P24" s="21"/>
      <c r="Q24" s="22"/>
      <c r="R24" s="22"/>
      <c r="S24" s="22"/>
      <c r="T24" s="22"/>
      <c r="U24" s="22"/>
      <c r="V24" s="22"/>
      <c r="W24" s="27"/>
      <c r="X24" s="22"/>
      <c r="Y24" s="28"/>
      <c r="Z24" s="28"/>
      <c r="AA24" s="28"/>
      <c r="AB24" s="17"/>
      <c r="AC24" s="17"/>
      <c r="AD24" s="5">
        <v>1949</v>
      </c>
      <c r="AE24" s="28" t="s">
        <v>402</v>
      </c>
      <c r="AF24" s="2"/>
    </row>
    <row r="25" spans="1:32">
      <c r="A25" s="15">
        <f t="shared" si="2"/>
        <v>20</v>
      </c>
      <c r="B25" s="44" t="s">
        <v>902</v>
      </c>
      <c r="C25" s="3" t="s">
        <v>904</v>
      </c>
      <c r="D25" s="2" t="s">
        <v>454</v>
      </c>
      <c r="E25" s="24">
        <f>+[80]Main!$J$2</f>
        <v>48.5</v>
      </c>
      <c r="F25" s="17">
        <f>+[80]Main!$J$5</f>
        <v>26772.307449745003</v>
      </c>
      <c r="G25" s="17">
        <f>+[80]Main!$J$7-[80]Main!$J$6</f>
        <v>-15210</v>
      </c>
      <c r="H25" s="17">
        <f>+F25+G25</f>
        <v>11562.307449745003</v>
      </c>
      <c r="I25" s="16" t="s">
        <v>805</v>
      </c>
      <c r="J25" s="2"/>
      <c r="K25" s="24"/>
      <c r="L25" s="21"/>
      <c r="M25" s="24"/>
      <c r="N25" s="24"/>
      <c r="O25" s="21"/>
      <c r="P25" s="21"/>
      <c r="Q25" s="22"/>
      <c r="R25" s="22"/>
      <c r="S25" s="22"/>
      <c r="T25" s="22"/>
      <c r="U25" s="22"/>
      <c r="V25" s="22"/>
      <c r="W25" s="27"/>
      <c r="X25" s="22"/>
      <c r="Y25" s="28"/>
      <c r="Z25" s="28"/>
      <c r="AA25" s="28"/>
      <c r="AB25" s="17"/>
      <c r="AC25" s="17"/>
      <c r="AD25" s="5"/>
      <c r="AE25" s="28"/>
      <c r="AF25" s="2"/>
    </row>
    <row r="26" spans="1:32">
      <c r="A26" s="15">
        <f t="shared" si="2"/>
        <v>21</v>
      </c>
      <c r="B26" s="23" t="s">
        <v>135</v>
      </c>
      <c r="C26" s="3" t="s">
        <v>136</v>
      </c>
      <c r="D26" s="3" t="s">
        <v>165</v>
      </c>
      <c r="E26" s="24">
        <f>+[19]Main!$H$2</f>
        <v>43.26</v>
      </c>
      <c r="F26" s="17">
        <f>+[19]Main!$H$5*FX!C3</f>
        <v>13814.701834751999</v>
      </c>
      <c r="G26" s="17">
        <f>(+[19]Main!$H$7-[19]Main!$H$6)*FX!C3</f>
        <v>727.22728000000006</v>
      </c>
      <c r="H26" s="17">
        <f t="shared" si="1"/>
        <v>14541.929114751998</v>
      </c>
      <c r="I26" s="25" t="s">
        <v>805</v>
      </c>
      <c r="J26" s="26">
        <v>46317</v>
      </c>
      <c r="K26" s="24"/>
      <c r="L26" s="21"/>
      <c r="M26" s="17"/>
      <c r="N26" s="17"/>
      <c r="O26" s="21"/>
      <c r="P26" s="21"/>
      <c r="Q26" s="22"/>
      <c r="R26" s="22"/>
      <c r="S26" s="22"/>
      <c r="T26" s="22"/>
      <c r="U26" s="22"/>
      <c r="V26" s="22"/>
      <c r="W26" s="27"/>
      <c r="X26" s="22"/>
      <c r="Y26" s="28"/>
      <c r="Z26" s="28"/>
      <c r="AA26" s="28"/>
      <c r="AB26" s="17"/>
      <c r="AC26" s="17"/>
      <c r="AD26" s="5">
        <v>1913</v>
      </c>
      <c r="AE26" s="28" t="s">
        <v>114</v>
      </c>
      <c r="AF26" s="2"/>
    </row>
    <row r="27" spans="1:32">
      <c r="A27" s="15">
        <f t="shared" si="2"/>
        <v>22</v>
      </c>
      <c r="B27" s="23" t="s">
        <v>440</v>
      </c>
      <c r="C27" s="3" t="s">
        <v>441</v>
      </c>
      <c r="D27" s="2" t="s">
        <v>185</v>
      </c>
      <c r="E27" s="24">
        <f>+[20]Main!$I$2</f>
        <v>2992.7</v>
      </c>
      <c r="F27" s="17">
        <f>+[20]Main!$I$4*FX!C12</f>
        <v>11702.540569881699</v>
      </c>
      <c r="G27" s="17">
        <f>+([20]Main!$I$6-[20]Main!$I$5)*FX!C12</f>
        <v>2616.768</v>
      </c>
      <c r="H27" s="17">
        <f>+F27+G27</f>
        <v>14319.308569881699</v>
      </c>
      <c r="I27" s="16" t="s">
        <v>827</v>
      </c>
      <c r="J27" s="26"/>
      <c r="K27" s="24"/>
      <c r="L27" s="21"/>
      <c r="M27" s="24"/>
      <c r="N27" s="17"/>
      <c r="O27" s="21"/>
      <c r="P27" s="21"/>
      <c r="Q27" s="22"/>
      <c r="R27" s="22"/>
      <c r="S27" s="22"/>
      <c r="T27" s="22"/>
      <c r="U27" s="22"/>
      <c r="V27" s="22"/>
      <c r="W27" s="27"/>
      <c r="X27" s="22"/>
      <c r="Y27" s="28"/>
      <c r="Z27" s="28"/>
      <c r="AA27" s="28"/>
      <c r="AB27" s="17"/>
      <c r="AC27" s="17"/>
      <c r="AD27" s="5"/>
      <c r="AE27" s="28"/>
      <c r="AF27" s="2"/>
    </row>
    <row r="28" spans="1:32">
      <c r="A28" s="15">
        <f t="shared" si="2"/>
        <v>23</v>
      </c>
      <c r="B28" s="23" t="s">
        <v>18</v>
      </c>
      <c r="C28" s="3" t="s">
        <v>448</v>
      </c>
      <c r="D28" s="2" t="s">
        <v>165</v>
      </c>
      <c r="E28" s="24">
        <f>+[21]Main!$H$2</f>
        <v>47.32</v>
      </c>
      <c r="F28" s="17">
        <f>+[21]Main!$H$4*FX!C3</f>
        <v>13313.188044374401</v>
      </c>
      <c r="G28" s="17">
        <f>+([21]Main!$H$6-[21]Main!$H$5)*FX!C3</f>
        <v>-376.31984</v>
      </c>
      <c r="H28" s="17">
        <f t="shared" si="1"/>
        <v>12936.868204374401</v>
      </c>
      <c r="I28" s="25" t="s">
        <v>805</v>
      </c>
      <c r="J28" s="26">
        <v>46316</v>
      </c>
      <c r="K28" s="24"/>
      <c r="L28" s="21"/>
      <c r="M28" s="17"/>
      <c r="N28" s="24"/>
      <c r="O28" s="21"/>
      <c r="P28" s="21"/>
      <c r="Q28" s="22"/>
      <c r="R28" s="22"/>
      <c r="S28" s="22"/>
      <c r="T28" s="22"/>
      <c r="U28" s="22"/>
      <c r="V28" s="22"/>
      <c r="W28" s="27"/>
      <c r="X28" s="22"/>
      <c r="Y28" s="28"/>
      <c r="Z28" s="28"/>
      <c r="AA28" s="28"/>
      <c r="AB28" s="17"/>
      <c r="AC28" s="17"/>
      <c r="AD28" s="5">
        <v>1952</v>
      </c>
      <c r="AE28" s="28" t="s">
        <v>400</v>
      </c>
      <c r="AF28" s="2"/>
    </row>
    <row r="29" spans="1:32">
      <c r="A29" s="15">
        <f t="shared" si="2"/>
        <v>24</v>
      </c>
      <c r="B29" s="31" t="s">
        <v>306</v>
      </c>
      <c r="C29" s="3" t="s">
        <v>309</v>
      </c>
      <c r="D29" s="2" t="s">
        <v>21</v>
      </c>
      <c r="E29" s="24">
        <f>+[22]Main!$I$2</f>
        <v>294.94</v>
      </c>
      <c r="F29" s="17">
        <f>+[22]Main!$I$4</f>
        <v>18845.486239999998</v>
      </c>
      <c r="G29" s="17">
        <f>+[22]Main!$I$6-[22]Main!$I$5</f>
        <v>1189.8249999999998</v>
      </c>
      <c r="H29" s="17">
        <f>F29+G29</f>
        <v>20035.311239999999</v>
      </c>
      <c r="I29" s="25" t="s">
        <v>805</v>
      </c>
      <c r="J29" s="26">
        <v>46350</v>
      </c>
      <c r="K29" s="24"/>
      <c r="L29" s="21"/>
      <c r="M29" s="17"/>
      <c r="N29" s="24"/>
      <c r="O29" s="21"/>
      <c r="P29" s="21"/>
      <c r="Q29" s="22"/>
      <c r="R29" s="22"/>
      <c r="S29" s="22"/>
      <c r="T29" s="22"/>
      <c r="U29" s="22"/>
      <c r="V29" s="22"/>
      <c r="W29" s="27"/>
      <c r="X29" s="22"/>
      <c r="Y29" s="28"/>
      <c r="Z29" s="28"/>
      <c r="AA29" s="28"/>
      <c r="AB29" s="17"/>
      <c r="AC29" s="17"/>
      <c r="AD29" s="5">
        <v>1972</v>
      </c>
      <c r="AE29" s="28" t="s">
        <v>118</v>
      </c>
      <c r="AF29" s="2"/>
    </row>
    <row r="30" spans="1:32">
      <c r="A30" s="15">
        <f t="shared" si="2"/>
        <v>25</v>
      </c>
      <c r="B30" s="31" t="s">
        <v>307</v>
      </c>
      <c r="C30" s="3" t="s">
        <v>308</v>
      </c>
      <c r="D30" s="2" t="s">
        <v>219</v>
      </c>
      <c r="E30" s="24">
        <f>+[23]Main!$I$2</f>
        <v>156</v>
      </c>
      <c r="F30" s="17">
        <f>+[23]Main!$I$4*FX!C8</f>
        <v>22613.136000000002</v>
      </c>
      <c r="G30" s="17">
        <f>+([23]Main!$I$6-[23]Main!$I$5)*FX!C8</f>
        <v>883.74799999999993</v>
      </c>
      <c r="H30" s="17">
        <f>F30+G30</f>
        <v>23496.884000000002</v>
      </c>
      <c r="I30" s="25" t="s">
        <v>422</v>
      </c>
      <c r="J30" s="26">
        <v>46282</v>
      </c>
      <c r="K30" s="24"/>
      <c r="L30" s="21"/>
      <c r="M30" s="24"/>
      <c r="N30" s="24"/>
      <c r="O30" s="21"/>
      <c r="P30" s="21"/>
      <c r="Q30" s="22"/>
      <c r="R30" s="22"/>
      <c r="S30" s="22"/>
      <c r="T30" s="22"/>
      <c r="U30" s="22"/>
      <c r="V30" s="22"/>
      <c r="W30" s="27"/>
      <c r="X30" s="22"/>
      <c r="Y30" s="28"/>
      <c r="Z30" s="28"/>
      <c r="AA30" s="28"/>
      <c r="AB30" s="17"/>
      <c r="AC30" s="17"/>
      <c r="AD30" s="5">
        <v>1864</v>
      </c>
      <c r="AE30" s="28" t="s">
        <v>118</v>
      </c>
      <c r="AF30" s="2"/>
    </row>
    <row r="31" spans="1:32">
      <c r="A31" s="15">
        <f t="shared" si="2"/>
        <v>26</v>
      </c>
      <c r="B31" s="23" t="s">
        <v>24</v>
      </c>
      <c r="C31" s="3" t="s">
        <v>23</v>
      </c>
      <c r="D31" s="2" t="s">
        <v>166</v>
      </c>
      <c r="E31" s="24">
        <f>+[24]Main!$H$2</f>
        <v>30.85</v>
      </c>
      <c r="F31" s="17">
        <f>+[24]Main!$H$5*FX!C7</f>
        <v>8718.9328789276005</v>
      </c>
      <c r="G31" s="17">
        <f>+([24]Main!$H$7-[24]Main!$H$6)*FX!C7</f>
        <v>-1077.8880000000001</v>
      </c>
      <c r="H31" s="17">
        <f>F31+G31</f>
        <v>7641.0448789276006</v>
      </c>
      <c r="I31" s="25" t="s">
        <v>805</v>
      </c>
      <c r="J31" s="26">
        <v>46337</v>
      </c>
      <c r="K31" s="24"/>
      <c r="L31" s="21"/>
      <c r="M31" s="17"/>
      <c r="N31" s="17"/>
      <c r="O31" s="21"/>
      <c r="P31" s="21"/>
      <c r="Q31" s="22"/>
      <c r="R31" s="22"/>
      <c r="S31" s="22"/>
      <c r="T31" s="22"/>
      <c r="U31" s="22"/>
      <c r="V31" s="22"/>
      <c r="W31" s="27"/>
      <c r="X31" s="22"/>
      <c r="Y31" s="28"/>
      <c r="Z31" s="28"/>
      <c r="AA31" s="28"/>
      <c r="AB31" s="17"/>
      <c r="AC31" s="17"/>
      <c r="AD31" s="5">
        <v>2010</v>
      </c>
      <c r="AE31" s="28" t="s">
        <v>115</v>
      </c>
      <c r="AF31" s="2"/>
    </row>
    <row r="32" spans="1:32">
      <c r="A32" s="15">
        <f t="shared" si="2"/>
        <v>27</v>
      </c>
      <c r="B32" s="23" t="s">
        <v>418</v>
      </c>
      <c r="C32" s="3" t="s">
        <v>419</v>
      </c>
      <c r="D32" s="2" t="s">
        <v>214</v>
      </c>
      <c r="E32" s="24">
        <f>+[25]Main!$J$2</f>
        <v>33.79</v>
      </c>
      <c r="F32" s="17">
        <f>+[25]Main!$J$4</f>
        <v>19685.281459229998</v>
      </c>
      <c r="G32" s="17">
        <f>+[25]Main!$J$6-[25]Main!$J$5</f>
        <v>-573</v>
      </c>
      <c r="H32" s="17">
        <f t="shared" si="1"/>
        <v>19112.281459229998</v>
      </c>
      <c r="I32" s="16" t="s">
        <v>805</v>
      </c>
      <c r="J32" s="26">
        <v>46343</v>
      </c>
      <c r="K32" s="24"/>
      <c r="L32" s="21"/>
      <c r="M32" s="24"/>
      <c r="N32" s="24"/>
      <c r="O32" s="21"/>
      <c r="P32" s="21"/>
      <c r="Q32" s="22"/>
      <c r="R32" s="22"/>
      <c r="S32" s="22"/>
      <c r="T32" s="22"/>
      <c r="U32" s="22"/>
      <c r="V32" s="22"/>
      <c r="W32" s="27"/>
      <c r="X32" s="22"/>
      <c r="Y32" s="28"/>
      <c r="Z32" s="28"/>
      <c r="AA32" s="28"/>
      <c r="AB32" s="17"/>
      <c r="AC32" s="17"/>
      <c r="AD32" s="5">
        <v>1950</v>
      </c>
      <c r="AE32" s="28" t="s">
        <v>430</v>
      </c>
      <c r="AF32" s="2"/>
    </row>
    <row r="33" spans="1:32">
      <c r="A33" s="15">
        <f t="shared" si="2"/>
        <v>28</v>
      </c>
      <c r="B33" s="23" t="s">
        <v>22</v>
      </c>
      <c r="C33" s="3" t="s">
        <v>449</v>
      </c>
      <c r="D33" s="2" t="s">
        <v>454</v>
      </c>
      <c r="E33" s="24">
        <f>+[26]Main!$J$2</f>
        <v>35.46</v>
      </c>
      <c r="F33" s="17">
        <f>+[26]Main!$J$5*FX!C9</f>
        <v>6567.085595546785</v>
      </c>
      <c r="G33" s="17">
        <f>+([26]Main!$J$7-[26]Main!$J$6)*FX!C9</f>
        <v>-3721.6155200000003</v>
      </c>
      <c r="H33" s="17">
        <f t="shared" si="1"/>
        <v>2845.4700755467848</v>
      </c>
      <c r="I33" s="25" t="s">
        <v>805</v>
      </c>
      <c r="J33" s="26">
        <v>46441</v>
      </c>
      <c r="K33" s="24"/>
      <c r="L33" s="21"/>
      <c r="M33" s="17"/>
      <c r="N33" s="17"/>
      <c r="O33" s="21"/>
      <c r="P33" s="21"/>
      <c r="Q33" s="22"/>
      <c r="R33" s="22"/>
      <c r="S33" s="22"/>
      <c r="T33" s="22"/>
      <c r="U33" s="22"/>
      <c r="V33" s="22"/>
      <c r="W33" s="27"/>
      <c r="X33" s="22"/>
      <c r="Y33" s="28"/>
      <c r="Z33" s="28"/>
      <c r="AA33" s="28"/>
      <c r="AB33" s="17"/>
      <c r="AC33" s="17"/>
      <c r="AD33" s="5">
        <v>1991</v>
      </c>
      <c r="AE33" s="28" t="s">
        <v>97</v>
      </c>
      <c r="AF33" s="2"/>
    </row>
    <row r="34" spans="1:32">
      <c r="A34" s="15">
        <f t="shared" si="2"/>
        <v>29</v>
      </c>
      <c r="B34" s="23" t="s">
        <v>381</v>
      </c>
      <c r="C34" s="3" t="s">
        <v>450</v>
      </c>
      <c r="D34" s="2" t="s">
        <v>454</v>
      </c>
      <c r="E34" s="24">
        <f>+[27]Main!$K$2</f>
        <v>76.739999999999995</v>
      </c>
      <c r="F34" s="17">
        <f>+[27]Main!$K$4*FX!C9</f>
        <v>12537.781199999999</v>
      </c>
      <c r="G34" s="17">
        <f>+([27]Main!$K$6-[27]Main!$K$5)*FX!C9</f>
        <v>-745.22328020000009</v>
      </c>
      <c r="H34" s="17">
        <f>+G34+F34</f>
        <v>11792.5579198</v>
      </c>
      <c r="I34" s="16" t="s">
        <v>383</v>
      </c>
      <c r="J34" s="30" t="s">
        <v>404</v>
      </c>
      <c r="K34" s="17"/>
      <c r="L34" s="21"/>
      <c r="M34" s="17"/>
      <c r="N34" s="17"/>
      <c r="O34" s="21"/>
      <c r="P34" s="21"/>
      <c r="Q34" s="22"/>
      <c r="R34" s="22"/>
      <c r="S34" s="22"/>
      <c r="T34" s="22"/>
      <c r="U34" s="22"/>
      <c r="V34" s="22"/>
      <c r="W34" s="27"/>
      <c r="X34" s="22"/>
      <c r="Y34" s="28"/>
      <c r="Z34" s="28"/>
      <c r="AA34" s="28"/>
      <c r="AB34" s="17"/>
      <c r="AC34" s="17"/>
      <c r="AD34" s="5">
        <v>2004</v>
      </c>
      <c r="AE34" s="28" t="s">
        <v>384</v>
      </c>
      <c r="AF34" s="2"/>
    </row>
    <row r="35" spans="1:32">
      <c r="A35" s="15">
        <f t="shared" si="2"/>
        <v>30</v>
      </c>
      <c r="B35" s="23" t="s">
        <v>127</v>
      </c>
      <c r="C35" s="3" t="s">
        <v>414</v>
      </c>
      <c r="D35" s="2" t="s">
        <v>82</v>
      </c>
      <c r="E35" s="24">
        <f>+[28]Main!$I$2</f>
        <v>25.27</v>
      </c>
      <c r="F35" s="17">
        <f>+[28]Main!$I$4*FX!C3</f>
        <v>6543.9191999999994</v>
      </c>
      <c r="G35" s="17">
        <f>+([28]Main!$I$6-[28]Main!$I$5)*FX!C3</f>
        <v>-477.15199999999999</v>
      </c>
      <c r="H35" s="17">
        <f>F35+G35</f>
        <v>6066.7671999999993</v>
      </c>
      <c r="I35" s="25" t="s">
        <v>805</v>
      </c>
      <c r="J35" s="26">
        <v>46329</v>
      </c>
      <c r="K35" s="24"/>
      <c r="L35" s="21"/>
      <c r="M35" s="24"/>
      <c r="N35" s="24"/>
      <c r="O35" s="21"/>
      <c r="P35" s="21"/>
      <c r="Q35" s="22"/>
      <c r="R35" s="22"/>
      <c r="S35" s="22"/>
      <c r="T35" s="22"/>
      <c r="U35" s="22"/>
      <c r="V35" s="22"/>
      <c r="W35" s="27"/>
      <c r="X35" s="22"/>
      <c r="Y35" s="28"/>
      <c r="Z35" s="28"/>
      <c r="AA35" s="28"/>
      <c r="AB35" s="17"/>
      <c r="AC35" s="17"/>
      <c r="AD35" s="5">
        <v>2008</v>
      </c>
      <c r="AE35" s="28" t="s">
        <v>415</v>
      </c>
      <c r="AF35" s="2"/>
    </row>
    <row r="36" spans="1:32">
      <c r="A36" s="15">
        <f t="shared" si="2"/>
        <v>31</v>
      </c>
      <c r="B36" s="23" t="s">
        <v>314</v>
      </c>
      <c r="C36" s="3" t="s">
        <v>44</v>
      </c>
      <c r="D36" s="2" t="s">
        <v>21</v>
      </c>
      <c r="E36" s="24">
        <f>+[29]Main!$H$2</f>
        <v>14.5</v>
      </c>
      <c r="F36" s="17">
        <f>+[29]Main!$H$4</f>
        <v>5700.4512649999997</v>
      </c>
      <c r="G36" s="17">
        <f>+[29]Main!$H$6-[29]Main!$H$5</f>
        <v>2343.0419999999999</v>
      </c>
      <c r="H36" s="17">
        <f>+G36+F36</f>
        <v>8043.4932649999992</v>
      </c>
      <c r="I36" s="16" t="s">
        <v>872</v>
      </c>
      <c r="J36" s="26">
        <v>46322</v>
      </c>
      <c r="K36" s="17"/>
      <c r="L36" s="21"/>
      <c r="M36" s="17"/>
      <c r="N36" s="17"/>
      <c r="O36" s="21"/>
      <c r="P36" s="21"/>
      <c r="Q36" s="22"/>
      <c r="R36" s="22"/>
      <c r="S36" s="22"/>
      <c r="T36" s="22"/>
      <c r="U36" s="22"/>
      <c r="V36" s="22"/>
      <c r="W36" s="27"/>
      <c r="X36" s="22"/>
      <c r="Y36" s="28"/>
      <c r="Z36" s="28"/>
      <c r="AA36" s="28"/>
      <c r="AB36" s="17"/>
      <c r="AC36" s="17"/>
      <c r="AD36" s="5">
        <v>1899</v>
      </c>
      <c r="AE36" s="28" t="s">
        <v>406</v>
      </c>
      <c r="AF36" s="2"/>
    </row>
    <row r="37" spans="1:32">
      <c r="A37" s="15">
        <f t="shared" si="2"/>
        <v>32</v>
      </c>
      <c r="B37" s="23" t="s">
        <v>26</v>
      </c>
      <c r="C37" s="3" t="s">
        <v>27</v>
      </c>
      <c r="D37" s="2" t="s">
        <v>82</v>
      </c>
      <c r="E37" s="24">
        <f>+[30]Main!$I$3</f>
        <v>34.85</v>
      </c>
      <c r="F37" s="17">
        <f>+[30]Main!$I$5*FX!C3</f>
        <v>6665.4910936640008</v>
      </c>
      <c r="G37" s="17">
        <f>+([30]Main!$I$7-[30]Main!$I$6)*FX!C3</f>
        <v>1033.5260000000001</v>
      </c>
      <c r="H37" s="17">
        <f t="shared" si="1"/>
        <v>7699.0170936640006</v>
      </c>
      <c r="I37" s="16" t="s">
        <v>818</v>
      </c>
      <c r="J37" s="26">
        <v>46373</v>
      </c>
      <c r="K37" s="17"/>
      <c r="L37" s="21"/>
      <c r="M37" s="17"/>
      <c r="N37" s="17"/>
      <c r="O37" s="21"/>
      <c r="P37" s="21"/>
      <c r="Q37" s="22"/>
      <c r="R37" s="22"/>
      <c r="S37" s="22"/>
      <c r="T37" s="22"/>
      <c r="U37" s="22"/>
      <c r="V37" s="22"/>
      <c r="W37" s="27"/>
      <c r="X37" s="22"/>
      <c r="Y37" s="28"/>
      <c r="Z37" s="28"/>
      <c r="AA37" s="28"/>
      <c r="AB37" s="17"/>
      <c r="AC37" s="17"/>
      <c r="AD37" s="5">
        <v>1774</v>
      </c>
      <c r="AE37" s="28" t="s">
        <v>403</v>
      </c>
      <c r="AF37" s="2"/>
    </row>
    <row r="38" spans="1:32">
      <c r="A38" s="15">
        <f t="shared" si="2"/>
        <v>33</v>
      </c>
      <c r="B38" s="23" t="s">
        <v>111</v>
      </c>
      <c r="C38" s="3" t="s">
        <v>742</v>
      </c>
      <c r="D38" s="2" t="s">
        <v>21</v>
      </c>
      <c r="E38" s="24">
        <f>+[31]Main!$J$2</f>
        <v>23.84</v>
      </c>
      <c r="F38" s="17">
        <f>+[31]Main!$J$4</f>
        <v>8463.2000000000007</v>
      </c>
      <c r="G38" s="17">
        <f>+([31]Main!$J$6-[31]Main!$J$5)</f>
        <v>-992</v>
      </c>
      <c r="H38" s="17">
        <f>+G38+F38</f>
        <v>7471.2000000000007</v>
      </c>
      <c r="I38" s="16" t="s">
        <v>805</v>
      </c>
      <c r="J38" s="26">
        <v>46345</v>
      </c>
      <c r="K38" s="17">
        <v>14889</v>
      </c>
      <c r="L38" s="21">
        <v>0.05</v>
      </c>
      <c r="M38" s="17">
        <v>560</v>
      </c>
      <c r="N38" s="17">
        <v>502</v>
      </c>
      <c r="O38" s="21">
        <v>0.37</v>
      </c>
      <c r="P38" s="21">
        <v>0.04</v>
      </c>
      <c r="Q38" s="22"/>
      <c r="R38" s="22"/>
      <c r="S38" s="22"/>
      <c r="T38" s="22"/>
      <c r="U38" s="22"/>
      <c r="V38" s="22"/>
      <c r="W38" s="27"/>
      <c r="X38" s="22"/>
      <c r="Y38" s="28"/>
      <c r="Z38" s="28"/>
      <c r="AA38" s="28"/>
      <c r="AB38" s="17"/>
      <c r="AC38" s="17"/>
      <c r="AD38" s="5">
        <v>1969</v>
      </c>
      <c r="AE38" s="28" t="s">
        <v>97</v>
      </c>
      <c r="AF38" s="2"/>
    </row>
    <row r="39" spans="1:32">
      <c r="A39" s="15">
        <f t="shared" si="2"/>
        <v>34</v>
      </c>
      <c r="B39" s="23" t="s">
        <v>28</v>
      </c>
      <c r="C39" s="3" t="s">
        <v>29</v>
      </c>
      <c r="D39" s="2" t="s">
        <v>21</v>
      </c>
      <c r="E39" s="24">
        <f>+[32]Main!$I$2</f>
        <v>60.4</v>
      </c>
      <c r="F39" s="17">
        <f>+[32]Main!$I$4</f>
        <v>9118.7085583999997</v>
      </c>
      <c r="G39" s="17">
        <f>+[32]Main!$I$6-[32]Main!$I$5</f>
        <v>-838.96200000000022</v>
      </c>
      <c r="H39" s="17">
        <f t="shared" ref="H39:H61" si="3">F39+G39</f>
        <v>8279.7465584000001</v>
      </c>
      <c r="I39" s="16" t="s">
        <v>337</v>
      </c>
      <c r="J39" s="30" t="s">
        <v>810</v>
      </c>
      <c r="K39" s="17"/>
      <c r="L39" s="21"/>
      <c r="M39" s="17"/>
      <c r="N39" s="17"/>
      <c r="O39" s="21"/>
      <c r="P39" s="21"/>
      <c r="Q39" s="22"/>
      <c r="R39" s="22"/>
      <c r="S39" s="22"/>
      <c r="T39" s="22"/>
      <c r="U39" s="22"/>
      <c r="V39" s="22"/>
      <c r="W39" s="27"/>
      <c r="X39" s="22"/>
      <c r="Y39" s="28"/>
      <c r="Z39" s="28"/>
      <c r="AA39" s="28"/>
      <c r="AB39" s="17"/>
      <c r="AC39" s="17"/>
      <c r="AD39" s="5">
        <v>1992</v>
      </c>
      <c r="AE39" s="28" t="s">
        <v>407</v>
      </c>
      <c r="AF39" s="2"/>
    </row>
    <row r="40" spans="1:32">
      <c r="A40" s="15">
        <f t="shared" si="2"/>
        <v>35</v>
      </c>
      <c r="B40" s="23" t="s">
        <v>387</v>
      </c>
      <c r="C40" s="3" t="s">
        <v>386</v>
      </c>
      <c r="D40" s="2" t="s">
        <v>165</v>
      </c>
      <c r="E40" s="24">
        <f>+[33]Main!$J$2</f>
        <v>87.92</v>
      </c>
      <c r="F40" s="17">
        <f>+[33]Main!$J$4*FX!C3</f>
        <v>6217.1241536768002</v>
      </c>
      <c r="G40" s="17">
        <f>+([33]Main!$J$6-[33]Main!$J$5)*FX!C3</f>
        <v>227.71215999999995</v>
      </c>
      <c r="H40" s="17">
        <f>F40+G40</f>
        <v>6444.8363136768003</v>
      </c>
      <c r="I40" s="16" t="s">
        <v>805</v>
      </c>
      <c r="J40" s="26">
        <v>46310</v>
      </c>
      <c r="K40" s="17"/>
      <c r="L40" s="21"/>
      <c r="M40" s="17"/>
      <c r="N40" s="17"/>
      <c r="O40" s="21"/>
      <c r="P40" s="21"/>
      <c r="Q40" s="22"/>
      <c r="R40" s="22"/>
      <c r="S40" s="22"/>
      <c r="T40" s="22"/>
      <c r="U40" s="22"/>
      <c r="V40" s="22"/>
      <c r="W40" s="27"/>
      <c r="X40" s="22"/>
      <c r="Y40" s="28"/>
      <c r="Z40" s="28"/>
      <c r="AA40" s="28"/>
      <c r="AB40" s="17"/>
      <c r="AC40" s="17"/>
      <c r="AD40" s="5">
        <v>1978</v>
      </c>
      <c r="AE40" s="28" t="s">
        <v>400</v>
      </c>
      <c r="AF40" s="2"/>
    </row>
    <row r="41" spans="1:32">
      <c r="A41" s="15">
        <f t="shared" si="2"/>
        <v>36</v>
      </c>
      <c r="B41" s="23" t="s">
        <v>38</v>
      </c>
      <c r="C41" s="3" t="s">
        <v>39</v>
      </c>
      <c r="D41" s="2" t="s">
        <v>107</v>
      </c>
      <c r="E41" s="24">
        <f>+[34]Main!$I$2</f>
        <v>55.89</v>
      </c>
      <c r="F41" s="17">
        <f>+[34]Main!$I$4</f>
        <v>10349.486639999999</v>
      </c>
      <c r="G41" s="17">
        <f>+[34]Main!$I$6-[34]Main!$I$5</f>
        <v>4262.759</v>
      </c>
      <c r="H41" s="17">
        <f>F41+G41</f>
        <v>14612.245639999999</v>
      </c>
      <c r="I41" s="16" t="s">
        <v>805</v>
      </c>
      <c r="J41" s="26">
        <v>46323</v>
      </c>
      <c r="K41" s="17"/>
      <c r="L41" s="21"/>
      <c r="M41" s="17"/>
      <c r="N41" s="17"/>
      <c r="O41" s="21"/>
      <c r="P41" s="21"/>
      <c r="Q41" s="22"/>
      <c r="R41" s="22"/>
      <c r="S41" s="22"/>
      <c r="T41" s="22"/>
      <c r="U41" s="22"/>
      <c r="V41" s="22"/>
      <c r="W41" s="27"/>
      <c r="X41" s="22"/>
      <c r="Y41" s="28"/>
      <c r="Z41" s="28"/>
      <c r="AA41" s="28"/>
      <c r="AB41" s="17"/>
      <c r="AC41" s="17"/>
      <c r="AD41" s="5">
        <v>1984</v>
      </c>
      <c r="AE41" s="28" t="s">
        <v>409</v>
      </c>
      <c r="AF41" s="2"/>
    </row>
    <row r="42" spans="1:32">
      <c r="A42" s="15">
        <f t="shared" si="2"/>
        <v>37</v>
      </c>
      <c r="B42" s="23" t="s">
        <v>31</v>
      </c>
      <c r="C42" s="3" t="s">
        <v>32</v>
      </c>
      <c r="D42" s="2" t="s">
        <v>21</v>
      </c>
      <c r="E42" s="24">
        <f>+[35]Main!$I$2</f>
        <v>24.26</v>
      </c>
      <c r="F42" s="17">
        <f>+[35]Main!$I$4</f>
        <v>8463.1146341200019</v>
      </c>
      <c r="G42" s="17">
        <f>+[35]Main!$I$6-[35]Main!$I$5</f>
        <v>65.200000000000045</v>
      </c>
      <c r="H42" s="17">
        <f>F42+G42</f>
        <v>8528.3146341200027</v>
      </c>
      <c r="I42" s="16" t="s">
        <v>805</v>
      </c>
      <c r="J42" s="26">
        <v>46303</v>
      </c>
      <c r="K42" s="17">
        <v>6179</v>
      </c>
      <c r="L42" s="21">
        <v>0</v>
      </c>
      <c r="M42" s="17">
        <v>353.3</v>
      </c>
      <c r="N42" s="17">
        <v>249.6</v>
      </c>
      <c r="O42" s="21">
        <v>0.57999999999999996</v>
      </c>
      <c r="P42" s="21">
        <v>0.06</v>
      </c>
      <c r="Q42" s="22"/>
      <c r="R42" s="22"/>
      <c r="S42" s="22"/>
      <c r="T42" s="22"/>
      <c r="U42" s="22"/>
      <c r="V42" s="22"/>
      <c r="W42" s="27"/>
      <c r="X42" s="22"/>
      <c r="Y42" s="28"/>
      <c r="Z42" s="28"/>
      <c r="AA42" s="28"/>
      <c r="AB42" s="17"/>
      <c r="AC42" s="17"/>
      <c r="AD42" s="5">
        <v>1853</v>
      </c>
      <c r="AE42" s="28" t="s">
        <v>97</v>
      </c>
      <c r="AF42" s="2"/>
    </row>
    <row r="43" spans="1:32">
      <c r="A43" s="15">
        <f t="shared" si="2"/>
        <v>38</v>
      </c>
      <c r="B43" s="23" t="s">
        <v>321</v>
      </c>
      <c r="C43" s="3" t="s">
        <v>322</v>
      </c>
      <c r="D43" s="2" t="s">
        <v>294</v>
      </c>
      <c r="E43" s="24">
        <f>+[36]Main!$I$2</f>
        <v>21560</v>
      </c>
      <c r="F43" s="17">
        <f>+[36]Main!$I$4*FX!C11</f>
        <v>10018.43612</v>
      </c>
      <c r="G43" s="17">
        <f>+([36]Main!$I$6-[36]Main!$I$5)*FX!C11</f>
        <v>295.25</v>
      </c>
      <c r="H43" s="17">
        <f>+F43+G43</f>
        <v>10313.68612</v>
      </c>
      <c r="I43" s="16" t="s">
        <v>149</v>
      </c>
      <c r="J43" s="26">
        <v>46282</v>
      </c>
      <c r="K43" s="17"/>
      <c r="L43" s="21"/>
      <c r="M43" s="17"/>
      <c r="N43" s="17"/>
      <c r="O43" s="21"/>
      <c r="P43" s="21"/>
      <c r="Q43" s="22"/>
      <c r="R43" s="22"/>
      <c r="S43" s="22"/>
      <c r="T43" s="22"/>
      <c r="U43" s="22"/>
      <c r="V43" s="22"/>
      <c r="W43" s="27"/>
      <c r="X43" s="22"/>
      <c r="Y43" s="28"/>
      <c r="Z43" s="28"/>
      <c r="AA43" s="28"/>
      <c r="AB43" s="17"/>
      <c r="AC43" s="17"/>
      <c r="AD43" s="5"/>
      <c r="AE43" s="28"/>
      <c r="AF43" s="2"/>
    </row>
    <row r="44" spans="1:32">
      <c r="A44" s="15">
        <f t="shared" si="2"/>
        <v>39</v>
      </c>
      <c r="B44" s="23" t="s">
        <v>41</v>
      </c>
      <c r="C44" s="3">
        <v>600398</v>
      </c>
      <c r="D44" s="2" t="s">
        <v>454</v>
      </c>
      <c r="E44" s="24">
        <f>+[37]Main!$J$2</f>
        <v>8.7799999999999994</v>
      </c>
      <c r="F44" s="17">
        <f>+[37]Main!$J$4*FX!C9</f>
        <v>5900.1600000000008</v>
      </c>
      <c r="G44" s="17">
        <f>+([37]Main!$J$6-[37]Main!$J$5)*FX!C9</f>
        <v>-679.00000000000011</v>
      </c>
      <c r="H44" s="17">
        <f>F44+G44</f>
        <v>5221.1600000000008</v>
      </c>
      <c r="I44" s="16" t="s">
        <v>148</v>
      </c>
      <c r="J44" s="26"/>
      <c r="K44" s="17"/>
      <c r="L44" s="21"/>
      <c r="M44" s="17"/>
      <c r="N44" s="17"/>
      <c r="O44" s="21"/>
      <c r="P44" s="21"/>
      <c r="Q44" s="22"/>
      <c r="R44" s="22"/>
      <c r="S44" s="22"/>
      <c r="T44" s="22"/>
      <c r="U44" s="22"/>
      <c r="V44" s="22"/>
      <c r="W44" s="27"/>
      <c r="X44" s="22"/>
      <c r="Y44" s="28"/>
      <c r="Z44" s="28"/>
      <c r="AA44" s="28"/>
      <c r="AB44" s="17"/>
      <c r="AC44" s="17"/>
      <c r="AD44" s="5">
        <v>1997</v>
      </c>
      <c r="AE44" s="28"/>
      <c r="AF44" s="2"/>
    </row>
    <row r="45" spans="1:32">
      <c r="A45" s="15">
        <f t="shared" si="2"/>
        <v>40</v>
      </c>
      <c r="B45" s="23" t="s">
        <v>323</v>
      </c>
      <c r="C45" s="3" t="s">
        <v>392</v>
      </c>
      <c r="D45" s="2" t="s">
        <v>185</v>
      </c>
      <c r="E45" s="24">
        <f>+[38]Main!$H$2</f>
        <v>41240</v>
      </c>
      <c r="F45" s="17">
        <f>+[38]Main!$H$4*FX!C12</f>
        <v>5059.9509140399996</v>
      </c>
      <c r="G45" s="17">
        <f>+([38]Main!$H$6-[38]Main!$H$5)*FX!C12</f>
        <v>79.99563000000002</v>
      </c>
      <c r="H45" s="17">
        <f>+F45+G45</f>
        <v>5139.9465440399999</v>
      </c>
      <c r="I45" s="16" t="s">
        <v>715</v>
      </c>
      <c r="J45" s="26">
        <v>45975</v>
      </c>
      <c r="K45" s="17"/>
      <c r="L45" s="21"/>
      <c r="M45" s="17"/>
      <c r="N45" s="17"/>
      <c r="O45" s="21"/>
      <c r="P45" s="21"/>
      <c r="Q45" s="22"/>
      <c r="R45" s="22"/>
      <c r="S45" s="22"/>
      <c r="T45" s="22"/>
      <c r="U45" s="22"/>
      <c r="V45" s="22"/>
      <c r="W45" s="27"/>
      <c r="X45" s="22"/>
      <c r="Y45" s="28"/>
      <c r="Z45" s="28"/>
      <c r="AA45" s="28"/>
      <c r="AB45" s="17"/>
      <c r="AC45" s="17"/>
      <c r="AD45" s="5"/>
      <c r="AE45" s="28"/>
      <c r="AF45" s="2"/>
    </row>
    <row r="46" spans="1:32">
      <c r="A46" s="15">
        <f t="shared" si="2"/>
        <v>41</v>
      </c>
      <c r="B46" s="23" t="s">
        <v>33</v>
      </c>
      <c r="C46" s="3" t="s">
        <v>34</v>
      </c>
      <c r="D46" s="2" t="s">
        <v>21</v>
      </c>
      <c r="E46" s="24">
        <f>+[39]Main!$H$2</f>
        <v>121.86</v>
      </c>
      <c r="F46" s="17">
        <f>+[39]Main!$H$4</f>
        <v>5842.5868395000007</v>
      </c>
      <c r="G46" s="17">
        <f>+[39]Main!$H$6-[39]Main!$H$5</f>
        <v>1137.3819999999998</v>
      </c>
      <c r="H46" s="17">
        <f>F46+G46</f>
        <v>6979.9688395000003</v>
      </c>
      <c r="I46" s="16" t="s">
        <v>805</v>
      </c>
      <c r="J46" s="26">
        <v>46324</v>
      </c>
      <c r="K46" s="17"/>
      <c r="L46" s="21"/>
      <c r="M46" s="17"/>
      <c r="N46" s="17"/>
      <c r="O46" s="21"/>
      <c r="P46" s="21"/>
      <c r="Q46" s="22"/>
      <c r="R46" s="22"/>
      <c r="S46" s="22"/>
      <c r="T46" s="22"/>
      <c r="U46" s="22"/>
      <c r="V46" s="22"/>
      <c r="W46" s="27"/>
      <c r="X46" s="22"/>
      <c r="Y46" s="28"/>
      <c r="Z46" s="28"/>
      <c r="AA46" s="28"/>
      <c r="AB46" s="17"/>
      <c r="AC46" s="17"/>
      <c r="AD46" s="5">
        <v>2002</v>
      </c>
      <c r="AE46" s="28" t="s">
        <v>408</v>
      </c>
      <c r="AF46" s="2"/>
    </row>
    <row r="47" spans="1:32">
      <c r="A47" s="15">
        <f t="shared" si="2"/>
        <v>42</v>
      </c>
      <c r="B47" s="23" t="s">
        <v>324</v>
      </c>
      <c r="C47" s="3" t="s">
        <v>326</v>
      </c>
      <c r="D47" s="2" t="s">
        <v>325</v>
      </c>
      <c r="E47" s="24">
        <f>+[40]Main!$I$2</f>
        <v>27.8</v>
      </c>
      <c r="F47" s="17">
        <f>+[40]Main!$I$4*FX!C14</f>
        <v>5512.4063999999998</v>
      </c>
      <c r="G47" s="17">
        <f>+([40]Main!$I$6-[40]Main!$I$5)*FX!C14</f>
        <v>392.36399999999998</v>
      </c>
      <c r="H47" s="17">
        <f>+F47+G47</f>
        <v>5904.7703999999994</v>
      </c>
      <c r="I47" s="16" t="s">
        <v>338</v>
      </c>
      <c r="J47" s="26">
        <v>45804</v>
      </c>
      <c r="K47" s="17"/>
      <c r="L47" s="21"/>
      <c r="M47" s="17"/>
      <c r="N47" s="17"/>
      <c r="O47" s="21"/>
      <c r="P47" s="21"/>
      <c r="Q47" s="22"/>
      <c r="R47" s="22"/>
      <c r="S47" s="22"/>
      <c r="T47" s="22"/>
      <c r="U47" s="22"/>
      <c r="V47" s="22"/>
      <c r="W47" s="27"/>
      <c r="X47" s="22"/>
      <c r="Y47" s="28"/>
      <c r="Z47" s="28"/>
      <c r="AA47" s="28"/>
      <c r="AB47" s="17"/>
      <c r="AC47" s="17"/>
      <c r="AD47" s="5">
        <v>1956</v>
      </c>
      <c r="AE47" s="28" t="s">
        <v>118</v>
      </c>
      <c r="AF47" s="2"/>
    </row>
    <row r="48" spans="1:32">
      <c r="A48" s="15">
        <f t="shared" si="2"/>
        <v>43</v>
      </c>
      <c r="B48" s="31" t="s">
        <v>312</v>
      </c>
      <c r="C48" s="3" t="s">
        <v>313</v>
      </c>
      <c r="D48" s="2" t="s">
        <v>219</v>
      </c>
      <c r="E48" s="24">
        <f>+[41]Main!$I$2</f>
        <v>0.93779999999999997</v>
      </c>
      <c r="F48" s="17">
        <f>+[41]Main!$I$4*FX!C8</f>
        <v>5962.0447439999998</v>
      </c>
      <c r="G48" s="17">
        <f>+([41]Main!$I$6-[41]Main!$I$5)*FX!C8</f>
        <v>155</v>
      </c>
      <c r="H48" s="17">
        <f>F48+G48</f>
        <v>6117.0447439999998</v>
      </c>
      <c r="I48" s="25" t="s">
        <v>805</v>
      </c>
      <c r="J48" s="26">
        <v>45981</v>
      </c>
      <c r="K48" s="24"/>
      <c r="L48" s="21"/>
      <c r="M48" s="17"/>
      <c r="N48" s="17"/>
      <c r="O48" s="21"/>
      <c r="P48" s="21"/>
      <c r="Q48" s="22"/>
      <c r="R48" s="22"/>
      <c r="S48" s="22"/>
      <c r="T48" s="22"/>
      <c r="U48" s="22"/>
      <c r="V48" s="22"/>
      <c r="W48" s="27"/>
      <c r="X48" s="22"/>
      <c r="Y48" s="28"/>
      <c r="Z48" s="28"/>
      <c r="AA48" s="28"/>
      <c r="AB48" s="17"/>
      <c r="AC48" s="17"/>
      <c r="AD48" s="5">
        <v>1981</v>
      </c>
      <c r="AE48" s="28" t="s">
        <v>402</v>
      </c>
      <c r="AF48" s="2"/>
    </row>
    <row r="49" spans="1:32">
      <c r="A49" s="15">
        <f t="shared" si="2"/>
        <v>44</v>
      </c>
      <c r="B49" s="23" t="s">
        <v>329</v>
      </c>
      <c r="C49" s="3" t="s">
        <v>330</v>
      </c>
      <c r="D49" s="2" t="s">
        <v>107</v>
      </c>
      <c r="E49" s="24">
        <f>+[42]Main!$H$2</f>
        <v>86.42</v>
      </c>
      <c r="F49" s="17">
        <f>+[42]Main!$H$4*FX!C13</f>
        <v>6825.0480185999995</v>
      </c>
      <c r="G49" s="17">
        <f>+([42]Main!$H$6-[42]Main!$H$5)*FX!C13</f>
        <v>-201.90158999999997</v>
      </c>
      <c r="H49" s="17">
        <f>+F49+G49</f>
        <v>6623.1464285999991</v>
      </c>
      <c r="I49" s="16" t="s">
        <v>715</v>
      </c>
      <c r="J49" s="26">
        <v>45939</v>
      </c>
      <c r="K49" s="17"/>
      <c r="L49" s="21"/>
      <c r="M49" s="17"/>
      <c r="N49" s="17"/>
      <c r="O49" s="21"/>
      <c r="P49" s="21"/>
      <c r="Q49" s="22"/>
      <c r="R49" s="22"/>
      <c r="S49" s="22"/>
      <c r="T49" s="22"/>
      <c r="U49" s="22"/>
      <c r="V49" s="22"/>
      <c r="W49" s="27"/>
      <c r="X49" s="22"/>
      <c r="Y49" s="28"/>
      <c r="Z49" s="28"/>
      <c r="AA49" s="28"/>
      <c r="AB49" s="17"/>
      <c r="AC49" s="17"/>
      <c r="AD49" s="5"/>
      <c r="AE49" s="28"/>
      <c r="AF49" s="2"/>
    </row>
    <row r="50" spans="1:32">
      <c r="A50" s="15">
        <f t="shared" si="2"/>
        <v>45</v>
      </c>
      <c r="B50" s="23" t="s">
        <v>388</v>
      </c>
      <c r="C50" s="3" t="s">
        <v>452</v>
      </c>
      <c r="D50" s="2" t="s">
        <v>454</v>
      </c>
      <c r="E50" s="24">
        <f>+[43]Main!$H$2</f>
        <v>16.02</v>
      </c>
      <c r="F50" s="17">
        <f>+[43]Main!$H$5*FX!C9</f>
        <v>5313.5769879360005</v>
      </c>
      <c r="G50" s="17">
        <f>+([43]Main!$H$7-[43]Main!$H$6)*FX!C9</f>
        <v>-2458.0551799999998</v>
      </c>
      <c r="H50" s="17">
        <f>F50+G50</f>
        <v>2855.5218079360006</v>
      </c>
      <c r="I50" s="16" t="s">
        <v>148</v>
      </c>
      <c r="J50" s="26">
        <v>45733</v>
      </c>
      <c r="K50" s="17"/>
      <c r="L50" s="21"/>
      <c r="M50" s="17"/>
      <c r="N50" s="17"/>
      <c r="O50" s="21"/>
      <c r="P50" s="21"/>
      <c r="Q50" s="22"/>
      <c r="R50" s="22"/>
      <c r="S50" s="22"/>
      <c r="T50" s="22"/>
      <c r="U50" s="22"/>
      <c r="V50" s="22"/>
      <c r="W50" s="27"/>
      <c r="X50" s="22"/>
      <c r="Y50" s="28"/>
      <c r="Z50" s="28"/>
      <c r="AA50" s="28"/>
      <c r="AB50" s="17"/>
      <c r="AC50" s="17"/>
      <c r="AD50" s="5"/>
      <c r="AE50" s="28" t="s">
        <v>115</v>
      </c>
      <c r="AF50" s="2"/>
    </row>
    <row r="51" spans="1:32">
      <c r="A51" s="15">
        <f t="shared" si="2"/>
        <v>46</v>
      </c>
      <c r="B51" s="23" t="s">
        <v>47</v>
      </c>
      <c r="C51" s="3" t="s">
        <v>453</v>
      </c>
      <c r="D51" s="2" t="s">
        <v>454</v>
      </c>
      <c r="E51" s="24">
        <f>+[44]Main!$I$2</f>
        <v>8.01</v>
      </c>
      <c r="F51" s="17">
        <f>+[44]Main!$I$4*FX!C9</f>
        <v>5141.5464790620008</v>
      </c>
      <c r="G51" s="17">
        <f>+([44]Main!$I$6-[44]Main!$I$5)*FX!C9</f>
        <v>1697.6221653999999</v>
      </c>
      <c r="H51" s="17">
        <f>+F51+G51</f>
        <v>6839.1686444620009</v>
      </c>
      <c r="I51" s="16" t="s">
        <v>337</v>
      </c>
      <c r="J51" s="26"/>
      <c r="K51" s="17"/>
      <c r="L51" s="21"/>
      <c r="M51" s="17"/>
      <c r="N51" s="17"/>
      <c r="O51" s="21"/>
      <c r="P51" s="21"/>
      <c r="Q51" s="22"/>
      <c r="R51" s="22"/>
      <c r="S51" s="22"/>
      <c r="T51" s="22"/>
      <c r="U51" s="22"/>
      <c r="V51" s="22"/>
      <c r="W51" s="27"/>
      <c r="X51" s="22"/>
      <c r="Y51" s="28"/>
      <c r="Z51" s="28"/>
      <c r="AA51" s="28"/>
      <c r="AB51" s="17"/>
      <c r="AC51" s="17"/>
      <c r="AD51" s="5"/>
      <c r="AE51" s="28"/>
      <c r="AF51" s="2"/>
    </row>
    <row r="52" spans="1:32">
      <c r="A52" s="15">
        <f t="shared" si="2"/>
        <v>47</v>
      </c>
      <c r="B52" s="23" t="s">
        <v>152</v>
      </c>
      <c r="C52" s="3" t="s">
        <v>153</v>
      </c>
      <c r="D52" s="2" t="s">
        <v>21</v>
      </c>
      <c r="E52" s="24">
        <f>+[45]Main!$J$2</f>
        <v>79.900000000000006</v>
      </c>
      <c r="F52" s="17">
        <f>+[45]Main!$J$4</f>
        <v>6842.1251993000005</v>
      </c>
      <c r="G52" s="17">
        <f>+[45]Main!$J$6-[45]Main!$J$5</f>
        <v>-716.12699999999995</v>
      </c>
      <c r="H52" s="17">
        <f>+F52+G52</f>
        <v>6125.9981993000001</v>
      </c>
      <c r="I52" s="16" t="s">
        <v>899</v>
      </c>
      <c r="J52" s="26">
        <v>46350</v>
      </c>
      <c r="K52" s="17"/>
      <c r="L52" s="21"/>
      <c r="M52" s="17"/>
      <c r="N52" s="17"/>
      <c r="O52" s="21"/>
      <c r="P52" s="21"/>
      <c r="Q52" s="22"/>
      <c r="R52" s="22"/>
      <c r="S52" s="22"/>
      <c r="T52" s="22"/>
      <c r="U52" s="22"/>
      <c r="V52" s="22"/>
      <c r="W52" s="27"/>
      <c r="X52" s="22"/>
      <c r="Y52" s="28"/>
      <c r="Z52" s="28"/>
      <c r="AA52" s="28"/>
      <c r="AB52" s="17"/>
      <c r="AC52" s="17"/>
      <c r="AD52" s="5"/>
      <c r="AE52" s="28"/>
      <c r="AF52" s="2"/>
    </row>
    <row r="53" spans="1:32">
      <c r="A53" s="15">
        <f t="shared" si="2"/>
        <v>48</v>
      </c>
      <c r="B53" s="23" t="s">
        <v>35</v>
      </c>
      <c r="C53" s="3" t="s">
        <v>385</v>
      </c>
      <c r="D53" s="2" t="s">
        <v>82</v>
      </c>
      <c r="E53" s="24">
        <f>+[46]Main!$I$2</f>
        <v>25.8</v>
      </c>
      <c r="F53" s="17">
        <f>+[46]Main!$I$4*FX!C3</f>
        <v>3949.9093389599998</v>
      </c>
      <c r="G53" s="17">
        <f>+([46]Main!$I$6-[46]Main!$I$5)*FX!C3</f>
        <v>1411.904</v>
      </c>
      <c r="H53" s="17">
        <f t="shared" si="3"/>
        <v>5361.8133389599998</v>
      </c>
      <c r="I53" s="16" t="s">
        <v>826</v>
      </c>
      <c r="J53" s="26">
        <v>46325</v>
      </c>
      <c r="K53" s="17"/>
      <c r="L53" s="21"/>
      <c r="M53" s="17"/>
      <c r="N53" s="17"/>
      <c r="O53" s="21"/>
      <c r="P53" s="21"/>
      <c r="Q53" s="22"/>
      <c r="R53" s="22"/>
      <c r="S53" s="22"/>
      <c r="T53" s="22"/>
      <c r="U53" s="22"/>
      <c r="V53" s="22"/>
      <c r="W53" s="27"/>
      <c r="X53" s="22"/>
      <c r="Y53" s="28"/>
      <c r="Z53" s="28"/>
      <c r="AA53" s="28"/>
      <c r="AB53" s="17"/>
      <c r="AC53" s="17"/>
      <c r="AD53" s="5">
        <v>1948</v>
      </c>
      <c r="AE53" s="28" t="s">
        <v>402</v>
      </c>
      <c r="AF53" s="2"/>
    </row>
    <row r="54" spans="1:32">
      <c r="A54" s="15">
        <f t="shared" si="2"/>
        <v>49</v>
      </c>
      <c r="B54" s="23" t="s">
        <v>40</v>
      </c>
      <c r="C54" s="3" t="s">
        <v>390</v>
      </c>
      <c r="D54" s="2" t="s">
        <v>454</v>
      </c>
      <c r="E54" s="24">
        <f>+[47]Main!$I$2</f>
        <v>3.75</v>
      </c>
      <c r="F54" s="17">
        <f>+[47]Main!$I$5*FX!C9</f>
        <v>5271.5025720000003</v>
      </c>
      <c r="G54" s="17">
        <f>+([47]Main!$I$7-[47]Main!$I$6)*FX!C9</f>
        <v>-653.85012000000006</v>
      </c>
      <c r="H54" s="17">
        <f t="shared" si="3"/>
        <v>4617.6524520000003</v>
      </c>
      <c r="I54" s="16" t="s">
        <v>334</v>
      </c>
      <c r="J54" s="26">
        <v>45833</v>
      </c>
      <c r="K54" s="17"/>
      <c r="L54" s="21"/>
      <c r="M54" s="17"/>
      <c r="N54" s="17"/>
      <c r="O54" s="21"/>
      <c r="P54" s="21"/>
      <c r="Q54" s="22"/>
      <c r="R54" s="22"/>
      <c r="S54" s="22"/>
      <c r="T54" s="22"/>
      <c r="U54" s="22"/>
      <c r="V54" s="22"/>
      <c r="W54" s="27"/>
      <c r="X54" s="22"/>
      <c r="Y54" s="28"/>
      <c r="Z54" s="28"/>
      <c r="AA54" s="28"/>
      <c r="AB54" s="17"/>
      <c r="AC54" s="17"/>
      <c r="AD54" s="5">
        <v>1976</v>
      </c>
      <c r="AE54" s="28" t="s">
        <v>97</v>
      </c>
      <c r="AF54" s="2"/>
    </row>
    <row r="55" spans="1:32">
      <c r="A55" s="15">
        <f t="shared" si="2"/>
        <v>50</v>
      </c>
      <c r="B55" s="23" t="s">
        <v>112</v>
      </c>
      <c r="C55" s="3" t="s">
        <v>113</v>
      </c>
      <c r="D55" s="2" t="s">
        <v>21</v>
      </c>
      <c r="E55" s="24">
        <f>+[48]Main!$I$2</f>
        <v>148.80000000000001</v>
      </c>
      <c r="F55" s="17">
        <f>+[48]Main!$I$4</f>
        <v>6512.5296000000008</v>
      </c>
      <c r="G55" s="17">
        <f>+[48]Main!$I$6-[48]Main!$I$5</f>
        <v>-637.99900000000002</v>
      </c>
      <c r="H55" s="17">
        <f>F55+G55</f>
        <v>5874.530600000001</v>
      </c>
      <c r="I55" s="25" t="s">
        <v>805</v>
      </c>
      <c r="J55" s="26">
        <v>46350</v>
      </c>
      <c r="K55" s="17">
        <v>4280.7</v>
      </c>
      <c r="L55" s="21">
        <v>0.16</v>
      </c>
      <c r="M55" s="17">
        <v>484.7</v>
      </c>
      <c r="N55" s="17">
        <v>328.1</v>
      </c>
      <c r="O55" s="21">
        <v>0.63</v>
      </c>
      <c r="P55" s="21">
        <v>0.11</v>
      </c>
      <c r="Q55" s="22"/>
      <c r="R55" s="22"/>
      <c r="S55" s="22"/>
      <c r="T55" s="22"/>
      <c r="U55" s="22"/>
      <c r="V55" s="22"/>
      <c r="W55" s="27"/>
      <c r="X55" s="22"/>
      <c r="Y55" s="28"/>
      <c r="Z55" s="28"/>
      <c r="AA55" s="28"/>
      <c r="AB55" s="17"/>
      <c r="AC55" s="17"/>
      <c r="AD55" s="5">
        <v>1892</v>
      </c>
      <c r="AE55" s="28" t="s">
        <v>97</v>
      </c>
      <c r="AF55" s="2"/>
    </row>
    <row r="56" spans="1:32">
      <c r="A56" s="15">
        <f t="shared" si="2"/>
        <v>51</v>
      </c>
      <c r="B56" s="23" t="s">
        <v>42</v>
      </c>
      <c r="C56" s="3" t="s">
        <v>43</v>
      </c>
      <c r="D56" s="2" t="s">
        <v>21</v>
      </c>
      <c r="E56" s="24">
        <f>+[49]Main!$I$2</f>
        <v>56.92</v>
      </c>
      <c r="F56" s="17">
        <f>+[49]Main!$I$4</f>
        <v>2913.9166024800002</v>
      </c>
      <c r="G56" s="17">
        <f>+[49]Main!$I$6-[49]Main!$I$5</f>
        <v>-624.601</v>
      </c>
      <c r="H56" s="17">
        <f t="shared" si="3"/>
        <v>2289.3156024800001</v>
      </c>
      <c r="I56" s="16" t="s">
        <v>805</v>
      </c>
      <c r="J56" s="26">
        <v>46324</v>
      </c>
      <c r="K56" s="17"/>
      <c r="L56" s="21"/>
      <c r="M56" s="17"/>
      <c r="N56" s="17"/>
      <c r="O56" s="21"/>
      <c r="P56" s="21"/>
      <c r="Q56" s="22"/>
      <c r="R56" s="22"/>
      <c r="S56" s="22"/>
      <c r="T56" s="22"/>
      <c r="U56" s="22"/>
      <c r="V56" s="22"/>
      <c r="W56" s="27"/>
      <c r="X56" s="22"/>
      <c r="Y56" s="28"/>
      <c r="Z56" s="28"/>
      <c r="AA56" s="28"/>
      <c r="AB56" s="17"/>
      <c r="AC56" s="17"/>
      <c r="AD56" s="5">
        <v>1938</v>
      </c>
      <c r="AE56" s="28" t="s">
        <v>97</v>
      </c>
      <c r="AF56" s="2"/>
    </row>
    <row r="57" spans="1:32">
      <c r="A57" s="15">
        <f t="shared" si="2"/>
        <v>52</v>
      </c>
      <c r="B57" s="23" t="s">
        <v>36</v>
      </c>
      <c r="C57" s="3" t="s">
        <v>37</v>
      </c>
      <c r="D57" s="2" t="s">
        <v>21</v>
      </c>
      <c r="E57" s="24">
        <f>+[50]Main!$J$2</f>
        <v>72.459999999999994</v>
      </c>
      <c r="F57" s="17">
        <f>+[50]Main!$J$4</f>
        <v>3343.1473791799999</v>
      </c>
      <c r="G57" s="17">
        <f>+([50]Main!$J$6-[50]Main!$J$5)</f>
        <v>1270.5999999999999</v>
      </c>
      <c r="H57" s="17">
        <f>F57+G57</f>
        <v>4613.7473791800003</v>
      </c>
      <c r="I57" s="16" t="s">
        <v>805</v>
      </c>
      <c r="J57" s="26">
        <v>46359</v>
      </c>
      <c r="K57" s="17"/>
      <c r="L57" s="21"/>
      <c r="M57" s="17"/>
      <c r="N57" s="17"/>
      <c r="O57" s="21"/>
      <c r="P57" s="21"/>
      <c r="Q57" s="22"/>
      <c r="R57" s="22"/>
      <c r="S57" s="22"/>
      <c r="T57" s="22"/>
      <c r="U57" s="22"/>
      <c r="V57" s="22"/>
      <c r="W57" s="27"/>
      <c r="X57" s="22"/>
      <c r="Y57" s="28"/>
      <c r="Z57" s="28"/>
      <c r="AA57" s="28"/>
      <c r="AB57" s="17"/>
      <c r="AC57" s="17"/>
      <c r="AD57" s="5">
        <v>1881</v>
      </c>
      <c r="AE57" s="28" t="s">
        <v>97</v>
      </c>
      <c r="AF57" s="2"/>
    </row>
    <row r="58" spans="1:32">
      <c r="A58" s="15">
        <f t="shared" si="2"/>
        <v>53</v>
      </c>
      <c r="B58" s="23" t="s">
        <v>49</v>
      </c>
      <c r="C58" s="3" t="s">
        <v>417</v>
      </c>
      <c r="D58" s="2" t="s">
        <v>124</v>
      </c>
      <c r="E58" s="24">
        <f>+[51]Main!$I$2</f>
        <v>2816.5</v>
      </c>
      <c r="F58" s="17">
        <f>+[51]Main!$I$4*FX!C5</f>
        <v>4393.7011297651507</v>
      </c>
      <c r="G58" s="17">
        <f>+([51]Main!$I$6-[51]Main!$I$5)*FX!C5</f>
        <v>-837.64170000000001</v>
      </c>
      <c r="H58" s="17">
        <f>+F58+G58</f>
        <v>3556.0594297651505</v>
      </c>
      <c r="I58" s="16" t="s">
        <v>338</v>
      </c>
      <c r="J58" s="26">
        <v>45812</v>
      </c>
      <c r="K58" s="17"/>
      <c r="L58" s="21"/>
      <c r="M58" s="17"/>
      <c r="N58" s="17"/>
      <c r="O58" s="21"/>
      <c r="P58" s="21"/>
      <c r="Q58" s="22"/>
      <c r="R58" s="22"/>
      <c r="S58" s="22"/>
      <c r="T58" s="22"/>
      <c r="U58" s="22"/>
      <c r="V58" s="22"/>
      <c r="W58" s="27"/>
      <c r="X58" s="22"/>
      <c r="Y58" s="28"/>
      <c r="Z58" s="28"/>
      <c r="AA58" s="28"/>
      <c r="AB58" s="17"/>
      <c r="AC58" s="17"/>
      <c r="AD58" s="5">
        <v>1985</v>
      </c>
      <c r="AE58" s="28" t="s">
        <v>431</v>
      </c>
      <c r="AF58" s="2"/>
    </row>
    <row r="59" spans="1:32">
      <c r="A59" s="15">
        <f t="shared" si="2"/>
        <v>54</v>
      </c>
      <c r="B59" s="23" t="s">
        <v>48</v>
      </c>
      <c r="C59" s="3" t="s">
        <v>455</v>
      </c>
      <c r="D59" s="2" t="s">
        <v>219</v>
      </c>
      <c r="E59" s="24">
        <f>+[52]Main!$I$2</f>
        <v>10.93</v>
      </c>
      <c r="F59" s="17">
        <f>+[52]Main!$I$4*FX!C3</f>
        <v>4072.8677600000001</v>
      </c>
      <c r="G59" s="17">
        <f>+([52]Main!$I$6-[52]Main!$I$5)*FX!C3</f>
        <v>-107.12</v>
      </c>
      <c r="H59" s="17">
        <f>+F59+G59</f>
        <v>3965.7477600000002</v>
      </c>
      <c r="I59" s="16" t="s">
        <v>827</v>
      </c>
      <c r="J59" s="26"/>
      <c r="K59" s="17"/>
      <c r="L59" s="21"/>
      <c r="M59" s="17"/>
      <c r="N59" s="17"/>
      <c r="O59" s="21"/>
      <c r="P59" s="21"/>
      <c r="Q59" s="22"/>
      <c r="R59" s="22"/>
      <c r="S59" s="22"/>
      <c r="T59" s="22"/>
      <c r="U59" s="22"/>
      <c r="V59" s="22"/>
      <c r="W59" s="27"/>
      <c r="X59" s="22"/>
      <c r="Y59" s="28"/>
      <c r="Z59" s="28"/>
      <c r="AA59" s="28"/>
      <c r="AB59" s="17"/>
      <c r="AC59" s="17"/>
      <c r="AD59" s="5"/>
      <c r="AE59" s="28"/>
      <c r="AF59" s="2"/>
    </row>
    <row r="60" spans="1:32">
      <c r="A60" s="15">
        <f t="shared" si="2"/>
        <v>55</v>
      </c>
      <c r="B60" s="23" t="s">
        <v>317</v>
      </c>
      <c r="C60" s="3" t="s">
        <v>316</v>
      </c>
      <c r="D60" s="2" t="s">
        <v>21</v>
      </c>
      <c r="E60" s="24">
        <f>+[53]Main!$I$2</f>
        <v>165.1</v>
      </c>
      <c r="F60" s="17">
        <f>+[53]Main!$I$4</f>
        <v>5044.7333572999996</v>
      </c>
      <c r="G60" s="17">
        <f>+[53]Main!$I$6-[53]Main!$I$5</f>
        <v>-95.319000000000003</v>
      </c>
      <c r="H60" s="17">
        <f t="shared" si="3"/>
        <v>4949.4143572999992</v>
      </c>
      <c r="I60" s="16" t="s">
        <v>805</v>
      </c>
      <c r="J60" s="26">
        <v>45957</v>
      </c>
      <c r="K60" s="17"/>
      <c r="L60" s="21"/>
      <c r="M60" s="17"/>
      <c r="N60" s="17"/>
      <c r="O60" s="21"/>
      <c r="P60" s="21"/>
      <c r="Q60" s="22"/>
      <c r="R60" s="22"/>
      <c r="S60" s="22"/>
      <c r="T60" s="22"/>
      <c r="U60" s="22"/>
      <c r="V60" s="22"/>
      <c r="W60" s="27"/>
      <c r="X60" s="22"/>
      <c r="Y60" s="28"/>
      <c r="Z60" s="28"/>
      <c r="AA60" s="28"/>
      <c r="AB60" s="17"/>
      <c r="AC60" s="17"/>
      <c r="AD60" s="5">
        <v>1978</v>
      </c>
      <c r="AE60" s="28" t="s">
        <v>410</v>
      </c>
      <c r="AF60" s="2"/>
    </row>
    <row r="61" spans="1:32">
      <c r="A61" s="15">
        <f t="shared" si="2"/>
        <v>56</v>
      </c>
      <c r="B61" s="23" t="s">
        <v>411</v>
      </c>
      <c r="C61" s="3" t="s">
        <v>318</v>
      </c>
      <c r="D61" s="2" t="s">
        <v>21</v>
      </c>
      <c r="E61" s="24">
        <f>+[54]Main!$I$2</f>
        <v>78.680000000000007</v>
      </c>
      <c r="F61" s="17">
        <f>+[54]Main!$I$4</f>
        <v>4372.5807311200006</v>
      </c>
      <c r="G61" s="17">
        <f>+[54]Main!$I$6-[54]Main!$I$5</f>
        <v>1259.028</v>
      </c>
      <c r="H61" s="17">
        <f t="shared" si="3"/>
        <v>5631.6087311200008</v>
      </c>
      <c r="I61" s="16" t="s">
        <v>149</v>
      </c>
      <c r="J61" s="26">
        <v>45960</v>
      </c>
      <c r="K61" s="17"/>
      <c r="L61" s="21"/>
      <c r="M61" s="17"/>
      <c r="N61" s="17"/>
      <c r="O61" s="21"/>
      <c r="P61" s="21"/>
      <c r="Q61" s="22"/>
      <c r="R61" s="22"/>
      <c r="S61" s="22"/>
      <c r="T61" s="22"/>
      <c r="U61" s="22"/>
      <c r="V61" s="22"/>
      <c r="W61" s="27"/>
      <c r="X61" s="22"/>
      <c r="Y61" s="28"/>
      <c r="Z61" s="28"/>
      <c r="AA61" s="28"/>
      <c r="AB61" s="17"/>
      <c r="AC61" s="17"/>
      <c r="AD61" s="5">
        <v>2019</v>
      </c>
      <c r="AE61" s="28" t="s">
        <v>412</v>
      </c>
      <c r="AF61" s="2"/>
    </row>
    <row r="62" spans="1:32">
      <c r="A62" s="15">
        <f t="shared" si="2"/>
        <v>57</v>
      </c>
      <c r="B62" s="23" t="s">
        <v>439</v>
      </c>
      <c r="C62" s="3" t="s">
        <v>346</v>
      </c>
      <c r="D62" s="2" t="s">
        <v>21</v>
      </c>
      <c r="E62" s="24" t="s">
        <v>816</v>
      </c>
      <c r="F62" s="17"/>
      <c r="G62" s="17"/>
      <c r="H62" s="17"/>
      <c r="I62" s="16"/>
      <c r="J62" s="26"/>
      <c r="K62" s="24"/>
      <c r="L62" s="21"/>
      <c r="M62" s="24"/>
      <c r="N62" s="24"/>
      <c r="O62" s="21"/>
      <c r="P62" s="21"/>
      <c r="Q62" s="22"/>
      <c r="R62" s="22"/>
      <c r="S62" s="22"/>
      <c r="T62" s="22"/>
      <c r="U62" s="22"/>
      <c r="V62" s="22"/>
      <c r="W62" s="27"/>
      <c r="X62" s="22"/>
      <c r="Y62" s="28"/>
      <c r="Z62" s="28"/>
      <c r="AA62" s="28"/>
      <c r="AB62" s="17"/>
      <c r="AC62" s="17"/>
      <c r="AD62" s="5"/>
      <c r="AE62" s="28" t="s">
        <v>118</v>
      </c>
      <c r="AF62" s="2"/>
    </row>
    <row r="63" spans="1:32">
      <c r="A63" s="15">
        <f t="shared" si="2"/>
        <v>58</v>
      </c>
      <c r="B63" s="23" t="s">
        <v>50</v>
      </c>
      <c r="C63" s="3" t="s">
        <v>456</v>
      </c>
      <c r="D63" s="2" t="s">
        <v>433</v>
      </c>
      <c r="E63" s="24">
        <f>+[55]Main!$J$2</f>
        <v>132.5</v>
      </c>
      <c r="F63" s="17">
        <f>+[55]Main!$J$4*FX!C15</f>
        <v>3925.244925</v>
      </c>
      <c r="G63" s="17">
        <f>+([55]Main!$J$6-[55]Main!$J$5)*FX!C15</f>
        <v>122.75229000000002</v>
      </c>
      <c r="H63" s="17">
        <f>+F63+G63</f>
        <v>4047.9972149999999</v>
      </c>
      <c r="I63" s="16" t="s">
        <v>337</v>
      </c>
      <c r="J63" s="26"/>
      <c r="K63" s="17"/>
      <c r="L63" s="21"/>
      <c r="M63" s="17"/>
      <c r="N63" s="17"/>
      <c r="O63" s="21"/>
      <c r="P63" s="21"/>
      <c r="Q63" s="22"/>
      <c r="R63" s="22"/>
      <c r="S63" s="22"/>
      <c r="T63" s="22"/>
      <c r="U63" s="22"/>
      <c r="V63" s="22"/>
      <c r="W63" s="27"/>
      <c r="X63" s="22"/>
      <c r="Y63" s="28"/>
      <c r="Z63" s="28"/>
      <c r="AA63" s="28"/>
      <c r="AB63" s="17"/>
      <c r="AC63" s="17"/>
      <c r="AD63" s="5"/>
      <c r="AE63" s="28"/>
      <c r="AF63" s="2"/>
    </row>
    <row r="64" spans="1:32">
      <c r="A64" s="15">
        <f t="shared" si="2"/>
        <v>59</v>
      </c>
      <c r="B64" s="23" t="s">
        <v>150</v>
      </c>
      <c r="C64" s="3" t="s">
        <v>151</v>
      </c>
      <c r="D64" s="2" t="s">
        <v>21</v>
      </c>
      <c r="E64" s="24">
        <f>+[56]Main!$J$2</f>
        <v>161.28</v>
      </c>
      <c r="F64" s="17">
        <f>+[56]Main!$J$4</f>
        <v>2990.6024601600002</v>
      </c>
      <c r="G64" s="17">
        <f>+[56]Main!$J$6-[56]Main!$J$5</f>
        <v>-211.91</v>
      </c>
      <c r="H64" s="17">
        <f>+F64+G64</f>
        <v>2778.6924601600003</v>
      </c>
      <c r="I64" s="16" t="s">
        <v>811</v>
      </c>
      <c r="J64" s="26">
        <v>45952</v>
      </c>
      <c r="K64" s="17"/>
      <c r="L64" s="21"/>
      <c r="M64" s="17"/>
      <c r="N64" s="17"/>
      <c r="O64" s="21"/>
      <c r="P64" s="21"/>
      <c r="Q64" s="22"/>
      <c r="R64" s="22"/>
      <c r="S64" s="22"/>
      <c r="T64" s="22"/>
      <c r="U64" s="22"/>
      <c r="V64" s="22"/>
      <c r="W64" s="27"/>
      <c r="X64" s="22"/>
      <c r="Y64" s="28"/>
      <c r="Z64" s="28"/>
      <c r="AA64" s="28"/>
      <c r="AB64" s="17"/>
      <c r="AC64" s="17"/>
      <c r="AD64" s="5"/>
      <c r="AE64" s="28"/>
      <c r="AF64" s="2"/>
    </row>
    <row r="65" spans="1:32">
      <c r="A65" s="15">
        <f t="shared" si="2"/>
        <v>60</v>
      </c>
      <c r="B65" s="23" t="s">
        <v>53</v>
      </c>
      <c r="C65" s="3" t="s">
        <v>696</v>
      </c>
      <c r="D65" s="2" t="s">
        <v>82</v>
      </c>
      <c r="E65" s="24">
        <f>+[57]Main!$J$2</f>
        <v>37.94</v>
      </c>
      <c r="F65" s="17">
        <f>+[57]Main!$J$4*FX!C3</f>
        <v>2723.2123110191997</v>
      </c>
      <c r="G65" s="17">
        <f>+([57]Main!$J$6-[57]Main!$J$5)*FX!C3</f>
        <v>-54.08</v>
      </c>
      <c r="H65" s="17">
        <f>+F65+G65</f>
        <v>2669.1323110191997</v>
      </c>
      <c r="I65" s="16" t="s">
        <v>805</v>
      </c>
      <c r="J65" s="26">
        <v>46329</v>
      </c>
      <c r="K65" s="17"/>
      <c r="L65" s="21"/>
      <c r="M65" s="17"/>
      <c r="N65" s="17"/>
      <c r="O65" s="21"/>
      <c r="P65" s="21"/>
      <c r="Q65" s="22"/>
      <c r="R65" s="22"/>
      <c r="S65" s="22"/>
      <c r="T65" s="22"/>
      <c r="U65" s="22"/>
      <c r="V65" s="22"/>
      <c r="W65" s="27"/>
      <c r="X65" s="22"/>
      <c r="Y65" s="28"/>
      <c r="Z65" s="28"/>
      <c r="AA65" s="28"/>
      <c r="AB65" s="17"/>
      <c r="AC65" s="17"/>
      <c r="AD65" s="5"/>
      <c r="AE65" s="28"/>
      <c r="AF65" s="2"/>
    </row>
    <row r="66" spans="1:32">
      <c r="A66" s="15">
        <f t="shared" si="2"/>
        <v>61</v>
      </c>
      <c r="B66" s="23" t="s">
        <v>58</v>
      </c>
      <c r="C66" s="3" t="s">
        <v>60</v>
      </c>
      <c r="D66" s="2" t="s">
        <v>21</v>
      </c>
      <c r="E66" s="24">
        <f>+[58]Main!$I$2</f>
        <v>5.53</v>
      </c>
      <c r="F66" s="17">
        <f>+[58]Main!$I$4</f>
        <v>1932.9868362000002</v>
      </c>
      <c r="G66" s="17">
        <f>+[58]Main!$I$6-[58]Main!$I$5</f>
        <v>195.17700000000002</v>
      </c>
      <c r="H66" s="17">
        <f>+F66+G66</f>
        <v>2128.1638362000003</v>
      </c>
      <c r="I66" s="16" t="s">
        <v>873</v>
      </c>
      <c r="J66" s="26">
        <v>46331</v>
      </c>
      <c r="K66" s="17"/>
      <c r="L66" s="21"/>
      <c r="M66" s="17"/>
      <c r="N66" s="17"/>
      <c r="O66" s="21"/>
      <c r="P66" s="21"/>
      <c r="Q66" s="22"/>
      <c r="R66" s="22"/>
      <c r="S66" s="22"/>
      <c r="T66" s="22"/>
      <c r="U66" s="22"/>
      <c r="V66" s="22"/>
      <c r="W66" s="27"/>
      <c r="X66" s="22"/>
      <c r="Y66" s="28"/>
      <c r="Z66" s="28"/>
      <c r="AA66" s="28"/>
      <c r="AB66" s="17"/>
      <c r="AC66" s="17"/>
      <c r="AD66" s="5"/>
      <c r="AE66" s="28"/>
      <c r="AF66" s="2"/>
    </row>
    <row r="67" spans="1:32">
      <c r="A67" s="15">
        <f t="shared" si="2"/>
        <v>62</v>
      </c>
      <c r="B67" s="23" t="s">
        <v>327</v>
      </c>
      <c r="C67" s="3" t="s">
        <v>328</v>
      </c>
      <c r="D67" s="2" t="s">
        <v>21</v>
      </c>
      <c r="E67" s="24">
        <f>+[59]Main!$I$2</f>
        <v>17.37</v>
      </c>
      <c r="F67" s="17">
        <f>+[59]Main!$I$4</f>
        <v>2910.7487942100001</v>
      </c>
      <c r="G67" s="17">
        <f>+[59]Main!$I$6-[59]Main!$I$5</f>
        <v>-18.286000000000001</v>
      </c>
      <c r="H67" s="17">
        <f t="shared" ref="H67:H73" si="4">+F67+G67</f>
        <v>2892.4627942100001</v>
      </c>
      <c r="I67" s="16" t="s">
        <v>826</v>
      </c>
      <c r="J67" s="26"/>
      <c r="K67" s="17"/>
      <c r="L67" s="21"/>
      <c r="M67" s="17"/>
      <c r="N67" s="17"/>
      <c r="O67" s="21"/>
      <c r="P67" s="21"/>
      <c r="Q67" s="22"/>
      <c r="R67" s="22"/>
      <c r="S67" s="22"/>
      <c r="T67" s="22"/>
      <c r="U67" s="22"/>
      <c r="V67" s="22"/>
      <c r="W67" s="27"/>
      <c r="X67" s="22"/>
      <c r="Y67" s="28"/>
      <c r="Z67" s="28"/>
      <c r="AA67" s="28"/>
      <c r="AB67" s="17"/>
      <c r="AC67" s="17"/>
      <c r="AD67" s="5"/>
      <c r="AE67" s="28"/>
      <c r="AF67" s="2"/>
    </row>
    <row r="68" spans="1:32">
      <c r="A68" s="15">
        <f t="shared" si="2"/>
        <v>63</v>
      </c>
      <c r="B68" s="23" t="s">
        <v>332</v>
      </c>
      <c r="C68" s="3" t="s">
        <v>333</v>
      </c>
      <c r="D68" s="2" t="s">
        <v>185</v>
      </c>
      <c r="E68" s="24">
        <f>+[60]Main!$I$2</f>
        <v>263.45</v>
      </c>
      <c r="F68" s="17">
        <f>+[60]Main!$I$4*FX!C12</f>
        <v>2976.4027894628493</v>
      </c>
      <c r="G68" s="17">
        <f>+([60]Main!$I$6-[60]Main!$I$5)*FX!C12</f>
        <v>26.92503</v>
      </c>
      <c r="H68" s="17">
        <f t="shared" si="4"/>
        <v>3003.3278194628492</v>
      </c>
      <c r="I68" s="16" t="s">
        <v>338</v>
      </c>
      <c r="J68" s="26"/>
      <c r="K68" s="17"/>
      <c r="L68" s="21"/>
      <c r="M68" s="17"/>
      <c r="N68" s="17"/>
      <c r="O68" s="21"/>
      <c r="P68" s="21"/>
      <c r="Q68" s="22"/>
      <c r="R68" s="22"/>
      <c r="S68" s="22"/>
      <c r="T68" s="22"/>
      <c r="U68" s="22"/>
      <c r="V68" s="22"/>
      <c r="W68" s="27"/>
      <c r="X68" s="22"/>
      <c r="Y68" s="28"/>
      <c r="Z68" s="28"/>
      <c r="AA68" s="28"/>
      <c r="AB68" s="17"/>
      <c r="AC68" s="17"/>
      <c r="AD68" s="5"/>
      <c r="AE68" s="28"/>
      <c r="AF68" s="2"/>
    </row>
    <row r="69" spans="1:32">
      <c r="A69" s="15">
        <f t="shared" si="2"/>
        <v>64</v>
      </c>
      <c r="B69" s="44" t="s">
        <v>161</v>
      </c>
      <c r="C69" s="3" t="s">
        <v>896</v>
      </c>
      <c r="D69" s="2" t="s">
        <v>21</v>
      </c>
      <c r="E69" s="24">
        <f>+[61]Main!$I$2</f>
        <v>73.62</v>
      </c>
      <c r="F69" s="17">
        <f>+[61]Main!$I$4</f>
        <v>5852.1810889800008</v>
      </c>
      <c r="G69" s="17">
        <f>+[61]Main!$I$6-[61]Main!$I$5</f>
        <v>783</v>
      </c>
      <c r="H69" s="17">
        <f>F69+G69</f>
        <v>6635.1810889800008</v>
      </c>
      <c r="I69" s="25" t="s">
        <v>805</v>
      </c>
      <c r="J69" s="26">
        <v>46360</v>
      </c>
      <c r="K69" s="24"/>
      <c r="L69" s="21"/>
      <c r="M69" s="24"/>
      <c r="N69" s="24"/>
      <c r="O69" s="21"/>
      <c r="P69" s="21"/>
      <c r="Q69" s="22"/>
      <c r="R69" s="22"/>
      <c r="S69" s="22"/>
      <c r="T69" s="22"/>
      <c r="U69" s="22"/>
      <c r="V69" s="22"/>
      <c r="W69" s="27"/>
      <c r="X69" s="22"/>
      <c r="Y69" s="28"/>
      <c r="Z69" s="28"/>
      <c r="AA69" s="28"/>
      <c r="AB69" s="17"/>
      <c r="AC69" s="17"/>
      <c r="AD69" s="5">
        <v>1977</v>
      </c>
      <c r="AE69" s="28" t="s">
        <v>118</v>
      </c>
      <c r="AF69" s="2"/>
    </row>
    <row r="70" spans="1:32">
      <c r="A70" s="15">
        <f t="shared" si="2"/>
        <v>65</v>
      </c>
      <c r="B70" s="23" t="s">
        <v>55</v>
      </c>
      <c r="C70" s="3" t="s">
        <v>56</v>
      </c>
      <c r="D70" s="2" t="s">
        <v>21</v>
      </c>
      <c r="E70" s="24">
        <f>+[62]Main!$H$2</f>
        <v>44.03</v>
      </c>
      <c r="F70" s="17">
        <f>+[62]Main!$H$4</f>
        <v>3217.9517470800001</v>
      </c>
      <c r="G70" s="17">
        <f>+[62]Main!$H$6-[62]Main!$H$5</f>
        <v>209.34100000000001</v>
      </c>
      <c r="H70" s="17">
        <f>+F70+G70</f>
        <v>3427.29274708</v>
      </c>
      <c r="I70" s="16" t="s">
        <v>826</v>
      </c>
      <c r="J70" s="26">
        <v>46232</v>
      </c>
      <c r="K70" s="17"/>
      <c r="L70" s="21"/>
      <c r="M70" s="17"/>
      <c r="N70" s="17"/>
      <c r="O70" s="21"/>
      <c r="P70" s="21"/>
      <c r="Q70" s="22"/>
      <c r="R70" s="22"/>
      <c r="S70" s="22"/>
      <c r="T70" s="22"/>
      <c r="U70" s="22"/>
      <c r="V70" s="22"/>
      <c r="W70" s="27"/>
      <c r="X70" s="22"/>
      <c r="Y70" s="28"/>
      <c r="Z70" s="28"/>
      <c r="AA70" s="28"/>
      <c r="AB70" s="17"/>
      <c r="AC70" s="17"/>
      <c r="AD70" s="5"/>
      <c r="AE70" s="28"/>
      <c r="AF70" s="2"/>
    </row>
    <row r="71" spans="1:32">
      <c r="A71" s="15">
        <f t="shared" si="2"/>
        <v>66</v>
      </c>
      <c r="B71" s="23" t="s">
        <v>319</v>
      </c>
      <c r="C71" s="3" t="s">
        <v>320</v>
      </c>
      <c r="D71" s="2" t="s">
        <v>219</v>
      </c>
      <c r="E71" s="24">
        <f>+[63]Main!$I$2</f>
        <v>18.14</v>
      </c>
      <c r="F71" s="17">
        <f>+[63]Main!$I$4</f>
        <v>2154.9996926600002</v>
      </c>
      <c r="G71" s="17">
        <f>+[63]Main!$I$6-[63]Main!$I$5</f>
        <v>222</v>
      </c>
      <c r="H71" s="17">
        <f>+F71+G71</f>
        <v>2376.9996926600002</v>
      </c>
      <c r="I71" s="16" t="s">
        <v>825</v>
      </c>
      <c r="J71" s="26">
        <v>46239</v>
      </c>
      <c r="K71" s="17"/>
      <c r="L71" s="21"/>
      <c r="M71" s="17"/>
      <c r="N71" s="17"/>
      <c r="O71" s="21"/>
      <c r="P71" s="21"/>
      <c r="Q71" s="22"/>
      <c r="R71" s="22"/>
      <c r="S71" s="22"/>
      <c r="T71" s="22"/>
      <c r="U71" s="22"/>
      <c r="V71" s="22"/>
      <c r="W71" s="27"/>
      <c r="X71" s="22"/>
      <c r="Y71" s="28"/>
      <c r="Z71" s="28"/>
      <c r="AA71" s="28"/>
      <c r="AB71" s="17"/>
      <c r="AC71" s="17"/>
      <c r="AD71" s="5">
        <v>1981</v>
      </c>
      <c r="AE71" s="28" t="s">
        <v>413</v>
      </c>
      <c r="AF71" s="2"/>
    </row>
    <row r="72" spans="1:32">
      <c r="A72" s="15">
        <f t="shared" si="2"/>
        <v>67</v>
      </c>
      <c r="B72" s="23" t="s">
        <v>45</v>
      </c>
      <c r="C72" s="3" t="s">
        <v>46</v>
      </c>
      <c r="D72" s="2" t="s">
        <v>165</v>
      </c>
      <c r="E72" s="24">
        <f>+[64]Main!$J$2</f>
        <v>11.0596</v>
      </c>
      <c r="F72" s="17">
        <f>+[64]Main!$J$4*FX!C3</f>
        <v>2910.2755841993599</v>
      </c>
      <c r="G72" s="17">
        <f>+([64]Main!$J$6-[64]Main!$J$5)*FX!C3</f>
        <v>-1.9947199999999772</v>
      </c>
      <c r="H72" s="17">
        <f>+F72+G72</f>
        <v>2908.2808641993597</v>
      </c>
      <c r="I72" s="16" t="s">
        <v>805</v>
      </c>
      <c r="J72" s="26">
        <v>46317</v>
      </c>
      <c r="K72" s="17"/>
      <c r="L72" s="21"/>
      <c r="M72" s="17"/>
      <c r="N72" s="17"/>
      <c r="O72" s="21"/>
      <c r="P72" s="21"/>
      <c r="Q72" s="22"/>
      <c r="R72" s="22"/>
      <c r="S72" s="22"/>
      <c r="T72" s="22"/>
      <c r="U72" s="22"/>
      <c r="V72" s="22"/>
      <c r="W72" s="27"/>
      <c r="X72" s="22"/>
      <c r="Y72" s="28"/>
      <c r="Z72" s="28"/>
      <c r="AA72" s="28"/>
      <c r="AB72" s="17"/>
      <c r="AC72" s="17"/>
      <c r="AD72" s="5"/>
      <c r="AE72" s="28"/>
      <c r="AF72" s="2"/>
    </row>
    <row r="73" spans="1:32">
      <c r="A73" s="15">
        <f t="shared" si="2"/>
        <v>68</v>
      </c>
      <c r="B73" s="23" t="s">
        <v>416</v>
      </c>
      <c r="C73" s="3" t="s">
        <v>331</v>
      </c>
      <c r="D73" s="2" t="s">
        <v>185</v>
      </c>
      <c r="E73" s="24">
        <f>+[65]Main!$J$2</f>
        <v>828.4</v>
      </c>
      <c r="F73" s="17">
        <f>+[65]Main!$J$4*FX!C12</f>
        <v>2214.6636811287999</v>
      </c>
      <c r="G73" s="17">
        <f>+([65]Main!$J$6-[65]Main!$J$5)*FX!C12</f>
        <v>-1.8833099999999996</v>
      </c>
      <c r="H73" s="17">
        <f t="shared" si="4"/>
        <v>2212.7803711287997</v>
      </c>
      <c r="I73" s="16" t="s">
        <v>380</v>
      </c>
      <c r="J73" s="26">
        <v>45776</v>
      </c>
      <c r="K73" s="17"/>
      <c r="L73" s="21"/>
      <c r="M73" s="17"/>
      <c r="N73" s="17"/>
      <c r="O73" s="21"/>
      <c r="P73" s="21"/>
      <c r="Q73" s="22"/>
      <c r="R73" s="22"/>
      <c r="S73" s="22"/>
      <c r="T73" s="22"/>
      <c r="U73" s="22"/>
      <c r="V73" s="22"/>
      <c r="W73" s="27"/>
      <c r="X73" s="22"/>
      <c r="Y73" s="28"/>
      <c r="Z73" s="28"/>
      <c r="AA73" s="28"/>
      <c r="AB73" s="17"/>
      <c r="AC73" s="17"/>
      <c r="AD73" s="5"/>
      <c r="AE73" s="28"/>
      <c r="AF73" s="2"/>
    </row>
    <row r="74" spans="1:32">
      <c r="A74" s="15">
        <f t="shared" si="2"/>
        <v>69</v>
      </c>
      <c r="B74" s="2" t="s">
        <v>51</v>
      </c>
      <c r="C74" s="3">
        <v>7453</v>
      </c>
      <c r="D74" s="2"/>
      <c r="E74" s="24"/>
      <c r="F74" s="17"/>
      <c r="G74" s="17"/>
      <c r="H74" s="17"/>
      <c r="I74" s="16"/>
      <c r="J74" s="26"/>
      <c r="K74" s="17"/>
      <c r="L74" s="21"/>
      <c r="M74" s="17"/>
      <c r="N74" s="17"/>
      <c r="O74" s="21"/>
      <c r="P74" s="21"/>
      <c r="Q74" s="22"/>
      <c r="R74" s="22"/>
      <c r="S74" s="22"/>
      <c r="T74" s="22"/>
      <c r="U74" s="22"/>
      <c r="V74" s="22"/>
      <c r="W74" s="27"/>
      <c r="X74" s="22"/>
      <c r="Y74" s="28"/>
      <c r="Z74" s="28"/>
      <c r="AA74" s="28"/>
      <c r="AB74" s="17"/>
      <c r="AC74" s="17"/>
      <c r="AD74" s="5"/>
      <c r="AE74" s="28"/>
      <c r="AF74" s="2"/>
    </row>
    <row r="75" spans="1:32">
      <c r="A75" s="15">
        <f t="shared" ref="A75:A139" si="5">+A74+1</f>
        <v>70</v>
      </c>
      <c r="B75" s="2" t="s">
        <v>52</v>
      </c>
      <c r="C75" s="3">
        <v>1467</v>
      </c>
      <c r="D75" s="2"/>
      <c r="E75" s="24"/>
      <c r="F75" s="17"/>
      <c r="G75" s="17"/>
      <c r="H75" s="17"/>
      <c r="I75" s="16"/>
      <c r="J75" s="26"/>
      <c r="K75" s="17"/>
      <c r="L75" s="21"/>
      <c r="M75" s="17"/>
      <c r="N75" s="17"/>
      <c r="O75" s="21"/>
      <c r="P75" s="21"/>
      <c r="Q75" s="22"/>
      <c r="R75" s="22"/>
      <c r="S75" s="22"/>
      <c r="T75" s="22"/>
      <c r="U75" s="22"/>
      <c r="V75" s="22"/>
      <c r="W75" s="27"/>
      <c r="X75" s="22"/>
      <c r="Y75" s="28"/>
      <c r="Z75" s="28"/>
      <c r="AA75" s="28"/>
      <c r="AB75" s="17"/>
      <c r="AC75" s="17"/>
      <c r="AD75" s="5"/>
      <c r="AE75" s="28"/>
      <c r="AF75" s="2"/>
    </row>
    <row r="76" spans="1:32">
      <c r="A76" s="15">
        <f t="shared" si="5"/>
        <v>71</v>
      </c>
      <c r="B76" s="2" t="s">
        <v>54</v>
      </c>
      <c r="C76" s="3">
        <v>9904</v>
      </c>
      <c r="D76" s="2"/>
      <c r="E76" s="24"/>
      <c r="F76" s="17"/>
      <c r="G76" s="17"/>
      <c r="H76" s="17"/>
      <c r="I76" s="16"/>
      <c r="J76" s="26"/>
      <c r="K76" s="17"/>
      <c r="L76" s="21"/>
      <c r="M76" s="17"/>
      <c r="N76" s="17"/>
      <c r="O76" s="21"/>
      <c r="P76" s="21"/>
      <c r="Q76" s="22"/>
      <c r="R76" s="22"/>
      <c r="S76" s="22"/>
      <c r="T76" s="22"/>
      <c r="U76" s="22"/>
      <c r="V76" s="22"/>
      <c r="W76" s="27"/>
      <c r="X76" s="22"/>
      <c r="Y76" s="28"/>
      <c r="Z76" s="28"/>
      <c r="AA76" s="28"/>
      <c r="AB76" s="17"/>
      <c r="AC76" s="17"/>
      <c r="AD76" s="5"/>
      <c r="AE76" s="28"/>
      <c r="AF76" s="2"/>
    </row>
    <row r="77" spans="1:32">
      <c r="A77" s="15">
        <f t="shared" si="5"/>
        <v>72</v>
      </c>
      <c r="B77" s="2" t="s">
        <v>57</v>
      </c>
      <c r="C77" s="3" t="s">
        <v>59</v>
      </c>
      <c r="D77" s="2"/>
      <c r="E77" s="24"/>
      <c r="F77" s="17"/>
      <c r="G77" s="17"/>
      <c r="H77" s="17"/>
      <c r="I77" s="16"/>
      <c r="J77" s="26"/>
      <c r="K77" s="17"/>
      <c r="L77" s="21"/>
      <c r="M77" s="17"/>
      <c r="N77" s="17"/>
      <c r="O77" s="21"/>
      <c r="P77" s="21"/>
      <c r="Q77" s="22"/>
      <c r="R77" s="22"/>
      <c r="S77" s="22"/>
      <c r="T77" s="22"/>
      <c r="U77" s="22"/>
      <c r="V77" s="22"/>
      <c r="W77" s="27"/>
      <c r="X77" s="22"/>
      <c r="Y77" s="28"/>
      <c r="Z77" s="28"/>
      <c r="AA77" s="28"/>
      <c r="AB77" s="17"/>
      <c r="AC77" s="17"/>
      <c r="AD77" s="5"/>
      <c r="AE77" s="28"/>
      <c r="AF77" s="2"/>
    </row>
    <row r="78" spans="1:32">
      <c r="A78" s="15">
        <f t="shared" si="5"/>
        <v>73</v>
      </c>
      <c r="B78" s="2" t="s">
        <v>61</v>
      </c>
      <c r="C78" s="3">
        <v>551</v>
      </c>
      <c r="D78" s="2"/>
      <c r="E78" s="24"/>
      <c r="F78" s="17"/>
      <c r="G78" s="17"/>
      <c r="H78" s="17"/>
      <c r="I78" s="16"/>
      <c r="J78" s="26"/>
      <c r="K78" s="17"/>
      <c r="L78" s="21"/>
      <c r="M78" s="17"/>
      <c r="N78" s="17"/>
      <c r="O78" s="21"/>
      <c r="P78" s="21"/>
      <c r="Q78" s="22"/>
      <c r="R78" s="22"/>
      <c r="S78" s="22"/>
      <c r="T78" s="22"/>
      <c r="U78" s="22"/>
      <c r="V78" s="22"/>
      <c r="W78" s="27"/>
      <c r="X78" s="22"/>
      <c r="Y78" s="28"/>
      <c r="Z78" s="28"/>
      <c r="AA78" s="28"/>
      <c r="AB78" s="17"/>
      <c r="AC78" s="17"/>
      <c r="AD78" s="5"/>
      <c r="AE78" s="28"/>
      <c r="AF78" s="2"/>
    </row>
    <row r="79" spans="1:32">
      <c r="A79" s="15">
        <f t="shared" si="5"/>
        <v>74</v>
      </c>
      <c r="B79" s="2" t="s">
        <v>62</v>
      </c>
      <c r="C79" s="3">
        <v>1477</v>
      </c>
      <c r="D79" s="2"/>
      <c r="E79" s="24"/>
      <c r="F79" s="17"/>
      <c r="G79" s="17"/>
      <c r="H79" s="17"/>
      <c r="I79" s="16"/>
      <c r="J79" s="26"/>
      <c r="K79" s="17"/>
      <c r="L79" s="21"/>
      <c r="M79" s="17"/>
      <c r="N79" s="17"/>
      <c r="O79" s="21"/>
      <c r="P79" s="21"/>
      <c r="Q79" s="22"/>
      <c r="R79" s="22"/>
      <c r="S79" s="22"/>
      <c r="T79" s="22"/>
      <c r="U79" s="22"/>
      <c r="V79" s="22"/>
      <c r="W79" s="27"/>
      <c r="X79" s="22"/>
      <c r="Y79" s="28"/>
      <c r="Z79" s="28"/>
      <c r="AA79" s="28"/>
      <c r="AB79" s="17"/>
      <c r="AC79" s="17"/>
      <c r="AD79" s="5"/>
      <c r="AE79" s="28"/>
      <c r="AF79" s="2"/>
    </row>
    <row r="80" spans="1:32">
      <c r="A80" s="15">
        <f t="shared" si="5"/>
        <v>75</v>
      </c>
      <c r="B80" s="2" t="s">
        <v>63</v>
      </c>
      <c r="C80" s="3">
        <v>8111</v>
      </c>
      <c r="D80" s="2"/>
      <c r="E80" s="24"/>
      <c r="F80" s="17"/>
      <c r="G80" s="17"/>
      <c r="H80" s="17"/>
      <c r="I80" s="16"/>
      <c r="J80" s="26"/>
      <c r="K80" s="17"/>
      <c r="L80" s="21"/>
      <c r="M80" s="17"/>
      <c r="N80" s="17"/>
      <c r="O80" s="21"/>
      <c r="P80" s="21"/>
      <c r="Q80" s="22"/>
      <c r="R80" s="22"/>
      <c r="S80" s="22"/>
      <c r="T80" s="22"/>
      <c r="U80" s="22"/>
      <c r="V80" s="22"/>
      <c r="W80" s="27"/>
      <c r="X80" s="22"/>
      <c r="Y80" s="28"/>
      <c r="Z80" s="28"/>
      <c r="AA80" s="28"/>
      <c r="AB80" s="17"/>
      <c r="AC80" s="17"/>
      <c r="AD80" s="5"/>
      <c r="AE80" s="28"/>
      <c r="AF80" s="2"/>
    </row>
    <row r="81" spans="1:32">
      <c r="A81" s="15">
        <f t="shared" si="5"/>
        <v>76</v>
      </c>
      <c r="B81" s="2" t="s">
        <v>65</v>
      </c>
      <c r="C81" s="32" t="s">
        <v>64</v>
      </c>
      <c r="D81" s="2"/>
      <c r="E81" s="24"/>
      <c r="F81" s="17"/>
      <c r="G81" s="17"/>
      <c r="H81" s="17"/>
      <c r="I81" s="16"/>
      <c r="J81" s="26"/>
      <c r="K81" s="17"/>
      <c r="L81" s="21"/>
      <c r="M81" s="17"/>
      <c r="N81" s="17"/>
      <c r="O81" s="21"/>
      <c r="P81" s="21"/>
      <c r="Q81" s="22"/>
      <c r="R81" s="22"/>
      <c r="S81" s="22"/>
      <c r="T81" s="22"/>
      <c r="U81" s="22"/>
      <c r="V81" s="22"/>
      <c r="W81" s="27"/>
      <c r="X81" s="22"/>
      <c r="Y81" s="28"/>
      <c r="Z81" s="28"/>
      <c r="AA81" s="28"/>
      <c r="AB81" s="17"/>
      <c r="AC81" s="17"/>
      <c r="AD81" s="5"/>
      <c r="AE81" s="28"/>
      <c r="AF81" s="2"/>
    </row>
    <row r="82" spans="1:32">
      <c r="A82" s="15">
        <f t="shared" si="5"/>
        <v>77</v>
      </c>
      <c r="B82" s="2" t="s">
        <v>66</v>
      </c>
      <c r="C82" s="32" t="s">
        <v>67</v>
      </c>
      <c r="D82" s="2"/>
      <c r="E82" s="24"/>
      <c r="F82" s="17"/>
      <c r="G82" s="17"/>
      <c r="H82" s="17"/>
      <c r="I82" s="16"/>
      <c r="J82" s="26"/>
      <c r="K82" s="17"/>
      <c r="L82" s="21"/>
      <c r="M82" s="17"/>
      <c r="N82" s="17"/>
      <c r="O82" s="21"/>
      <c r="P82" s="21"/>
      <c r="Q82" s="22"/>
      <c r="R82" s="22"/>
      <c r="S82" s="22"/>
      <c r="T82" s="22"/>
      <c r="U82" s="22"/>
      <c r="V82" s="22"/>
      <c r="W82" s="27"/>
      <c r="X82" s="22"/>
      <c r="Y82" s="28"/>
      <c r="Z82" s="28"/>
      <c r="AA82" s="28"/>
      <c r="AB82" s="17"/>
      <c r="AC82" s="17"/>
      <c r="AD82" s="5"/>
      <c r="AE82" s="28"/>
      <c r="AF82" s="2"/>
    </row>
    <row r="83" spans="1:32">
      <c r="A83" s="15">
        <f t="shared" si="5"/>
        <v>78</v>
      </c>
      <c r="B83" s="2" t="s">
        <v>68</v>
      </c>
      <c r="C83" s="3" t="s">
        <v>72</v>
      </c>
      <c r="D83" s="2"/>
      <c r="E83" s="24"/>
      <c r="F83" s="17"/>
      <c r="G83" s="17"/>
      <c r="H83" s="17"/>
      <c r="I83" s="16"/>
      <c r="J83" s="26"/>
      <c r="K83" s="17"/>
      <c r="L83" s="21"/>
      <c r="M83" s="17"/>
      <c r="N83" s="17"/>
      <c r="O83" s="21"/>
      <c r="P83" s="21"/>
      <c r="Q83" s="22"/>
      <c r="R83" s="22"/>
      <c r="S83" s="22"/>
      <c r="T83" s="22"/>
      <c r="U83" s="22"/>
      <c r="V83" s="22"/>
      <c r="W83" s="27"/>
      <c r="X83" s="22"/>
      <c r="Y83" s="28"/>
      <c r="Z83" s="28"/>
      <c r="AA83" s="28"/>
      <c r="AB83" s="17"/>
      <c r="AC83" s="17"/>
      <c r="AD83" s="5"/>
      <c r="AE83" s="28"/>
      <c r="AF83" s="2"/>
    </row>
    <row r="84" spans="1:32">
      <c r="A84" s="15">
        <f t="shared" si="5"/>
        <v>79</v>
      </c>
      <c r="B84" s="2" t="s">
        <v>69</v>
      </c>
      <c r="C84" s="3" t="s">
        <v>73</v>
      </c>
      <c r="D84" s="2"/>
      <c r="E84" s="24"/>
      <c r="F84" s="17"/>
      <c r="G84" s="17"/>
      <c r="H84" s="17"/>
      <c r="I84" s="16"/>
      <c r="J84" s="26"/>
      <c r="K84" s="17"/>
      <c r="L84" s="21"/>
      <c r="M84" s="17"/>
      <c r="N84" s="17"/>
      <c r="O84" s="21"/>
      <c r="P84" s="21"/>
      <c r="Q84" s="22"/>
      <c r="R84" s="22"/>
      <c r="S84" s="22"/>
      <c r="T84" s="22"/>
      <c r="U84" s="22"/>
      <c r="V84" s="22"/>
      <c r="W84" s="27"/>
      <c r="X84" s="22"/>
      <c r="Y84" s="28"/>
      <c r="Z84" s="28"/>
      <c r="AA84" s="28"/>
      <c r="AB84" s="17"/>
      <c r="AC84" s="17"/>
      <c r="AD84" s="5"/>
      <c r="AE84" s="28"/>
      <c r="AF84" s="2"/>
    </row>
    <row r="85" spans="1:32">
      <c r="A85" s="15">
        <f t="shared" si="5"/>
        <v>80</v>
      </c>
      <c r="B85" s="23" t="s">
        <v>75</v>
      </c>
      <c r="C85" s="3" t="s">
        <v>74</v>
      </c>
      <c r="D85" s="2" t="s">
        <v>21</v>
      </c>
      <c r="E85" s="24">
        <f>+[66]Main!$I$2</f>
        <v>5.82</v>
      </c>
      <c r="F85" s="17">
        <f>+[66]Main!$I$4</f>
        <v>2055.0937514400002</v>
      </c>
      <c r="G85" s="17">
        <f>+[66]Main!$I$6-[66]Main!$I$5</f>
        <v>1971.2029999999997</v>
      </c>
      <c r="H85" s="17">
        <f>+F85+G85</f>
        <v>4026.2967514399998</v>
      </c>
      <c r="I85" s="16" t="s">
        <v>338</v>
      </c>
      <c r="J85" s="26"/>
      <c r="K85" s="17"/>
      <c r="L85" s="21"/>
      <c r="M85" s="17"/>
      <c r="N85" s="17"/>
      <c r="O85" s="21"/>
      <c r="P85" s="21"/>
      <c r="Q85" s="22"/>
      <c r="R85" s="22"/>
      <c r="S85" s="22"/>
      <c r="T85" s="22"/>
      <c r="U85" s="22"/>
      <c r="V85" s="22"/>
      <c r="W85" s="27"/>
      <c r="X85" s="22"/>
      <c r="Y85" s="28"/>
      <c r="Z85" s="28"/>
      <c r="AA85" s="28"/>
      <c r="AB85" s="17"/>
      <c r="AC85" s="17"/>
      <c r="AD85" s="5"/>
      <c r="AE85" s="28"/>
      <c r="AF85" s="2"/>
    </row>
    <row r="86" spans="1:32">
      <c r="A86" s="15">
        <f t="shared" si="5"/>
        <v>81</v>
      </c>
      <c r="B86" s="2" t="s">
        <v>70</v>
      </c>
      <c r="C86" s="3">
        <v>382220</v>
      </c>
      <c r="D86" s="2"/>
      <c r="E86" s="24"/>
      <c r="F86" s="17"/>
      <c r="G86" s="17"/>
      <c r="H86" s="17"/>
      <c r="I86" s="16"/>
      <c r="J86" s="26"/>
      <c r="K86" s="17"/>
      <c r="L86" s="21"/>
      <c r="M86" s="17"/>
      <c r="N86" s="17"/>
      <c r="O86" s="21"/>
      <c r="P86" s="21"/>
      <c r="Q86" s="22"/>
      <c r="R86" s="22"/>
      <c r="S86" s="22"/>
      <c r="T86" s="22"/>
      <c r="U86" s="22"/>
      <c r="V86" s="22"/>
      <c r="W86" s="27"/>
      <c r="X86" s="22"/>
      <c r="Y86" s="28"/>
      <c r="Z86" s="28"/>
      <c r="AA86" s="28"/>
      <c r="AB86" s="17"/>
      <c r="AC86" s="17"/>
      <c r="AD86" s="5"/>
      <c r="AE86" s="28"/>
      <c r="AF86" s="2"/>
    </row>
    <row r="87" spans="1:32">
      <c r="A87" s="15">
        <f t="shared" si="5"/>
        <v>82</v>
      </c>
      <c r="B87" s="2" t="s">
        <v>71</v>
      </c>
      <c r="C87" s="3">
        <v>1368</v>
      </c>
      <c r="D87" s="2"/>
      <c r="E87" s="24"/>
      <c r="F87" s="17"/>
      <c r="G87" s="17"/>
      <c r="H87" s="17"/>
      <c r="I87" s="16"/>
      <c r="J87" s="26"/>
      <c r="K87" s="17"/>
      <c r="L87" s="21"/>
      <c r="M87" s="17"/>
      <c r="N87" s="17"/>
      <c r="O87" s="21"/>
      <c r="P87" s="21"/>
      <c r="Q87" s="22"/>
      <c r="R87" s="22"/>
      <c r="S87" s="22"/>
      <c r="T87" s="22"/>
      <c r="U87" s="22"/>
      <c r="V87" s="22"/>
      <c r="W87" s="27"/>
      <c r="X87" s="22"/>
      <c r="Y87" s="28"/>
      <c r="Z87" s="28"/>
      <c r="AA87" s="28"/>
      <c r="AB87" s="17"/>
      <c r="AC87" s="17"/>
      <c r="AD87" s="5"/>
      <c r="AE87" s="28"/>
      <c r="AF87" s="2"/>
    </row>
    <row r="88" spans="1:32">
      <c r="A88" s="15">
        <f t="shared" si="5"/>
        <v>83</v>
      </c>
      <c r="B88" s="2" t="s">
        <v>154</v>
      </c>
      <c r="C88" s="3" t="s">
        <v>155</v>
      </c>
      <c r="D88" s="2" t="s">
        <v>156</v>
      </c>
      <c r="E88" s="24"/>
      <c r="F88" s="17"/>
      <c r="G88" s="17"/>
      <c r="H88" s="17"/>
      <c r="I88" s="16"/>
      <c r="J88" s="26"/>
      <c r="K88" s="17"/>
      <c r="L88" s="21"/>
      <c r="M88" s="17"/>
      <c r="N88" s="17"/>
      <c r="O88" s="21"/>
      <c r="P88" s="21"/>
      <c r="Q88" s="22"/>
      <c r="R88" s="22"/>
      <c r="S88" s="22"/>
      <c r="T88" s="22"/>
      <c r="U88" s="22"/>
      <c r="V88" s="22"/>
      <c r="W88" s="27"/>
      <c r="X88" s="22"/>
      <c r="Y88" s="28"/>
      <c r="Z88" s="28"/>
      <c r="AA88" s="28"/>
      <c r="AB88" s="17"/>
      <c r="AC88" s="17"/>
      <c r="AD88" s="5"/>
      <c r="AE88" s="28"/>
      <c r="AF88" s="2"/>
    </row>
    <row r="89" spans="1:32">
      <c r="A89" s="15">
        <f t="shared" si="5"/>
        <v>84</v>
      </c>
      <c r="B89" s="2" t="s">
        <v>157</v>
      </c>
      <c r="C89" s="3" t="s">
        <v>158</v>
      </c>
      <c r="D89" s="2" t="s">
        <v>159</v>
      </c>
      <c r="E89" s="24"/>
      <c r="F89" s="17"/>
      <c r="G89" s="17"/>
      <c r="H89" s="17"/>
      <c r="I89" s="16"/>
      <c r="J89" s="26"/>
      <c r="K89" s="17"/>
      <c r="L89" s="21"/>
      <c r="M89" s="17"/>
      <c r="N89" s="17"/>
      <c r="O89" s="21"/>
      <c r="P89" s="21"/>
      <c r="Q89" s="22"/>
      <c r="R89" s="22"/>
      <c r="S89" s="22"/>
      <c r="T89" s="22"/>
      <c r="U89" s="22"/>
      <c r="V89" s="22"/>
      <c r="W89" s="27"/>
      <c r="X89" s="22"/>
      <c r="Y89" s="28"/>
      <c r="Z89" s="28"/>
      <c r="AA89" s="28"/>
      <c r="AB89" s="17"/>
      <c r="AC89" s="17"/>
      <c r="AD89" s="5"/>
      <c r="AE89" s="28"/>
      <c r="AF89" s="2"/>
    </row>
    <row r="90" spans="1:32">
      <c r="A90" s="15">
        <f t="shared" si="5"/>
        <v>85</v>
      </c>
      <c r="B90" s="2" t="s">
        <v>160</v>
      </c>
      <c r="C90" s="3" t="s">
        <v>162</v>
      </c>
      <c r="D90" s="2" t="s">
        <v>454</v>
      </c>
      <c r="E90" s="24"/>
      <c r="F90" s="17"/>
      <c r="G90" s="17"/>
      <c r="H90" s="17"/>
      <c r="I90" s="16"/>
      <c r="J90" s="26"/>
      <c r="K90" s="17"/>
      <c r="L90" s="21"/>
      <c r="M90" s="17"/>
      <c r="N90" s="17"/>
      <c r="O90" s="21"/>
      <c r="P90" s="21"/>
      <c r="Q90" s="22"/>
      <c r="R90" s="22"/>
      <c r="S90" s="22"/>
      <c r="T90" s="22"/>
      <c r="U90" s="22"/>
      <c r="V90" s="22"/>
      <c r="W90" s="27"/>
      <c r="X90" s="22"/>
      <c r="Y90" s="28"/>
      <c r="Z90" s="28"/>
      <c r="AA90" s="28"/>
      <c r="AB90" s="17"/>
      <c r="AC90" s="17"/>
      <c r="AD90" s="5"/>
      <c r="AE90" s="28"/>
      <c r="AF90" s="2"/>
    </row>
    <row r="91" spans="1:32">
      <c r="A91" s="15">
        <f t="shared" si="5"/>
        <v>86</v>
      </c>
      <c r="B91" s="23" t="s">
        <v>163</v>
      </c>
      <c r="C91" s="3" t="s">
        <v>164</v>
      </c>
      <c r="D91" s="2" t="s">
        <v>21</v>
      </c>
      <c r="E91" s="24">
        <f>+[67]Main!$H$2</f>
        <v>41.42</v>
      </c>
      <c r="F91" s="17">
        <f>+[67]Main!$H$4</f>
        <v>1491.5652650000002</v>
      </c>
      <c r="G91" s="17">
        <f>+[67]Main!$H$6-[67]Main!$H$5</f>
        <v>85.194000000000017</v>
      </c>
      <c r="H91" s="17">
        <f>+F91+G91</f>
        <v>1576.7592650000001</v>
      </c>
      <c r="I91" s="16" t="s">
        <v>338</v>
      </c>
      <c r="J91" s="26"/>
      <c r="K91" s="17"/>
      <c r="L91" s="21"/>
      <c r="M91" s="17"/>
      <c r="N91" s="17"/>
      <c r="O91" s="21"/>
      <c r="P91" s="21"/>
      <c r="Q91" s="22"/>
      <c r="R91" s="22"/>
      <c r="S91" s="22"/>
      <c r="T91" s="22"/>
      <c r="U91" s="22"/>
      <c r="V91" s="22"/>
      <c r="W91" s="27"/>
      <c r="X91" s="22"/>
      <c r="Y91" s="28"/>
      <c r="Z91" s="28"/>
      <c r="AA91" s="28"/>
      <c r="AB91" s="17"/>
      <c r="AC91" s="17"/>
      <c r="AD91" s="5"/>
      <c r="AE91" s="28"/>
      <c r="AF91" s="2"/>
    </row>
    <row r="92" spans="1:32">
      <c r="A92" s="15">
        <f t="shared" si="5"/>
        <v>87</v>
      </c>
      <c r="B92" s="23" t="s">
        <v>167</v>
      </c>
      <c r="C92" s="3" t="s">
        <v>168</v>
      </c>
      <c r="D92" s="2" t="s">
        <v>21</v>
      </c>
      <c r="E92" s="24">
        <f>+[68]Main!$I$2</f>
        <v>38.119999999999997</v>
      </c>
      <c r="F92" s="17">
        <f>+[68]Main!$I$4</f>
        <v>1935.4971035199997</v>
      </c>
      <c r="G92" s="17">
        <f>+[68]Main!$I$6-[68]Main!$I$5</f>
        <v>-325.44000000000005</v>
      </c>
      <c r="H92" s="17">
        <f>+F92+G92</f>
        <v>1610.0571035199996</v>
      </c>
      <c r="I92" s="16" t="s">
        <v>337</v>
      </c>
      <c r="J92" s="26"/>
      <c r="K92" s="17"/>
      <c r="L92" s="21"/>
      <c r="M92" s="17"/>
      <c r="N92" s="17"/>
      <c r="O92" s="21"/>
      <c r="P92" s="21"/>
      <c r="Q92" s="22"/>
      <c r="R92" s="22"/>
      <c r="S92" s="22"/>
      <c r="T92" s="22"/>
      <c r="U92" s="22"/>
      <c r="V92" s="22"/>
      <c r="W92" s="27"/>
      <c r="X92" s="22"/>
      <c r="Y92" s="28"/>
      <c r="Z92" s="28"/>
      <c r="AA92" s="28"/>
      <c r="AB92" s="17"/>
      <c r="AC92" s="17"/>
      <c r="AD92" s="5"/>
      <c r="AE92" s="28"/>
      <c r="AF92" s="2"/>
    </row>
    <row r="93" spans="1:32">
      <c r="A93" s="15">
        <f t="shared" si="5"/>
        <v>88</v>
      </c>
      <c r="B93" s="23" t="s">
        <v>169</v>
      </c>
      <c r="C93" s="3" t="s">
        <v>170</v>
      </c>
      <c r="D93" s="2" t="s">
        <v>21</v>
      </c>
      <c r="E93" s="24">
        <f>+[69]Main!$I$2</f>
        <v>24.73</v>
      </c>
      <c r="F93" s="17">
        <f>+[69]Main!$I$4</f>
        <v>1761.5194085300002</v>
      </c>
      <c r="G93" s="17">
        <f>+[69]Main!$I$6-[69]Main!$I$5</f>
        <v>-256.60000000000002</v>
      </c>
      <c r="H93" s="17">
        <f>+F93+G93</f>
        <v>1504.9194085300001</v>
      </c>
      <c r="I93" s="16" t="s">
        <v>338</v>
      </c>
      <c r="J93" s="26"/>
      <c r="K93" s="17"/>
      <c r="L93" s="21"/>
      <c r="M93" s="17"/>
      <c r="N93" s="17"/>
      <c r="O93" s="21"/>
      <c r="P93" s="21"/>
      <c r="Q93" s="22"/>
      <c r="R93" s="22"/>
      <c r="S93" s="22"/>
      <c r="T93" s="22"/>
      <c r="U93" s="22"/>
      <c r="V93" s="22"/>
      <c r="W93" s="27"/>
      <c r="X93" s="22"/>
      <c r="Y93" s="28"/>
      <c r="Z93" s="28"/>
      <c r="AA93" s="28"/>
      <c r="AB93" s="17"/>
      <c r="AC93" s="17"/>
      <c r="AD93" s="5">
        <v>2003</v>
      </c>
      <c r="AE93" s="28" t="s">
        <v>118</v>
      </c>
      <c r="AF93" s="2"/>
    </row>
    <row r="94" spans="1:32">
      <c r="A94" s="15">
        <f t="shared" si="5"/>
        <v>89</v>
      </c>
      <c r="B94" s="2" t="s">
        <v>171</v>
      </c>
      <c r="C94" s="3" t="s">
        <v>173</v>
      </c>
      <c r="D94" s="2" t="s">
        <v>172</v>
      </c>
      <c r="E94" s="24"/>
      <c r="F94" s="17"/>
      <c r="G94" s="17"/>
      <c r="H94" s="17"/>
      <c r="I94" s="16"/>
      <c r="J94" s="26"/>
      <c r="K94" s="17"/>
      <c r="L94" s="21"/>
      <c r="M94" s="17"/>
      <c r="N94" s="17"/>
      <c r="O94" s="21"/>
      <c r="P94" s="21"/>
      <c r="Q94" s="22"/>
      <c r="R94" s="22"/>
      <c r="S94" s="22"/>
      <c r="T94" s="22"/>
      <c r="U94" s="22"/>
      <c r="V94" s="22"/>
      <c r="W94" s="27"/>
      <c r="X94" s="22"/>
      <c r="Y94" s="28"/>
      <c r="Z94" s="28"/>
      <c r="AA94" s="28"/>
      <c r="AB94" s="17"/>
      <c r="AC94" s="17"/>
      <c r="AD94" s="5"/>
      <c r="AE94" s="28"/>
      <c r="AF94" s="2"/>
    </row>
    <row r="95" spans="1:32">
      <c r="A95" s="15">
        <f t="shared" si="5"/>
        <v>90</v>
      </c>
      <c r="B95" s="23" t="s">
        <v>479</v>
      </c>
      <c r="C95" s="3" t="s">
        <v>480</v>
      </c>
      <c r="D95" s="2" t="s">
        <v>21</v>
      </c>
      <c r="E95" s="24">
        <f>+[79]Main!$J$2</f>
        <v>19.989999999999998</v>
      </c>
      <c r="F95" s="17">
        <f>+[79]Main!$J$4</f>
        <v>1640.5061166099999</v>
      </c>
      <c r="G95" s="17">
        <f>+[79]Main!$J$6-[79]Main!$J$5</f>
        <v>388.6</v>
      </c>
      <c r="H95" s="17">
        <f>+F95+G95</f>
        <v>2029.1061166099998</v>
      </c>
      <c r="I95" s="16" t="s">
        <v>422</v>
      </c>
      <c r="J95" s="26">
        <v>46149</v>
      </c>
      <c r="K95" s="24"/>
      <c r="L95" s="21"/>
      <c r="M95" s="24"/>
      <c r="N95" s="24"/>
      <c r="O95" s="21"/>
      <c r="P95" s="21"/>
      <c r="Q95" s="22"/>
      <c r="R95" s="22"/>
      <c r="S95" s="22"/>
      <c r="T95" s="22"/>
      <c r="U95" s="22"/>
      <c r="V95" s="22"/>
      <c r="W95" s="27"/>
      <c r="X95" s="22"/>
      <c r="Y95" s="28"/>
      <c r="Z95" s="28"/>
      <c r="AA95" s="28"/>
      <c r="AB95" s="17"/>
      <c r="AC95" s="17"/>
      <c r="AD95" s="5"/>
      <c r="AE95" s="28"/>
      <c r="AF95" s="2"/>
    </row>
    <row r="96" spans="1:32">
      <c r="A96" s="15">
        <f t="shared" si="5"/>
        <v>91</v>
      </c>
      <c r="B96" s="2" t="s">
        <v>174</v>
      </c>
      <c r="C96" s="32" t="s">
        <v>175</v>
      </c>
      <c r="D96" s="2" t="s">
        <v>172</v>
      </c>
      <c r="E96" s="24"/>
      <c r="F96" s="17"/>
      <c r="G96" s="17"/>
      <c r="H96" s="17"/>
      <c r="I96" s="16"/>
      <c r="J96" s="26"/>
      <c r="K96" s="17"/>
      <c r="L96" s="21"/>
      <c r="M96" s="17"/>
      <c r="N96" s="17"/>
      <c r="O96" s="21"/>
      <c r="P96" s="21"/>
      <c r="Q96" s="22"/>
      <c r="R96" s="22"/>
      <c r="S96" s="22"/>
      <c r="T96" s="22"/>
      <c r="U96" s="22"/>
      <c r="V96" s="22"/>
      <c r="W96" s="27"/>
      <c r="X96" s="22"/>
      <c r="Y96" s="28"/>
      <c r="Z96" s="28"/>
      <c r="AA96" s="28"/>
      <c r="AB96" s="17"/>
      <c r="AC96" s="17"/>
      <c r="AD96" s="5"/>
      <c r="AE96" s="28"/>
      <c r="AF96" s="2"/>
    </row>
    <row r="97" spans="1:32">
      <c r="A97" s="15">
        <f t="shared" si="5"/>
        <v>92</v>
      </c>
      <c r="B97" s="2" t="s">
        <v>176</v>
      </c>
      <c r="C97" s="3" t="s">
        <v>177</v>
      </c>
      <c r="D97" s="2" t="s">
        <v>21</v>
      </c>
      <c r="E97" s="24"/>
      <c r="F97" s="17"/>
      <c r="G97" s="17"/>
      <c r="H97" s="17"/>
      <c r="I97" s="16"/>
      <c r="J97" s="26"/>
      <c r="K97" s="17"/>
      <c r="L97" s="21"/>
      <c r="M97" s="17"/>
      <c r="N97" s="17"/>
      <c r="O97" s="21"/>
      <c r="P97" s="21"/>
      <c r="Q97" s="22"/>
      <c r="R97" s="22"/>
      <c r="S97" s="22"/>
      <c r="T97" s="22"/>
      <c r="U97" s="22"/>
      <c r="V97" s="22"/>
      <c r="W97" s="27"/>
      <c r="X97" s="22"/>
      <c r="Y97" s="28"/>
      <c r="Z97" s="28"/>
      <c r="AA97" s="28"/>
      <c r="AB97" s="17"/>
      <c r="AC97" s="17"/>
      <c r="AD97" s="5"/>
      <c r="AE97" s="28"/>
      <c r="AF97" s="2"/>
    </row>
    <row r="98" spans="1:32">
      <c r="A98" s="15">
        <f t="shared" si="5"/>
        <v>93</v>
      </c>
      <c r="B98" s="23" t="s">
        <v>178</v>
      </c>
      <c r="C98" s="3" t="s">
        <v>179</v>
      </c>
      <c r="D98" s="2" t="s">
        <v>21</v>
      </c>
      <c r="E98" s="24">
        <f>+[70]Main!$I$2</f>
        <v>27.07</v>
      </c>
      <c r="F98" s="17">
        <f>+[70]Main!$I$4</f>
        <v>1188.01315849</v>
      </c>
      <c r="G98" s="17">
        <f>+[70]Main!$I$6-[70]Main!$I$5</f>
        <v>119.48899999999998</v>
      </c>
      <c r="H98" s="17">
        <f>+F98+G98</f>
        <v>1307.5021584900001</v>
      </c>
      <c r="I98" s="16" t="s">
        <v>337</v>
      </c>
      <c r="J98" s="26"/>
      <c r="K98" s="17"/>
      <c r="L98" s="21"/>
      <c r="M98" s="17"/>
      <c r="N98" s="17"/>
      <c r="O98" s="21"/>
      <c r="P98" s="21"/>
      <c r="Q98" s="22"/>
      <c r="R98" s="22"/>
      <c r="S98" s="22"/>
      <c r="T98" s="22"/>
      <c r="U98" s="22"/>
      <c r="V98" s="22"/>
      <c r="W98" s="27"/>
      <c r="X98" s="22"/>
      <c r="Y98" s="28"/>
      <c r="Z98" s="28"/>
      <c r="AA98" s="28"/>
      <c r="AB98" s="17"/>
      <c r="AC98" s="17"/>
      <c r="AD98" s="5"/>
      <c r="AE98" s="28"/>
      <c r="AF98" s="2"/>
    </row>
    <row r="99" spans="1:32">
      <c r="A99" s="15">
        <f t="shared" si="5"/>
        <v>94</v>
      </c>
      <c r="B99" s="23" t="s">
        <v>180</v>
      </c>
      <c r="C99" s="3" t="s">
        <v>181</v>
      </c>
      <c r="D99" s="2" t="s">
        <v>21</v>
      </c>
      <c r="E99" s="24">
        <f>+[71]Main!$I$2</f>
        <v>59.85</v>
      </c>
      <c r="F99" s="17">
        <f>+[71]Main!$I$4</f>
        <v>939.70682505000002</v>
      </c>
      <c r="G99" s="17">
        <f>+[71]Main!$I$6-[71]Main!$I$5</f>
        <v>50.789000000000001</v>
      </c>
      <c r="H99" s="17">
        <f>+F99+G99</f>
        <v>990.49582505000001</v>
      </c>
      <c r="I99" s="16" t="s">
        <v>337</v>
      </c>
      <c r="J99" s="26"/>
      <c r="K99" s="17"/>
      <c r="L99" s="21"/>
      <c r="M99" s="17"/>
      <c r="N99" s="17"/>
      <c r="O99" s="21"/>
      <c r="P99" s="21"/>
      <c r="Q99" s="22"/>
      <c r="R99" s="22"/>
      <c r="S99" s="22"/>
      <c r="T99" s="22"/>
      <c r="U99" s="22"/>
      <c r="V99" s="22"/>
      <c r="W99" s="27"/>
      <c r="X99" s="22"/>
      <c r="Y99" s="28"/>
      <c r="Z99" s="28"/>
      <c r="AA99" s="28"/>
      <c r="AB99" s="17"/>
      <c r="AC99" s="17"/>
      <c r="AD99" s="5"/>
      <c r="AE99" s="28"/>
      <c r="AF99" s="2"/>
    </row>
    <row r="100" spans="1:32">
      <c r="A100" s="15">
        <f t="shared" si="5"/>
        <v>95</v>
      </c>
      <c r="B100" s="23" t="s">
        <v>395</v>
      </c>
      <c r="C100" s="3" t="s">
        <v>182</v>
      </c>
      <c r="D100" s="2" t="s">
        <v>107</v>
      </c>
      <c r="E100" s="24">
        <f>+[72]Main!$J$2</f>
        <v>12.17</v>
      </c>
      <c r="F100" s="17">
        <f>+[72]Main!$J$4*FX!C13</f>
        <v>817.17420560790003</v>
      </c>
      <c r="G100" s="17">
        <f>+([72]Main!$J$6-[72]Main!$J$5)*FX!C13</f>
        <v>158.286</v>
      </c>
      <c r="H100" s="17">
        <f>+F100+G100</f>
        <v>975.46020560789998</v>
      </c>
      <c r="I100" s="16" t="s">
        <v>872</v>
      </c>
      <c r="J100" s="26">
        <v>46331</v>
      </c>
      <c r="K100" s="17"/>
      <c r="L100" s="21"/>
      <c r="M100" s="17"/>
      <c r="N100" s="17"/>
      <c r="O100" s="21"/>
      <c r="P100" s="21"/>
      <c r="Q100" s="22"/>
      <c r="R100" s="22"/>
      <c r="S100" s="22"/>
      <c r="T100" s="22"/>
      <c r="U100" s="22"/>
      <c r="V100" s="22"/>
      <c r="W100" s="27"/>
      <c r="X100" s="22"/>
      <c r="Y100" s="28"/>
      <c r="Z100" s="28"/>
      <c r="AA100" s="28"/>
      <c r="AB100" s="17"/>
      <c r="AC100" s="17"/>
      <c r="AD100" s="5"/>
      <c r="AE100" s="28"/>
      <c r="AF100" s="2"/>
    </row>
    <row r="101" spans="1:32">
      <c r="A101" s="15">
        <f t="shared" si="5"/>
        <v>96</v>
      </c>
      <c r="B101" s="2" t="s">
        <v>183</v>
      </c>
      <c r="C101" s="3" t="s">
        <v>184</v>
      </c>
      <c r="D101" s="2" t="s">
        <v>185</v>
      </c>
      <c r="E101" s="24"/>
      <c r="F101" s="17"/>
      <c r="G101" s="17"/>
      <c r="H101" s="17"/>
      <c r="I101" s="16"/>
      <c r="J101" s="26"/>
      <c r="K101" s="17"/>
      <c r="L101" s="21"/>
      <c r="M101" s="17"/>
      <c r="N101" s="17"/>
      <c r="O101" s="21"/>
      <c r="P101" s="21"/>
      <c r="Q101" s="22"/>
      <c r="R101" s="22"/>
      <c r="S101" s="22"/>
      <c r="T101" s="22"/>
      <c r="U101" s="22"/>
      <c r="V101" s="22"/>
      <c r="W101" s="27"/>
      <c r="X101" s="22"/>
      <c r="Y101" s="28"/>
      <c r="Z101" s="28"/>
      <c r="AA101" s="28"/>
      <c r="AB101" s="17"/>
      <c r="AC101" s="17"/>
      <c r="AD101" s="5"/>
      <c r="AE101" s="28"/>
      <c r="AF101" s="2"/>
    </row>
    <row r="102" spans="1:32">
      <c r="A102" s="15">
        <f t="shared" si="5"/>
        <v>97</v>
      </c>
      <c r="B102" s="2" t="s">
        <v>186</v>
      </c>
      <c r="C102" s="3" t="s">
        <v>187</v>
      </c>
      <c r="D102" s="2" t="s">
        <v>188</v>
      </c>
      <c r="E102" s="24"/>
      <c r="F102" s="17"/>
      <c r="G102" s="17"/>
      <c r="H102" s="17"/>
      <c r="I102" s="16"/>
      <c r="J102" s="26"/>
      <c r="K102" s="17"/>
      <c r="L102" s="21"/>
      <c r="M102" s="17"/>
      <c r="N102" s="17"/>
      <c r="O102" s="21"/>
      <c r="P102" s="21"/>
      <c r="Q102" s="22"/>
      <c r="R102" s="22"/>
      <c r="S102" s="22"/>
      <c r="T102" s="22"/>
      <c r="U102" s="22"/>
      <c r="V102" s="22"/>
      <c r="W102" s="27"/>
      <c r="X102" s="22"/>
      <c r="Y102" s="28"/>
      <c r="Z102" s="28"/>
      <c r="AA102" s="28"/>
      <c r="AB102" s="17"/>
      <c r="AC102" s="17"/>
      <c r="AD102" s="5"/>
      <c r="AE102" s="28"/>
      <c r="AF102" s="2"/>
    </row>
    <row r="103" spans="1:32">
      <c r="A103" s="15">
        <f t="shared" si="5"/>
        <v>98</v>
      </c>
      <c r="B103" s="23" t="s">
        <v>189</v>
      </c>
      <c r="C103" s="3" t="s">
        <v>190</v>
      </c>
      <c r="D103" s="2" t="s">
        <v>21</v>
      </c>
      <c r="E103" s="24">
        <f>+[73]Main!$I$2</f>
        <v>4.53</v>
      </c>
      <c r="F103" s="17">
        <f>+[73]Main!$I$4</f>
        <v>736.21656488999997</v>
      </c>
      <c r="G103" s="17">
        <f>+[73]Main!$I$6-[73]Main!$I$5</f>
        <v>-235.51</v>
      </c>
      <c r="H103" s="17">
        <f>+F103+G103</f>
        <v>500.70656488999998</v>
      </c>
      <c r="I103" s="16" t="s">
        <v>338</v>
      </c>
      <c r="J103" s="26"/>
      <c r="K103" s="17"/>
      <c r="L103" s="21"/>
      <c r="M103" s="17"/>
      <c r="N103" s="17"/>
      <c r="O103" s="21"/>
      <c r="P103" s="21"/>
      <c r="Q103" s="22"/>
      <c r="R103" s="22"/>
      <c r="S103" s="22"/>
      <c r="T103" s="22"/>
      <c r="U103" s="22"/>
      <c r="V103" s="22"/>
      <c r="W103" s="27"/>
      <c r="X103" s="22"/>
      <c r="Y103" s="28"/>
      <c r="Z103" s="28"/>
      <c r="AA103" s="28"/>
      <c r="AB103" s="17"/>
      <c r="AC103" s="17"/>
      <c r="AD103" s="5"/>
      <c r="AE103" s="28"/>
      <c r="AF103" s="2"/>
    </row>
    <row r="104" spans="1:32">
      <c r="A104" s="15">
        <f t="shared" si="5"/>
        <v>99</v>
      </c>
      <c r="B104" s="23" t="s">
        <v>191</v>
      </c>
      <c r="C104" s="3" t="s">
        <v>192</v>
      </c>
      <c r="D104" s="2" t="s">
        <v>21</v>
      </c>
      <c r="E104" s="24">
        <f>+[74]Main!$I$2</f>
        <v>16.75</v>
      </c>
      <c r="F104" s="17">
        <f>+[74]Main!$I$4</f>
        <v>872.38125524999998</v>
      </c>
      <c r="G104" s="17">
        <f>+[74]Main!$I$6-[74]Main!$I$5</f>
        <v>434.077</v>
      </c>
      <c r="H104" s="17">
        <f>+F104+G104</f>
        <v>1306.4582552500001</v>
      </c>
      <c r="I104" s="16" t="s">
        <v>149</v>
      </c>
      <c r="J104" s="26"/>
      <c r="K104" s="17"/>
      <c r="L104" s="21"/>
      <c r="M104" s="17"/>
      <c r="N104" s="17"/>
      <c r="O104" s="21"/>
      <c r="P104" s="21"/>
      <c r="Q104" s="22"/>
      <c r="R104" s="22"/>
      <c r="S104" s="22"/>
      <c r="T104" s="22"/>
      <c r="U104" s="22"/>
      <c r="V104" s="22"/>
      <c r="W104" s="27"/>
      <c r="X104" s="22"/>
      <c r="Y104" s="28"/>
      <c r="Z104" s="28"/>
      <c r="AA104" s="28"/>
      <c r="AB104" s="17"/>
      <c r="AC104" s="17"/>
      <c r="AD104" s="5"/>
      <c r="AE104" s="28"/>
      <c r="AF104" s="2"/>
    </row>
    <row r="105" spans="1:32">
      <c r="A105" s="15">
        <f t="shared" si="5"/>
        <v>100</v>
      </c>
      <c r="B105" s="2" t="s">
        <v>193</v>
      </c>
      <c r="C105" s="3" t="s">
        <v>194</v>
      </c>
      <c r="D105" s="2" t="s">
        <v>188</v>
      </c>
      <c r="E105" s="24"/>
      <c r="F105" s="17"/>
      <c r="G105" s="17"/>
      <c r="H105" s="17"/>
      <c r="I105" s="16"/>
      <c r="J105" s="26"/>
      <c r="K105" s="17"/>
      <c r="L105" s="21"/>
      <c r="M105" s="17"/>
      <c r="N105" s="17"/>
      <c r="O105" s="21"/>
      <c r="P105" s="21"/>
      <c r="Q105" s="22"/>
      <c r="R105" s="22"/>
      <c r="S105" s="22"/>
      <c r="T105" s="22"/>
      <c r="U105" s="22"/>
      <c r="V105" s="22"/>
      <c r="W105" s="27"/>
      <c r="X105" s="22"/>
      <c r="Y105" s="28"/>
      <c r="Z105" s="28"/>
      <c r="AA105" s="28"/>
      <c r="AB105" s="17"/>
      <c r="AC105" s="17"/>
      <c r="AD105" s="5"/>
      <c r="AE105" s="28"/>
      <c r="AF105" s="2"/>
    </row>
    <row r="106" spans="1:32">
      <c r="A106" s="15">
        <f t="shared" si="5"/>
        <v>101</v>
      </c>
      <c r="B106" s="2" t="s">
        <v>195</v>
      </c>
      <c r="C106" s="3" t="s">
        <v>196</v>
      </c>
      <c r="D106" s="2" t="s">
        <v>197</v>
      </c>
      <c r="E106" s="24"/>
      <c r="F106" s="17"/>
      <c r="G106" s="17"/>
      <c r="H106" s="17"/>
      <c r="I106" s="16"/>
      <c r="J106" s="26"/>
      <c r="K106" s="17"/>
      <c r="L106" s="21"/>
      <c r="M106" s="17"/>
      <c r="N106" s="17"/>
      <c r="O106" s="21"/>
      <c r="P106" s="21"/>
      <c r="Q106" s="22"/>
      <c r="R106" s="22"/>
      <c r="S106" s="22"/>
      <c r="T106" s="22"/>
      <c r="U106" s="22"/>
      <c r="V106" s="22"/>
      <c r="W106" s="27"/>
      <c r="X106" s="22"/>
      <c r="Y106" s="28"/>
      <c r="Z106" s="28"/>
      <c r="AA106" s="28"/>
      <c r="AB106" s="17"/>
      <c r="AC106" s="17"/>
      <c r="AD106" s="5"/>
      <c r="AE106" s="28"/>
      <c r="AF106" s="2"/>
    </row>
    <row r="107" spans="1:32">
      <c r="A107" s="15">
        <f t="shared" si="5"/>
        <v>102</v>
      </c>
      <c r="B107" s="2" t="s">
        <v>198</v>
      </c>
      <c r="C107" s="3" t="s">
        <v>199</v>
      </c>
      <c r="D107" s="2" t="s">
        <v>185</v>
      </c>
      <c r="E107" s="24"/>
      <c r="F107" s="17"/>
      <c r="G107" s="17"/>
      <c r="H107" s="17"/>
      <c r="I107" s="16"/>
      <c r="J107" s="26"/>
      <c r="K107" s="17"/>
      <c r="L107" s="21"/>
      <c r="M107" s="17"/>
      <c r="N107" s="17"/>
      <c r="O107" s="21"/>
      <c r="P107" s="21"/>
      <c r="Q107" s="22"/>
      <c r="R107" s="22"/>
      <c r="S107" s="22"/>
      <c r="T107" s="22"/>
      <c r="U107" s="22"/>
      <c r="V107" s="22"/>
      <c r="W107" s="27"/>
      <c r="X107" s="22"/>
      <c r="Y107" s="28"/>
      <c r="Z107" s="28"/>
      <c r="AA107" s="28"/>
      <c r="AB107" s="17"/>
      <c r="AC107" s="17"/>
      <c r="AD107" s="5"/>
      <c r="AE107" s="28"/>
      <c r="AF107" s="2"/>
    </row>
    <row r="108" spans="1:32">
      <c r="A108" s="15">
        <f t="shared" si="5"/>
        <v>103</v>
      </c>
      <c r="B108" s="2" t="s">
        <v>200</v>
      </c>
      <c r="C108" s="3" t="s">
        <v>201</v>
      </c>
      <c r="D108" s="2" t="s">
        <v>185</v>
      </c>
      <c r="E108" s="24"/>
      <c r="F108" s="17"/>
      <c r="G108" s="17"/>
      <c r="H108" s="17"/>
      <c r="I108" s="16"/>
      <c r="J108" s="26"/>
      <c r="K108" s="17"/>
      <c r="L108" s="21"/>
      <c r="M108" s="17"/>
      <c r="N108" s="17"/>
      <c r="O108" s="21"/>
      <c r="P108" s="21"/>
      <c r="Q108" s="22"/>
      <c r="R108" s="22"/>
      <c r="S108" s="22"/>
      <c r="T108" s="22"/>
      <c r="U108" s="22"/>
      <c r="V108" s="22"/>
      <c r="W108" s="27"/>
      <c r="X108" s="22"/>
      <c r="Y108" s="28"/>
      <c r="Z108" s="28"/>
      <c r="AA108" s="28"/>
      <c r="AB108" s="17"/>
      <c r="AC108" s="17"/>
      <c r="AD108" s="5"/>
      <c r="AE108" s="28"/>
      <c r="AF108" s="2"/>
    </row>
    <row r="109" spans="1:32">
      <c r="A109" s="15">
        <f t="shared" si="5"/>
        <v>104</v>
      </c>
      <c r="B109" s="2" t="s">
        <v>202</v>
      </c>
      <c r="C109" s="3" t="s">
        <v>203</v>
      </c>
      <c r="D109" s="2" t="s">
        <v>166</v>
      </c>
      <c r="E109" s="24"/>
      <c r="F109" s="17"/>
      <c r="G109" s="17"/>
      <c r="H109" s="17"/>
      <c r="I109" s="16"/>
      <c r="J109" s="26"/>
      <c r="K109" s="17"/>
      <c r="L109" s="21"/>
      <c r="M109" s="17"/>
      <c r="N109" s="17"/>
      <c r="O109" s="21"/>
      <c r="P109" s="21"/>
      <c r="Q109" s="22"/>
      <c r="R109" s="22"/>
      <c r="S109" s="22"/>
      <c r="T109" s="22"/>
      <c r="U109" s="22"/>
      <c r="V109" s="22"/>
      <c r="W109" s="27"/>
      <c r="X109" s="22"/>
      <c r="Y109" s="28"/>
      <c r="Z109" s="28"/>
      <c r="AA109" s="28"/>
      <c r="AB109" s="17"/>
      <c r="AC109" s="17"/>
      <c r="AD109" s="5"/>
      <c r="AE109" s="28"/>
      <c r="AF109" s="2"/>
    </row>
    <row r="110" spans="1:32">
      <c r="A110" s="15">
        <f t="shared" si="5"/>
        <v>105</v>
      </c>
      <c r="B110" s="2" t="s">
        <v>204</v>
      </c>
      <c r="C110" s="3" t="s">
        <v>205</v>
      </c>
      <c r="D110" s="2" t="s">
        <v>165</v>
      </c>
      <c r="E110" s="24"/>
      <c r="F110" s="17"/>
      <c r="G110" s="17"/>
      <c r="H110" s="17"/>
      <c r="I110" s="16"/>
      <c r="J110" s="26"/>
      <c r="K110" s="17"/>
      <c r="L110" s="21"/>
      <c r="M110" s="17"/>
      <c r="N110" s="17"/>
      <c r="O110" s="21"/>
      <c r="P110" s="21"/>
      <c r="Q110" s="22"/>
      <c r="R110" s="22"/>
      <c r="S110" s="22"/>
      <c r="T110" s="22"/>
      <c r="U110" s="22"/>
      <c r="V110" s="22"/>
      <c r="W110" s="27"/>
      <c r="X110" s="22"/>
      <c r="Y110" s="28"/>
      <c r="Z110" s="28"/>
      <c r="AA110" s="28"/>
      <c r="AB110" s="17"/>
      <c r="AC110" s="17"/>
      <c r="AD110" s="5"/>
      <c r="AE110" s="28"/>
      <c r="AF110" s="2"/>
    </row>
    <row r="111" spans="1:32">
      <c r="A111" s="15">
        <f t="shared" si="5"/>
        <v>106</v>
      </c>
      <c r="B111" s="2" t="s">
        <v>207</v>
      </c>
      <c r="C111" s="3" t="s">
        <v>206</v>
      </c>
      <c r="D111" s="2" t="s">
        <v>109</v>
      </c>
      <c r="E111" s="24"/>
      <c r="F111" s="17"/>
      <c r="G111" s="17"/>
      <c r="H111" s="17"/>
      <c r="I111" s="16"/>
      <c r="J111" s="26"/>
      <c r="K111" s="17"/>
      <c r="L111" s="21"/>
      <c r="M111" s="17"/>
      <c r="N111" s="17"/>
      <c r="O111" s="21"/>
      <c r="P111" s="21"/>
      <c r="Q111" s="22"/>
      <c r="R111" s="22"/>
      <c r="S111" s="22"/>
      <c r="T111" s="22"/>
      <c r="U111" s="22"/>
      <c r="V111" s="22"/>
      <c r="W111" s="27"/>
      <c r="X111" s="22"/>
      <c r="Y111" s="28"/>
      <c r="Z111" s="28"/>
      <c r="AA111" s="28"/>
      <c r="AB111" s="17"/>
      <c r="AC111" s="17"/>
      <c r="AD111" s="5"/>
      <c r="AE111" s="28"/>
      <c r="AF111" s="2"/>
    </row>
    <row r="112" spans="1:32">
      <c r="A112" s="15">
        <f t="shared" si="5"/>
        <v>107</v>
      </c>
      <c r="B112" s="2" t="s">
        <v>208</v>
      </c>
      <c r="C112" s="3" t="s">
        <v>209</v>
      </c>
      <c r="D112" s="2" t="s">
        <v>185</v>
      </c>
      <c r="E112" s="24"/>
      <c r="F112" s="17"/>
      <c r="G112" s="17"/>
      <c r="H112" s="17"/>
      <c r="I112" s="16"/>
      <c r="J112" s="26"/>
      <c r="K112" s="17"/>
      <c r="L112" s="21"/>
      <c r="M112" s="17"/>
      <c r="N112" s="17"/>
      <c r="O112" s="21"/>
      <c r="P112" s="21"/>
      <c r="Q112" s="22"/>
      <c r="R112" s="22"/>
      <c r="S112" s="22"/>
      <c r="T112" s="22"/>
      <c r="U112" s="22"/>
      <c r="V112" s="22"/>
      <c r="W112" s="27"/>
      <c r="X112" s="22"/>
      <c r="Y112" s="28"/>
      <c r="Z112" s="28"/>
      <c r="AA112" s="28"/>
      <c r="AB112" s="17"/>
      <c r="AC112" s="17"/>
      <c r="AD112" s="5"/>
      <c r="AE112" s="28"/>
      <c r="AF112" s="2"/>
    </row>
    <row r="113" spans="1:32">
      <c r="A113" s="15">
        <f t="shared" si="5"/>
        <v>108</v>
      </c>
      <c r="B113" s="2" t="s">
        <v>210</v>
      </c>
      <c r="C113" s="3" t="s">
        <v>211</v>
      </c>
      <c r="D113" s="2" t="s">
        <v>82</v>
      </c>
      <c r="E113" s="24"/>
      <c r="F113" s="17"/>
      <c r="G113" s="17"/>
      <c r="H113" s="17"/>
      <c r="I113" s="16"/>
      <c r="J113" s="26"/>
      <c r="K113" s="17"/>
      <c r="L113" s="21"/>
      <c r="M113" s="17"/>
      <c r="N113" s="17"/>
      <c r="O113" s="21"/>
      <c r="P113" s="21"/>
      <c r="Q113" s="22"/>
      <c r="R113" s="22"/>
      <c r="S113" s="22"/>
      <c r="T113" s="22"/>
      <c r="U113" s="22"/>
      <c r="V113" s="22"/>
      <c r="W113" s="27"/>
      <c r="X113" s="22"/>
      <c r="Y113" s="28"/>
      <c r="Z113" s="28"/>
      <c r="AA113" s="28"/>
      <c r="AB113" s="17"/>
      <c r="AC113" s="17"/>
      <c r="AD113" s="5"/>
      <c r="AE113" s="28"/>
      <c r="AF113" s="2"/>
    </row>
    <row r="114" spans="1:32">
      <c r="A114" s="15">
        <f t="shared" si="5"/>
        <v>109</v>
      </c>
      <c r="B114" s="2" t="s">
        <v>213</v>
      </c>
      <c r="C114" s="3" t="s">
        <v>215</v>
      </c>
      <c r="D114" s="2" t="s">
        <v>214</v>
      </c>
      <c r="E114" s="24"/>
      <c r="F114" s="17"/>
      <c r="G114" s="17"/>
      <c r="H114" s="17"/>
      <c r="I114" s="16"/>
      <c r="J114" s="26"/>
      <c r="K114" s="17"/>
      <c r="L114" s="21"/>
      <c r="M114" s="17"/>
      <c r="N114" s="17"/>
      <c r="O114" s="21"/>
      <c r="P114" s="21"/>
      <c r="Q114" s="22"/>
      <c r="R114" s="22"/>
      <c r="S114" s="22"/>
      <c r="T114" s="22"/>
      <c r="U114" s="22"/>
      <c r="V114" s="22"/>
      <c r="W114" s="27"/>
      <c r="X114" s="22"/>
      <c r="Y114" s="28"/>
      <c r="Z114" s="28"/>
      <c r="AA114" s="28"/>
      <c r="AB114" s="17"/>
      <c r="AC114" s="17"/>
      <c r="AD114" s="5"/>
      <c r="AE114" s="28"/>
      <c r="AF114" s="2"/>
    </row>
    <row r="115" spans="1:32">
      <c r="A115" s="15">
        <f t="shared" si="5"/>
        <v>110</v>
      </c>
      <c r="B115" s="2" t="s">
        <v>216</v>
      </c>
      <c r="C115" s="3" t="s">
        <v>217</v>
      </c>
      <c r="D115" s="2" t="s">
        <v>21</v>
      </c>
      <c r="E115" s="24"/>
      <c r="F115" s="17"/>
      <c r="G115" s="17"/>
      <c r="H115" s="17"/>
      <c r="I115" s="16"/>
      <c r="J115" s="26"/>
      <c r="K115" s="17"/>
      <c r="L115" s="21"/>
      <c r="M115" s="17"/>
      <c r="N115" s="17"/>
      <c r="O115" s="21"/>
      <c r="P115" s="21"/>
      <c r="Q115" s="22"/>
      <c r="R115" s="22"/>
      <c r="S115" s="22"/>
      <c r="T115" s="22"/>
      <c r="U115" s="22"/>
      <c r="V115" s="22"/>
      <c r="W115" s="27"/>
      <c r="X115" s="22"/>
      <c r="Y115" s="28"/>
      <c r="Z115" s="28"/>
      <c r="AA115" s="28"/>
      <c r="AB115" s="17"/>
      <c r="AC115" s="17"/>
      <c r="AD115" s="5"/>
      <c r="AE115" s="28"/>
      <c r="AF115" s="2"/>
    </row>
    <row r="116" spans="1:32">
      <c r="A116" s="15">
        <f t="shared" si="5"/>
        <v>111</v>
      </c>
      <c r="B116" s="2" t="s">
        <v>218</v>
      </c>
      <c r="C116" s="3" t="s">
        <v>220</v>
      </c>
      <c r="D116" s="2" t="s">
        <v>219</v>
      </c>
      <c r="E116" s="24"/>
      <c r="F116" s="17"/>
      <c r="G116" s="17"/>
      <c r="H116" s="17"/>
      <c r="I116" s="16"/>
      <c r="J116" s="26"/>
      <c r="K116" s="17"/>
      <c r="L116" s="21"/>
      <c r="M116" s="17"/>
      <c r="N116" s="17"/>
      <c r="O116" s="21"/>
      <c r="P116" s="21"/>
      <c r="Q116" s="22"/>
      <c r="R116" s="22"/>
      <c r="S116" s="22"/>
      <c r="T116" s="22"/>
      <c r="U116" s="22"/>
      <c r="V116" s="22"/>
      <c r="W116" s="27"/>
      <c r="X116" s="22"/>
      <c r="Y116" s="28"/>
      <c r="Z116" s="28"/>
      <c r="AA116" s="28"/>
      <c r="AB116" s="17"/>
      <c r="AC116" s="17"/>
      <c r="AD116" s="5"/>
      <c r="AE116" s="28"/>
      <c r="AF116" s="2"/>
    </row>
    <row r="117" spans="1:32">
      <c r="A117" s="15">
        <f t="shared" si="5"/>
        <v>112</v>
      </c>
      <c r="B117" s="2" t="s">
        <v>221</v>
      </c>
      <c r="C117" s="3" t="s">
        <v>222</v>
      </c>
      <c r="D117" s="2" t="s">
        <v>223</v>
      </c>
      <c r="E117" s="24"/>
      <c r="F117" s="17"/>
      <c r="G117" s="17"/>
      <c r="H117" s="17"/>
      <c r="I117" s="16"/>
      <c r="J117" s="26"/>
      <c r="K117" s="17"/>
      <c r="L117" s="21"/>
      <c r="M117" s="17"/>
      <c r="N117" s="17"/>
      <c r="O117" s="21"/>
      <c r="P117" s="21"/>
      <c r="Q117" s="22"/>
      <c r="R117" s="22"/>
      <c r="S117" s="22"/>
      <c r="T117" s="22"/>
      <c r="U117" s="22"/>
      <c r="V117" s="22"/>
      <c r="W117" s="27"/>
      <c r="X117" s="22"/>
      <c r="Y117" s="28"/>
      <c r="Z117" s="28"/>
      <c r="AA117" s="28"/>
      <c r="AB117" s="17"/>
      <c r="AC117" s="17"/>
      <c r="AD117" s="5"/>
      <c r="AE117" s="28"/>
      <c r="AF117" s="2"/>
    </row>
    <row r="118" spans="1:32">
      <c r="A118" s="15">
        <f t="shared" si="5"/>
        <v>113</v>
      </c>
      <c r="B118" s="2" t="s">
        <v>224</v>
      </c>
      <c r="C118" s="3" t="s">
        <v>225</v>
      </c>
      <c r="D118" s="2" t="s">
        <v>109</v>
      </c>
      <c r="E118" s="24"/>
      <c r="F118" s="17"/>
      <c r="G118" s="17"/>
      <c r="H118" s="17"/>
      <c r="I118" s="16"/>
      <c r="J118" s="26"/>
      <c r="K118" s="17"/>
      <c r="L118" s="21"/>
      <c r="M118" s="17"/>
      <c r="N118" s="17"/>
      <c r="O118" s="21"/>
      <c r="P118" s="21"/>
      <c r="Q118" s="22"/>
      <c r="R118" s="22"/>
      <c r="S118" s="22"/>
      <c r="T118" s="22"/>
      <c r="U118" s="22"/>
      <c r="V118" s="22"/>
      <c r="W118" s="27"/>
      <c r="X118" s="22"/>
      <c r="Y118" s="28"/>
      <c r="Z118" s="28"/>
      <c r="AA118" s="28"/>
      <c r="AB118" s="17"/>
      <c r="AC118" s="17"/>
      <c r="AD118" s="5"/>
      <c r="AE118" s="28"/>
      <c r="AF118" s="2"/>
    </row>
    <row r="119" spans="1:32">
      <c r="A119" s="15">
        <f t="shared" si="5"/>
        <v>114</v>
      </c>
      <c r="B119" s="23" t="s">
        <v>212</v>
      </c>
      <c r="C119" s="3" t="s">
        <v>335</v>
      </c>
      <c r="D119" s="2" t="s">
        <v>219</v>
      </c>
      <c r="E119" s="24">
        <f>+'[75]Main '!$F$2</f>
        <v>2.4350000000000001</v>
      </c>
      <c r="F119" s="17">
        <f>+'[75]Main '!$F$4*FX!C8</f>
        <v>360.19879762439996</v>
      </c>
      <c r="G119" s="17">
        <f>+('[75]Main '!$F$6-'[75]Main '!$F$5)*FX!C8</f>
        <v>229.02800000000005</v>
      </c>
      <c r="H119" s="17">
        <f>+F119+G119</f>
        <v>589.22679762439998</v>
      </c>
      <c r="I119" s="16" t="s">
        <v>422</v>
      </c>
      <c r="J119" s="26"/>
      <c r="K119" s="24"/>
      <c r="L119" s="21"/>
      <c r="M119" s="24"/>
      <c r="N119" s="24"/>
      <c r="O119" s="21"/>
      <c r="P119" s="21"/>
      <c r="Q119" s="22"/>
      <c r="R119" s="22"/>
      <c r="S119" s="22"/>
      <c r="T119" s="22"/>
      <c r="U119" s="22"/>
      <c r="V119" s="22"/>
      <c r="W119" s="27"/>
      <c r="X119" s="22"/>
      <c r="Y119" s="28"/>
      <c r="Z119" s="28"/>
      <c r="AA119" s="28"/>
      <c r="AB119" s="17"/>
      <c r="AC119" s="17"/>
      <c r="AD119" s="5"/>
      <c r="AE119" s="28"/>
      <c r="AF119" s="2"/>
    </row>
    <row r="120" spans="1:32">
      <c r="A120" s="15">
        <f t="shared" si="5"/>
        <v>115</v>
      </c>
      <c r="B120" s="2" t="s">
        <v>226</v>
      </c>
      <c r="C120" s="3" t="s">
        <v>227</v>
      </c>
      <c r="D120" s="2" t="s">
        <v>214</v>
      </c>
      <c r="E120" s="24"/>
      <c r="F120" s="17"/>
      <c r="G120" s="17"/>
      <c r="H120" s="17"/>
      <c r="I120" s="16"/>
      <c r="J120" s="26"/>
      <c r="K120" s="17"/>
      <c r="L120" s="21"/>
      <c r="M120" s="17"/>
      <c r="N120" s="17"/>
      <c r="O120" s="21"/>
      <c r="P120" s="21"/>
      <c r="Q120" s="22"/>
      <c r="R120" s="22"/>
      <c r="S120" s="22"/>
      <c r="T120" s="22"/>
      <c r="U120" s="22"/>
      <c r="V120" s="22"/>
      <c r="W120" s="27"/>
      <c r="X120" s="22"/>
      <c r="Y120" s="28"/>
      <c r="Z120" s="28"/>
      <c r="AA120" s="28"/>
      <c r="AB120" s="17"/>
      <c r="AC120" s="17"/>
      <c r="AD120" s="5"/>
      <c r="AE120" s="28"/>
      <c r="AF120" s="2"/>
    </row>
    <row r="121" spans="1:32">
      <c r="A121" s="15">
        <f t="shared" si="5"/>
        <v>116</v>
      </c>
      <c r="B121" s="2" t="s">
        <v>228</v>
      </c>
      <c r="C121" s="3" t="s">
        <v>229</v>
      </c>
      <c r="D121" s="2" t="s">
        <v>185</v>
      </c>
      <c r="E121" s="24"/>
      <c r="F121" s="17"/>
      <c r="G121" s="17"/>
      <c r="H121" s="17"/>
      <c r="I121" s="16"/>
      <c r="J121" s="26"/>
      <c r="K121" s="17"/>
      <c r="L121" s="21"/>
      <c r="M121" s="17"/>
      <c r="N121" s="17"/>
      <c r="O121" s="21"/>
      <c r="P121" s="21"/>
      <c r="Q121" s="22"/>
      <c r="R121" s="22"/>
      <c r="S121" s="22"/>
      <c r="T121" s="22"/>
      <c r="U121" s="22"/>
      <c r="V121" s="22"/>
      <c r="W121" s="27"/>
      <c r="X121" s="22"/>
      <c r="Y121" s="28"/>
      <c r="Z121" s="28"/>
      <c r="AA121" s="28"/>
      <c r="AB121" s="17"/>
      <c r="AC121" s="17"/>
      <c r="AD121" s="5"/>
      <c r="AE121" s="28"/>
      <c r="AF121" s="2"/>
    </row>
    <row r="122" spans="1:32">
      <c r="A122" s="15">
        <f t="shared" si="5"/>
        <v>117</v>
      </c>
      <c r="B122" s="2" t="s">
        <v>230</v>
      </c>
      <c r="C122" s="3" t="s">
        <v>231</v>
      </c>
      <c r="D122" s="2" t="s">
        <v>185</v>
      </c>
      <c r="E122" s="24"/>
      <c r="F122" s="17"/>
      <c r="G122" s="17"/>
      <c r="H122" s="17"/>
      <c r="I122" s="16"/>
      <c r="J122" s="26"/>
      <c r="K122" s="17"/>
      <c r="L122" s="21"/>
      <c r="M122" s="17"/>
      <c r="N122" s="17"/>
      <c r="O122" s="21"/>
      <c r="P122" s="21"/>
      <c r="Q122" s="22"/>
      <c r="R122" s="22"/>
      <c r="S122" s="22"/>
      <c r="T122" s="22"/>
      <c r="U122" s="22"/>
      <c r="V122" s="22"/>
      <c r="W122" s="27"/>
      <c r="X122" s="22"/>
      <c r="Y122" s="28"/>
      <c r="Z122" s="28"/>
      <c r="AA122" s="28"/>
      <c r="AB122" s="17"/>
      <c r="AC122" s="17"/>
      <c r="AD122" s="5"/>
      <c r="AE122" s="28"/>
      <c r="AF122" s="2"/>
    </row>
    <row r="123" spans="1:32">
      <c r="A123" s="15">
        <f t="shared" si="5"/>
        <v>118</v>
      </c>
      <c r="B123" s="2" t="s">
        <v>234</v>
      </c>
      <c r="C123" s="3" t="s">
        <v>236</v>
      </c>
      <c r="D123" s="2" t="s">
        <v>235</v>
      </c>
      <c r="E123" s="24"/>
      <c r="F123" s="17"/>
      <c r="G123" s="17"/>
      <c r="H123" s="17"/>
      <c r="I123" s="16"/>
      <c r="J123" s="26"/>
      <c r="K123" s="17"/>
      <c r="L123" s="21"/>
      <c r="M123" s="17"/>
      <c r="N123" s="17"/>
      <c r="O123" s="21"/>
      <c r="P123" s="21"/>
      <c r="Q123" s="22"/>
      <c r="R123" s="22"/>
      <c r="S123" s="22"/>
      <c r="T123" s="22"/>
      <c r="U123" s="22"/>
      <c r="V123" s="22"/>
      <c r="W123" s="27"/>
      <c r="X123" s="22"/>
      <c r="Y123" s="28"/>
      <c r="Z123" s="28"/>
      <c r="AA123" s="28"/>
      <c r="AB123" s="17"/>
      <c r="AC123" s="17"/>
      <c r="AD123" s="5"/>
      <c r="AE123" s="28"/>
      <c r="AF123" s="2"/>
    </row>
    <row r="124" spans="1:32">
      <c r="A124" s="15">
        <f t="shared" si="5"/>
        <v>119</v>
      </c>
      <c r="B124" s="2" t="s">
        <v>237</v>
      </c>
      <c r="C124" s="3" t="s">
        <v>238</v>
      </c>
      <c r="D124" s="2" t="s">
        <v>188</v>
      </c>
      <c r="E124" s="24"/>
      <c r="F124" s="17"/>
      <c r="G124" s="17"/>
      <c r="H124" s="17"/>
      <c r="I124" s="16"/>
      <c r="J124" s="26"/>
      <c r="K124" s="17"/>
      <c r="L124" s="21"/>
      <c r="M124" s="17"/>
      <c r="N124" s="17"/>
      <c r="O124" s="21"/>
      <c r="P124" s="21"/>
      <c r="Q124" s="22"/>
      <c r="R124" s="22"/>
      <c r="S124" s="22"/>
      <c r="T124" s="22"/>
      <c r="U124" s="22"/>
      <c r="V124" s="22"/>
      <c r="W124" s="27"/>
      <c r="X124" s="22"/>
      <c r="Y124" s="28"/>
      <c r="Z124" s="28"/>
      <c r="AA124" s="28"/>
      <c r="AB124" s="17"/>
      <c r="AC124" s="17"/>
      <c r="AD124" s="5"/>
      <c r="AE124" s="28"/>
      <c r="AF124" s="2"/>
    </row>
    <row r="125" spans="1:32">
      <c r="A125" s="15">
        <f t="shared" si="5"/>
        <v>120</v>
      </c>
      <c r="B125" s="2" t="s">
        <v>239</v>
      </c>
      <c r="C125" s="3" t="s">
        <v>240</v>
      </c>
      <c r="D125" s="2" t="s">
        <v>185</v>
      </c>
      <c r="E125" s="24"/>
      <c r="F125" s="17"/>
      <c r="G125" s="17"/>
      <c r="H125" s="17"/>
      <c r="I125" s="16"/>
      <c r="J125" s="26"/>
      <c r="K125" s="17"/>
      <c r="L125" s="21"/>
      <c r="M125" s="17"/>
      <c r="N125" s="17"/>
      <c r="O125" s="21"/>
      <c r="P125" s="21"/>
      <c r="Q125" s="22"/>
      <c r="R125" s="22"/>
      <c r="S125" s="22"/>
      <c r="T125" s="22"/>
      <c r="U125" s="22"/>
      <c r="V125" s="22"/>
      <c r="W125" s="27"/>
      <c r="X125" s="22"/>
      <c r="Y125" s="28"/>
      <c r="Z125" s="28"/>
      <c r="AA125" s="28"/>
      <c r="AB125" s="17"/>
      <c r="AC125" s="17"/>
      <c r="AD125" s="5"/>
      <c r="AE125" s="28"/>
      <c r="AF125" s="2"/>
    </row>
    <row r="126" spans="1:32">
      <c r="A126" s="15">
        <f t="shared" si="5"/>
        <v>121</v>
      </c>
      <c r="B126" s="23" t="s">
        <v>242</v>
      </c>
      <c r="C126" s="3" t="s">
        <v>241</v>
      </c>
      <c r="D126" s="2" t="s">
        <v>21</v>
      </c>
      <c r="E126" s="24">
        <f>+[76]Main!$H$2</f>
        <v>0.98</v>
      </c>
      <c r="F126" s="17">
        <f>+[76]Main!$H$4</f>
        <v>97.21301296</v>
      </c>
      <c r="G126" s="17">
        <f>+[76]Main!$H$6-[76]Main!$H$5</f>
        <v>274.101</v>
      </c>
      <c r="H126" s="17">
        <f>+F126+G126</f>
        <v>371.31401296000001</v>
      </c>
      <c r="I126" s="16" t="s">
        <v>811</v>
      </c>
      <c r="J126" s="26"/>
      <c r="K126" s="17"/>
      <c r="L126" s="21"/>
      <c r="M126" s="17"/>
      <c r="N126" s="17"/>
      <c r="O126" s="21"/>
      <c r="P126" s="21"/>
      <c r="Q126" s="22"/>
      <c r="R126" s="22"/>
      <c r="S126" s="22"/>
      <c r="T126" s="22"/>
      <c r="U126" s="22"/>
      <c r="V126" s="22"/>
      <c r="W126" s="27"/>
      <c r="X126" s="22"/>
      <c r="Y126" s="28"/>
      <c r="Z126" s="28"/>
      <c r="AA126" s="28"/>
      <c r="AB126" s="17"/>
      <c r="AC126" s="17"/>
      <c r="AD126" s="5"/>
      <c r="AE126" s="28"/>
      <c r="AF126" s="2"/>
    </row>
    <row r="127" spans="1:32">
      <c r="A127" s="15">
        <f t="shared" si="5"/>
        <v>122</v>
      </c>
      <c r="B127" s="2" t="s">
        <v>243</v>
      </c>
      <c r="C127" s="3" t="s">
        <v>244</v>
      </c>
      <c r="D127" s="2" t="s">
        <v>245</v>
      </c>
      <c r="E127" s="24"/>
      <c r="F127" s="17"/>
      <c r="G127" s="17"/>
      <c r="H127" s="17"/>
      <c r="I127" s="16"/>
      <c r="J127" s="26"/>
      <c r="K127" s="17"/>
      <c r="L127" s="21"/>
      <c r="M127" s="17"/>
      <c r="N127" s="17"/>
      <c r="O127" s="21"/>
      <c r="P127" s="21"/>
      <c r="Q127" s="22"/>
      <c r="R127" s="22"/>
      <c r="S127" s="22"/>
      <c r="T127" s="22"/>
      <c r="U127" s="22"/>
      <c r="V127" s="22"/>
      <c r="W127" s="27"/>
      <c r="X127" s="22"/>
      <c r="Y127" s="28"/>
      <c r="Z127" s="28"/>
      <c r="AA127" s="28"/>
      <c r="AB127" s="17"/>
      <c r="AC127" s="17"/>
      <c r="AD127" s="5"/>
      <c r="AE127" s="28"/>
      <c r="AF127" s="2"/>
    </row>
    <row r="128" spans="1:32">
      <c r="A128" s="15">
        <f t="shared" si="5"/>
        <v>123</v>
      </c>
      <c r="B128" s="44" t="s">
        <v>246</v>
      </c>
      <c r="C128" s="3" t="s">
        <v>247</v>
      </c>
      <c r="D128" s="2" t="s">
        <v>21</v>
      </c>
      <c r="E128" s="24">
        <f>+[77]Main!$I$2</f>
        <v>17.79</v>
      </c>
      <c r="F128" s="17">
        <f>+[77]Main!$I$4</f>
        <v>270.90115659000003</v>
      </c>
      <c r="G128" s="17">
        <f>+[77]Main!$I$6-[77]Main!$I$5</f>
        <v>24.493000000000002</v>
      </c>
      <c r="H128" s="17">
        <f>+F128+G128</f>
        <v>295.39415659000002</v>
      </c>
      <c r="I128" s="16" t="s">
        <v>149</v>
      </c>
      <c r="J128" s="26"/>
      <c r="K128" s="17"/>
      <c r="L128" s="21"/>
      <c r="M128" s="17"/>
      <c r="N128" s="17"/>
      <c r="O128" s="21"/>
      <c r="P128" s="21"/>
      <c r="Q128" s="22"/>
      <c r="R128" s="22"/>
      <c r="S128" s="22"/>
      <c r="T128" s="22"/>
      <c r="U128" s="22"/>
      <c r="V128" s="22"/>
      <c r="W128" s="27"/>
      <c r="X128" s="22"/>
      <c r="Y128" s="28"/>
      <c r="Z128" s="28"/>
      <c r="AA128" s="28"/>
      <c r="AB128" s="17"/>
      <c r="AC128" s="17"/>
      <c r="AD128" s="5"/>
      <c r="AE128" s="28"/>
      <c r="AF128" s="2"/>
    </row>
    <row r="129" spans="1:32">
      <c r="A129" s="15">
        <f t="shared" si="5"/>
        <v>124</v>
      </c>
      <c r="B129" s="2" t="s">
        <v>248</v>
      </c>
      <c r="C129" s="3" t="s">
        <v>249</v>
      </c>
      <c r="D129" s="2" t="s">
        <v>185</v>
      </c>
      <c r="E129" s="24"/>
      <c r="F129" s="17"/>
      <c r="G129" s="17"/>
      <c r="H129" s="17"/>
      <c r="I129" s="16"/>
      <c r="J129" s="26"/>
      <c r="K129" s="17"/>
      <c r="L129" s="21"/>
      <c r="M129" s="17"/>
      <c r="N129" s="17"/>
      <c r="O129" s="21"/>
      <c r="P129" s="21"/>
      <c r="Q129" s="22"/>
      <c r="R129" s="22"/>
      <c r="S129" s="22"/>
      <c r="T129" s="22"/>
      <c r="U129" s="22"/>
      <c r="V129" s="22"/>
      <c r="W129" s="27"/>
      <c r="X129" s="22"/>
      <c r="Y129" s="28"/>
      <c r="Z129" s="28"/>
      <c r="AA129" s="28"/>
      <c r="AB129" s="17"/>
      <c r="AC129" s="17"/>
      <c r="AD129" s="5"/>
      <c r="AE129" s="28"/>
      <c r="AF129" s="2"/>
    </row>
    <row r="130" spans="1:32">
      <c r="A130" s="15">
        <f t="shared" si="5"/>
        <v>125</v>
      </c>
      <c r="B130" s="2" t="s">
        <v>250</v>
      </c>
      <c r="C130" s="3" t="s">
        <v>251</v>
      </c>
      <c r="D130" s="2" t="s">
        <v>21</v>
      </c>
      <c r="E130" s="24"/>
      <c r="F130" s="17"/>
      <c r="G130" s="17"/>
      <c r="H130" s="17"/>
      <c r="I130" s="16"/>
      <c r="J130" s="26"/>
      <c r="K130" s="17"/>
      <c r="L130" s="21"/>
      <c r="M130" s="17"/>
      <c r="N130" s="17"/>
      <c r="O130" s="21"/>
      <c r="P130" s="21"/>
      <c r="Q130" s="22"/>
      <c r="R130" s="22"/>
      <c r="S130" s="22"/>
      <c r="T130" s="22"/>
      <c r="U130" s="22"/>
      <c r="V130" s="22"/>
      <c r="W130" s="27"/>
      <c r="X130" s="22"/>
      <c r="Y130" s="28"/>
      <c r="Z130" s="28"/>
      <c r="AA130" s="28"/>
      <c r="AB130" s="17"/>
      <c r="AC130" s="17"/>
      <c r="AD130" s="5"/>
      <c r="AE130" s="28"/>
      <c r="AF130" s="2"/>
    </row>
    <row r="131" spans="1:32">
      <c r="A131" s="15">
        <f t="shared" si="5"/>
        <v>126</v>
      </c>
      <c r="B131" s="2" t="s">
        <v>252</v>
      </c>
      <c r="C131" s="32" t="s">
        <v>253</v>
      </c>
      <c r="D131" s="2" t="s">
        <v>254</v>
      </c>
      <c r="E131" s="24"/>
      <c r="F131" s="17"/>
      <c r="G131" s="17"/>
      <c r="H131" s="17"/>
      <c r="I131" s="16"/>
      <c r="J131" s="26"/>
      <c r="K131" s="17"/>
      <c r="L131" s="21"/>
      <c r="M131" s="17"/>
      <c r="N131" s="17"/>
      <c r="O131" s="21"/>
      <c r="P131" s="21"/>
      <c r="Q131" s="22"/>
      <c r="R131" s="22"/>
      <c r="S131" s="22"/>
      <c r="T131" s="22"/>
      <c r="U131" s="22"/>
      <c r="V131" s="22"/>
      <c r="W131" s="27"/>
      <c r="X131" s="22"/>
      <c r="Y131" s="28"/>
      <c r="Z131" s="28"/>
      <c r="AA131" s="28"/>
      <c r="AB131" s="17"/>
      <c r="AC131" s="17"/>
      <c r="AD131" s="5"/>
      <c r="AE131" s="28"/>
      <c r="AF131" s="2"/>
    </row>
    <row r="132" spans="1:32">
      <c r="A132" s="15">
        <f t="shared" si="5"/>
        <v>127</v>
      </c>
      <c r="B132" s="2" t="s">
        <v>255</v>
      </c>
      <c r="C132" s="3" t="s">
        <v>256</v>
      </c>
      <c r="D132" s="2" t="s">
        <v>254</v>
      </c>
      <c r="E132" s="24"/>
      <c r="F132" s="17"/>
      <c r="G132" s="17"/>
      <c r="H132" s="17"/>
      <c r="I132" s="16"/>
      <c r="J132" s="26"/>
      <c r="K132" s="17"/>
      <c r="L132" s="21"/>
      <c r="M132" s="17"/>
      <c r="N132" s="17"/>
      <c r="O132" s="21"/>
      <c r="P132" s="21"/>
      <c r="Q132" s="22"/>
      <c r="R132" s="22"/>
      <c r="S132" s="22"/>
      <c r="T132" s="22"/>
      <c r="U132" s="22"/>
      <c r="V132" s="22"/>
      <c r="W132" s="27"/>
      <c r="X132" s="22"/>
      <c r="Y132" s="28"/>
      <c r="Z132" s="28"/>
      <c r="AA132" s="28"/>
      <c r="AB132" s="17"/>
      <c r="AC132" s="17"/>
      <c r="AD132" s="5"/>
      <c r="AE132" s="28"/>
      <c r="AF132" s="2"/>
    </row>
    <row r="133" spans="1:32">
      <c r="A133" s="15">
        <f t="shared" si="5"/>
        <v>128</v>
      </c>
      <c r="B133" s="2" t="s">
        <v>232</v>
      </c>
      <c r="C133" s="3" t="s">
        <v>233</v>
      </c>
      <c r="D133" s="2" t="s">
        <v>21</v>
      </c>
      <c r="E133" s="24"/>
      <c r="F133" s="17"/>
      <c r="G133" s="17"/>
      <c r="H133" s="17"/>
      <c r="I133" s="16"/>
      <c r="J133" s="26"/>
      <c r="K133" s="24"/>
      <c r="L133" s="21"/>
      <c r="M133" s="24"/>
      <c r="N133" s="24"/>
      <c r="O133" s="21"/>
      <c r="P133" s="21"/>
      <c r="Q133" s="22"/>
      <c r="R133" s="22"/>
      <c r="S133" s="22"/>
      <c r="T133" s="22"/>
      <c r="U133" s="22"/>
      <c r="V133" s="22"/>
      <c r="W133" s="27"/>
      <c r="X133" s="22"/>
      <c r="Y133" s="28"/>
      <c r="Z133" s="28"/>
      <c r="AA133" s="28"/>
      <c r="AB133" s="17"/>
      <c r="AC133" s="17"/>
      <c r="AD133" s="5"/>
      <c r="AE133" s="28"/>
      <c r="AF133" s="2"/>
    </row>
    <row r="134" spans="1:32">
      <c r="A134" s="15">
        <f t="shared" si="5"/>
        <v>129</v>
      </c>
      <c r="B134" s="2" t="s">
        <v>257</v>
      </c>
      <c r="C134" s="3" t="s">
        <v>258</v>
      </c>
      <c r="D134" s="2" t="s">
        <v>185</v>
      </c>
      <c r="E134" s="24"/>
      <c r="F134" s="17"/>
      <c r="G134" s="17"/>
      <c r="H134" s="17"/>
      <c r="I134" s="16"/>
      <c r="J134" s="26"/>
      <c r="K134" s="17"/>
      <c r="L134" s="21"/>
      <c r="M134" s="17"/>
      <c r="N134" s="17"/>
      <c r="O134" s="21"/>
      <c r="P134" s="21"/>
      <c r="Q134" s="22"/>
      <c r="R134" s="22"/>
      <c r="S134" s="22"/>
      <c r="T134" s="22"/>
      <c r="U134" s="22"/>
      <c r="V134" s="22"/>
      <c r="W134" s="27"/>
      <c r="X134" s="22"/>
      <c r="Y134" s="28"/>
      <c r="Z134" s="28"/>
      <c r="AA134" s="28"/>
      <c r="AB134" s="17"/>
      <c r="AC134" s="17"/>
      <c r="AD134" s="5"/>
      <c r="AE134" s="28"/>
      <c r="AF134" s="2"/>
    </row>
    <row r="135" spans="1:32">
      <c r="A135" s="15">
        <f t="shared" si="5"/>
        <v>130</v>
      </c>
      <c r="B135" s="2" t="s">
        <v>259</v>
      </c>
      <c r="C135" s="3" t="s">
        <v>260</v>
      </c>
      <c r="D135" s="2" t="s">
        <v>21</v>
      </c>
      <c r="E135" s="24"/>
      <c r="F135" s="17"/>
      <c r="G135" s="17"/>
      <c r="H135" s="17"/>
      <c r="I135" s="16"/>
      <c r="J135" s="26"/>
      <c r="K135" s="17"/>
      <c r="L135" s="21"/>
      <c r="M135" s="17"/>
      <c r="N135" s="17"/>
      <c r="O135" s="21"/>
      <c r="P135" s="21"/>
      <c r="Q135" s="22"/>
      <c r="R135" s="22"/>
      <c r="S135" s="22"/>
      <c r="T135" s="22"/>
      <c r="U135" s="22"/>
      <c r="V135" s="22"/>
      <c r="W135" s="27"/>
      <c r="X135" s="22"/>
      <c r="Y135" s="28"/>
      <c r="Z135" s="28"/>
      <c r="AA135" s="28"/>
      <c r="AB135" s="17"/>
      <c r="AC135" s="17"/>
      <c r="AD135" s="5"/>
      <c r="AE135" s="28"/>
      <c r="AF135" s="2"/>
    </row>
    <row r="136" spans="1:32">
      <c r="A136" s="15">
        <f t="shared" si="5"/>
        <v>131</v>
      </c>
      <c r="B136" s="2" t="s">
        <v>261</v>
      </c>
      <c r="C136" s="3" t="s">
        <v>262</v>
      </c>
      <c r="D136" s="2" t="s">
        <v>166</v>
      </c>
      <c r="E136" s="24"/>
      <c r="F136" s="17"/>
      <c r="G136" s="17"/>
      <c r="H136" s="17"/>
      <c r="I136" s="16"/>
      <c r="J136" s="26"/>
      <c r="K136" s="17"/>
      <c r="L136" s="21"/>
      <c r="M136" s="17"/>
      <c r="N136" s="17"/>
      <c r="O136" s="21"/>
      <c r="P136" s="21"/>
      <c r="Q136" s="22"/>
      <c r="R136" s="22"/>
      <c r="S136" s="22"/>
      <c r="T136" s="22"/>
      <c r="U136" s="22"/>
      <c r="V136" s="22"/>
      <c r="W136" s="27"/>
      <c r="X136" s="22"/>
      <c r="Y136" s="28"/>
      <c r="Z136" s="28"/>
      <c r="AA136" s="28"/>
      <c r="AB136" s="17"/>
      <c r="AC136" s="17"/>
      <c r="AD136" s="5"/>
      <c r="AE136" s="28"/>
      <c r="AF136" s="2"/>
    </row>
    <row r="137" spans="1:32">
      <c r="A137" s="15">
        <f t="shared" si="5"/>
        <v>132</v>
      </c>
      <c r="B137" s="2" t="s">
        <v>264</v>
      </c>
      <c r="C137" s="3" t="s">
        <v>263</v>
      </c>
      <c r="D137" s="2" t="s">
        <v>21</v>
      </c>
      <c r="E137" s="24"/>
      <c r="F137" s="17"/>
      <c r="G137" s="17"/>
      <c r="H137" s="17"/>
      <c r="I137" s="16"/>
      <c r="J137" s="26"/>
      <c r="K137" s="17"/>
      <c r="L137" s="21"/>
      <c r="M137" s="17"/>
      <c r="N137" s="17"/>
      <c r="O137" s="21"/>
      <c r="P137" s="21"/>
      <c r="Q137" s="22"/>
      <c r="R137" s="22"/>
      <c r="S137" s="22"/>
      <c r="T137" s="22"/>
      <c r="U137" s="22"/>
      <c r="V137" s="22"/>
      <c r="W137" s="27"/>
      <c r="X137" s="22"/>
      <c r="Y137" s="28"/>
      <c r="Z137" s="28"/>
      <c r="AA137" s="28"/>
      <c r="AB137" s="17"/>
      <c r="AC137" s="17"/>
      <c r="AD137" s="5"/>
      <c r="AE137" s="28"/>
      <c r="AF137" s="2"/>
    </row>
    <row r="138" spans="1:32">
      <c r="A138" s="15">
        <f t="shared" si="5"/>
        <v>133</v>
      </c>
      <c r="B138" s="2" t="s">
        <v>267</v>
      </c>
      <c r="C138" s="3" t="s">
        <v>268</v>
      </c>
      <c r="D138" s="2" t="s">
        <v>20</v>
      </c>
      <c r="E138" s="24"/>
      <c r="F138" s="17"/>
      <c r="G138" s="17"/>
      <c r="H138" s="17"/>
      <c r="I138" s="16"/>
      <c r="J138" s="26"/>
      <c r="K138" s="17"/>
      <c r="L138" s="21"/>
      <c r="M138" s="17"/>
      <c r="N138" s="17"/>
      <c r="O138" s="21"/>
      <c r="P138" s="21"/>
      <c r="Q138" s="22"/>
      <c r="R138" s="22"/>
      <c r="S138" s="22"/>
      <c r="T138" s="22"/>
      <c r="U138" s="22"/>
      <c r="V138" s="22"/>
      <c r="W138" s="27"/>
      <c r="X138" s="22"/>
      <c r="Y138" s="28"/>
      <c r="Z138" s="28"/>
      <c r="AA138" s="28"/>
      <c r="AB138" s="17"/>
      <c r="AC138" s="17"/>
      <c r="AD138" s="5"/>
      <c r="AE138" s="28"/>
      <c r="AF138" s="2"/>
    </row>
    <row r="139" spans="1:32">
      <c r="A139" s="15">
        <f t="shared" si="5"/>
        <v>134</v>
      </c>
      <c r="B139" s="2" t="s">
        <v>271</v>
      </c>
      <c r="C139" s="3" t="s">
        <v>270</v>
      </c>
      <c r="D139" s="2" t="s">
        <v>269</v>
      </c>
      <c r="E139" s="24"/>
      <c r="F139" s="17"/>
      <c r="G139" s="17"/>
      <c r="H139" s="17"/>
      <c r="I139" s="16"/>
      <c r="J139" s="26"/>
      <c r="K139" s="17"/>
      <c r="L139" s="21"/>
      <c r="M139" s="17"/>
      <c r="N139" s="17"/>
      <c r="O139" s="21"/>
      <c r="P139" s="21"/>
      <c r="Q139" s="22"/>
      <c r="R139" s="22"/>
      <c r="S139" s="22"/>
      <c r="T139" s="22"/>
      <c r="U139" s="22"/>
      <c r="V139" s="22"/>
      <c r="W139" s="27"/>
      <c r="X139" s="22"/>
      <c r="Y139" s="28"/>
      <c r="Z139" s="28"/>
      <c r="AA139" s="28"/>
      <c r="AB139" s="17"/>
      <c r="AC139" s="17"/>
      <c r="AD139" s="5"/>
      <c r="AE139" s="28"/>
      <c r="AF139" s="2"/>
    </row>
    <row r="140" spans="1:32">
      <c r="A140" s="15">
        <f t="shared" ref="A140:A183" si="6">+A139+1</f>
        <v>135</v>
      </c>
      <c r="B140" s="2" t="s">
        <v>265</v>
      </c>
      <c r="C140" s="3" t="s">
        <v>266</v>
      </c>
      <c r="D140" s="2" t="s">
        <v>185</v>
      </c>
      <c r="E140" s="24"/>
      <c r="F140" s="17"/>
      <c r="G140" s="17"/>
      <c r="H140" s="17"/>
      <c r="I140" s="16"/>
      <c r="J140" s="26"/>
      <c r="K140" s="24"/>
      <c r="L140" s="21"/>
      <c r="M140" s="24"/>
      <c r="N140" s="24"/>
      <c r="O140" s="21"/>
      <c r="P140" s="21"/>
      <c r="Q140" s="22"/>
      <c r="R140" s="22"/>
      <c r="S140" s="22"/>
      <c r="T140" s="22"/>
      <c r="U140" s="22"/>
      <c r="V140" s="22"/>
      <c r="W140" s="27"/>
      <c r="X140" s="22"/>
      <c r="Y140" s="28"/>
      <c r="Z140" s="28"/>
      <c r="AA140" s="28"/>
      <c r="AB140" s="17"/>
      <c r="AC140" s="17"/>
      <c r="AD140" s="5"/>
      <c r="AE140" s="28"/>
      <c r="AF140" s="2"/>
    </row>
    <row r="141" spans="1:32">
      <c r="A141" s="15">
        <f t="shared" si="6"/>
        <v>136</v>
      </c>
      <c r="B141" s="2" t="s">
        <v>272</v>
      </c>
      <c r="C141" s="3" t="s">
        <v>273</v>
      </c>
      <c r="D141" s="2" t="s">
        <v>185</v>
      </c>
      <c r="E141" s="24"/>
      <c r="F141" s="17"/>
      <c r="G141" s="17"/>
      <c r="H141" s="17"/>
      <c r="I141" s="16"/>
      <c r="J141" s="26"/>
      <c r="K141" s="17"/>
      <c r="L141" s="21"/>
      <c r="M141" s="17"/>
      <c r="N141" s="17"/>
      <c r="O141" s="21"/>
      <c r="P141" s="21"/>
      <c r="Q141" s="22"/>
      <c r="R141" s="22"/>
      <c r="S141" s="22"/>
      <c r="T141" s="22"/>
      <c r="U141" s="22"/>
      <c r="V141" s="22"/>
      <c r="W141" s="27"/>
      <c r="X141" s="22"/>
      <c r="Y141" s="28"/>
      <c r="Z141" s="28"/>
      <c r="AA141" s="28"/>
      <c r="AB141" s="17"/>
      <c r="AC141" s="17"/>
      <c r="AD141" s="5"/>
      <c r="AE141" s="28"/>
      <c r="AF141" s="2"/>
    </row>
    <row r="142" spans="1:32">
      <c r="A142" s="15">
        <f t="shared" si="6"/>
        <v>137</v>
      </c>
      <c r="B142" s="2" t="s">
        <v>274</v>
      </c>
      <c r="C142" s="3" t="s">
        <v>275</v>
      </c>
      <c r="D142" s="2" t="s">
        <v>21</v>
      </c>
      <c r="E142" s="24"/>
      <c r="F142" s="17"/>
      <c r="G142" s="17"/>
      <c r="H142" s="17"/>
      <c r="I142" s="16"/>
      <c r="J142" s="26"/>
      <c r="K142" s="17"/>
      <c r="L142" s="21"/>
      <c r="M142" s="17"/>
      <c r="N142" s="17"/>
      <c r="O142" s="21"/>
      <c r="P142" s="21"/>
      <c r="Q142" s="22"/>
      <c r="R142" s="22"/>
      <c r="S142" s="22"/>
      <c r="T142" s="22"/>
      <c r="U142" s="22"/>
      <c r="V142" s="22"/>
      <c r="W142" s="27"/>
      <c r="X142" s="22"/>
      <c r="Y142" s="28"/>
      <c r="Z142" s="28"/>
      <c r="AA142" s="28"/>
      <c r="AB142" s="17"/>
      <c r="AC142" s="17"/>
      <c r="AD142" s="5"/>
      <c r="AE142" s="28"/>
      <c r="AF142" s="2"/>
    </row>
    <row r="143" spans="1:32">
      <c r="A143" s="15">
        <f t="shared" si="6"/>
        <v>138</v>
      </c>
      <c r="B143" s="2" t="s">
        <v>276</v>
      </c>
      <c r="C143" s="32" t="s">
        <v>277</v>
      </c>
      <c r="D143" s="2" t="s">
        <v>254</v>
      </c>
      <c r="E143" s="24"/>
      <c r="F143" s="17"/>
      <c r="G143" s="17"/>
      <c r="H143" s="17"/>
      <c r="I143" s="16"/>
      <c r="J143" s="26"/>
      <c r="K143" s="17"/>
      <c r="L143" s="21"/>
      <c r="M143" s="17"/>
      <c r="N143" s="17"/>
      <c r="O143" s="21"/>
      <c r="P143" s="21"/>
      <c r="Q143" s="22"/>
      <c r="R143" s="22"/>
      <c r="S143" s="22"/>
      <c r="T143" s="22"/>
      <c r="U143" s="22"/>
      <c r="V143" s="22"/>
      <c r="W143" s="27"/>
      <c r="X143" s="22"/>
      <c r="Y143" s="28"/>
      <c r="Z143" s="28"/>
      <c r="AA143" s="28"/>
      <c r="AB143" s="17"/>
      <c r="AC143" s="17"/>
      <c r="AD143" s="5"/>
      <c r="AE143" s="28"/>
      <c r="AF143" s="2"/>
    </row>
    <row r="144" spans="1:32">
      <c r="A144" s="15">
        <f t="shared" si="6"/>
        <v>139</v>
      </c>
      <c r="B144" s="2" t="s">
        <v>278</v>
      </c>
      <c r="C144" s="3" t="s">
        <v>279</v>
      </c>
      <c r="D144" s="2" t="s">
        <v>21</v>
      </c>
      <c r="E144" s="24"/>
      <c r="F144" s="17"/>
      <c r="G144" s="17"/>
      <c r="H144" s="17"/>
      <c r="I144" s="16"/>
      <c r="J144" s="26"/>
      <c r="K144" s="17"/>
      <c r="L144" s="21"/>
      <c r="M144" s="17"/>
      <c r="N144" s="17"/>
      <c r="O144" s="21"/>
      <c r="P144" s="21"/>
      <c r="Q144" s="22"/>
      <c r="R144" s="22"/>
      <c r="S144" s="22"/>
      <c r="T144" s="22"/>
      <c r="U144" s="22"/>
      <c r="V144" s="22"/>
      <c r="W144" s="27"/>
      <c r="X144" s="22"/>
      <c r="Y144" s="28"/>
      <c r="Z144" s="28"/>
      <c r="AA144" s="28"/>
      <c r="AB144" s="17"/>
      <c r="AC144" s="17"/>
      <c r="AD144" s="5"/>
      <c r="AE144" s="28"/>
      <c r="AF144" s="2"/>
    </row>
    <row r="145" spans="1:32">
      <c r="A145" s="15">
        <f t="shared" si="6"/>
        <v>140</v>
      </c>
      <c r="B145" s="2" t="s">
        <v>280</v>
      </c>
      <c r="C145" s="3" t="s">
        <v>281</v>
      </c>
      <c r="D145" s="2" t="s">
        <v>165</v>
      </c>
      <c r="E145" s="24"/>
      <c r="F145" s="17"/>
      <c r="G145" s="17"/>
      <c r="H145" s="17"/>
      <c r="I145" s="16"/>
      <c r="J145" s="26"/>
      <c r="K145" s="17"/>
      <c r="L145" s="21"/>
      <c r="M145" s="17"/>
      <c r="N145" s="17"/>
      <c r="O145" s="21"/>
      <c r="P145" s="21"/>
      <c r="Q145" s="22"/>
      <c r="R145" s="22"/>
      <c r="S145" s="22"/>
      <c r="T145" s="22"/>
      <c r="U145" s="22"/>
      <c r="V145" s="22"/>
      <c r="W145" s="27"/>
      <c r="X145" s="22"/>
      <c r="Y145" s="28"/>
      <c r="Z145" s="28"/>
      <c r="AA145" s="28"/>
      <c r="AB145" s="17"/>
      <c r="AC145" s="17"/>
      <c r="AD145" s="5"/>
      <c r="AE145" s="28"/>
      <c r="AF145" s="2"/>
    </row>
    <row r="146" spans="1:32">
      <c r="A146" s="15">
        <f t="shared" si="6"/>
        <v>141</v>
      </c>
      <c r="B146" s="2" t="s">
        <v>282</v>
      </c>
      <c r="C146" s="3" t="s">
        <v>283</v>
      </c>
      <c r="D146" s="2" t="s">
        <v>21</v>
      </c>
      <c r="E146" s="24"/>
      <c r="F146" s="17"/>
      <c r="G146" s="17"/>
      <c r="H146" s="17"/>
      <c r="I146" s="16"/>
      <c r="J146" s="26"/>
      <c r="K146" s="17"/>
      <c r="L146" s="21"/>
      <c r="M146" s="17"/>
      <c r="N146" s="17"/>
      <c r="O146" s="21"/>
      <c r="P146" s="21"/>
      <c r="Q146" s="22"/>
      <c r="R146" s="22"/>
      <c r="S146" s="22"/>
      <c r="T146" s="22"/>
      <c r="U146" s="22"/>
      <c r="V146" s="22"/>
      <c r="W146" s="27"/>
      <c r="X146" s="22"/>
      <c r="Y146" s="28"/>
      <c r="Z146" s="28"/>
      <c r="AA146" s="28"/>
      <c r="AB146" s="17"/>
      <c r="AC146" s="17"/>
      <c r="AD146" s="5"/>
      <c r="AE146" s="28"/>
      <c r="AF146" s="2"/>
    </row>
    <row r="147" spans="1:32">
      <c r="A147" s="15">
        <f t="shared" si="6"/>
        <v>142</v>
      </c>
      <c r="B147" s="2" t="s">
        <v>284</v>
      </c>
      <c r="C147" s="3" t="s">
        <v>285</v>
      </c>
      <c r="D147" s="2" t="s">
        <v>109</v>
      </c>
      <c r="E147" s="24"/>
      <c r="F147" s="17"/>
      <c r="G147" s="17"/>
      <c r="H147" s="17"/>
      <c r="I147" s="16"/>
      <c r="J147" s="26"/>
      <c r="K147" s="17"/>
      <c r="L147" s="21"/>
      <c r="M147" s="17"/>
      <c r="N147" s="17"/>
      <c r="O147" s="21"/>
      <c r="P147" s="21"/>
      <c r="Q147" s="22"/>
      <c r="R147" s="22"/>
      <c r="S147" s="22"/>
      <c r="T147" s="22"/>
      <c r="U147" s="22"/>
      <c r="V147" s="22"/>
      <c r="W147" s="27"/>
      <c r="X147" s="22"/>
      <c r="Y147" s="28"/>
      <c r="Z147" s="28"/>
      <c r="AA147" s="28"/>
      <c r="AB147" s="17"/>
      <c r="AC147" s="17"/>
      <c r="AD147" s="5"/>
      <c r="AE147" s="28"/>
      <c r="AF147" s="2"/>
    </row>
    <row r="148" spans="1:32">
      <c r="A148" s="15">
        <f t="shared" si="6"/>
        <v>143</v>
      </c>
      <c r="B148" s="2" t="s">
        <v>286</v>
      </c>
      <c r="C148" s="3" t="s">
        <v>287</v>
      </c>
      <c r="D148" s="2" t="s">
        <v>21</v>
      </c>
      <c r="E148" s="24"/>
      <c r="F148" s="17"/>
      <c r="G148" s="17"/>
      <c r="H148" s="17"/>
      <c r="I148" s="16"/>
      <c r="J148" s="26"/>
      <c r="K148" s="17"/>
      <c r="L148" s="21"/>
      <c r="M148" s="17"/>
      <c r="N148" s="17"/>
      <c r="O148" s="21"/>
      <c r="P148" s="21"/>
      <c r="Q148" s="22"/>
      <c r="R148" s="22"/>
      <c r="S148" s="22"/>
      <c r="T148" s="22"/>
      <c r="U148" s="22"/>
      <c r="V148" s="22"/>
      <c r="W148" s="27"/>
      <c r="X148" s="22"/>
      <c r="Y148" s="28"/>
      <c r="Z148" s="28"/>
      <c r="AA148" s="28"/>
      <c r="AB148" s="17"/>
      <c r="AC148" s="17"/>
      <c r="AD148" s="5"/>
      <c r="AE148" s="28"/>
      <c r="AF148" s="2"/>
    </row>
    <row r="149" spans="1:32">
      <c r="A149" s="15">
        <f t="shared" si="6"/>
        <v>144</v>
      </c>
      <c r="B149" s="2" t="s">
        <v>288</v>
      </c>
      <c r="C149" s="3" t="s">
        <v>289</v>
      </c>
      <c r="D149" s="2" t="s">
        <v>21</v>
      </c>
      <c r="E149" s="24"/>
      <c r="F149" s="17"/>
      <c r="G149" s="17"/>
      <c r="H149" s="17"/>
      <c r="I149" s="16"/>
      <c r="J149" s="26"/>
      <c r="K149" s="24"/>
      <c r="L149" s="21"/>
      <c r="M149" s="17"/>
      <c r="N149" s="17"/>
      <c r="O149" s="21"/>
      <c r="P149" s="21"/>
      <c r="Q149" s="22"/>
      <c r="R149" s="22"/>
      <c r="S149" s="22"/>
      <c r="T149" s="22"/>
      <c r="U149" s="22"/>
      <c r="V149" s="22"/>
      <c r="W149" s="27"/>
      <c r="X149" s="22"/>
      <c r="Y149" s="28"/>
      <c r="Z149" s="28"/>
      <c r="AA149" s="28"/>
      <c r="AB149" s="17"/>
      <c r="AC149" s="17"/>
      <c r="AD149" s="5"/>
      <c r="AE149" s="28"/>
      <c r="AF149" s="2"/>
    </row>
    <row r="150" spans="1:32">
      <c r="A150" s="15">
        <f t="shared" si="6"/>
        <v>145</v>
      </c>
      <c r="B150" s="2" t="s">
        <v>290</v>
      </c>
      <c r="C150" s="3" t="s">
        <v>291</v>
      </c>
      <c r="D150" s="2" t="s">
        <v>100</v>
      </c>
      <c r="E150" s="24"/>
      <c r="F150" s="17"/>
      <c r="G150" s="17"/>
      <c r="H150" s="17"/>
      <c r="I150" s="16"/>
      <c r="J150" s="26"/>
      <c r="K150" s="24"/>
      <c r="L150" s="21"/>
      <c r="M150" s="24"/>
      <c r="N150" s="24"/>
      <c r="O150" s="21"/>
      <c r="P150" s="21"/>
      <c r="Q150" s="22"/>
      <c r="R150" s="22"/>
      <c r="S150" s="22"/>
      <c r="T150" s="22"/>
      <c r="U150" s="22"/>
      <c r="V150" s="22"/>
      <c r="W150" s="27"/>
      <c r="X150" s="22"/>
      <c r="Y150" s="28"/>
      <c r="Z150" s="28"/>
      <c r="AA150" s="28"/>
      <c r="AB150" s="17"/>
      <c r="AC150" s="17"/>
      <c r="AD150" s="5"/>
      <c r="AE150" s="28"/>
      <c r="AF150" s="2"/>
    </row>
    <row r="151" spans="1:32">
      <c r="A151" s="15">
        <f t="shared" si="6"/>
        <v>146</v>
      </c>
      <c r="B151" s="2" t="s">
        <v>292</v>
      </c>
      <c r="C151" s="3" t="s">
        <v>293</v>
      </c>
      <c r="D151" s="2" t="s">
        <v>294</v>
      </c>
      <c r="E151" s="24"/>
      <c r="F151" s="17"/>
      <c r="G151" s="17"/>
      <c r="H151" s="17"/>
      <c r="I151" s="16"/>
      <c r="J151" s="26"/>
      <c r="K151" s="24"/>
      <c r="L151" s="21"/>
      <c r="M151" s="24"/>
      <c r="N151" s="24"/>
      <c r="O151" s="21"/>
      <c r="P151" s="21"/>
      <c r="Q151" s="22"/>
      <c r="R151" s="22"/>
      <c r="S151" s="22"/>
      <c r="T151" s="22"/>
      <c r="U151" s="22"/>
      <c r="V151" s="22"/>
      <c r="W151" s="27"/>
      <c r="X151" s="22"/>
      <c r="Y151" s="28"/>
      <c r="Z151" s="28"/>
      <c r="AA151" s="28"/>
      <c r="AB151" s="17"/>
      <c r="AC151" s="17"/>
      <c r="AD151" s="5"/>
      <c r="AE151" s="28"/>
      <c r="AF151" s="2"/>
    </row>
    <row r="152" spans="1:32">
      <c r="A152" s="15">
        <f t="shared" si="6"/>
        <v>147</v>
      </c>
      <c r="B152" s="2" t="s">
        <v>295</v>
      </c>
      <c r="C152" s="3" t="s">
        <v>296</v>
      </c>
      <c r="D152" s="2" t="s">
        <v>21</v>
      </c>
      <c r="E152" s="24"/>
      <c r="F152" s="17"/>
      <c r="G152" s="17"/>
      <c r="H152" s="17"/>
      <c r="I152" s="16"/>
      <c r="J152" s="26"/>
      <c r="K152" s="24"/>
      <c r="L152" s="21"/>
      <c r="M152" s="24"/>
      <c r="N152" s="24"/>
      <c r="O152" s="21"/>
      <c r="P152" s="21"/>
      <c r="Q152" s="22"/>
      <c r="R152" s="22"/>
      <c r="S152" s="22"/>
      <c r="T152" s="22"/>
      <c r="U152" s="22"/>
      <c r="V152" s="22"/>
      <c r="W152" s="27"/>
      <c r="X152" s="22"/>
      <c r="Y152" s="28"/>
      <c r="Z152" s="28"/>
      <c r="AA152" s="28"/>
      <c r="AB152" s="17"/>
      <c r="AC152" s="17"/>
      <c r="AD152" s="5"/>
      <c r="AE152" s="28"/>
      <c r="AF152" s="2"/>
    </row>
    <row r="153" spans="1:32">
      <c r="A153" s="15">
        <f t="shared" si="6"/>
        <v>148</v>
      </c>
      <c r="B153" s="2" t="s">
        <v>299</v>
      </c>
      <c r="C153" s="3" t="s">
        <v>300</v>
      </c>
      <c r="D153" s="2" t="s">
        <v>82</v>
      </c>
      <c r="E153" s="24"/>
      <c r="F153" s="17"/>
      <c r="G153" s="17"/>
      <c r="H153" s="17"/>
      <c r="I153" s="16"/>
      <c r="J153" s="26"/>
      <c r="K153" s="24"/>
      <c r="L153" s="21"/>
      <c r="M153" s="24"/>
      <c r="N153" s="24"/>
      <c r="O153" s="21"/>
      <c r="P153" s="21"/>
      <c r="Q153" s="22"/>
      <c r="R153" s="22"/>
      <c r="S153" s="22"/>
      <c r="T153" s="22"/>
      <c r="U153" s="22"/>
      <c r="V153" s="22"/>
      <c r="W153" s="27"/>
      <c r="X153" s="22"/>
      <c r="Y153" s="28"/>
      <c r="Z153" s="28"/>
      <c r="AA153" s="28"/>
      <c r="AB153" s="17"/>
      <c r="AC153" s="17"/>
      <c r="AD153" s="5"/>
      <c r="AE153" s="28"/>
      <c r="AF153" s="2"/>
    </row>
    <row r="154" spans="1:32">
      <c r="A154" s="15">
        <f t="shared" si="6"/>
        <v>149</v>
      </c>
      <c r="B154" s="2" t="s">
        <v>297</v>
      </c>
      <c r="C154" s="3" t="s">
        <v>298</v>
      </c>
      <c r="D154" s="2" t="s">
        <v>21</v>
      </c>
      <c r="E154" s="24"/>
      <c r="F154" s="17"/>
      <c r="G154" s="17"/>
      <c r="H154" s="17"/>
      <c r="I154" s="16"/>
      <c r="J154" s="26"/>
      <c r="K154" s="24"/>
      <c r="L154" s="21"/>
      <c r="M154" s="24"/>
      <c r="N154" s="24"/>
      <c r="O154" s="21"/>
      <c r="P154" s="21"/>
      <c r="Q154" s="22"/>
      <c r="R154" s="22"/>
      <c r="S154" s="22"/>
      <c r="T154" s="22"/>
      <c r="U154" s="22"/>
      <c r="V154" s="22"/>
      <c r="W154" s="27"/>
      <c r="X154" s="22"/>
      <c r="Y154" s="28"/>
      <c r="Z154" s="28"/>
      <c r="AA154" s="28"/>
      <c r="AB154" s="17"/>
      <c r="AC154" s="17"/>
      <c r="AD154" s="5"/>
      <c r="AE154" s="28"/>
      <c r="AF154" s="2"/>
    </row>
    <row r="155" spans="1:32">
      <c r="A155" s="15">
        <f t="shared" si="6"/>
        <v>150</v>
      </c>
      <c r="B155" s="2" t="s">
        <v>301</v>
      </c>
      <c r="C155" s="3" t="s">
        <v>302</v>
      </c>
      <c r="D155" s="2" t="s">
        <v>21</v>
      </c>
      <c r="E155" s="24"/>
      <c r="F155" s="17"/>
      <c r="G155" s="17"/>
      <c r="H155" s="17"/>
      <c r="I155" s="16"/>
      <c r="J155" s="26"/>
      <c r="K155" s="24"/>
      <c r="L155" s="21"/>
      <c r="M155" s="24"/>
      <c r="N155" s="24"/>
      <c r="O155" s="21"/>
      <c r="P155" s="21"/>
      <c r="Q155" s="22"/>
      <c r="R155" s="22"/>
      <c r="S155" s="22"/>
      <c r="T155" s="22"/>
      <c r="U155" s="22"/>
      <c r="V155" s="22"/>
      <c r="W155" s="27"/>
      <c r="X155" s="22"/>
      <c r="Y155" s="28"/>
      <c r="Z155" s="28"/>
      <c r="AA155" s="28"/>
      <c r="AB155" s="17"/>
      <c r="AC155" s="17"/>
      <c r="AD155" s="5"/>
      <c r="AE155" s="28"/>
      <c r="AF155" s="2"/>
    </row>
    <row r="156" spans="1:32">
      <c r="A156" s="15">
        <f t="shared" si="6"/>
        <v>151</v>
      </c>
      <c r="B156" s="2" t="s">
        <v>305</v>
      </c>
      <c r="C156" s="3" t="s">
        <v>304</v>
      </c>
      <c r="D156" s="2" t="s">
        <v>303</v>
      </c>
      <c r="E156" s="24"/>
      <c r="F156" s="17"/>
      <c r="G156" s="17"/>
      <c r="H156" s="17"/>
      <c r="I156" s="16"/>
      <c r="J156" s="26"/>
      <c r="K156" s="24"/>
      <c r="L156" s="21"/>
      <c r="M156" s="24"/>
      <c r="N156" s="24"/>
      <c r="O156" s="21"/>
      <c r="P156" s="21"/>
      <c r="Q156" s="22"/>
      <c r="R156" s="22"/>
      <c r="S156" s="22"/>
      <c r="T156" s="22"/>
      <c r="U156" s="22"/>
      <c r="V156" s="22"/>
      <c r="W156" s="27"/>
      <c r="X156" s="22"/>
      <c r="Y156" s="28"/>
      <c r="Z156" s="28"/>
      <c r="AA156" s="28"/>
      <c r="AB156" s="17"/>
      <c r="AC156" s="17"/>
      <c r="AD156" s="5"/>
      <c r="AE156" s="28"/>
      <c r="AF156" s="2"/>
    </row>
    <row r="157" spans="1:32">
      <c r="A157" s="15">
        <f t="shared" si="6"/>
        <v>152</v>
      </c>
      <c r="B157" s="23" t="s">
        <v>477</v>
      </c>
      <c r="C157" s="3" t="s">
        <v>478</v>
      </c>
      <c r="D157" s="2" t="s">
        <v>124</v>
      </c>
      <c r="E157" s="24">
        <f>+[78]Main!$I$2</f>
        <v>2540</v>
      </c>
      <c r="F157" s="17">
        <f>+[78]Main!$I$4*FX!C5</f>
        <v>409.27593709799999</v>
      </c>
      <c r="G157" s="17">
        <f>+([78]Main!$I$6-[78]Main!$I$5)*FX!C5</f>
        <v>-123.31619999999999</v>
      </c>
      <c r="H157" s="17">
        <f>+F157+G157</f>
        <v>285.95973709800001</v>
      </c>
      <c r="I157" s="16" t="s">
        <v>337</v>
      </c>
      <c r="J157" s="26"/>
      <c r="K157" s="24"/>
      <c r="L157" s="21"/>
      <c r="M157" s="24"/>
      <c r="N157" s="24"/>
      <c r="O157" s="21"/>
      <c r="P157" s="21"/>
      <c r="Q157" s="22"/>
      <c r="R157" s="22"/>
      <c r="S157" s="22"/>
      <c r="T157" s="22"/>
      <c r="U157" s="22"/>
      <c r="V157" s="22"/>
      <c r="W157" s="27"/>
      <c r="X157" s="22"/>
      <c r="Y157" s="28"/>
      <c r="Z157" s="28"/>
      <c r="AA157" s="28"/>
      <c r="AB157" s="17"/>
      <c r="AC157" s="17"/>
      <c r="AD157" s="5"/>
      <c r="AE157" s="28"/>
      <c r="AF157" s="2"/>
    </row>
    <row r="158" spans="1:32">
      <c r="A158" s="15">
        <f t="shared" si="6"/>
        <v>153</v>
      </c>
      <c r="B158" s="2" t="s">
        <v>482</v>
      </c>
      <c r="C158" s="3" t="s">
        <v>481</v>
      </c>
      <c r="D158" s="2" t="s">
        <v>124</v>
      </c>
      <c r="E158" s="24"/>
      <c r="F158" s="17"/>
      <c r="G158" s="17"/>
      <c r="H158" s="17"/>
      <c r="I158" s="16"/>
      <c r="J158" s="26"/>
      <c r="K158" s="24"/>
      <c r="L158" s="21"/>
      <c r="M158" s="24"/>
      <c r="N158" s="24"/>
      <c r="O158" s="21"/>
      <c r="P158" s="21"/>
      <c r="Q158" s="22"/>
      <c r="R158" s="22"/>
      <c r="S158" s="22"/>
      <c r="T158" s="22"/>
      <c r="U158" s="22"/>
      <c r="V158" s="22"/>
      <c r="W158" s="27"/>
      <c r="X158" s="22"/>
      <c r="Y158" s="28"/>
      <c r="Z158" s="28"/>
      <c r="AA158" s="28"/>
      <c r="AB158" s="17"/>
      <c r="AC158" s="17"/>
      <c r="AD158" s="5"/>
      <c r="AE158" s="28"/>
      <c r="AF158" s="2"/>
    </row>
    <row r="159" spans="1:32">
      <c r="A159" s="15">
        <f t="shared" si="6"/>
        <v>154</v>
      </c>
      <c r="B159" s="2" t="s">
        <v>483</v>
      </c>
      <c r="C159" s="3" t="s">
        <v>484</v>
      </c>
      <c r="D159" s="2" t="s">
        <v>21</v>
      </c>
      <c r="E159" s="24"/>
      <c r="F159" s="17"/>
      <c r="G159" s="17"/>
      <c r="H159" s="17"/>
      <c r="I159" s="16"/>
      <c r="J159" s="26"/>
      <c r="K159" s="24"/>
      <c r="L159" s="21"/>
      <c r="M159" s="24"/>
      <c r="N159" s="24"/>
      <c r="O159" s="21"/>
      <c r="P159" s="21"/>
      <c r="Q159" s="22"/>
      <c r="R159" s="22"/>
      <c r="S159" s="22"/>
      <c r="T159" s="22"/>
      <c r="U159" s="22"/>
      <c r="V159" s="22"/>
      <c r="W159" s="27"/>
      <c r="X159" s="22"/>
      <c r="Y159" s="28"/>
      <c r="Z159" s="28"/>
      <c r="AA159" s="28"/>
      <c r="AB159" s="17"/>
      <c r="AC159" s="17"/>
      <c r="AD159" s="5"/>
      <c r="AE159" s="28"/>
      <c r="AF159" s="2"/>
    </row>
    <row r="160" spans="1:32">
      <c r="A160" s="15">
        <f t="shared" si="6"/>
        <v>155</v>
      </c>
      <c r="B160" s="2" t="s">
        <v>485</v>
      </c>
      <c r="C160" s="3" t="s">
        <v>486</v>
      </c>
      <c r="D160" s="2" t="s">
        <v>124</v>
      </c>
      <c r="E160" s="24"/>
      <c r="F160" s="17"/>
      <c r="G160" s="17"/>
      <c r="H160" s="17"/>
      <c r="I160" s="16"/>
      <c r="J160" s="26"/>
      <c r="K160" s="24"/>
      <c r="L160" s="21"/>
      <c r="M160" s="24"/>
      <c r="N160" s="24"/>
      <c r="O160" s="21"/>
      <c r="P160" s="21"/>
      <c r="Q160" s="22"/>
      <c r="R160" s="22"/>
      <c r="S160" s="22"/>
      <c r="T160" s="22"/>
      <c r="U160" s="22"/>
      <c r="V160" s="22"/>
      <c r="W160" s="27"/>
      <c r="X160" s="22"/>
      <c r="Y160" s="28"/>
      <c r="Z160" s="28"/>
      <c r="AA160" s="28"/>
      <c r="AB160" s="17"/>
      <c r="AC160" s="17"/>
      <c r="AD160" s="5"/>
      <c r="AE160" s="28"/>
      <c r="AF160" s="2"/>
    </row>
    <row r="161" spans="1:32">
      <c r="A161" s="15">
        <f t="shared" si="6"/>
        <v>156</v>
      </c>
      <c r="B161" s="2" t="s">
        <v>487</v>
      </c>
      <c r="C161" s="3" t="s">
        <v>488</v>
      </c>
      <c r="D161" s="2" t="s">
        <v>21</v>
      </c>
      <c r="E161" s="24"/>
      <c r="F161" s="17"/>
      <c r="G161" s="17"/>
      <c r="H161" s="17"/>
      <c r="I161" s="16"/>
      <c r="J161" s="26"/>
      <c r="K161" s="24"/>
      <c r="L161" s="21"/>
      <c r="M161" s="24"/>
      <c r="N161" s="24"/>
      <c r="O161" s="21"/>
      <c r="P161" s="21"/>
      <c r="Q161" s="22"/>
      <c r="R161" s="22"/>
      <c r="S161" s="22"/>
      <c r="T161" s="22"/>
      <c r="U161" s="22"/>
      <c r="V161" s="22"/>
      <c r="W161" s="27"/>
      <c r="X161" s="22"/>
      <c r="Y161" s="28"/>
      <c r="Z161" s="28"/>
      <c r="AA161" s="28"/>
      <c r="AB161" s="17"/>
      <c r="AC161" s="17"/>
      <c r="AD161" s="5"/>
      <c r="AE161" s="28"/>
      <c r="AF161" s="2"/>
    </row>
    <row r="162" spans="1:32">
      <c r="A162" s="15">
        <f t="shared" si="6"/>
        <v>157</v>
      </c>
      <c r="B162" s="2" t="s">
        <v>489</v>
      </c>
      <c r="C162" s="3" t="s">
        <v>490</v>
      </c>
      <c r="D162" s="2" t="s">
        <v>294</v>
      </c>
      <c r="E162" s="24"/>
      <c r="F162" s="17"/>
      <c r="G162" s="17"/>
      <c r="H162" s="17"/>
      <c r="I162" s="16"/>
      <c r="J162" s="26"/>
      <c r="K162" s="24"/>
      <c r="L162" s="21"/>
      <c r="M162" s="24"/>
      <c r="N162" s="24"/>
      <c r="O162" s="21"/>
      <c r="P162" s="21"/>
      <c r="Q162" s="22"/>
      <c r="R162" s="22"/>
      <c r="S162" s="22"/>
      <c r="T162" s="22"/>
      <c r="U162" s="22"/>
      <c r="V162" s="22"/>
      <c r="W162" s="27"/>
      <c r="X162" s="22"/>
      <c r="Y162" s="28"/>
      <c r="Z162" s="28"/>
      <c r="AA162" s="28"/>
      <c r="AB162" s="17"/>
      <c r="AC162" s="17"/>
      <c r="AD162" s="5"/>
      <c r="AE162" s="28"/>
      <c r="AF162" s="2"/>
    </row>
    <row r="163" spans="1:32">
      <c r="A163" s="15">
        <f t="shared" si="6"/>
        <v>158</v>
      </c>
      <c r="B163" s="2" t="s">
        <v>491</v>
      </c>
      <c r="C163" s="3" t="s">
        <v>492</v>
      </c>
      <c r="D163" s="2" t="s">
        <v>156</v>
      </c>
      <c r="E163" s="24"/>
      <c r="F163" s="17"/>
      <c r="G163" s="17"/>
      <c r="H163" s="17"/>
      <c r="I163" s="16"/>
      <c r="J163" s="26"/>
      <c r="K163" s="24"/>
      <c r="L163" s="21"/>
      <c r="M163" s="24"/>
      <c r="N163" s="24"/>
      <c r="O163" s="21"/>
      <c r="P163" s="21"/>
      <c r="Q163" s="22"/>
      <c r="R163" s="22"/>
      <c r="S163" s="22"/>
      <c r="T163" s="22"/>
      <c r="U163" s="22"/>
      <c r="V163" s="22"/>
      <c r="W163" s="27"/>
      <c r="X163" s="22"/>
      <c r="Y163" s="28"/>
      <c r="Z163" s="28"/>
      <c r="AA163" s="28"/>
      <c r="AB163" s="17"/>
      <c r="AC163" s="17"/>
      <c r="AD163" s="5"/>
      <c r="AE163" s="28"/>
      <c r="AF163" s="2"/>
    </row>
    <row r="164" spans="1:32">
      <c r="A164" s="15">
        <f t="shared" si="6"/>
        <v>159</v>
      </c>
      <c r="B164" s="2" t="s">
        <v>493</v>
      </c>
      <c r="C164" s="3" t="s">
        <v>494</v>
      </c>
      <c r="D164" s="2" t="s">
        <v>185</v>
      </c>
      <c r="E164" s="24"/>
      <c r="F164" s="17"/>
      <c r="G164" s="17"/>
      <c r="H164" s="17"/>
      <c r="I164" s="16"/>
      <c r="J164" s="26"/>
      <c r="K164" s="24"/>
      <c r="L164" s="21"/>
      <c r="M164" s="24"/>
      <c r="N164" s="24"/>
      <c r="O164" s="21"/>
      <c r="P164" s="21"/>
      <c r="Q164" s="22"/>
      <c r="R164" s="22"/>
      <c r="S164" s="22"/>
      <c r="T164" s="22"/>
      <c r="U164" s="22"/>
      <c r="V164" s="22"/>
      <c r="W164" s="27"/>
      <c r="X164" s="22"/>
      <c r="Y164" s="28"/>
      <c r="Z164" s="28"/>
      <c r="AA164" s="28"/>
      <c r="AB164" s="17"/>
      <c r="AC164" s="17"/>
      <c r="AD164" s="5"/>
      <c r="AE164" s="28"/>
      <c r="AF164" s="2"/>
    </row>
    <row r="165" spans="1:32">
      <c r="A165" s="15">
        <f t="shared" si="6"/>
        <v>160</v>
      </c>
      <c r="B165" s="2" t="s">
        <v>496</v>
      </c>
      <c r="C165" s="3" t="s">
        <v>495</v>
      </c>
      <c r="D165" s="2" t="s">
        <v>21</v>
      </c>
      <c r="E165" s="24"/>
      <c r="F165" s="17"/>
      <c r="G165" s="17"/>
      <c r="H165" s="17"/>
      <c r="I165" s="16"/>
      <c r="J165" s="26"/>
      <c r="K165" s="24"/>
      <c r="L165" s="21"/>
      <c r="M165" s="24"/>
      <c r="N165" s="24"/>
      <c r="O165" s="21"/>
      <c r="P165" s="21"/>
      <c r="Q165" s="22"/>
      <c r="R165" s="22"/>
      <c r="S165" s="22"/>
      <c r="T165" s="22"/>
      <c r="U165" s="22"/>
      <c r="V165" s="22"/>
      <c r="W165" s="27"/>
      <c r="X165" s="22"/>
      <c r="Y165" s="28"/>
      <c r="Z165" s="28"/>
      <c r="AA165" s="28"/>
      <c r="AB165" s="17"/>
      <c r="AC165" s="17"/>
      <c r="AD165" s="5"/>
      <c r="AE165" s="28"/>
      <c r="AF165" s="2"/>
    </row>
    <row r="166" spans="1:32">
      <c r="A166" s="15">
        <f t="shared" si="6"/>
        <v>161</v>
      </c>
      <c r="B166" s="2" t="s">
        <v>497</v>
      </c>
      <c r="C166" s="3" t="s">
        <v>499</v>
      </c>
      <c r="D166" s="2" t="s">
        <v>21</v>
      </c>
      <c r="E166" s="24"/>
      <c r="F166" s="17"/>
      <c r="G166" s="17"/>
      <c r="H166" s="17"/>
      <c r="I166" s="16"/>
      <c r="J166" s="26"/>
      <c r="K166" s="24"/>
      <c r="L166" s="21"/>
      <c r="M166" s="24"/>
      <c r="N166" s="24"/>
      <c r="O166" s="21"/>
      <c r="P166" s="21"/>
      <c r="Q166" s="22"/>
      <c r="R166" s="22"/>
      <c r="S166" s="22"/>
      <c r="T166" s="22"/>
      <c r="U166" s="22"/>
      <c r="V166" s="22"/>
      <c r="W166" s="27"/>
      <c r="X166" s="22"/>
      <c r="Y166" s="28"/>
      <c r="Z166" s="28"/>
      <c r="AA166" s="28"/>
      <c r="AB166" s="17"/>
      <c r="AC166" s="17"/>
      <c r="AD166" s="5"/>
      <c r="AE166" s="28"/>
      <c r="AF166" s="2"/>
    </row>
    <row r="167" spans="1:32">
      <c r="A167" s="15">
        <f t="shared" si="6"/>
        <v>162</v>
      </c>
      <c r="B167" s="2" t="s">
        <v>498</v>
      </c>
      <c r="C167" s="3" t="s">
        <v>500</v>
      </c>
      <c r="D167" s="2" t="s">
        <v>156</v>
      </c>
      <c r="E167" s="24"/>
      <c r="F167" s="17"/>
      <c r="G167" s="17"/>
      <c r="H167" s="17"/>
      <c r="I167" s="16"/>
      <c r="J167" s="26"/>
      <c r="K167" s="24"/>
      <c r="L167" s="21"/>
      <c r="M167" s="24"/>
      <c r="N167" s="24"/>
      <c r="O167" s="21"/>
      <c r="P167" s="21"/>
      <c r="Q167" s="22"/>
      <c r="R167" s="22"/>
      <c r="S167" s="22"/>
      <c r="T167" s="22"/>
      <c r="U167" s="22"/>
      <c r="V167" s="22"/>
      <c r="W167" s="27"/>
      <c r="X167" s="22"/>
      <c r="Y167" s="28"/>
      <c r="Z167" s="28"/>
      <c r="AA167" s="28"/>
      <c r="AB167" s="17"/>
      <c r="AC167" s="17"/>
      <c r="AD167" s="5"/>
      <c r="AE167" s="28"/>
      <c r="AF167" s="2"/>
    </row>
    <row r="168" spans="1:32">
      <c r="A168" s="15">
        <f t="shared" si="6"/>
        <v>163</v>
      </c>
      <c r="B168" s="2" t="s">
        <v>501</v>
      </c>
      <c r="C168" s="3" t="s">
        <v>504</v>
      </c>
      <c r="D168" s="2" t="s">
        <v>352</v>
      </c>
      <c r="E168" s="24"/>
      <c r="F168" s="17"/>
      <c r="G168" s="17"/>
      <c r="H168" s="17"/>
      <c r="I168" s="16"/>
      <c r="J168" s="26"/>
      <c r="K168" s="24"/>
      <c r="L168" s="21"/>
      <c r="M168" s="24"/>
      <c r="N168" s="24"/>
      <c r="O168" s="21"/>
      <c r="P168" s="21"/>
      <c r="Q168" s="22"/>
      <c r="R168" s="22"/>
      <c r="S168" s="22"/>
      <c r="T168" s="22"/>
      <c r="U168" s="22"/>
      <c r="V168" s="22"/>
      <c r="W168" s="27"/>
      <c r="X168" s="22"/>
      <c r="Y168" s="28"/>
      <c r="Z168" s="28"/>
      <c r="AA168" s="28"/>
      <c r="AB168" s="17"/>
      <c r="AC168" s="17"/>
      <c r="AD168" s="5"/>
      <c r="AE168" s="28"/>
      <c r="AF168" s="2"/>
    </row>
    <row r="169" spans="1:32">
      <c r="A169" s="15">
        <f t="shared" si="6"/>
        <v>164</v>
      </c>
      <c r="B169" s="2" t="s">
        <v>502</v>
      </c>
      <c r="C169" s="3" t="s">
        <v>503</v>
      </c>
      <c r="D169" s="2" t="s">
        <v>21</v>
      </c>
      <c r="E169" s="24"/>
      <c r="F169" s="17"/>
      <c r="G169" s="17"/>
      <c r="H169" s="17"/>
      <c r="I169" s="16"/>
      <c r="J169" s="26"/>
      <c r="K169" s="24"/>
      <c r="L169" s="21"/>
      <c r="M169" s="24"/>
      <c r="N169" s="24"/>
      <c r="O169" s="21"/>
      <c r="P169" s="21"/>
      <c r="Q169" s="22"/>
      <c r="R169" s="22"/>
      <c r="S169" s="22"/>
      <c r="T169" s="22"/>
      <c r="U169" s="22"/>
      <c r="V169" s="22"/>
      <c r="W169" s="27"/>
      <c r="X169" s="22"/>
      <c r="Y169" s="28"/>
      <c r="Z169" s="28"/>
      <c r="AA169" s="28"/>
      <c r="AB169" s="17"/>
      <c r="AC169" s="17"/>
      <c r="AD169" s="5"/>
      <c r="AE169" s="28"/>
      <c r="AF169" s="2"/>
    </row>
    <row r="170" spans="1:32">
      <c r="A170" s="15">
        <f t="shared" si="6"/>
        <v>165</v>
      </c>
      <c r="B170" s="2" t="s">
        <v>505</v>
      </c>
      <c r="C170" s="3" t="s">
        <v>378</v>
      </c>
      <c r="D170" s="2" t="s">
        <v>506</v>
      </c>
      <c r="E170" s="24"/>
      <c r="F170" s="17"/>
      <c r="G170" s="17"/>
      <c r="H170" s="17"/>
      <c r="I170" s="16"/>
      <c r="J170" s="26"/>
      <c r="K170" s="24"/>
      <c r="L170" s="21"/>
      <c r="M170" s="24"/>
      <c r="N170" s="24"/>
      <c r="O170" s="21"/>
      <c r="P170" s="21"/>
      <c r="Q170" s="22"/>
      <c r="R170" s="22"/>
      <c r="S170" s="22"/>
      <c r="T170" s="22"/>
      <c r="U170" s="22"/>
      <c r="V170" s="22"/>
      <c r="W170" s="27"/>
      <c r="X170" s="22"/>
      <c r="Y170" s="28"/>
      <c r="Z170" s="28"/>
      <c r="AA170" s="28"/>
      <c r="AB170" s="17"/>
      <c r="AC170" s="17"/>
      <c r="AD170" s="5"/>
      <c r="AE170" s="28"/>
      <c r="AF170" s="2"/>
    </row>
    <row r="171" spans="1:32">
      <c r="A171" s="15">
        <f t="shared" si="6"/>
        <v>166</v>
      </c>
      <c r="B171" s="2" t="s">
        <v>507</v>
      </c>
      <c r="C171" s="3" t="s">
        <v>508</v>
      </c>
      <c r="D171" s="2" t="s">
        <v>21</v>
      </c>
      <c r="E171" s="24"/>
      <c r="F171" s="17"/>
      <c r="G171" s="17"/>
      <c r="H171" s="17"/>
      <c r="I171" s="16"/>
      <c r="J171" s="26"/>
      <c r="K171" s="24"/>
      <c r="L171" s="21"/>
      <c r="M171" s="24"/>
      <c r="N171" s="24"/>
      <c r="O171" s="21"/>
      <c r="P171" s="21"/>
      <c r="Q171" s="22"/>
      <c r="R171" s="22"/>
      <c r="S171" s="22"/>
      <c r="T171" s="22"/>
      <c r="U171" s="22"/>
      <c r="V171" s="22"/>
      <c r="W171" s="27"/>
      <c r="X171" s="22"/>
      <c r="Y171" s="28"/>
      <c r="Z171" s="28"/>
      <c r="AA171" s="28"/>
      <c r="AB171" s="17"/>
      <c r="AC171" s="17"/>
      <c r="AD171" s="5"/>
      <c r="AE171" s="28"/>
      <c r="AF171" s="2"/>
    </row>
    <row r="172" spans="1:32">
      <c r="A172" s="15">
        <f t="shared" si="6"/>
        <v>167</v>
      </c>
      <c r="B172" s="2" t="s">
        <v>509</v>
      </c>
      <c r="C172" s="3" t="s">
        <v>510</v>
      </c>
      <c r="D172" s="2" t="s">
        <v>21</v>
      </c>
      <c r="E172" s="24"/>
      <c r="F172" s="17"/>
      <c r="G172" s="17"/>
      <c r="H172" s="17"/>
      <c r="I172" s="16"/>
      <c r="J172" s="26"/>
      <c r="K172" s="24"/>
      <c r="L172" s="21"/>
      <c r="M172" s="24"/>
      <c r="N172" s="24"/>
      <c r="O172" s="21"/>
      <c r="P172" s="21"/>
      <c r="Q172" s="22"/>
      <c r="R172" s="22"/>
      <c r="S172" s="22"/>
      <c r="T172" s="22"/>
      <c r="U172" s="22"/>
      <c r="V172" s="22"/>
      <c r="W172" s="27"/>
      <c r="X172" s="22"/>
      <c r="Y172" s="28"/>
      <c r="Z172" s="28"/>
      <c r="AA172" s="28"/>
      <c r="AB172" s="17"/>
      <c r="AC172" s="17"/>
      <c r="AD172" s="5"/>
      <c r="AE172" s="28"/>
      <c r="AF172" s="2"/>
    </row>
    <row r="173" spans="1:32">
      <c r="A173" s="15">
        <f t="shared" si="6"/>
        <v>168</v>
      </c>
      <c r="B173" s="2" t="s">
        <v>511</v>
      </c>
      <c r="C173" s="3" t="s">
        <v>512</v>
      </c>
      <c r="D173" s="2" t="s">
        <v>219</v>
      </c>
      <c r="E173" s="24"/>
      <c r="F173" s="17"/>
      <c r="G173" s="17"/>
      <c r="H173" s="17"/>
      <c r="I173" s="16"/>
      <c r="J173" s="26"/>
      <c r="K173" s="24"/>
      <c r="L173" s="21"/>
      <c r="M173" s="24"/>
      <c r="N173" s="24"/>
      <c r="O173" s="21"/>
      <c r="P173" s="21"/>
      <c r="Q173" s="22"/>
      <c r="R173" s="22"/>
      <c r="S173" s="22"/>
      <c r="T173" s="22"/>
      <c r="U173" s="22"/>
      <c r="V173" s="22"/>
      <c r="W173" s="27"/>
      <c r="X173" s="22"/>
      <c r="Y173" s="28"/>
      <c r="Z173" s="28"/>
      <c r="AA173" s="28"/>
      <c r="AB173" s="17"/>
      <c r="AC173" s="17"/>
      <c r="AD173" s="5"/>
      <c r="AE173" s="28"/>
      <c r="AF173" s="2"/>
    </row>
    <row r="174" spans="1:32">
      <c r="A174" s="15">
        <f t="shared" si="6"/>
        <v>169</v>
      </c>
      <c r="B174" s="2" t="s">
        <v>513</v>
      </c>
      <c r="C174" s="3" t="s">
        <v>516</v>
      </c>
      <c r="D174" s="2" t="s">
        <v>185</v>
      </c>
      <c r="E174" s="24"/>
      <c r="F174" s="17"/>
      <c r="G174" s="17"/>
      <c r="H174" s="17"/>
      <c r="I174" s="16"/>
      <c r="J174" s="26"/>
      <c r="K174" s="24"/>
      <c r="L174" s="21"/>
      <c r="M174" s="24"/>
      <c r="N174" s="24"/>
      <c r="O174" s="21"/>
      <c r="P174" s="21"/>
      <c r="Q174" s="22"/>
      <c r="R174" s="22"/>
      <c r="S174" s="22"/>
      <c r="T174" s="22"/>
      <c r="U174" s="22"/>
      <c r="V174" s="22"/>
      <c r="W174" s="27"/>
      <c r="X174" s="22"/>
      <c r="Y174" s="28"/>
      <c r="Z174" s="28"/>
      <c r="AA174" s="28"/>
      <c r="AB174" s="17"/>
      <c r="AC174" s="17"/>
      <c r="AD174" s="5"/>
      <c r="AE174" s="28"/>
      <c r="AF174" s="2"/>
    </row>
    <row r="175" spans="1:32">
      <c r="A175" s="15">
        <f t="shared" si="6"/>
        <v>170</v>
      </c>
      <c r="B175" s="2" t="s">
        <v>514</v>
      </c>
      <c r="C175" s="3" t="s">
        <v>515</v>
      </c>
      <c r="D175" s="2" t="s">
        <v>21</v>
      </c>
      <c r="E175" s="24"/>
      <c r="F175" s="17"/>
      <c r="G175" s="17"/>
      <c r="H175" s="17"/>
      <c r="I175" s="16"/>
      <c r="J175" s="26"/>
      <c r="K175" s="24"/>
      <c r="L175" s="21"/>
      <c r="M175" s="24"/>
      <c r="N175" s="24"/>
      <c r="O175" s="21"/>
      <c r="P175" s="21"/>
      <c r="Q175" s="22"/>
      <c r="R175" s="22"/>
      <c r="S175" s="22"/>
      <c r="T175" s="22"/>
      <c r="U175" s="22"/>
      <c r="V175" s="22"/>
      <c r="W175" s="27"/>
      <c r="X175" s="22"/>
      <c r="Y175" s="28"/>
      <c r="Z175" s="28"/>
      <c r="AA175" s="28"/>
      <c r="AB175" s="17"/>
      <c r="AC175" s="17"/>
      <c r="AD175" s="5"/>
      <c r="AE175" s="28"/>
      <c r="AF175" s="2"/>
    </row>
    <row r="176" spans="1:32">
      <c r="A176" s="15">
        <f t="shared" si="6"/>
        <v>171</v>
      </c>
      <c r="B176" s="2" t="s">
        <v>517</v>
      </c>
      <c r="C176" s="3" t="s">
        <v>518</v>
      </c>
      <c r="D176" s="2" t="s">
        <v>21</v>
      </c>
      <c r="E176" s="24"/>
      <c r="F176" s="17"/>
      <c r="G176" s="17"/>
      <c r="H176" s="17"/>
      <c r="I176" s="16"/>
      <c r="J176" s="26"/>
      <c r="K176" s="24"/>
      <c r="L176" s="21"/>
      <c r="M176" s="24"/>
      <c r="N176" s="24"/>
      <c r="O176" s="21"/>
      <c r="P176" s="21"/>
      <c r="Q176" s="22"/>
      <c r="R176" s="22"/>
      <c r="S176" s="22"/>
      <c r="T176" s="22"/>
      <c r="U176" s="22"/>
      <c r="V176" s="22"/>
      <c r="W176" s="27"/>
      <c r="X176" s="22"/>
      <c r="Y176" s="28"/>
      <c r="Z176" s="28"/>
      <c r="AA176" s="28"/>
      <c r="AB176" s="17"/>
      <c r="AC176" s="17"/>
      <c r="AD176" s="5"/>
      <c r="AE176" s="28"/>
      <c r="AF176" s="2"/>
    </row>
    <row r="177" spans="1:32">
      <c r="A177" s="15">
        <f t="shared" si="6"/>
        <v>172</v>
      </c>
      <c r="B177" s="2" t="s">
        <v>519</v>
      </c>
      <c r="C177" s="3" t="s">
        <v>520</v>
      </c>
      <c r="D177" s="2" t="s">
        <v>21</v>
      </c>
      <c r="E177" s="24"/>
      <c r="F177" s="17"/>
      <c r="G177" s="17"/>
      <c r="H177" s="17"/>
      <c r="I177" s="16"/>
      <c r="J177" s="26"/>
      <c r="K177" s="24"/>
      <c r="L177" s="21"/>
      <c r="M177" s="24"/>
      <c r="N177" s="24"/>
      <c r="O177" s="21"/>
      <c r="P177" s="21"/>
      <c r="Q177" s="22"/>
      <c r="R177" s="22"/>
      <c r="S177" s="22"/>
      <c r="T177" s="22"/>
      <c r="U177" s="22"/>
      <c r="V177" s="22"/>
      <c r="W177" s="27"/>
      <c r="X177" s="22"/>
      <c r="Y177" s="28"/>
      <c r="Z177" s="28"/>
      <c r="AA177" s="28"/>
      <c r="AB177" s="17"/>
      <c r="AC177" s="17"/>
      <c r="AD177" s="5"/>
      <c r="AE177" s="28"/>
      <c r="AF177" s="2"/>
    </row>
    <row r="178" spans="1:32">
      <c r="A178" s="15">
        <f t="shared" si="6"/>
        <v>173</v>
      </c>
      <c r="B178" s="2" t="s">
        <v>521</v>
      </c>
      <c r="C178" s="3" t="s">
        <v>522</v>
      </c>
      <c r="D178" s="2" t="s">
        <v>21</v>
      </c>
      <c r="E178" s="24"/>
      <c r="F178" s="17"/>
      <c r="G178" s="17"/>
      <c r="H178" s="17"/>
      <c r="I178" s="16"/>
      <c r="J178" s="26"/>
      <c r="K178" s="24"/>
      <c r="L178" s="21"/>
      <c r="M178" s="24"/>
      <c r="N178" s="24"/>
      <c r="O178" s="21"/>
      <c r="P178" s="21"/>
      <c r="Q178" s="22"/>
      <c r="R178" s="22"/>
      <c r="S178" s="22"/>
      <c r="T178" s="22"/>
      <c r="U178" s="22"/>
      <c r="V178" s="22"/>
      <c r="W178" s="27"/>
      <c r="X178" s="22"/>
      <c r="Y178" s="28"/>
      <c r="Z178" s="28"/>
      <c r="AA178" s="28"/>
      <c r="AB178" s="17"/>
      <c r="AC178" s="17"/>
      <c r="AD178" s="5"/>
      <c r="AE178" s="28"/>
      <c r="AF178" s="2"/>
    </row>
    <row r="179" spans="1:32">
      <c r="A179" s="15">
        <f t="shared" si="6"/>
        <v>174</v>
      </c>
      <c r="B179" s="2" t="s">
        <v>523</v>
      </c>
      <c r="C179" s="3" t="s">
        <v>524</v>
      </c>
      <c r="D179" s="2" t="s">
        <v>21</v>
      </c>
      <c r="E179" s="24"/>
      <c r="F179" s="17"/>
      <c r="G179" s="17"/>
      <c r="H179" s="17"/>
      <c r="I179" s="16"/>
      <c r="J179" s="26"/>
      <c r="K179" s="24"/>
      <c r="L179" s="21"/>
      <c r="M179" s="24"/>
      <c r="N179" s="24"/>
      <c r="O179" s="21"/>
      <c r="P179" s="21"/>
      <c r="Q179" s="22"/>
      <c r="R179" s="22"/>
      <c r="S179" s="22"/>
      <c r="T179" s="22"/>
      <c r="U179" s="22"/>
      <c r="V179" s="22"/>
      <c r="W179" s="27"/>
      <c r="X179" s="22"/>
      <c r="Y179" s="28"/>
      <c r="Z179" s="28"/>
      <c r="AA179" s="28"/>
      <c r="AB179" s="17"/>
      <c r="AC179" s="17"/>
      <c r="AD179" s="5"/>
      <c r="AE179" s="28"/>
      <c r="AF179" s="2"/>
    </row>
    <row r="180" spans="1:32">
      <c r="A180" s="15">
        <f t="shared" si="6"/>
        <v>175</v>
      </c>
      <c r="B180" s="2" t="s">
        <v>525</v>
      </c>
      <c r="C180" s="3" t="s">
        <v>527</v>
      </c>
      <c r="D180" s="2" t="s">
        <v>526</v>
      </c>
      <c r="E180" s="24"/>
      <c r="F180" s="17"/>
      <c r="G180" s="17"/>
      <c r="H180" s="17"/>
      <c r="I180" s="16"/>
      <c r="J180" s="26"/>
      <c r="K180" s="24"/>
      <c r="L180" s="21"/>
      <c r="M180" s="24"/>
      <c r="N180" s="24"/>
      <c r="O180" s="21"/>
      <c r="P180" s="21"/>
      <c r="Q180" s="22"/>
      <c r="R180" s="22"/>
      <c r="S180" s="22"/>
      <c r="T180" s="22"/>
      <c r="U180" s="22"/>
      <c r="V180" s="22"/>
      <c r="W180" s="27"/>
      <c r="X180" s="22"/>
      <c r="Y180" s="28"/>
      <c r="Z180" s="28"/>
      <c r="AA180" s="28"/>
      <c r="AB180" s="17"/>
      <c r="AC180" s="17"/>
      <c r="AD180" s="5"/>
      <c r="AE180" s="28"/>
      <c r="AF180" s="2"/>
    </row>
    <row r="181" spans="1:32">
      <c r="A181" s="15">
        <f t="shared" si="6"/>
        <v>176</v>
      </c>
      <c r="B181" s="2" t="s">
        <v>528</v>
      </c>
      <c r="C181" s="3" t="s">
        <v>529</v>
      </c>
      <c r="D181" s="2" t="s">
        <v>21</v>
      </c>
      <c r="E181" s="24"/>
      <c r="F181" s="17"/>
      <c r="G181" s="17"/>
      <c r="H181" s="17"/>
      <c r="I181" s="16"/>
      <c r="J181" s="26"/>
      <c r="K181" s="24"/>
      <c r="L181" s="21"/>
      <c r="M181" s="24"/>
      <c r="N181" s="24"/>
      <c r="O181" s="21"/>
      <c r="P181" s="21"/>
      <c r="Q181" s="22"/>
      <c r="R181" s="22"/>
      <c r="S181" s="22"/>
      <c r="T181" s="22"/>
      <c r="U181" s="22"/>
      <c r="V181" s="22"/>
      <c r="W181" s="27"/>
      <c r="X181" s="22"/>
      <c r="Y181" s="28"/>
      <c r="Z181" s="28"/>
      <c r="AA181" s="28"/>
      <c r="AB181" s="17"/>
      <c r="AC181" s="17"/>
      <c r="AD181" s="5"/>
      <c r="AE181" s="28"/>
      <c r="AF181" s="2"/>
    </row>
    <row r="182" spans="1:32">
      <c r="A182" s="15">
        <f t="shared" si="6"/>
        <v>177</v>
      </c>
      <c r="B182" s="2" t="s">
        <v>530</v>
      </c>
      <c r="C182" s="3" t="s">
        <v>672</v>
      </c>
      <c r="D182" s="2" t="s">
        <v>21</v>
      </c>
      <c r="E182" s="24"/>
      <c r="F182" s="17"/>
      <c r="G182" s="17"/>
      <c r="H182" s="17"/>
      <c r="I182" s="16"/>
      <c r="J182" s="26"/>
      <c r="K182" s="24"/>
      <c r="L182" s="21"/>
      <c r="M182" s="24"/>
      <c r="N182" s="24"/>
      <c r="O182" s="21"/>
      <c r="P182" s="21"/>
      <c r="Q182" s="22"/>
      <c r="R182" s="22"/>
      <c r="S182" s="22"/>
      <c r="T182" s="22"/>
      <c r="U182" s="22"/>
      <c r="V182" s="22"/>
      <c r="W182" s="27"/>
      <c r="X182" s="22"/>
      <c r="Y182" s="28"/>
      <c r="Z182" s="28"/>
      <c r="AA182" s="28"/>
      <c r="AB182" s="17"/>
      <c r="AC182" s="17"/>
      <c r="AD182" s="5"/>
      <c r="AE182" s="28"/>
      <c r="AF182" s="2"/>
    </row>
    <row r="183" spans="1:32">
      <c r="A183" s="15">
        <f t="shared" si="6"/>
        <v>178</v>
      </c>
      <c r="B183" s="2" t="s">
        <v>531</v>
      </c>
      <c r="C183" s="3" t="s">
        <v>673</v>
      </c>
      <c r="D183" s="2" t="s">
        <v>21</v>
      </c>
      <c r="E183" s="24"/>
      <c r="F183" s="17"/>
      <c r="G183" s="17"/>
      <c r="H183" s="17"/>
      <c r="I183" s="16"/>
      <c r="J183" s="26"/>
      <c r="K183" s="24"/>
      <c r="L183" s="21"/>
      <c r="M183" s="24"/>
      <c r="N183" s="24"/>
      <c r="O183" s="21"/>
      <c r="P183" s="21"/>
      <c r="Q183" s="22"/>
      <c r="R183" s="22"/>
      <c r="S183" s="22"/>
      <c r="T183" s="22"/>
      <c r="U183" s="22"/>
      <c r="V183" s="22"/>
      <c r="W183" s="27"/>
      <c r="X183" s="22"/>
      <c r="Y183" s="28"/>
      <c r="Z183" s="28"/>
      <c r="AA183" s="28"/>
      <c r="AB183" s="17"/>
      <c r="AC183" s="17"/>
      <c r="AD183" s="5"/>
      <c r="AE183" s="28"/>
      <c r="AF183" s="2"/>
    </row>
    <row r="184" spans="1:32">
      <c r="A184" s="15"/>
      <c r="B184" s="2"/>
      <c r="C184" s="3"/>
      <c r="D184" s="2"/>
      <c r="E184" s="24"/>
      <c r="F184" s="17"/>
      <c r="G184" s="17"/>
      <c r="H184" s="17"/>
      <c r="I184" s="16"/>
      <c r="J184" s="2"/>
      <c r="K184" s="24"/>
      <c r="L184" s="21"/>
      <c r="M184" s="24"/>
      <c r="N184" s="24"/>
      <c r="O184" s="21"/>
      <c r="P184" s="21"/>
      <c r="Q184" s="22"/>
      <c r="R184" s="22"/>
      <c r="S184" s="22"/>
      <c r="T184" s="22"/>
      <c r="U184" s="22"/>
      <c r="V184" s="22"/>
      <c r="W184" s="27"/>
      <c r="X184" s="22"/>
      <c r="Y184" s="28"/>
      <c r="Z184" s="28"/>
      <c r="AA184" s="28"/>
      <c r="AB184" s="17"/>
      <c r="AC184" s="17"/>
      <c r="AD184" s="5">
        <v>2014</v>
      </c>
      <c r="AE184" s="28" t="s">
        <v>415</v>
      </c>
      <c r="AF184" s="2"/>
    </row>
    <row r="185" spans="1:32">
      <c r="A185" s="15"/>
      <c r="B185" s="2"/>
      <c r="C185" s="3"/>
      <c r="D185" s="2"/>
      <c r="E185" s="24"/>
      <c r="F185" s="17"/>
      <c r="G185" s="17"/>
      <c r="H185" s="17"/>
      <c r="I185" s="16"/>
      <c r="J185" s="2"/>
      <c r="K185" s="24"/>
      <c r="L185" s="21"/>
      <c r="M185" s="24"/>
      <c r="N185" s="24"/>
      <c r="O185" s="21"/>
      <c r="P185" s="21"/>
      <c r="Q185" s="22"/>
      <c r="R185" s="22"/>
      <c r="S185" s="22"/>
      <c r="T185" s="22"/>
      <c r="U185" s="22"/>
      <c r="V185" s="22"/>
      <c r="W185" s="27"/>
      <c r="X185" s="22"/>
      <c r="Y185" s="28"/>
      <c r="Z185" s="28"/>
      <c r="AA185" s="28"/>
      <c r="AB185" s="17"/>
      <c r="AC185" s="17"/>
      <c r="AD185" s="5"/>
      <c r="AE185" s="28"/>
      <c r="AF185" s="2"/>
    </row>
    <row r="186" spans="1:32">
      <c r="A186" s="15"/>
      <c r="B186" s="2"/>
      <c r="C186" s="3"/>
      <c r="D186" s="2"/>
      <c r="E186" s="24"/>
      <c r="F186" s="17"/>
      <c r="G186" s="17"/>
      <c r="H186" s="17"/>
      <c r="I186" s="16"/>
      <c r="J186" s="2"/>
      <c r="K186" s="24"/>
      <c r="L186" s="21"/>
      <c r="M186" s="24"/>
      <c r="N186" s="24"/>
      <c r="O186" s="21"/>
      <c r="P186" s="21"/>
      <c r="Q186" s="22"/>
      <c r="R186" s="22"/>
      <c r="S186" s="22"/>
      <c r="T186" s="22"/>
      <c r="U186" s="22"/>
      <c r="V186" s="22"/>
      <c r="W186" s="27"/>
      <c r="X186" s="22"/>
      <c r="Y186" s="28"/>
      <c r="Z186" s="28"/>
      <c r="AA186" s="28"/>
      <c r="AB186" s="17"/>
      <c r="AC186" s="17"/>
      <c r="AD186" s="5"/>
      <c r="AE186" s="28"/>
      <c r="AF186" s="2"/>
    </row>
    <row r="187" spans="1:32">
      <c r="A187" s="15"/>
      <c r="B187" s="2"/>
      <c r="C187" s="3"/>
      <c r="D187" s="2"/>
      <c r="E187" s="24"/>
      <c r="F187" s="17"/>
      <c r="G187" s="17"/>
      <c r="H187" s="17"/>
      <c r="I187" s="16"/>
      <c r="J187" s="2"/>
      <c r="K187" s="24"/>
      <c r="L187" s="21"/>
      <c r="M187" s="24"/>
      <c r="N187" s="24"/>
      <c r="O187" s="21"/>
      <c r="P187" s="21"/>
      <c r="Q187" s="22"/>
      <c r="R187" s="22"/>
      <c r="S187" s="22"/>
      <c r="T187" s="22"/>
      <c r="U187" s="22"/>
      <c r="V187" s="22"/>
      <c r="W187" s="27"/>
      <c r="X187" s="22"/>
      <c r="Y187" s="28"/>
      <c r="Z187" s="28"/>
      <c r="AA187" s="28"/>
      <c r="AB187" s="17"/>
      <c r="AC187" s="17"/>
      <c r="AD187" s="5"/>
      <c r="AE187" s="28"/>
      <c r="AF187" s="2"/>
    </row>
    <row r="188" spans="1:32">
      <c r="A188" s="15"/>
      <c r="B188" s="2"/>
      <c r="C188" s="3"/>
      <c r="D188" s="2"/>
      <c r="E188" s="24"/>
      <c r="F188" s="17"/>
      <c r="G188" s="17"/>
      <c r="H188" s="17"/>
      <c r="I188" s="16"/>
      <c r="J188" s="2"/>
      <c r="K188" s="24"/>
      <c r="L188" s="21"/>
      <c r="M188" s="24"/>
      <c r="N188" s="24"/>
      <c r="O188" s="21"/>
      <c r="P188" s="21"/>
      <c r="Q188" s="22"/>
      <c r="R188" s="22"/>
      <c r="S188" s="22"/>
      <c r="T188" s="22"/>
      <c r="U188" s="22"/>
      <c r="V188" s="22"/>
      <c r="W188" s="27"/>
      <c r="X188" s="22"/>
      <c r="Y188" s="28"/>
      <c r="Z188" s="28"/>
      <c r="AA188" s="28"/>
      <c r="AB188" s="17"/>
      <c r="AC188" s="17"/>
      <c r="AD188" s="5"/>
      <c r="AE188" s="28"/>
      <c r="AF188" s="2"/>
    </row>
    <row r="189" spans="1:32">
      <c r="A189" s="15"/>
      <c r="B189" s="2"/>
      <c r="C189" s="3"/>
      <c r="D189" s="2"/>
      <c r="E189" s="24"/>
      <c r="F189" s="17"/>
      <c r="G189" s="17"/>
      <c r="H189" s="17"/>
      <c r="I189" s="16"/>
      <c r="J189" s="26"/>
      <c r="K189" s="24"/>
      <c r="L189" s="21"/>
      <c r="M189" s="24"/>
      <c r="N189" s="24"/>
      <c r="O189" s="21"/>
      <c r="P189" s="21"/>
      <c r="Q189" s="22"/>
      <c r="R189" s="22"/>
      <c r="S189" s="22"/>
      <c r="T189" s="22"/>
      <c r="U189" s="22"/>
      <c r="V189" s="22"/>
      <c r="W189" s="27"/>
      <c r="X189" s="22"/>
      <c r="Y189" s="28"/>
      <c r="Z189" s="28"/>
      <c r="AA189" s="28"/>
      <c r="AB189" s="17"/>
      <c r="AC189" s="17"/>
      <c r="AD189" s="5"/>
      <c r="AE189" s="28"/>
      <c r="AF189" s="2"/>
    </row>
    <row r="190" spans="1:32">
      <c r="A190" s="15"/>
      <c r="B190" s="2"/>
      <c r="C190" s="3"/>
      <c r="D190" s="2"/>
      <c r="E190" s="24"/>
      <c r="F190" s="17"/>
      <c r="G190" s="17"/>
      <c r="H190" s="17"/>
      <c r="I190" s="16"/>
      <c r="J190" s="26"/>
      <c r="K190" s="24"/>
      <c r="L190" s="21"/>
      <c r="M190" s="24"/>
      <c r="N190" s="24"/>
      <c r="O190" s="21"/>
      <c r="P190" s="21"/>
      <c r="Q190" s="22"/>
      <c r="R190" s="22"/>
      <c r="S190" s="22"/>
      <c r="T190" s="22"/>
      <c r="U190" s="22"/>
      <c r="V190" s="22"/>
      <c r="W190" s="27"/>
      <c r="X190" s="22"/>
      <c r="Y190" s="28"/>
      <c r="Z190" s="28"/>
      <c r="AA190" s="28"/>
      <c r="AB190" s="17"/>
      <c r="AC190" s="17"/>
      <c r="AD190" s="5"/>
      <c r="AE190" s="28"/>
      <c r="AF190" s="2"/>
    </row>
    <row r="191" spans="1:32">
      <c r="A191" s="15"/>
      <c r="B191" s="2"/>
      <c r="C191" s="3"/>
      <c r="D191" s="2"/>
      <c r="E191" s="24"/>
      <c r="F191" s="17"/>
      <c r="G191" s="17"/>
      <c r="H191" s="17"/>
      <c r="I191" s="16"/>
      <c r="J191" s="26"/>
      <c r="K191" s="24"/>
      <c r="L191" s="21"/>
      <c r="M191" s="24"/>
      <c r="N191" s="24"/>
      <c r="O191" s="21"/>
      <c r="P191" s="21"/>
      <c r="Q191" s="22"/>
      <c r="R191" s="22"/>
      <c r="S191" s="22"/>
      <c r="T191" s="22"/>
      <c r="U191" s="22"/>
      <c r="V191" s="22"/>
      <c r="W191" s="27"/>
      <c r="X191" s="22"/>
      <c r="Y191" s="28"/>
      <c r="Z191" s="28"/>
      <c r="AA191" s="28"/>
      <c r="AB191" s="17"/>
      <c r="AC191" s="17"/>
      <c r="AD191" s="5"/>
      <c r="AE191" s="28"/>
      <c r="AF191" s="2"/>
    </row>
    <row r="192" spans="1:32">
      <c r="A192" s="15"/>
      <c r="B192" s="2"/>
      <c r="C192" s="3"/>
      <c r="D192" s="2"/>
      <c r="E192" s="24"/>
      <c r="F192" s="17"/>
      <c r="G192" s="17"/>
      <c r="H192" s="17"/>
      <c r="I192" s="16"/>
      <c r="J192" s="2"/>
      <c r="K192" s="24"/>
      <c r="L192" s="21"/>
      <c r="M192" s="24"/>
      <c r="N192" s="24"/>
      <c r="O192" s="21"/>
      <c r="P192" s="21"/>
      <c r="Q192" s="22"/>
      <c r="R192" s="22"/>
      <c r="S192" s="22"/>
      <c r="T192" s="22"/>
      <c r="U192" s="22"/>
      <c r="V192" s="22"/>
      <c r="W192" s="27"/>
      <c r="X192" s="22"/>
      <c r="Y192" s="28"/>
      <c r="Z192" s="28"/>
      <c r="AA192" s="28"/>
      <c r="AB192" s="17"/>
      <c r="AC192" s="17"/>
      <c r="AD192" s="5"/>
      <c r="AE192" s="28"/>
      <c r="AF192" s="2"/>
    </row>
    <row r="193" spans="1:32">
      <c r="A193" s="15"/>
      <c r="B193" s="2"/>
      <c r="C193" s="3"/>
      <c r="D193" s="2"/>
      <c r="E193" s="24"/>
      <c r="F193" s="17"/>
      <c r="G193" s="17"/>
      <c r="H193" s="17"/>
      <c r="I193" s="16"/>
      <c r="J193" s="2"/>
      <c r="K193" s="24"/>
      <c r="L193" s="21"/>
      <c r="M193" s="24"/>
      <c r="N193" s="24"/>
      <c r="O193" s="21"/>
      <c r="P193" s="21"/>
      <c r="Q193" s="22"/>
      <c r="R193" s="22"/>
      <c r="S193" s="22"/>
      <c r="T193" s="22"/>
      <c r="U193" s="22"/>
      <c r="V193" s="22"/>
      <c r="W193" s="27"/>
      <c r="X193" s="22"/>
      <c r="Y193" s="28"/>
      <c r="Z193" s="28"/>
      <c r="AA193" s="28"/>
      <c r="AB193" s="17"/>
      <c r="AC193" s="17"/>
      <c r="AD193" s="5"/>
      <c r="AE193" s="28"/>
      <c r="AF193" s="2"/>
    </row>
    <row r="194" spans="1:32">
      <c r="A194" s="15"/>
      <c r="B194" s="2"/>
      <c r="C194" s="3"/>
      <c r="D194" s="2"/>
      <c r="E194" s="24"/>
      <c r="F194" s="17"/>
      <c r="G194" s="17"/>
      <c r="H194" s="17"/>
      <c r="I194" s="16"/>
      <c r="J194" s="2"/>
      <c r="K194" s="24"/>
      <c r="L194" s="21"/>
      <c r="M194" s="24"/>
      <c r="N194" s="24"/>
      <c r="O194" s="21"/>
      <c r="P194" s="21"/>
      <c r="Q194" s="22"/>
      <c r="R194" s="22"/>
      <c r="S194" s="22"/>
      <c r="T194" s="22"/>
      <c r="U194" s="22"/>
      <c r="V194" s="22"/>
      <c r="W194" s="27"/>
      <c r="X194" s="22"/>
      <c r="Y194" s="28"/>
      <c r="Z194" s="28"/>
      <c r="AA194" s="28"/>
      <c r="AB194" s="17"/>
      <c r="AC194" s="17"/>
      <c r="AD194" s="5"/>
      <c r="AE194" s="28"/>
      <c r="AF194" s="2"/>
    </row>
    <row r="195" spans="1:32">
      <c r="A195" s="15"/>
      <c r="B195" s="2"/>
      <c r="C195" s="3"/>
      <c r="D195" s="2"/>
      <c r="E195" s="24"/>
      <c r="F195" s="17"/>
      <c r="G195" s="17"/>
      <c r="H195" s="17"/>
      <c r="I195" s="16"/>
      <c r="J195" s="2"/>
      <c r="K195" s="24"/>
      <c r="L195" s="21"/>
      <c r="M195" s="24"/>
      <c r="N195" s="24"/>
      <c r="O195" s="21"/>
      <c r="P195" s="21"/>
      <c r="Q195" s="22"/>
      <c r="R195" s="22"/>
      <c r="S195" s="22"/>
      <c r="T195" s="22"/>
      <c r="U195" s="22"/>
      <c r="V195" s="22"/>
      <c r="W195" s="27"/>
      <c r="X195" s="22"/>
      <c r="Y195" s="28"/>
      <c r="Z195" s="28"/>
      <c r="AA195" s="28"/>
      <c r="AB195" s="17"/>
      <c r="AC195" s="17"/>
      <c r="AD195" s="5"/>
      <c r="AE195" s="28"/>
      <c r="AF195" s="2"/>
    </row>
    <row r="196" spans="1:32">
      <c r="A196" s="15"/>
      <c r="B196" s="2"/>
      <c r="C196" s="3"/>
      <c r="D196" s="2"/>
      <c r="E196" s="24"/>
      <c r="F196" s="17"/>
      <c r="G196" s="17"/>
      <c r="H196" s="17"/>
      <c r="I196" s="16"/>
      <c r="J196" s="2"/>
      <c r="K196" s="24"/>
      <c r="L196" s="21"/>
      <c r="M196" s="24"/>
      <c r="N196" s="24"/>
      <c r="O196" s="21"/>
      <c r="P196" s="21"/>
      <c r="Q196" s="22"/>
      <c r="R196" s="22"/>
      <c r="S196" s="22"/>
      <c r="T196" s="22"/>
      <c r="U196" s="22"/>
      <c r="V196" s="22"/>
      <c r="W196" s="27"/>
      <c r="X196" s="22"/>
      <c r="Y196" s="28"/>
      <c r="Z196" s="28"/>
      <c r="AA196" s="28"/>
      <c r="AB196" s="17"/>
      <c r="AC196" s="17"/>
      <c r="AD196" s="5"/>
      <c r="AE196" s="28"/>
      <c r="AF196" s="2"/>
    </row>
    <row r="197" spans="1:32">
      <c r="A197" s="15"/>
      <c r="B197" s="2"/>
      <c r="C197" s="3"/>
      <c r="D197" s="2"/>
      <c r="E197" s="24"/>
      <c r="F197" s="17"/>
      <c r="G197" s="17"/>
      <c r="H197" s="17"/>
      <c r="I197" s="16"/>
      <c r="J197" s="2"/>
      <c r="K197" s="24"/>
      <c r="L197" s="21"/>
      <c r="M197" s="24"/>
      <c r="N197" s="24"/>
      <c r="O197" s="21"/>
      <c r="P197" s="21"/>
      <c r="Q197" s="22"/>
      <c r="R197" s="22"/>
      <c r="S197" s="22"/>
      <c r="T197" s="22"/>
      <c r="U197" s="22"/>
      <c r="V197" s="22"/>
      <c r="W197" s="27"/>
      <c r="X197" s="22"/>
      <c r="Y197" s="28"/>
      <c r="Z197" s="28"/>
      <c r="AA197" s="28"/>
      <c r="AB197" s="17"/>
      <c r="AC197" s="17"/>
      <c r="AD197" s="5"/>
      <c r="AE197" s="28"/>
      <c r="AF197" s="2"/>
    </row>
    <row r="198" spans="1:32">
      <c r="A198" s="15"/>
      <c r="B198" s="2"/>
      <c r="C198" s="3"/>
      <c r="D198" s="2"/>
      <c r="E198" s="24"/>
      <c r="F198" s="17"/>
      <c r="G198" s="17"/>
      <c r="H198" s="17"/>
      <c r="I198" s="16"/>
      <c r="J198" s="2"/>
      <c r="K198" s="24"/>
      <c r="L198" s="21"/>
      <c r="M198" s="24"/>
      <c r="N198" s="24"/>
      <c r="O198" s="21"/>
      <c r="P198" s="21"/>
      <c r="Q198" s="22"/>
      <c r="R198" s="22"/>
      <c r="S198" s="22"/>
      <c r="T198" s="22"/>
      <c r="U198" s="22"/>
      <c r="V198" s="22"/>
      <c r="W198" s="27"/>
      <c r="X198" s="22"/>
      <c r="Y198" s="28"/>
      <c r="Z198" s="28"/>
      <c r="AA198" s="28"/>
      <c r="AB198" s="17"/>
      <c r="AC198" s="17"/>
      <c r="AD198" s="5"/>
      <c r="AE198" s="28"/>
      <c r="AF198" s="2"/>
    </row>
    <row r="199" spans="1:32">
      <c r="A199" s="15"/>
      <c r="B199" s="2"/>
      <c r="C199" s="3"/>
      <c r="D199" s="2"/>
      <c r="E199" s="24"/>
      <c r="F199" s="2"/>
      <c r="G199" s="2"/>
      <c r="H199" s="2"/>
      <c r="I199" s="16"/>
      <c r="J199" s="2"/>
      <c r="K199" s="24"/>
      <c r="L199" s="21"/>
      <c r="M199" s="24"/>
      <c r="N199" s="24"/>
      <c r="O199" s="21"/>
      <c r="P199" s="21"/>
      <c r="Q199" s="22"/>
      <c r="R199" s="22"/>
      <c r="S199" s="22"/>
      <c r="T199" s="22"/>
      <c r="U199" s="22"/>
      <c r="V199" s="22"/>
      <c r="W199" s="27"/>
      <c r="X199" s="22"/>
      <c r="Y199" s="28"/>
      <c r="Z199" s="28"/>
      <c r="AA199" s="28"/>
      <c r="AB199" s="17"/>
      <c r="AC199" s="17"/>
      <c r="AD199" s="5"/>
      <c r="AE199" s="28"/>
      <c r="AF199" s="2"/>
    </row>
    <row r="200" spans="1:32">
      <c r="A200" s="15"/>
      <c r="B200" s="2"/>
      <c r="C200" s="3"/>
      <c r="D200" s="2"/>
      <c r="E200" s="24"/>
      <c r="F200" s="2"/>
      <c r="G200" s="2"/>
      <c r="H200" s="2"/>
      <c r="I200" s="16"/>
      <c r="J200" s="2"/>
      <c r="K200" s="24"/>
      <c r="L200" s="21"/>
      <c r="M200" s="24"/>
      <c r="N200" s="24"/>
      <c r="O200" s="21"/>
      <c r="P200" s="21"/>
      <c r="Q200" s="22"/>
      <c r="R200" s="22"/>
      <c r="S200" s="22"/>
      <c r="T200" s="22"/>
      <c r="U200" s="22"/>
      <c r="V200" s="22"/>
      <c r="W200" s="27"/>
      <c r="X200" s="22"/>
      <c r="Y200" s="28"/>
      <c r="Z200" s="28"/>
      <c r="AA200" s="28"/>
      <c r="AB200" s="17"/>
      <c r="AC200" s="17"/>
      <c r="AD200" s="5"/>
      <c r="AE200" s="28"/>
      <c r="AF200" s="2"/>
    </row>
    <row r="201" spans="1:32">
      <c r="A201" s="15"/>
      <c r="B201" s="2"/>
      <c r="C201" s="3"/>
      <c r="D201" s="2"/>
      <c r="E201" s="24"/>
      <c r="F201" s="2"/>
      <c r="G201" s="2"/>
      <c r="H201" s="2"/>
      <c r="I201" s="16"/>
      <c r="J201" s="2"/>
      <c r="K201" s="24"/>
      <c r="L201" s="21"/>
      <c r="M201" s="24"/>
      <c r="N201" s="24"/>
      <c r="O201" s="21"/>
      <c r="P201" s="21"/>
      <c r="Q201" s="22"/>
      <c r="R201" s="22"/>
      <c r="S201" s="22"/>
      <c r="T201" s="22"/>
      <c r="U201" s="22"/>
      <c r="V201" s="22"/>
      <c r="W201" s="27"/>
      <c r="X201" s="22"/>
      <c r="Y201" s="28"/>
      <c r="Z201" s="28"/>
      <c r="AA201" s="28"/>
      <c r="AB201" s="17"/>
      <c r="AC201" s="17"/>
      <c r="AD201" s="5"/>
      <c r="AE201" s="28"/>
      <c r="AF201" s="2"/>
    </row>
    <row r="202" spans="1:32">
      <c r="A202" s="15"/>
      <c r="B202" s="2"/>
      <c r="C202" s="3"/>
      <c r="D202" s="2"/>
      <c r="E202" s="24"/>
      <c r="F202" s="2"/>
      <c r="G202" s="2"/>
      <c r="H202" s="2"/>
      <c r="I202" s="16"/>
      <c r="J202" s="2"/>
      <c r="K202" s="24"/>
      <c r="L202" s="21"/>
      <c r="M202" s="24"/>
      <c r="N202" s="24"/>
      <c r="O202" s="21"/>
      <c r="P202" s="21"/>
      <c r="Q202" s="22"/>
      <c r="R202" s="22"/>
      <c r="S202" s="22"/>
      <c r="T202" s="22"/>
      <c r="U202" s="22"/>
      <c r="V202" s="22"/>
      <c r="W202" s="27"/>
      <c r="X202" s="22"/>
      <c r="Y202" s="28"/>
      <c r="Z202" s="28"/>
      <c r="AA202" s="28"/>
      <c r="AB202" s="17"/>
      <c r="AC202" s="17"/>
      <c r="AD202" s="5"/>
      <c r="AE202" s="28"/>
      <c r="AF202" s="2"/>
    </row>
    <row r="203" spans="1:32">
      <c r="Q203" s="38"/>
      <c r="R203" s="38"/>
      <c r="S203" s="38"/>
      <c r="T203" s="38"/>
      <c r="U203" s="38"/>
      <c r="V203" s="38"/>
      <c r="W203" s="39"/>
      <c r="X203" s="38"/>
      <c r="Y203" s="40"/>
      <c r="Z203" s="40"/>
      <c r="AA203" s="40"/>
      <c r="AB203" s="41"/>
      <c r="AC203" s="41"/>
      <c r="AE203" s="40"/>
    </row>
    <row r="204" spans="1:32">
      <c r="Q204" s="38"/>
      <c r="R204" s="38"/>
      <c r="S204" s="38"/>
      <c r="T204" s="38"/>
      <c r="U204" s="38"/>
      <c r="V204" s="38"/>
      <c r="W204" s="39"/>
      <c r="X204" s="38"/>
      <c r="Y204" s="40"/>
      <c r="Z204" s="40"/>
      <c r="AA204" s="40"/>
      <c r="AB204" s="40"/>
      <c r="AC204" s="40"/>
      <c r="AE204" s="40"/>
    </row>
    <row r="205" spans="1:32">
      <c r="Q205" s="38"/>
      <c r="R205" s="38"/>
      <c r="S205" s="38"/>
      <c r="T205" s="38"/>
      <c r="U205" s="38"/>
      <c r="V205" s="38"/>
      <c r="W205" s="39"/>
      <c r="X205" s="38"/>
      <c r="Y205" s="40"/>
      <c r="Z205" s="40"/>
      <c r="AA205" s="40"/>
      <c r="AB205" s="40"/>
      <c r="AC205" s="40"/>
      <c r="AE205" s="40"/>
    </row>
    <row r="206" spans="1:32">
      <c r="F206" s="41"/>
      <c r="G206" s="41"/>
      <c r="H206" s="41"/>
      <c r="Q206" s="38"/>
      <c r="R206" s="38"/>
      <c r="S206" s="38"/>
      <c r="T206" s="38"/>
      <c r="U206" s="38"/>
      <c r="V206" s="38"/>
      <c r="W206" s="39"/>
      <c r="X206" s="38"/>
      <c r="Y206" s="40"/>
      <c r="Z206" s="40"/>
      <c r="AA206" s="40"/>
      <c r="AB206" s="40"/>
      <c r="AC206" s="40"/>
      <c r="AE206" s="40"/>
    </row>
    <row r="207" spans="1:32">
      <c r="F207" s="41"/>
      <c r="G207" s="41"/>
      <c r="H207" s="41"/>
      <c r="Q207" s="38"/>
      <c r="R207" s="38"/>
      <c r="S207" s="38"/>
      <c r="T207" s="38"/>
      <c r="U207" s="38"/>
      <c r="V207" s="38"/>
      <c r="W207" s="39"/>
      <c r="X207" s="38"/>
      <c r="Y207" s="40"/>
      <c r="Z207" s="40"/>
      <c r="AA207" s="40"/>
      <c r="AB207" s="40"/>
      <c r="AC207" s="40"/>
      <c r="AE207" s="40"/>
    </row>
    <row r="208" spans="1:32">
      <c r="F208" s="41"/>
      <c r="G208" s="41"/>
      <c r="H208" s="41"/>
      <c r="Q208" s="38"/>
      <c r="R208" s="38"/>
      <c r="S208" s="38"/>
      <c r="T208" s="38"/>
      <c r="U208" s="38"/>
      <c r="V208" s="38"/>
      <c r="W208" s="39"/>
      <c r="X208" s="38"/>
      <c r="Y208" s="40"/>
      <c r="Z208" s="40"/>
      <c r="AA208" s="40"/>
      <c r="AB208" s="40"/>
      <c r="AC208" s="40"/>
      <c r="AE208" s="40"/>
    </row>
    <row r="209" spans="6:31">
      <c r="F209" s="41"/>
      <c r="G209" s="41"/>
      <c r="H209" s="41"/>
      <c r="Q209" s="38"/>
      <c r="R209" s="38"/>
      <c r="S209" s="38"/>
      <c r="T209" s="38"/>
      <c r="U209" s="38"/>
      <c r="V209" s="38"/>
      <c r="W209" s="39"/>
      <c r="X209" s="38"/>
      <c r="Y209" s="40"/>
      <c r="Z209" s="40"/>
      <c r="AA209" s="40"/>
      <c r="AB209" s="40"/>
      <c r="AC209" s="40"/>
      <c r="AE209" s="40"/>
    </row>
    <row r="210" spans="6:31">
      <c r="F210" s="41"/>
      <c r="G210" s="41"/>
      <c r="H210" s="41"/>
      <c r="Y210" s="40"/>
      <c r="Z210" s="40"/>
      <c r="AA210" s="40"/>
      <c r="AB210" s="40"/>
      <c r="AC210" s="40"/>
      <c r="AE210" s="40"/>
    </row>
    <row r="211" spans="6:31">
      <c r="Y211" s="40"/>
      <c r="Z211" s="40"/>
      <c r="AA211" s="40"/>
      <c r="AB211" s="40"/>
      <c r="AC211" s="40"/>
      <c r="AE211" s="40"/>
    </row>
    <row r="212" spans="6:31">
      <c r="Y212" s="40"/>
      <c r="Z212" s="40"/>
      <c r="AA212" s="40"/>
      <c r="AB212" s="40"/>
      <c r="AC212" s="40"/>
      <c r="AE212" s="40"/>
    </row>
  </sheetData>
  <autoFilter ref="A1:AE183" xr:uid="{87FBAEA3-CFE3-4821-A533-830373FE4419}"/>
  <dataConsolidate function="varp"/>
  <conditionalFormatting sqref="J1:J1048576">
    <cfRule type="containsBlanks" priority="1" stopIfTrue="1">
      <formula>LEN(TRIM(J1))=0</formula>
    </cfRule>
  </conditionalFormatting>
  <conditionalFormatting sqref="J6:J183">
    <cfRule type="cellIs" dxfId="0" priority="2" operator="lessThan">
      <formula>TODAY()</formula>
    </cfRule>
  </conditionalFormatting>
  <hyperlinks>
    <hyperlink ref="B23" r:id="rId1" xr:uid="{02A4F589-028F-4FB5-99AC-E90D661BE402}"/>
    <hyperlink ref="B7" r:id="rId2" xr:uid="{DA1AA612-FC13-4B8F-91DB-8176F965797C}"/>
    <hyperlink ref="B11" r:id="rId3" xr:uid="{91FAA1A1-E352-4FDE-B643-6A57A69F937B}"/>
    <hyperlink ref="B20" r:id="rId4" xr:uid="{2BBDF59A-9C71-40A3-80BB-A2879EADA016}"/>
    <hyperlink ref="B8" r:id="rId5" xr:uid="{4AE9E397-5013-4F4B-9E72-DC4EEAFDDCA9}"/>
    <hyperlink ref="B6" r:id="rId6" xr:uid="{708A6D55-5F0B-4113-9678-05E38D6E6AD0}"/>
    <hyperlink ref="B22" r:id="rId7" xr:uid="{07D1BA71-B6C8-469E-89BF-859A429F549B}"/>
    <hyperlink ref="B16" r:id="rId8" xr:uid="{AFEB9FCD-7E7F-40CD-AC8F-A74D174AEFB7}"/>
    <hyperlink ref="B9" r:id="rId9" xr:uid="{D6690880-A2F1-4D6A-A3AE-CD9AEE2C6469}"/>
    <hyperlink ref="B15" r:id="rId10" xr:uid="{D0AC59F5-1338-40A1-B1F0-BACE833D397F}"/>
    <hyperlink ref="B10" r:id="rId11" xr:uid="{BCE06377-B4D2-4BEB-ACF5-3D9E592BB39F}"/>
    <hyperlink ref="B28" r:id="rId12" xr:uid="{E0507867-6D69-402B-B198-3C0969661ECB}"/>
    <hyperlink ref="B19" r:id="rId13" xr:uid="{A8B7CF06-D912-447E-8B65-51DA1BB2A12F}"/>
    <hyperlink ref="B18" r:id="rId14" xr:uid="{65DC1C50-10A9-4D75-A4EE-346DCA4BD9D0}"/>
    <hyperlink ref="B38" r:id="rId15" xr:uid="{30E4AC6D-BFF7-4ED3-BEF6-68D15E596103}"/>
    <hyperlink ref="B12" r:id="rId16" xr:uid="{13799701-6CC0-4C2D-8B02-BE133CF59D1D}"/>
    <hyperlink ref="B14" r:id="rId17" xr:uid="{C18D7EBB-E67A-46B1-9D43-883D23AF16BA}"/>
    <hyperlink ref="B39" r:id="rId18" xr:uid="{F78AF2CB-A23C-4A06-B6FD-9AF083489B77}"/>
    <hyperlink ref="B13" r:id="rId19" xr:uid="{E53E4761-94E2-48A9-8FE1-83DB075778F5}"/>
    <hyperlink ref="B42" r:id="rId20" xr:uid="{D076FDB6-042E-45AE-80AB-84C2AF7BFD24}"/>
    <hyperlink ref="B46" r:id="rId21" xr:uid="{BEA60493-DB25-49CC-9617-7BC147DE6046}"/>
    <hyperlink ref="B31" r:id="rId22" xr:uid="{A5F3C5DD-C50A-461E-A802-901C30FC4AED}"/>
    <hyperlink ref="B33" r:id="rId23" xr:uid="{6C4E7FEA-B06B-4D33-A6EC-DAA26CF99103}"/>
    <hyperlink ref="B71" r:id="rId24" xr:uid="{E1E5057A-FB94-4EE8-8C2D-49C785E4A80C}"/>
    <hyperlink ref="B126" r:id="rId25" xr:uid="{E92A3788-94AD-417E-8776-3F0F8AC77A42}"/>
    <hyperlink ref="B119" r:id="rId26" xr:uid="{A7CE59DA-3463-404A-A8C2-238D8E927C0C}"/>
    <hyperlink ref="B29" r:id="rId27" xr:uid="{2DD5D1C5-CFA9-4E46-8DE3-9BB27A9D2F4F}"/>
    <hyperlink ref="B21" r:id="rId28" xr:uid="{36C6C067-6005-47A5-BA2E-0017E9C49A7E}"/>
    <hyperlink ref="B48" r:id="rId29" xr:uid="{F19D427D-4B33-4DA0-BCE1-89FD4C6A45EC}"/>
    <hyperlink ref="B37" r:id="rId30" xr:uid="{5C245786-AA85-4953-851D-06DA1FA10587}"/>
    <hyperlink ref="B36" r:id="rId31" xr:uid="{AD18BB1C-58BD-4F47-892B-ADA4BA01E802}"/>
    <hyperlink ref="B24" r:id="rId32" xr:uid="{EB7B0C3D-3EDD-4CAB-B153-20C5E95CE006}"/>
    <hyperlink ref="B34" r:id="rId33" xr:uid="{CD0D820D-0833-4D39-A05F-97E7FFD504B7}"/>
    <hyperlink ref="B53" r:id="rId34" xr:uid="{E9F9E6EF-3847-43CC-8B5C-2BC41A0CC07E}"/>
    <hyperlink ref="B40" r:id="rId35" xr:uid="{D8956061-AB17-4B6B-803A-64172A05FE3A}"/>
    <hyperlink ref="B57" r:id="rId36" xr:uid="{24CAB4D1-71F3-4368-A959-9C0632EC3D9A}"/>
    <hyperlink ref="B50" r:id="rId37" xr:uid="{029D5307-8102-4CB6-B35D-B4F46F774686}"/>
    <hyperlink ref="B41" r:id="rId38" xr:uid="{8A883763-542F-442E-A4F4-1A077BBCCEDE}"/>
    <hyperlink ref="B54" r:id="rId39" xr:uid="{E3DA2CA9-AF5D-4261-9FE3-E067CCF082BD}"/>
    <hyperlink ref="B44" r:id="rId40" xr:uid="{33E2B044-5D50-4F04-961F-525520CFC949}"/>
    <hyperlink ref="B56" r:id="rId41" xr:uid="{8E09D427-792A-4FC3-B3DF-CB26E0CA0BC3}"/>
    <hyperlink ref="B60" r:id="rId42" xr:uid="{B092C32F-2D89-459B-A708-B04AD2F01D4C}"/>
    <hyperlink ref="B61" r:id="rId43" xr:uid="{01A62E6A-E7FD-4CB9-82F5-EB6FC8005F2E}"/>
    <hyperlink ref="B43" r:id="rId44" xr:uid="{2FE4F564-45B9-4F43-A3C0-CBB7F12E0E2B}"/>
    <hyperlink ref="B72" r:id="rId45" xr:uid="{A6631746-D2F5-429D-B430-F960719F4B1B}"/>
    <hyperlink ref="B59" r:id="rId46" xr:uid="{12FCC991-7F5A-4354-9FC3-18FDDDD8CE6C}"/>
    <hyperlink ref="B45" r:id="rId47" xr:uid="{3678BBCA-4E85-489B-84A4-A96D66BD4DB7}"/>
    <hyperlink ref="B67" r:id="rId48" xr:uid="{16947ACE-701E-44C1-AF75-3EA38C4C5B8C}"/>
    <hyperlink ref="B69" r:id="rId49" xr:uid="{D3C0B1DE-A1B6-46E3-96D4-776763C4C12C}"/>
    <hyperlink ref="B100" r:id="rId50" xr:uid="{5116DC3D-2E22-4FD5-87CC-672F34607BD0}"/>
    <hyperlink ref="B65" r:id="rId51" xr:uid="{08D98261-5571-4864-9733-0D7138EAA897}"/>
    <hyperlink ref="B66" r:id="rId52" xr:uid="{D7E79091-C7A2-45DE-916D-56A0FD914013}"/>
    <hyperlink ref="B70" r:id="rId53" xr:uid="{EF2F445E-1926-4AB0-A70B-B691FAE11F60}"/>
    <hyperlink ref="B47" r:id="rId54" xr:uid="{6D063377-AAF9-420D-9153-AAB05E2306AF}"/>
    <hyperlink ref="B49" r:id="rId55" xr:uid="{8E113288-22BB-4688-9859-D8FC8E4CA92E}"/>
    <hyperlink ref="B68" r:id="rId56" xr:uid="{B4CF0632-88BC-4F9A-9B0A-5DED84CE4631}"/>
    <hyperlink ref="B52" r:id="rId57" xr:uid="{F8EA7F1A-44B5-4295-A6F1-AD2B31F3F1B4}"/>
    <hyperlink ref="B30" r:id="rId58" xr:uid="{14D7DA13-D196-4716-BFA5-90CAA4803DBF}"/>
    <hyperlink ref="B35" r:id="rId59" xr:uid="{E164BA59-FE82-4D86-AC56-85FCE19DCEF3}"/>
    <hyperlink ref="B73" r:id="rId60" xr:uid="{12C906AB-4ECE-448C-A0C8-D125C0FDC483}"/>
    <hyperlink ref="B51" r:id="rId61" xr:uid="{5CFFEEDA-443B-4241-9004-46F04203EB5D}"/>
    <hyperlink ref="B104" r:id="rId62" xr:uid="{4862BAA8-03CD-461A-86AA-BFE03BD16FE8}"/>
    <hyperlink ref="B32" r:id="rId63" xr:uid="{D9574424-1E4D-4274-B909-7AF308B1F5D0}"/>
    <hyperlink ref="B98" r:id="rId64" xr:uid="{3CB2341C-EF0A-41F5-A91F-BAD5318AEFE8}"/>
    <hyperlink ref="B26" r:id="rId65" xr:uid="{B9FBA509-EC12-4F94-ADD9-B5D8B5212EBC}"/>
    <hyperlink ref="B93" r:id="rId66" xr:uid="{821D9FDF-A581-40A7-B11E-05093F625ED5}"/>
    <hyperlink ref="B55" r:id="rId67" xr:uid="{811F7861-4819-4F4D-8210-313978606080}"/>
    <hyperlink ref="B58" r:id="rId68" xr:uid="{F91FADA3-ABFA-40CE-92D9-B80EB489FD9E}"/>
    <hyperlink ref="B64" r:id="rId69" xr:uid="{C4A97CFD-0C0F-40B8-A24A-A8248374855D}"/>
    <hyperlink ref="B63" r:id="rId70" xr:uid="{B3CD1BD6-9FE2-4DA0-A1EE-6BD10B95B9DE}"/>
    <hyperlink ref="B85" r:id="rId71" xr:uid="{3AC13755-9832-40EC-9F0A-53A8EFCB9DB1}"/>
    <hyperlink ref="B99" r:id="rId72" xr:uid="{ECB85E2C-A720-4B5A-9287-9CA9D3D2C9C4}"/>
    <hyperlink ref="B91" r:id="rId73" xr:uid="{CAAC2080-5FBE-44CA-808F-4B541C1D2CCF}"/>
    <hyperlink ref="B92" r:id="rId74" xr:uid="{1395A0AA-7229-4956-8971-93FF745372A8}"/>
    <hyperlink ref="B103" r:id="rId75" xr:uid="{6F78A718-A38C-4547-82E0-BC3AA6087414}"/>
    <hyperlink ref="B62" r:id="rId76" xr:uid="{A69FE8E2-231D-48F0-A835-078603A9B766}"/>
    <hyperlink ref="B27" r:id="rId77" xr:uid="{568F05A9-6D0C-4F83-9B4F-EADBE5B3D36E}"/>
    <hyperlink ref="B95" r:id="rId78" xr:uid="{9178234D-93D7-4722-B414-1ED85B69D113}"/>
    <hyperlink ref="B157" r:id="rId79" xr:uid="{5AF15AA0-C03A-41B5-87FB-E2EC2E8EDE78}"/>
    <hyperlink ref="B128" r:id="rId80" xr:uid="{3E3906F5-51B3-405C-ACE3-A12F1DE77816}"/>
    <hyperlink ref="B17" r:id="rId81" xr:uid="{73D6E50C-5D52-419E-82FE-D7DAAEB42DF0}"/>
    <hyperlink ref="B25" r:id="rId82" xr:uid="{6ECF4226-5DF1-4CDC-B19B-57E970B24289}"/>
  </hyperlinks>
  <pageMargins left="0.7" right="0.7" top="0.75" bottom="0.75" header="0.3" footer="0.3"/>
  <pageSetup orientation="portrait" r:id="rId8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0551-CB3F-4934-973D-CF415D563A72}">
  <dimension ref="A1:AL275"/>
  <sheetViews>
    <sheetView zoomScale="200" zoomScaleNormal="200" workbookViewId="0">
      <pane ySplit="3" topLeftCell="A4" activePane="bottomLeft" state="frozen"/>
      <selection pane="bottomLeft" activeCell="B23" sqref="B23"/>
    </sheetView>
  </sheetViews>
  <sheetFormatPr defaultRowHeight="13.5"/>
  <cols>
    <col min="1" max="1" width="4.42578125" style="6" customWidth="1"/>
    <col min="2" max="2" width="30.42578125" style="6" customWidth="1"/>
    <col min="3" max="8" width="9.140625" style="6"/>
    <col min="9" max="9" width="9.140625" style="36"/>
    <col min="10" max="16384" width="9.140625" style="6"/>
  </cols>
  <sheetData>
    <row r="1" spans="1:38">
      <c r="A1" s="44" t="s">
        <v>459</v>
      </c>
      <c r="B1" s="45"/>
      <c r="C1" s="45"/>
      <c r="D1" s="45"/>
      <c r="E1" s="45"/>
      <c r="F1" s="45"/>
      <c r="G1" s="45"/>
      <c r="H1" s="45"/>
      <c r="I1" s="46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</row>
    <row r="2" spans="1:38">
      <c r="A2" s="45"/>
      <c r="B2" s="45"/>
      <c r="C2" s="45"/>
      <c r="D2" s="45"/>
      <c r="E2" s="45"/>
      <c r="F2" s="45"/>
      <c r="G2" s="45"/>
      <c r="H2" s="45"/>
      <c r="I2" s="46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</row>
    <row r="3" spans="1:38">
      <c r="A3" s="47" t="s">
        <v>1</v>
      </c>
      <c r="B3" s="48" t="s">
        <v>2</v>
      </c>
      <c r="C3" s="49" t="s">
        <v>3</v>
      </c>
      <c r="D3" s="49" t="s">
        <v>19</v>
      </c>
      <c r="E3" s="50" t="s">
        <v>4</v>
      </c>
      <c r="F3" s="51" t="s">
        <v>5</v>
      </c>
      <c r="G3" s="50" t="s">
        <v>87</v>
      </c>
      <c r="H3" s="51" t="s">
        <v>6</v>
      </c>
      <c r="I3" s="49" t="s">
        <v>442</v>
      </c>
      <c r="J3" s="49" t="s">
        <v>443</v>
      </c>
      <c r="K3" s="50" t="s">
        <v>147</v>
      </c>
      <c r="L3" s="51" t="s">
        <v>95</v>
      </c>
      <c r="M3" s="50" t="s">
        <v>145</v>
      </c>
      <c r="N3" s="50" t="s">
        <v>146</v>
      </c>
      <c r="O3" s="50" t="s">
        <v>89</v>
      </c>
      <c r="P3" s="50" t="s">
        <v>90</v>
      </c>
      <c r="Q3" s="50" t="s">
        <v>91</v>
      </c>
      <c r="R3" s="50" t="s">
        <v>92</v>
      </c>
      <c r="S3" s="50" t="s">
        <v>93</v>
      </c>
      <c r="T3" s="50" t="s">
        <v>94</v>
      </c>
      <c r="U3" s="50" t="s">
        <v>76</v>
      </c>
      <c r="V3" s="50" t="s">
        <v>86</v>
      </c>
      <c r="W3" s="52" t="s">
        <v>77</v>
      </c>
      <c r="X3" s="50" t="s">
        <v>81</v>
      </c>
      <c r="Y3" s="50" t="s">
        <v>78</v>
      </c>
      <c r="Z3" s="50" t="s">
        <v>80</v>
      </c>
      <c r="AA3" s="50" t="s">
        <v>79</v>
      </c>
      <c r="AB3" s="50" t="s">
        <v>435</v>
      </c>
      <c r="AC3" s="48" t="s">
        <v>436</v>
      </c>
      <c r="AD3" s="53" t="s">
        <v>398</v>
      </c>
      <c r="AE3" s="51" t="s">
        <v>96</v>
      </c>
      <c r="AF3" s="48"/>
      <c r="AG3" s="48"/>
      <c r="AH3" s="54" t="s">
        <v>126</v>
      </c>
      <c r="AI3" s="45"/>
      <c r="AJ3" s="45"/>
      <c r="AK3" s="45"/>
      <c r="AL3" s="45"/>
    </row>
    <row r="4" spans="1:38">
      <c r="A4" s="55">
        <v>1</v>
      </c>
      <c r="B4" s="44" t="s">
        <v>10</v>
      </c>
      <c r="C4" s="45" t="s">
        <v>12</v>
      </c>
      <c r="D4" s="45" t="s">
        <v>21</v>
      </c>
      <c r="E4" s="45"/>
      <c r="F4" s="56"/>
      <c r="G4" s="56"/>
      <c r="H4" s="56"/>
      <c r="I4" s="46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</row>
    <row r="5" spans="1:38">
      <c r="A5" s="55">
        <f>+A4+1</f>
        <v>2</v>
      </c>
      <c r="B5" s="44" t="s">
        <v>13</v>
      </c>
      <c r="C5" s="45" t="s">
        <v>14</v>
      </c>
      <c r="D5" s="45" t="s">
        <v>82</v>
      </c>
      <c r="E5" s="45"/>
      <c r="F5" s="56"/>
      <c r="G5" s="56"/>
      <c r="H5" s="56"/>
      <c r="I5" s="46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</row>
    <row r="6" spans="1:38">
      <c r="A6" s="55">
        <f t="shared" ref="A6:A39" si="0">+A5+1</f>
        <v>3</v>
      </c>
      <c r="B6" s="44" t="s">
        <v>688</v>
      </c>
      <c r="C6" s="45" t="s">
        <v>106</v>
      </c>
      <c r="D6" s="45" t="s">
        <v>542</v>
      </c>
      <c r="E6" s="45"/>
      <c r="F6" s="56"/>
      <c r="G6" s="56"/>
      <c r="H6" s="56"/>
      <c r="I6" s="46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</row>
    <row r="7" spans="1:38">
      <c r="A7" s="55">
        <f t="shared" si="0"/>
        <v>4</v>
      </c>
      <c r="B7" s="44" t="s">
        <v>689</v>
      </c>
      <c r="C7" s="57" t="s">
        <v>447</v>
      </c>
      <c r="D7" s="45" t="s">
        <v>454</v>
      </c>
      <c r="E7" s="45"/>
      <c r="F7" s="56"/>
      <c r="G7" s="56"/>
      <c r="H7" s="56"/>
      <c r="I7" s="46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</row>
    <row r="8" spans="1:38">
      <c r="A8" s="55">
        <f t="shared" si="0"/>
        <v>5</v>
      </c>
      <c r="B8" s="44" t="s">
        <v>690</v>
      </c>
      <c r="C8" s="45" t="s">
        <v>17</v>
      </c>
      <c r="D8" s="45" t="s">
        <v>21</v>
      </c>
      <c r="E8" s="45"/>
      <c r="F8" s="56"/>
      <c r="G8" s="56"/>
      <c r="H8" s="56"/>
      <c r="I8" s="46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</row>
    <row r="9" spans="1:38">
      <c r="A9" s="55">
        <f t="shared" si="0"/>
        <v>6</v>
      </c>
      <c r="B9" s="44" t="s">
        <v>30</v>
      </c>
      <c r="C9" s="57" t="s">
        <v>382</v>
      </c>
      <c r="D9" s="45" t="s">
        <v>124</v>
      </c>
      <c r="E9" s="45"/>
      <c r="F9" s="56"/>
      <c r="G9" s="56"/>
      <c r="H9" s="56"/>
      <c r="I9" s="46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</row>
    <row r="10" spans="1:38">
      <c r="A10" s="55">
        <f t="shared" si="0"/>
        <v>7</v>
      </c>
      <c r="B10" s="44" t="s">
        <v>691</v>
      </c>
      <c r="C10" s="45" t="s">
        <v>23</v>
      </c>
      <c r="D10" s="45" t="s">
        <v>85</v>
      </c>
      <c r="E10" s="45"/>
      <c r="F10" s="56"/>
      <c r="G10" s="56"/>
      <c r="H10" s="56"/>
      <c r="I10" s="46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</row>
    <row r="11" spans="1:38">
      <c r="A11" s="55">
        <f t="shared" si="0"/>
        <v>8</v>
      </c>
      <c r="B11" s="44" t="s">
        <v>418</v>
      </c>
      <c r="C11" s="57" t="s">
        <v>419</v>
      </c>
      <c r="D11" s="45" t="s">
        <v>214</v>
      </c>
      <c r="E11" s="45"/>
      <c r="F11" s="56"/>
      <c r="G11" s="56"/>
      <c r="H11" s="56"/>
      <c r="I11" s="46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</row>
    <row r="12" spans="1:38">
      <c r="A12" s="55">
        <f t="shared" si="0"/>
        <v>9</v>
      </c>
      <c r="B12" s="44" t="s">
        <v>692</v>
      </c>
      <c r="C12" s="45" t="s">
        <v>29</v>
      </c>
      <c r="D12" s="45" t="s">
        <v>21</v>
      </c>
      <c r="E12" s="45"/>
      <c r="F12" s="56"/>
      <c r="G12" s="56"/>
      <c r="H12" s="56"/>
      <c r="I12" s="46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</row>
    <row r="13" spans="1:38">
      <c r="A13" s="55">
        <f t="shared" si="0"/>
        <v>10</v>
      </c>
      <c r="B13" s="44" t="s">
        <v>38</v>
      </c>
      <c r="C13" s="57" t="s">
        <v>39</v>
      </c>
      <c r="D13" s="45" t="s">
        <v>542</v>
      </c>
      <c r="E13" s="45"/>
      <c r="F13" s="56"/>
      <c r="G13" s="56"/>
      <c r="H13" s="56"/>
      <c r="I13" s="46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</row>
    <row r="14" spans="1:38">
      <c r="A14" s="55">
        <f t="shared" si="0"/>
        <v>11</v>
      </c>
      <c r="B14" s="44" t="s">
        <v>312</v>
      </c>
      <c r="C14" s="45" t="s">
        <v>313</v>
      </c>
      <c r="D14" s="45" t="s">
        <v>219</v>
      </c>
      <c r="E14" s="45"/>
      <c r="F14" s="56"/>
      <c r="G14" s="56"/>
      <c r="H14" s="56"/>
      <c r="I14" s="46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</row>
    <row r="15" spans="1:38">
      <c r="A15" s="55">
        <f t="shared" si="0"/>
        <v>12</v>
      </c>
      <c r="B15" s="44" t="s">
        <v>388</v>
      </c>
      <c r="C15" s="57" t="s">
        <v>452</v>
      </c>
      <c r="D15" s="45" t="s">
        <v>454</v>
      </c>
      <c r="E15" s="45"/>
      <c r="F15" s="56"/>
      <c r="G15" s="56"/>
      <c r="H15" s="56"/>
      <c r="I15" s="46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</row>
    <row r="16" spans="1:38">
      <c r="A16" s="55">
        <f t="shared" si="0"/>
        <v>13</v>
      </c>
      <c r="B16" s="44" t="s">
        <v>35</v>
      </c>
      <c r="C16" s="45" t="s">
        <v>385</v>
      </c>
      <c r="D16" s="45" t="s">
        <v>82</v>
      </c>
      <c r="E16" s="45"/>
      <c r="F16" s="56"/>
      <c r="G16" s="56"/>
      <c r="H16" s="56"/>
      <c r="I16" s="46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</row>
    <row r="17" spans="1:38">
      <c r="A17" s="55">
        <f t="shared" si="0"/>
        <v>14</v>
      </c>
      <c r="B17" s="44" t="s">
        <v>58</v>
      </c>
      <c r="C17" s="45" t="s">
        <v>60</v>
      </c>
      <c r="D17" s="45" t="s">
        <v>21</v>
      </c>
      <c r="E17" s="45"/>
      <c r="F17" s="56"/>
      <c r="G17" s="56"/>
      <c r="H17" s="56"/>
      <c r="I17" s="46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</row>
    <row r="18" spans="1:38">
      <c r="A18" s="55">
        <f t="shared" si="0"/>
        <v>15</v>
      </c>
      <c r="B18" s="45" t="s">
        <v>693</v>
      </c>
      <c r="C18" s="45" t="s">
        <v>280</v>
      </c>
      <c r="D18" s="45" t="s">
        <v>21</v>
      </c>
      <c r="E18" s="45"/>
      <c r="F18" s="56"/>
      <c r="G18" s="56"/>
      <c r="H18" s="56"/>
      <c r="I18" s="46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</row>
    <row r="19" spans="1:38">
      <c r="A19" s="55">
        <f t="shared" si="0"/>
        <v>16</v>
      </c>
      <c r="B19" s="44" t="s">
        <v>479</v>
      </c>
      <c r="C19" s="45" t="s">
        <v>480</v>
      </c>
      <c r="D19" s="45" t="s">
        <v>21</v>
      </c>
      <c r="E19" s="105">
        <f>+[79]Main!$J$2</f>
        <v>19.989999999999998</v>
      </c>
      <c r="F19" s="56">
        <f>+[79]Main!$J$4</f>
        <v>1640.5061166099999</v>
      </c>
      <c r="G19" s="56">
        <f>+[79]Main!$J$6-[79]Main!$J$5</f>
        <v>388.6</v>
      </c>
      <c r="H19" s="56">
        <f>+F19+G19</f>
        <v>2029.1061166099998</v>
      </c>
      <c r="I19" s="106" t="s">
        <v>805</v>
      </c>
      <c r="J19" s="10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</row>
    <row r="20" spans="1:38">
      <c r="A20" s="55">
        <f t="shared" si="0"/>
        <v>17</v>
      </c>
      <c r="B20" s="44" t="s">
        <v>483</v>
      </c>
      <c r="C20" s="45" t="s">
        <v>484</v>
      </c>
      <c r="D20" s="45" t="s">
        <v>21</v>
      </c>
      <c r="E20" s="45">
        <f>+[81]Main!$J$2</f>
        <v>127.52</v>
      </c>
      <c r="F20" s="56">
        <f>+[81]Main!$J$4</f>
        <v>11289.983199999999</v>
      </c>
      <c r="G20" s="56">
        <f>+[81]Main!$J$6-[81]Main!$J$5</f>
        <v>992.61199999999997</v>
      </c>
      <c r="H20" s="56">
        <f>+F20+G20</f>
        <v>12282.595199999998</v>
      </c>
      <c r="I20" s="108" t="s">
        <v>805</v>
      </c>
      <c r="J20" s="60">
        <v>46350</v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</row>
    <row r="21" spans="1:38">
      <c r="A21" s="55">
        <f t="shared" si="0"/>
        <v>18</v>
      </c>
      <c r="B21" s="44" t="s">
        <v>694</v>
      </c>
      <c r="C21" s="57" t="s">
        <v>478</v>
      </c>
      <c r="D21" s="45" t="s">
        <v>124</v>
      </c>
      <c r="E21" s="45"/>
      <c r="F21" s="56"/>
      <c r="G21" s="56"/>
      <c r="H21" s="56"/>
      <c r="I21" s="46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</row>
    <row r="22" spans="1:38">
      <c r="A22" s="55">
        <f t="shared" si="0"/>
        <v>19</v>
      </c>
      <c r="B22" s="45" t="s">
        <v>485</v>
      </c>
      <c r="C22" s="45" t="s">
        <v>486</v>
      </c>
      <c r="D22" s="45" t="s">
        <v>124</v>
      </c>
      <c r="E22" s="45"/>
      <c r="F22" s="56"/>
      <c r="G22" s="56"/>
      <c r="H22" s="56"/>
      <c r="I22" s="46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</row>
    <row r="23" spans="1:38">
      <c r="A23" s="55">
        <f t="shared" si="0"/>
        <v>20</v>
      </c>
      <c r="B23" s="45" t="s">
        <v>698</v>
      </c>
      <c r="C23" s="45" t="s">
        <v>488</v>
      </c>
      <c r="D23" s="45" t="s">
        <v>21</v>
      </c>
      <c r="E23" s="45" t="s">
        <v>714</v>
      </c>
      <c r="F23" s="56"/>
      <c r="G23" s="56"/>
      <c r="H23" s="56"/>
      <c r="I23" s="46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spans="1:38">
      <c r="A24" s="55">
        <f t="shared" si="0"/>
        <v>21</v>
      </c>
      <c r="B24" s="45" t="s">
        <v>700</v>
      </c>
      <c r="C24" s="45" t="s">
        <v>701</v>
      </c>
      <c r="D24" s="45" t="s">
        <v>21</v>
      </c>
      <c r="E24" s="45"/>
      <c r="F24" s="56"/>
      <c r="G24" s="56"/>
      <c r="H24" s="56"/>
      <c r="I24" s="46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</row>
    <row r="25" spans="1:38">
      <c r="A25" s="55">
        <f t="shared" si="0"/>
        <v>22</v>
      </c>
      <c r="B25" s="45" t="s">
        <v>702</v>
      </c>
      <c r="C25" s="45" t="s">
        <v>518</v>
      </c>
      <c r="D25" s="45" t="s">
        <v>21</v>
      </c>
      <c r="E25" s="45"/>
      <c r="F25" s="56"/>
      <c r="G25" s="56"/>
      <c r="H25" s="56"/>
      <c r="I25" s="46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</row>
    <row r="26" spans="1:38">
      <c r="A26" s="55">
        <f t="shared" si="0"/>
        <v>23</v>
      </c>
      <c r="B26" s="44" t="s">
        <v>703</v>
      </c>
      <c r="C26" s="45" t="s">
        <v>43</v>
      </c>
      <c r="D26" s="45" t="s">
        <v>21</v>
      </c>
      <c r="E26" s="45"/>
      <c r="F26" s="56"/>
      <c r="G26" s="56"/>
      <c r="H26" s="56"/>
      <c r="I26" s="46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</row>
    <row r="27" spans="1:38">
      <c r="A27" s="55">
        <f t="shared" si="0"/>
        <v>24</v>
      </c>
      <c r="B27" s="45" t="s">
        <v>521</v>
      </c>
      <c r="C27" s="45" t="s">
        <v>522</v>
      </c>
      <c r="D27" s="45" t="s">
        <v>21</v>
      </c>
      <c r="E27" s="45"/>
      <c r="F27" s="56"/>
      <c r="G27" s="56"/>
      <c r="H27" s="56"/>
      <c r="I27" s="46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</row>
    <row r="28" spans="1:38">
      <c r="A28" s="55">
        <f t="shared" si="0"/>
        <v>25</v>
      </c>
      <c r="B28" s="45" t="s">
        <v>704</v>
      </c>
      <c r="C28" s="45" t="s">
        <v>705</v>
      </c>
      <c r="D28" s="45" t="s">
        <v>165</v>
      </c>
      <c r="E28" s="45"/>
      <c r="F28" s="56"/>
      <c r="G28" s="56"/>
      <c r="H28" s="56"/>
      <c r="I28" s="46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</row>
    <row r="29" spans="1:38">
      <c r="A29" s="55">
        <f t="shared" si="0"/>
        <v>26</v>
      </c>
      <c r="B29" s="45" t="s">
        <v>706</v>
      </c>
      <c r="C29" s="45" t="s">
        <v>162</v>
      </c>
      <c r="D29" s="45" t="s">
        <v>254</v>
      </c>
      <c r="E29" s="45"/>
      <c r="F29" s="56"/>
      <c r="G29" s="56"/>
      <c r="H29" s="56"/>
      <c r="I29" s="46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</row>
    <row r="30" spans="1:38">
      <c r="A30" s="55">
        <f t="shared" si="0"/>
        <v>27</v>
      </c>
      <c r="B30" s="45" t="s">
        <v>519</v>
      </c>
      <c r="C30" s="45" t="s">
        <v>520</v>
      </c>
      <c r="D30" s="45" t="s">
        <v>21</v>
      </c>
      <c r="E30" s="45"/>
      <c r="F30" s="56"/>
      <c r="G30" s="56"/>
      <c r="H30" s="56"/>
      <c r="I30" s="46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</row>
    <row r="31" spans="1:38">
      <c r="A31" s="55">
        <f t="shared" si="0"/>
        <v>28</v>
      </c>
      <c r="B31" s="45" t="s">
        <v>707</v>
      </c>
      <c r="C31" s="45" t="s">
        <v>708</v>
      </c>
      <c r="D31" s="45" t="s">
        <v>21</v>
      </c>
      <c r="E31" s="45"/>
      <c r="F31" s="56"/>
      <c r="G31" s="56"/>
      <c r="H31" s="56"/>
      <c r="I31" s="46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</row>
    <row r="32" spans="1:38">
      <c r="A32" s="55">
        <f t="shared" si="0"/>
        <v>29</v>
      </c>
      <c r="B32" s="45" t="s">
        <v>709</v>
      </c>
      <c r="C32" s="45" t="s">
        <v>524</v>
      </c>
      <c r="D32" s="45" t="s">
        <v>21</v>
      </c>
      <c r="E32" s="45"/>
      <c r="F32" s="56"/>
      <c r="G32" s="56"/>
      <c r="H32" s="56"/>
      <c r="I32" s="46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</row>
    <row r="33" spans="1:38">
      <c r="A33" s="55">
        <f t="shared" si="0"/>
        <v>30</v>
      </c>
      <c r="B33" s="45" t="s">
        <v>525</v>
      </c>
      <c r="C33" s="45" t="s">
        <v>527</v>
      </c>
      <c r="D33" s="45" t="s">
        <v>526</v>
      </c>
      <c r="E33" s="45"/>
      <c r="F33" s="56"/>
      <c r="G33" s="56"/>
      <c r="H33" s="56"/>
      <c r="I33" s="46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</row>
    <row r="34" spans="1:38">
      <c r="A34" s="55">
        <f t="shared" si="0"/>
        <v>31</v>
      </c>
      <c r="B34" s="45" t="s">
        <v>528</v>
      </c>
      <c r="C34" s="45" t="s">
        <v>529</v>
      </c>
      <c r="D34" s="45" t="s">
        <v>21</v>
      </c>
      <c r="E34" s="45"/>
      <c r="F34" s="56"/>
      <c r="G34" s="56"/>
      <c r="H34" s="56"/>
      <c r="I34" s="46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</row>
    <row r="35" spans="1:38">
      <c r="A35" s="55">
        <f t="shared" si="0"/>
        <v>32</v>
      </c>
      <c r="B35" s="45" t="s">
        <v>710</v>
      </c>
      <c r="C35" s="45" t="s">
        <v>713</v>
      </c>
      <c r="D35" s="45" t="s">
        <v>21</v>
      </c>
      <c r="E35" s="45"/>
      <c r="F35" s="56"/>
      <c r="G35" s="56"/>
      <c r="H35" s="56"/>
      <c r="I35" s="46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</row>
    <row r="36" spans="1:38">
      <c r="A36" s="55">
        <f t="shared" si="0"/>
        <v>33</v>
      </c>
      <c r="B36" s="45" t="s">
        <v>711</v>
      </c>
      <c r="C36" s="45" t="s">
        <v>712</v>
      </c>
      <c r="D36" s="45" t="s">
        <v>21</v>
      </c>
      <c r="E36" s="45"/>
      <c r="F36" s="56"/>
      <c r="G36" s="56"/>
      <c r="H36" s="56"/>
      <c r="I36" s="46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</row>
    <row r="37" spans="1:38">
      <c r="A37" s="55">
        <f t="shared" si="0"/>
        <v>34</v>
      </c>
      <c r="B37" s="45"/>
      <c r="C37" s="45"/>
      <c r="D37" s="45"/>
      <c r="E37" s="45"/>
      <c r="F37" s="56"/>
      <c r="G37" s="56"/>
      <c r="H37" s="56"/>
      <c r="I37" s="46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</row>
    <row r="38" spans="1:38">
      <c r="A38" s="55">
        <f t="shared" si="0"/>
        <v>35</v>
      </c>
      <c r="B38" s="45"/>
      <c r="C38" s="45"/>
      <c r="D38" s="45"/>
      <c r="E38" s="45"/>
      <c r="F38" s="56"/>
      <c r="G38" s="56"/>
      <c r="H38" s="56"/>
      <c r="I38" s="46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</row>
    <row r="39" spans="1:38">
      <c r="A39" s="55">
        <f t="shared" si="0"/>
        <v>36</v>
      </c>
      <c r="B39" s="45"/>
      <c r="C39" s="45"/>
      <c r="D39" s="45"/>
      <c r="E39" s="45"/>
      <c r="F39" s="56"/>
      <c r="G39" s="56"/>
      <c r="H39" s="56"/>
      <c r="I39" s="46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 spans="1:38">
      <c r="A40" s="45"/>
      <c r="B40" s="45"/>
      <c r="C40" s="45"/>
      <c r="D40" s="45"/>
      <c r="E40" s="45"/>
      <c r="F40" s="56"/>
      <c r="G40" s="56"/>
      <c r="H40" s="56"/>
      <c r="I40" s="46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</row>
    <row r="41" spans="1:38">
      <c r="A41" s="45"/>
      <c r="B41" s="45"/>
      <c r="C41" s="45"/>
      <c r="D41" s="45"/>
      <c r="E41" s="45"/>
      <c r="F41" s="56"/>
      <c r="G41" s="56"/>
      <c r="H41" s="56"/>
      <c r="I41" s="46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</row>
    <row r="42" spans="1:38">
      <c r="A42" s="45"/>
      <c r="B42" s="45"/>
      <c r="C42" s="45"/>
      <c r="D42" s="45"/>
      <c r="E42" s="45"/>
      <c r="F42" s="45"/>
      <c r="G42" s="45"/>
      <c r="H42" s="45"/>
      <c r="I42" s="46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</row>
    <row r="43" spans="1:38">
      <c r="A43" s="45"/>
      <c r="B43" s="45"/>
      <c r="C43" s="45"/>
      <c r="D43" s="45"/>
      <c r="E43" s="45"/>
      <c r="F43" s="45"/>
      <c r="G43" s="45"/>
      <c r="H43" s="45"/>
      <c r="I43" s="46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</row>
    <row r="44" spans="1:38">
      <c r="A44" s="45"/>
      <c r="B44" s="45"/>
      <c r="C44" s="45"/>
      <c r="D44" s="45"/>
      <c r="E44" s="45"/>
      <c r="F44" s="45"/>
      <c r="G44" s="45"/>
      <c r="H44" s="45"/>
      <c r="I44" s="46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</row>
    <row r="45" spans="1:38">
      <c r="A45" s="45"/>
      <c r="B45" s="45"/>
      <c r="C45" s="45"/>
      <c r="D45" s="45"/>
      <c r="E45" s="45"/>
      <c r="F45" s="45"/>
      <c r="G45" s="45"/>
      <c r="H45" s="45"/>
      <c r="I45" s="46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spans="1:38">
      <c r="A46" s="45"/>
      <c r="B46" s="45"/>
      <c r="C46" s="45"/>
      <c r="D46" s="45"/>
      <c r="E46" s="45"/>
      <c r="F46" s="45"/>
      <c r="G46" s="45"/>
      <c r="H46" s="45"/>
      <c r="I46" s="46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</row>
    <row r="47" spans="1:38">
      <c r="A47" s="45"/>
      <c r="B47" s="45"/>
      <c r="C47" s="45"/>
      <c r="D47" s="45"/>
      <c r="E47" s="45"/>
      <c r="F47" s="45"/>
      <c r="G47" s="45"/>
      <c r="H47" s="45"/>
      <c r="I47" s="46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</row>
    <row r="48" spans="1:38">
      <c r="A48" s="45"/>
      <c r="B48" s="45"/>
      <c r="C48" s="45"/>
      <c r="D48" s="45"/>
      <c r="E48" s="45"/>
      <c r="F48" s="45"/>
      <c r="G48" s="45"/>
      <c r="H48" s="45"/>
      <c r="I48" s="46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</row>
    <row r="49" spans="1:38">
      <c r="A49" s="45"/>
      <c r="B49" s="45"/>
      <c r="C49" s="45"/>
      <c r="D49" s="45"/>
      <c r="E49" s="45"/>
      <c r="F49" s="45"/>
      <c r="G49" s="45"/>
      <c r="H49" s="45"/>
      <c r="I49" s="46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</row>
    <row r="50" spans="1:38">
      <c r="A50" s="45"/>
      <c r="B50" s="45"/>
      <c r="C50" s="45"/>
      <c r="D50" s="45"/>
      <c r="E50" s="45"/>
      <c r="F50" s="45"/>
      <c r="G50" s="45"/>
      <c r="H50" s="45"/>
      <c r="I50" s="46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</row>
    <row r="51" spans="1:38">
      <c r="A51" s="45"/>
      <c r="B51" s="45"/>
      <c r="C51" s="45"/>
      <c r="D51" s="45"/>
      <c r="E51" s="45"/>
      <c r="F51" s="45"/>
      <c r="G51" s="45"/>
      <c r="H51" s="45"/>
      <c r="I51" s="46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spans="1:38">
      <c r="A52" s="45"/>
      <c r="B52" s="45"/>
      <c r="C52" s="45"/>
      <c r="D52" s="45"/>
      <c r="E52" s="45"/>
      <c r="F52" s="45"/>
      <c r="G52" s="45"/>
      <c r="H52" s="45"/>
      <c r="I52" s="46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</row>
    <row r="53" spans="1:38">
      <c r="A53" s="45"/>
      <c r="B53" s="45"/>
      <c r="C53" s="45"/>
      <c r="D53" s="45"/>
      <c r="E53" s="45"/>
      <c r="F53" s="45"/>
      <c r="G53" s="45"/>
      <c r="H53" s="45"/>
      <c r="I53" s="46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spans="1:38">
      <c r="A54" s="45"/>
      <c r="B54" s="45"/>
      <c r="C54" s="45"/>
      <c r="D54" s="45"/>
      <c r="E54" s="45"/>
      <c r="F54" s="45"/>
      <c r="G54" s="45"/>
      <c r="H54" s="45"/>
      <c r="I54" s="46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</row>
    <row r="55" spans="1:38">
      <c r="A55" s="45"/>
      <c r="B55" s="45"/>
      <c r="C55" s="45"/>
      <c r="D55" s="45"/>
      <c r="E55" s="45"/>
      <c r="F55" s="45"/>
      <c r="G55" s="45"/>
      <c r="H55" s="45"/>
      <c r="I55" s="46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</row>
    <row r="56" spans="1:38">
      <c r="A56" s="45"/>
      <c r="B56" s="45"/>
      <c r="C56" s="45"/>
      <c r="D56" s="45"/>
      <c r="E56" s="45"/>
      <c r="F56" s="45"/>
      <c r="G56" s="45"/>
      <c r="H56" s="45"/>
      <c r="I56" s="46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 spans="1:38">
      <c r="A57" s="45"/>
      <c r="B57" s="45"/>
      <c r="C57" s="45"/>
      <c r="D57" s="45"/>
      <c r="E57" s="45"/>
      <c r="F57" s="45"/>
      <c r="G57" s="45"/>
      <c r="H57" s="45"/>
      <c r="I57" s="46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</row>
    <row r="58" spans="1:38">
      <c r="A58" s="45"/>
      <c r="B58" s="45"/>
      <c r="C58" s="45"/>
      <c r="D58" s="45"/>
      <c r="E58" s="45"/>
      <c r="F58" s="45"/>
      <c r="G58" s="45"/>
      <c r="H58" s="45"/>
      <c r="I58" s="46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</row>
    <row r="59" spans="1:38">
      <c r="A59" s="45"/>
      <c r="B59" s="45"/>
      <c r="C59" s="45"/>
      <c r="D59" s="45"/>
      <c r="E59" s="45"/>
      <c r="F59" s="45"/>
      <c r="G59" s="45"/>
      <c r="H59" s="45"/>
      <c r="I59" s="46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</row>
    <row r="60" spans="1:38">
      <c r="A60" s="45"/>
      <c r="B60" s="45"/>
      <c r="C60" s="45"/>
      <c r="D60" s="45"/>
      <c r="E60" s="45"/>
      <c r="F60" s="45"/>
      <c r="G60" s="45"/>
      <c r="H60" s="45"/>
      <c r="I60" s="46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</row>
    <row r="61" spans="1:38">
      <c r="A61" s="45"/>
      <c r="B61" s="45"/>
      <c r="C61" s="45"/>
      <c r="D61" s="45"/>
      <c r="E61" s="45"/>
      <c r="F61" s="45"/>
      <c r="G61" s="45"/>
      <c r="H61" s="45"/>
      <c r="I61" s="46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spans="1:38">
      <c r="A62" s="45"/>
      <c r="B62" s="45"/>
      <c r="C62" s="45"/>
      <c r="D62" s="45"/>
      <c r="E62" s="45"/>
      <c r="F62" s="45"/>
      <c r="G62" s="45"/>
      <c r="H62" s="45"/>
      <c r="I62" s="46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</row>
    <row r="63" spans="1:38">
      <c r="A63" s="45"/>
      <c r="B63" s="45"/>
      <c r="C63" s="45"/>
      <c r="D63" s="45"/>
      <c r="E63" s="45"/>
      <c r="F63" s="45"/>
      <c r="G63" s="45"/>
      <c r="H63" s="45"/>
      <c r="I63" s="46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</row>
    <row r="64" spans="1:38">
      <c r="A64" s="45"/>
      <c r="B64" s="45"/>
      <c r="C64" s="45"/>
      <c r="D64" s="45"/>
      <c r="E64" s="45"/>
      <c r="F64" s="45"/>
      <c r="G64" s="45"/>
      <c r="H64" s="45"/>
      <c r="I64" s="46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</row>
    <row r="65" spans="1:38">
      <c r="A65" s="45"/>
      <c r="B65" s="45"/>
      <c r="C65" s="45"/>
      <c r="D65" s="45"/>
      <c r="E65" s="45"/>
      <c r="F65" s="45"/>
      <c r="G65" s="45"/>
      <c r="H65" s="45"/>
      <c r="I65" s="46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</row>
    <row r="66" spans="1:38">
      <c r="A66" s="45"/>
      <c r="B66" s="45"/>
      <c r="C66" s="45"/>
      <c r="D66" s="45"/>
      <c r="E66" s="45"/>
      <c r="F66" s="45"/>
      <c r="G66" s="45"/>
      <c r="H66" s="45"/>
      <c r="I66" s="46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</row>
    <row r="67" spans="1:38">
      <c r="A67" s="45"/>
      <c r="B67" s="45"/>
      <c r="C67" s="45"/>
      <c r="D67" s="45"/>
      <c r="E67" s="45"/>
      <c r="F67" s="45"/>
      <c r="G67" s="45"/>
      <c r="H67" s="45"/>
      <c r="I67" s="46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</row>
    <row r="68" spans="1:38">
      <c r="A68" s="45"/>
      <c r="B68" s="45"/>
      <c r="C68" s="45"/>
      <c r="D68" s="45"/>
      <c r="E68" s="45"/>
      <c r="F68" s="45"/>
      <c r="G68" s="45"/>
      <c r="H68" s="45"/>
      <c r="I68" s="46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spans="1:38">
      <c r="A69" s="45"/>
      <c r="B69" s="45"/>
      <c r="C69" s="45"/>
      <c r="D69" s="45"/>
      <c r="E69" s="45"/>
      <c r="F69" s="45"/>
      <c r="G69" s="45"/>
      <c r="H69" s="45"/>
      <c r="I69" s="46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</row>
    <row r="70" spans="1:38">
      <c r="A70" s="45"/>
      <c r="B70" s="45"/>
      <c r="C70" s="45"/>
      <c r="D70" s="45"/>
      <c r="E70" s="45"/>
      <c r="F70" s="45"/>
      <c r="G70" s="45"/>
      <c r="H70" s="45"/>
      <c r="I70" s="46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</row>
    <row r="71" spans="1:38">
      <c r="A71" s="45"/>
      <c r="B71" s="45"/>
      <c r="C71" s="45"/>
      <c r="D71" s="45"/>
      <c r="E71" s="45"/>
      <c r="F71" s="45"/>
      <c r="G71" s="45"/>
      <c r="H71" s="45"/>
      <c r="I71" s="46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</row>
    <row r="72" spans="1:38">
      <c r="A72" s="45"/>
      <c r="B72" s="45"/>
      <c r="C72" s="45"/>
      <c r="D72" s="45"/>
      <c r="E72" s="45"/>
      <c r="F72" s="45"/>
      <c r="G72" s="45"/>
      <c r="H72" s="45"/>
      <c r="I72" s="46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</row>
    <row r="73" spans="1:38">
      <c r="A73" s="45"/>
      <c r="B73" s="45"/>
      <c r="C73" s="45"/>
      <c r="D73" s="45"/>
      <c r="E73" s="45"/>
      <c r="F73" s="45"/>
      <c r="G73" s="45"/>
      <c r="H73" s="45"/>
      <c r="I73" s="46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</row>
    <row r="74" spans="1:38">
      <c r="A74" s="45"/>
      <c r="B74" s="45"/>
      <c r="C74" s="45"/>
      <c r="D74" s="45"/>
      <c r="E74" s="45"/>
      <c r="F74" s="45"/>
      <c r="G74" s="45"/>
      <c r="H74" s="45"/>
      <c r="I74" s="46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</row>
    <row r="75" spans="1:38">
      <c r="A75" s="45"/>
      <c r="B75" s="45"/>
      <c r="C75" s="45"/>
      <c r="D75" s="45"/>
      <c r="E75" s="45"/>
      <c r="F75" s="45"/>
      <c r="G75" s="45"/>
      <c r="H75" s="45"/>
      <c r="I75" s="46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</row>
    <row r="76" spans="1:38">
      <c r="A76" s="45"/>
      <c r="B76" s="45"/>
      <c r="C76" s="45"/>
      <c r="D76" s="45"/>
      <c r="E76" s="45"/>
      <c r="F76" s="45"/>
      <c r="G76" s="45"/>
      <c r="H76" s="45"/>
      <c r="I76" s="46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</row>
    <row r="77" spans="1:38">
      <c r="A77" s="45"/>
      <c r="B77" s="45"/>
      <c r="C77" s="45"/>
      <c r="D77" s="45"/>
      <c r="E77" s="45"/>
      <c r="F77" s="45"/>
      <c r="G77" s="45"/>
      <c r="H77" s="45"/>
      <c r="I77" s="46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</row>
    <row r="78" spans="1:38">
      <c r="A78" s="45"/>
      <c r="B78" s="45"/>
      <c r="C78" s="45"/>
      <c r="D78" s="45"/>
      <c r="E78" s="45"/>
      <c r="F78" s="45"/>
      <c r="G78" s="45"/>
      <c r="H78" s="45"/>
      <c r="I78" s="46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</row>
    <row r="79" spans="1:38">
      <c r="A79" s="45"/>
      <c r="B79" s="45"/>
      <c r="C79" s="45"/>
      <c r="D79" s="45"/>
      <c r="E79" s="45"/>
      <c r="F79" s="45"/>
      <c r="G79" s="45"/>
      <c r="H79" s="45"/>
      <c r="I79" s="46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</row>
    <row r="80" spans="1:38">
      <c r="A80" s="45"/>
      <c r="B80" s="45"/>
      <c r="C80" s="45"/>
      <c r="D80" s="45"/>
      <c r="E80" s="45"/>
      <c r="F80" s="45"/>
      <c r="G80" s="45"/>
      <c r="H80" s="45"/>
      <c r="I80" s="46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</row>
    <row r="81" spans="1:38">
      <c r="A81" s="45"/>
      <c r="B81" s="45"/>
      <c r="C81" s="45"/>
      <c r="D81" s="45"/>
      <c r="E81" s="45"/>
      <c r="F81" s="45"/>
      <c r="G81" s="45"/>
      <c r="H81" s="45"/>
      <c r="I81" s="46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</row>
    <row r="82" spans="1:38">
      <c r="A82" s="45"/>
      <c r="B82" s="45"/>
      <c r="C82" s="45"/>
      <c r="D82" s="45"/>
      <c r="E82" s="45"/>
      <c r="F82" s="45"/>
      <c r="G82" s="45"/>
      <c r="H82" s="45"/>
      <c r="I82" s="46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</row>
    <row r="83" spans="1:38">
      <c r="A83" s="45"/>
      <c r="B83" s="45"/>
      <c r="C83" s="45"/>
      <c r="D83" s="45"/>
      <c r="E83" s="45"/>
      <c r="F83" s="45"/>
      <c r="G83" s="45"/>
      <c r="H83" s="45"/>
      <c r="I83" s="46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</row>
    <row r="84" spans="1:38">
      <c r="A84" s="45"/>
      <c r="B84" s="45"/>
      <c r="C84" s="45"/>
      <c r="D84" s="45"/>
      <c r="E84" s="45"/>
      <c r="F84" s="45"/>
      <c r="G84" s="45"/>
      <c r="H84" s="45"/>
      <c r="I84" s="46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</row>
    <row r="85" spans="1:38">
      <c r="A85" s="45"/>
      <c r="B85" s="45"/>
      <c r="C85" s="45"/>
      <c r="D85" s="45"/>
      <c r="E85" s="45"/>
      <c r="F85" s="45"/>
      <c r="G85" s="45"/>
      <c r="H85" s="45"/>
      <c r="I85" s="46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</row>
    <row r="86" spans="1:38">
      <c r="A86" s="45"/>
      <c r="B86" s="45"/>
      <c r="C86" s="45"/>
      <c r="D86" s="45"/>
      <c r="E86" s="45"/>
      <c r="F86" s="45"/>
      <c r="G86" s="45"/>
      <c r="H86" s="45"/>
      <c r="I86" s="46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</row>
    <row r="87" spans="1:38">
      <c r="A87" s="45"/>
      <c r="B87" s="45"/>
      <c r="C87" s="45"/>
      <c r="D87" s="45"/>
      <c r="E87" s="45"/>
      <c r="F87" s="45"/>
      <c r="G87" s="45"/>
      <c r="H87" s="45"/>
      <c r="I87" s="46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</row>
    <row r="88" spans="1:38">
      <c r="A88" s="45"/>
      <c r="B88" s="45"/>
      <c r="C88" s="45"/>
      <c r="D88" s="45"/>
      <c r="E88" s="45"/>
      <c r="F88" s="45"/>
      <c r="G88" s="45"/>
      <c r="H88" s="45"/>
      <c r="I88" s="46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</row>
    <row r="89" spans="1:38">
      <c r="A89" s="45"/>
      <c r="B89" s="45"/>
      <c r="C89" s="45"/>
      <c r="D89" s="45"/>
      <c r="E89" s="45"/>
      <c r="F89" s="45"/>
      <c r="G89" s="45"/>
      <c r="H89" s="45"/>
      <c r="I89" s="46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</row>
    <row r="90" spans="1:38">
      <c r="A90" s="45"/>
      <c r="B90" s="45"/>
      <c r="C90" s="45"/>
      <c r="D90" s="45"/>
      <c r="E90" s="45"/>
      <c r="F90" s="45"/>
      <c r="G90" s="45"/>
      <c r="H90" s="45"/>
      <c r="I90" s="46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</row>
    <row r="91" spans="1:38">
      <c r="A91" s="45"/>
      <c r="B91" s="45"/>
      <c r="C91" s="45"/>
      <c r="D91" s="45"/>
      <c r="E91" s="45"/>
      <c r="F91" s="45"/>
      <c r="G91" s="45"/>
      <c r="H91" s="45"/>
      <c r="I91" s="46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</row>
    <row r="92" spans="1:38">
      <c r="A92" s="45"/>
      <c r="B92" s="45"/>
      <c r="C92" s="45"/>
      <c r="D92" s="45"/>
      <c r="E92" s="45"/>
      <c r="F92" s="45"/>
      <c r="G92" s="45"/>
      <c r="H92" s="45"/>
      <c r="I92" s="46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</row>
    <row r="93" spans="1:38">
      <c r="A93" s="45"/>
      <c r="B93" s="45"/>
      <c r="C93" s="45"/>
      <c r="D93" s="45"/>
      <c r="E93" s="45"/>
      <c r="F93" s="45"/>
      <c r="G93" s="45"/>
      <c r="H93" s="45"/>
      <c r="I93" s="46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</row>
    <row r="94" spans="1:38">
      <c r="A94" s="45"/>
      <c r="B94" s="45"/>
      <c r="C94" s="45"/>
      <c r="D94" s="45"/>
      <c r="E94" s="45"/>
      <c r="F94" s="45"/>
      <c r="G94" s="45"/>
      <c r="H94" s="45"/>
      <c r="I94" s="46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</row>
    <row r="95" spans="1:38">
      <c r="A95" s="45"/>
      <c r="B95" s="45"/>
      <c r="C95" s="45"/>
      <c r="D95" s="45"/>
      <c r="E95" s="45"/>
      <c r="F95" s="45"/>
      <c r="G95" s="45"/>
      <c r="H95" s="45"/>
      <c r="I95" s="46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</row>
    <row r="96" spans="1:38">
      <c r="A96" s="45"/>
      <c r="B96" s="45"/>
      <c r="C96" s="45"/>
      <c r="D96" s="45"/>
      <c r="E96" s="45"/>
      <c r="F96" s="45"/>
      <c r="G96" s="45"/>
      <c r="H96" s="45"/>
      <c r="I96" s="46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</row>
    <row r="97" spans="1:38">
      <c r="A97" s="45"/>
      <c r="B97" s="45"/>
      <c r="C97" s="45"/>
      <c r="D97" s="45"/>
      <c r="E97" s="45"/>
      <c r="F97" s="45"/>
      <c r="G97" s="45"/>
      <c r="H97" s="45"/>
      <c r="I97" s="46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</row>
    <row r="98" spans="1:38">
      <c r="A98" s="45"/>
      <c r="B98" s="45"/>
      <c r="C98" s="45"/>
      <c r="D98" s="45"/>
      <c r="E98" s="45"/>
      <c r="F98" s="45"/>
      <c r="G98" s="45"/>
      <c r="H98" s="45"/>
      <c r="I98" s="46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</row>
    <row r="99" spans="1:38">
      <c r="A99" s="45"/>
      <c r="B99" s="45"/>
      <c r="C99" s="45"/>
      <c r="D99" s="45"/>
      <c r="E99" s="45"/>
      <c r="F99" s="45"/>
      <c r="G99" s="45"/>
      <c r="H99" s="45"/>
      <c r="I99" s="46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</row>
    <row r="100" spans="1:38">
      <c r="A100" s="45"/>
      <c r="B100" s="45"/>
      <c r="C100" s="45"/>
      <c r="D100" s="45"/>
      <c r="E100" s="45"/>
      <c r="F100" s="45"/>
      <c r="G100" s="45"/>
      <c r="H100" s="45"/>
      <c r="I100" s="46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</row>
    <row r="101" spans="1:38">
      <c r="A101" s="45"/>
      <c r="B101" s="45"/>
      <c r="C101" s="45"/>
      <c r="D101" s="45"/>
      <c r="E101" s="45"/>
      <c r="F101" s="45"/>
      <c r="G101" s="45"/>
      <c r="H101" s="45"/>
      <c r="I101" s="46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</row>
    <row r="102" spans="1:38">
      <c r="A102" s="45"/>
      <c r="B102" s="45"/>
      <c r="C102" s="45"/>
      <c r="D102" s="45"/>
      <c r="E102" s="45"/>
      <c r="F102" s="45"/>
      <c r="G102" s="45"/>
      <c r="H102" s="45"/>
      <c r="I102" s="46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</row>
    <row r="103" spans="1:38">
      <c r="A103" s="45"/>
      <c r="B103" s="45"/>
      <c r="C103" s="45"/>
      <c r="D103" s="45"/>
      <c r="E103" s="45"/>
      <c r="F103" s="45"/>
      <c r="G103" s="45"/>
      <c r="H103" s="45"/>
      <c r="I103" s="46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</row>
    <row r="104" spans="1:38">
      <c r="A104" s="45"/>
      <c r="B104" s="45"/>
      <c r="C104" s="45"/>
      <c r="D104" s="45"/>
      <c r="E104" s="45"/>
      <c r="F104" s="45"/>
      <c r="G104" s="45"/>
      <c r="H104" s="45"/>
      <c r="I104" s="46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</row>
    <row r="105" spans="1:38">
      <c r="A105" s="45"/>
      <c r="B105" s="45"/>
      <c r="C105" s="45"/>
      <c r="D105" s="45"/>
      <c r="E105" s="45"/>
      <c r="F105" s="45"/>
      <c r="G105" s="45"/>
      <c r="H105" s="45"/>
      <c r="I105" s="46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</row>
    <row r="106" spans="1:38">
      <c r="A106" s="45"/>
      <c r="B106" s="45"/>
      <c r="C106" s="45"/>
      <c r="D106" s="45"/>
      <c r="E106" s="45"/>
      <c r="F106" s="45"/>
      <c r="G106" s="45"/>
      <c r="H106" s="45"/>
      <c r="I106" s="46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</row>
    <row r="107" spans="1:38">
      <c r="A107" s="45"/>
      <c r="B107" s="45"/>
      <c r="C107" s="45"/>
      <c r="D107" s="45"/>
      <c r="E107" s="45"/>
      <c r="F107" s="45"/>
      <c r="G107" s="45"/>
      <c r="H107" s="45"/>
      <c r="I107" s="46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</row>
    <row r="108" spans="1:38">
      <c r="A108" s="45"/>
      <c r="B108" s="45"/>
      <c r="C108" s="45"/>
      <c r="D108" s="45"/>
      <c r="E108" s="45"/>
      <c r="F108" s="45"/>
      <c r="G108" s="45"/>
      <c r="H108" s="45"/>
      <c r="I108" s="46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</row>
    <row r="109" spans="1:38">
      <c r="A109" s="45"/>
      <c r="B109" s="45"/>
      <c r="C109" s="45"/>
      <c r="D109" s="45"/>
      <c r="E109" s="45"/>
      <c r="F109" s="45"/>
      <c r="G109" s="45"/>
      <c r="H109" s="45"/>
      <c r="I109" s="46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</row>
    <row r="110" spans="1:38">
      <c r="A110" s="45"/>
      <c r="B110" s="45"/>
      <c r="C110" s="45"/>
      <c r="D110" s="45"/>
      <c r="E110" s="45"/>
      <c r="F110" s="45"/>
      <c r="G110" s="45"/>
      <c r="H110" s="45"/>
      <c r="I110" s="46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</row>
    <row r="111" spans="1:38">
      <c r="A111" s="45"/>
      <c r="B111" s="45"/>
      <c r="C111" s="45"/>
      <c r="D111" s="45"/>
      <c r="E111" s="45"/>
      <c r="F111" s="45"/>
      <c r="G111" s="45"/>
      <c r="H111" s="45"/>
      <c r="I111" s="46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</row>
    <row r="112" spans="1:38">
      <c r="A112" s="45"/>
      <c r="B112" s="45"/>
      <c r="C112" s="45"/>
      <c r="D112" s="45"/>
      <c r="E112" s="45"/>
      <c r="F112" s="45"/>
      <c r="G112" s="45"/>
      <c r="H112" s="45"/>
      <c r="I112" s="46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</row>
    <row r="113" spans="1:38">
      <c r="A113" s="45"/>
      <c r="B113" s="45"/>
      <c r="C113" s="45"/>
      <c r="D113" s="45"/>
      <c r="E113" s="45"/>
      <c r="F113" s="45"/>
      <c r="G113" s="45"/>
      <c r="H113" s="45"/>
      <c r="I113" s="46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</row>
    <row r="114" spans="1:38">
      <c r="A114" s="45"/>
      <c r="B114" s="45"/>
      <c r="C114" s="45"/>
      <c r="D114" s="45"/>
      <c r="E114" s="45"/>
      <c r="F114" s="45"/>
      <c r="G114" s="45"/>
      <c r="H114" s="45"/>
      <c r="I114" s="46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</row>
    <row r="115" spans="1:38">
      <c r="A115" s="45"/>
      <c r="B115" s="45"/>
      <c r="C115" s="45"/>
      <c r="D115" s="45"/>
      <c r="E115" s="45"/>
      <c r="F115" s="45"/>
      <c r="G115" s="45"/>
      <c r="H115" s="45"/>
      <c r="I115" s="46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</row>
    <row r="116" spans="1:38">
      <c r="A116" s="45"/>
      <c r="B116" s="45"/>
      <c r="C116" s="45"/>
      <c r="D116" s="45"/>
      <c r="E116" s="45"/>
      <c r="F116" s="45"/>
      <c r="G116" s="45"/>
      <c r="H116" s="45"/>
      <c r="I116" s="46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</row>
    <row r="117" spans="1:38">
      <c r="A117" s="45"/>
      <c r="B117" s="45"/>
      <c r="C117" s="45"/>
      <c r="D117" s="45"/>
      <c r="E117" s="45"/>
      <c r="F117" s="45"/>
      <c r="G117" s="45"/>
      <c r="H117" s="45"/>
      <c r="I117" s="46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</row>
    <row r="118" spans="1:38">
      <c r="A118" s="45"/>
      <c r="B118" s="45"/>
      <c r="C118" s="45"/>
      <c r="D118" s="45"/>
      <c r="E118" s="45"/>
      <c r="F118" s="45"/>
      <c r="G118" s="45"/>
      <c r="H118" s="45"/>
      <c r="I118" s="46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</row>
    <row r="119" spans="1:38">
      <c r="A119" s="45"/>
      <c r="B119" s="45"/>
      <c r="C119" s="45"/>
      <c r="D119" s="45"/>
      <c r="E119" s="45"/>
      <c r="F119" s="45"/>
      <c r="G119" s="45"/>
      <c r="H119" s="45"/>
      <c r="I119" s="46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</row>
    <row r="120" spans="1:38">
      <c r="A120" s="45"/>
      <c r="B120" s="45"/>
      <c r="C120" s="45"/>
      <c r="D120" s="45"/>
      <c r="E120" s="45"/>
      <c r="F120" s="45"/>
      <c r="G120" s="45"/>
      <c r="H120" s="45"/>
      <c r="I120" s="46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</row>
    <row r="121" spans="1:38">
      <c r="A121" s="45"/>
      <c r="B121" s="45"/>
      <c r="C121" s="45"/>
      <c r="D121" s="45"/>
      <c r="E121" s="45"/>
      <c r="F121" s="45"/>
      <c r="G121" s="45"/>
      <c r="H121" s="45"/>
      <c r="I121" s="46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</row>
    <row r="122" spans="1:38">
      <c r="A122" s="45"/>
      <c r="B122" s="45"/>
      <c r="C122" s="45"/>
      <c r="D122" s="45"/>
      <c r="E122" s="45"/>
      <c r="F122" s="45"/>
      <c r="G122" s="45"/>
      <c r="H122" s="45"/>
      <c r="I122" s="46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</row>
    <row r="123" spans="1:38">
      <c r="A123" s="45"/>
      <c r="B123" s="45"/>
      <c r="C123" s="45"/>
      <c r="D123" s="45"/>
      <c r="E123" s="45"/>
      <c r="F123" s="45"/>
      <c r="G123" s="45"/>
      <c r="H123" s="45"/>
      <c r="I123" s="46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</row>
    <row r="124" spans="1:38">
      <c r="A124" s="45"/>
      <c r="B124" s="45"/>
      <c r="C124" s="45"/>
      <c r="D124" s="45"/>
      <c r="E124" s="45"/>
      <c r="F124" s="45"/>
      <c r="G124" s="45"/>
      <c r="H124" s="45"/>
      <c r="I124" s="46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</row>
    <row r="125" spans="1:38">
      <c r="A125" s="45"/>
      <c r="B125" s="45"/>
      <c r="C125" s="45"/>
      <c r="D125" s="45"/>
      <c r="E125" s="45"/>
      <c r="F125" s="45"/>
      <c r="G125" s="45"/>
      <c r="H125" s="45"/>
      <c r="I125" s="46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</row>
    <row r="126" spans="1:38">
      <c r="A126" s="45"/>
      <c r="B126" s="45"/>
      <c r="C126" s="45"/>
      <c r="D126" s="45"/>
      <c r="E126" s="45"/>
      <c r="F126" s="45"/>
      <c r="G126" s="45"/>
      <c r="H126" s="45"/>
      <c r="I126" s="46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</row>
    <row r="127" spans="1:38">
      <c r="A127" s="45"/>
      <c r="B127" s="45"/>
      <c r="C127" s="45"/>
      <c r="D127" s="45"/>
      <c r="E127" s="45"/>
      <c r="F127" s="45"/>
      <c r="G127" s="45"/>
      <c r="H127" s="45"/>
      <c r="I127" s="46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</row>
    <row r="128" spans="1:38">
      <c r="A128" s="45"/>
      <c r="B128" s="45"/>
      <c r="C128" s="45"/>
      <c r="D128" s="45"/>
      <c r="E128" s="45"/>
      <c r="F128" s="45"/>
      <c r="G128" s="45"/>
      <c r="H128" s="45"/>
      <c r="I128" s="46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</row>
    <row r="129" spans="1:38">
      <c r="A129" s="45"/>
      <c r="B129" s="45"/>
      <c r="C129" s="45"/>
      <c r="D129" s="45"/>
      <c r="E129" s="45"/>
      <c r="F129" s="45"/>
      <c r="G129" s="45"/>
      <c r="H129" s="45"/>
      <c r="I129" s="46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</row>
    <row r="130" spans="1:38">
      <c r="A130" s="45"/>
      <c r="B130" s="45"/>
      <c r="C130" s="45"/>
      <c r="D130" s="45"/>
      <c r="E130" s="45"/>
      <c r="F130" s="45"/>
      <c r="G130" s="45"/>
      <c r="H130" s="45"/>
      <c r="I130" s="46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</row>
    <row r="131" spans="1:38">
      <c r="A131" s="45"/>
      <c r="B131" s="45"/>
      <c r="C131" s="45"/>
      <c r="D131" s="45"/>
      <c r="E131" s="45"/>
      <c r="F131" s="45"/>
      <c r="G131" s="45"/>
      <c r="H131" s="45"/>
      <c r="I131" s="46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</row>
    <row r="132" spans="1:38">
      <c r="A132" s="45"/>
      <c r="B132" s="45"/>
      <c r="C132" s="45"/>
      <c r="D132" s="45"/>
      <c r="E132" s="45"/>
      <c r="F132" s="45"/>
      <c r="G132" s="45"/>
      <c r="H132" s="45"/>
      <c r="I132" s="46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</row>
    <row r="133" spans="1:38">
      <c r="A133" s="45"/>
      <c r="B133" s="45"/>
      <c r="C133" s="45"/>
      <c r="D133" s="45"/>
      <c r="E133" s="45"/>
      <c r="F133" s="45"/>
      <c r="G133" s="45"/>
      <c r="H133" s="45"/>
      <c r="I133" s="46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</row>
    <row r="134" spans="1:38">
      <c r="A134" s="45"/>
      <c r="B134" s="45"/>
      <c r="C134" s="45"/>
      <c r="D134" s="45"/>
      <c r="E134" s="45"/>
      <c r="F134" s="45"/>
      <c r="G134" s="45"/>
      <c r="H134" s="45"/>
      <c r="I134" s="46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</row>
    <row r="135" spans="1:38">
      <c r="A135" s="45"/>
      <c r="B135" s="45"/>
      <c r="C135" s="45"/>
      <c r="D135" s="45"/>
      <c r="E135" s="45"/>
      <c r="F135" s="45"/>
      <c r="G135" s="45"/>
      <c r="H135" s="45"/>
      <c r="I135" s="46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</row>
    <row r="136" spans="1:38">
      <c r="A136" s="45"/>
      <c r="B136" s="45"/>
      <c r="C136" s="45"/>
      <c r="D136" s="45"/>
      <c r="E136" s="45"/>
      <c r="F136" s="45"/>
      <c r="G136" s="45"/>
      <c r="H136" s="45"/>
      <c r="I136" s="46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</row>
    <row r="137" spans="1:38">
      <c r="A137" s="45"/>
      <c r="B137" s="45"/>
      <c r="C137" s="45"/>
      <c r="D137" s="45"/>
      <c r="E137" s="45"/>
      <c r="F137" s="45"/>
      <c r="G137" s="45"/>
      <c r="H137" s="45"/>
      <c r="I137" s="46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</row>
    <row r="138" spans="1:38">
      <c r="A138" s="45"/>
      <c r="B138" s="45"/>
      <c r="C138" s="45"/>
      <c r="D138" s="45"/>
      <c r="E138" s="45"/>
      <c r="F138" s="45"/>
      <c r="G138" s="45"/>
      <c r="H138" s="45"/>
      <c r="I138" s="46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</row>
    <row r="139" spans="1:38">
      <c r="A139" s="45"/>
      <c r="B139" s="45"/>
      <c r="C139" s="45"/>
      <c r="D139" s="45"/>
      <c r="E139" s="45"/>
      <c r="F139" s="45"/>
      <c r="G139" s="45"/>
      <c r="H139" s="45"/>
      <c r="I139" s="46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</row>
    <row r="140" spans="1:38">
      <c r="A140" s="45"/>
      <c r="B140" s="45"/>
      <c r="C140" s="45"/>
      <c r="D140" s="45"/>
      <c r="E140" s="45"/>
      <c r="F140" s="45"/>
      <c r="G140" s="45"/>
      <c r="H140" s="45"/>
      <c r="I140" s="46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</row>
    <row r="141" spans="1:38">
      <c r="A141" s="45"/>
      <c r="B141" s="45"/>
      <c r="C141" s="45"/>
      <c r="D141" s="45"/>
      <c r="E141" s="45"/>
      <c r="F141" s="45"/>
      <c r="G141" s="45"/>
      <c r="H141" s="45"/>
      <c r="I141" s="46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</row>
    <row r="142" spans="1:38">
      <c r="A142" s="45"/>
      <c r="B142" s="45"/>
      <c r="C142" s="45"/>
      <c r="D142" s="45"/>
      <c r="E142" s="45"/>
      <c r="F142" s="45"/>
      <c r="G142" s="45"/>
      <c r="H142" s="45"/>
      <c r="I142" s="46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</row>
    <row r="143" spans="1:38">
      <c r="A143" s="45"/>
      <c r="B143" s="45"/>
      <c r="C143" s="45"/>
      <c r="D143" s="45"/>
      <c r="E143" s="45"/>
      <c r="F143" s="45"/>
      <c r="G143" s="45"/>
      <c r="H143" s="45"/>
      <c r="I143" s="46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</row>
    <row r="144" spans="1:38">
      <c r="A144" s="45"/>
      <c r="B144" s="45"/>
      <c r="C144" s="45"/>
      <c r="D144" s="45"/>
      <c r="E144" s="45"/>
      <c r="F144" s="45"/>
      <c r="G144" s="45"/>
      <c r="H144" s="45"/>
      <c r="I144" s="46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</row>
    <row r="145" spans="1:38">
      <c r="A145" s="45"/>
      <c r="B145" s="45"/>
      <c r="C145" s="45"/>
      <c r="D145" s="45"/>
      <c r="E145" s="45"/>
      <c r="F145" s="45"/>
      <c r="G145" s="45"/>
      <c r="H145" s="45"/>
      <c r="I145" s="46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</row>
    <row r="146" spans="1:38">
      <c r="A146" s="45"/>
      <c r="B146" s="45"/>
      <c r="C146" s="45"/>
      <c r="D146" s="45"/>
      <c r="E146" s="45"/>
      <c r="F146" s="45"/>
      <c r="G146" s="45"/>
      <c r="H146" s="45"/>
      <c r="I146" s="46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</row>
    <row r="147" spans="1:38">
      <c r="A147" s="45"/>
      <c r="B147" s="45"/>
      <c r="C147" s="45"/>
      <c r="D147" s="45"/>
      <c r="E147" s="45"/>
      <c r="F147" s="45"/>
      <c r="G147" s="45"/>
      <c r="H147" s="45"/>
      <c r="I147" s="46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</row>
    <row r="148" spans="1:38">
      <c r="A148" s="45"/>
      <c r="B148" s="45"/>
      <c r="C148" s="45"/>
      <c r="D148" s="45"/>
      <c r="E148" s="45"/>
      <c r="F148" s="45"/>
      <c r="G148" s="45"/>
      <c r="H148" s="45"/>
      <c r="I148" s="46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</row>
    <row r="149" spans="1:38">
      <c r="A149" s="45"/>
      <c r="B149" s="45"/>
      <c r="C149" s="45"/>
      <c r="D149" s="45"/>
      <c r="E149" s="45"/>
      <c r="F149" s="45"/>
      <c r="G149" s="45"/>
      <c r="H149" s="45"/>
      <c r="I149" s="46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</row>
    <row r="150" spans="1:38">
      <c r="A150" s="45"/>
      <c r="B150" s="45"/>
      <c r="C150" s="45"/>
      <c r="D150" s="45"/>
      <c r="E150" s="45"/>
      <c r="F150" s="45"/>
      <c r="G150" s="45"/>
      <c r="H150" s="45"/>
      <c r="I150" s="46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</row>
    <row r="151" spans="1:38">
      <c r="A151" s="45"/>
      <c r="B151" s="45"/>
      <c r="C151" s="45"/>
      <c r="D151" s="45"/>
      <c r="E151" s="45"/>
      <c r="F151" s="45"/>
      <c r="G151" s="45"/>
      <c r="H151" s="45"/>
      <c r="I151" s="46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</row>
    <row r="152" spans="1:38">
      <c r="A152" s="45"/>
      <c r="B152" s="45"/>
      <c r="C152" s="45"/>
      <c r="D152" s="45"/>
      <c r="E152" s="45"/>
      <c r="F152" s="45"/>
      <c r="G152" s="45"/>
      <c r="H152" s="45"/>
      <c r="I152" s="46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</row>
    <row r="153" spans="1:38">
      <c r="A153" s="45"/>
      <c r="B153" s="45"/>
      <c r="C153" s="45"/>
      <c r="D153" s="45"/>
      <c r="E153" s="45"/>
      <c r="F153" s="45"/>
      <c r="G153" s="45"/>
      <c r="H153" s="45"/>
      <c r="I153" s="46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</row>
    <row r="154" spans="1:38">
      <c r="A154" s="45"/>
      <c r="B154" s="45"/>
      <c r="C154" s="45"/>
      <c r="D154" s="45"/>
      <c r="E154" s="45"/>
      <c r="F154" s="45"/>
      <c r="G154" s="45"/>
      <c r="H154" s="45"/>
      <c r="I154" s="46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</row>
    <row r="155" spans="1:38">
      <c r="A155" s="45"/>
      <c r="B155" s="45"/>
      <c r="C155" s="45"/>
      <c r="D155" s="45"/>
      <c r="E155" s="45"/>
      <c r="F155" s="45"/>
      <c r="G155" s="45"/>
      <c r="H155" s="45"/>
      <c r="I155" s="46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</row>
    <row r="156" spans="1:38">
      <c r="A156" s="45"/>
      <c r="B156" s="45"/>
      <c r="C156" s="45"/>
      <c r="D156" s="45"/>
      <c r="E156" s="45"/>
      <c r="F156" s="45"/>
      <c r="G156" s="45"/>
      <c r="H156" s="45"/>
      <c r="I156" s="46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</row>
    <row r="157" spans="1:38">
      <c r="A157" s="45"/>
      <c r="B157" s="45"/>
      <c r="C157" s="45"/>
      <c r="D157" s="45"/>
      <c r="E157" s="45"/>
      <c r="F157" s="45"/>
      <c r="G157" s="45"/>
      <c r="H157" s="45"/>
      <c r="I157" s="46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</row>
    <row r="158" spans="1:38">
      <c r="A158" s="45"/>
      <c r="B158" s="45"/>
      <c r="C158" s="45"/>
      <c r="D158" s="45"/>
      <c r="E158" s="45"/>
      <c r="F158" s="45"/>
      <c r="G158" s="45"/>
      <c r="H158" s="45"/>
      <c r="I158" s="46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</row>
    <row r="159" spans="1:38">
      <c r="A159" s="45"/>
      <c r="B159" s="45"/>
      <c r="C159" s="45"/>
      <c r="D159" s="45"/>
      <c r="E159" s="45"/>
      <c r="F159" s="45"/>
      <c r="G159" s="45"/>
      <c r="H159" s="45"/>
      <c r="I159" s="46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</row>
    <row r="160" spans="1:38">
      <c r="A160" s="45"/>
      <c r="B160" s="45"/>
      <c r="C160" s="45"/>
      <c r="D160" s="45"/>
      <c r="E160" s="45"/>
      <c r="F160" s="45"/>
      <c r="G160" s="45"/>
      <c r="H160" s="45"/>
      <c r="I160" s="46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</row>
    <row r="161" spans="1:38">
      <c r="A161" s="45"/>
      <c r="B161" s="45"/>
      <c r="C161" s="45"/>
      <c r="D161" s="45"/>
      <c r="E161" s="45"/>
      <c r="F161" s="45"/>
      <c r="G161" s="45"/>
      <c r="H161" s="45"/>
      <c r="I161" s="46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</row>
    <row r="162" spans="1:38">
      <c r="A162" s="45"/>
      <c r="B162" s="45"/>
      <c r="C162" s="45"/>
      <c r="D162" s="45"/>
      <c r="E162" s="45"/>
      <c r="F162" s="45"/>
      <c r="G162" s="45"/>
      <c r="H162" s="45"/>
      <c r="I162" s="46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</row>
    <row r="163" spans="1:38">
      <c r="A163" s="45"/>
      <c r="B163" s="45"/>
      <c r="C163" s="45"/>
      <c r="D163" s="45"/>
      <c r="E163" s="45"/>
      <c r="F163" s="45"/>
      <c r="G163" s="45"/>
      <c r="H163" s="45"/>
      <c r="I163" s="46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</row>
    <row r="164" spans="1:38">
      <c r="A164" s="45"/>
      <c r="B164" s="45"/>
      <c r="C164" s="45"/>
      <c r="D164" s="45"/>
      <c r="E164" s="45"/>
      <c r="F164" s="45"/>
      <c r="G164" s="45"/>
      <c r="H164" s="45"/>
      <c r="I164" s="46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</row>
    <row r="165" spans="1:38">
      <c r="A165" s="45"/>
      <c r="B165" s="45"/>
      <c r="C165" s="45"/>
      <c r="D165" s="45"/>
      <c r="E165" s="45"/>
      <c r="F165" s="45"/>
      <c r="G165" s="45"/>
      <c r="H165" s="45"/>
      <c r="I165" s="46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</row>
    <row r="166" spans="1:38">
      <c r="A166" s="45"/>
      <c r="B166" s="45"/>
      <c r="C166" s="45"/>
      <c r="D166" s="45"/>
      <c r="E166" s="45"/>
      <c r="F166" s="45"/>
      <c r="G166" s="45"/>
      <c r="H166" s="45"/>
      <c r="I166" s="46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</row>
    <row r="167" spans="1:38">
      <c r="A167" s="45"/>
      <c r="B167" s="45"/>
      <c r="C167" s="45"/>
      <c r="D167" s="45"/>
      <c r="E167" s="45"/>
      <c r="F167" s="45"/>
      <c r="G167" s="45"/>
      <c r="H167" s="45"/>
      <c r="I167" s="46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</row>
    <row r="168" spans="1:38">
      <c r="A168" s="45"/>
      <c r="B168" s="45"/>
      <c r="C168" s="45"/>
      <c r="D168" s="45"/>
      <c r="E168" s="45"/>
      <c r="F168" s="45"/>
      <c r="G168" s="45"/>
      <c r="H168" s="45"/>
      <c r="I168" s="46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</row>
    <row r="169" spans="1:38">
      <c r="A169" s="45"/>
      <c r="B169" s="45"/>
      <c r="C169" s="45"/>
      <c r="D169" s="45"/>
      <c r="E169" s="45"/>
      <c r="F169" s="45"/>
      <c r="G169" s="45"/>
      <c r="H169" s="45"/>
      <c r="I169" s="46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</row>
    <row r="170" spans="1:38">
      <c r="A170" s="45"/>
      <c r="B170" s="45"/>
      <c r="C170" s="45"/>
      <c r="D170" s="45"/>
      <c r="E170" s="45"/>
      <c r="F170" s="45"/>
      <c r="G170" s="45"/>
      <c r="H170" s="45"/>
      <c r="I170" s="46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</row>
    <row r="171" spans="1:38">
      <c r="A171" s="45"/>
      <c r="B171" s="45"/>
      <c r="C171" s="45"/>
      <c r="D171" s="45"/>
      <c r="E171" s="45"/>
      <c r="F171" s="45"/>
      <c r="G171" s="45"/>
      <c r="H171" s="45"/>
      <c r="I171" s="46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</row>
    <row r="172" spans="1:38">
      <c r="A172" s="45"/>
      <c r="B172" s="45"/>
      <c r="C172" s="45"/>
      <c r="D172" s="45"/>
      <c r="E172" s="45"/>
      <c r="F172" s="45"/>
      <c r="G172" s="45"/>
      <c r="H172" s="45"/>
      <c r="I172" s="46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</row>
    <row r="173" spans="1:38">
      <c r="A173" s="45"/>
      <c r="B173" s="45"/>
      <c r="C173" s="45"/>
      <c r="D173" s="45"/>
      <c r="E173" s="45"/>
      <c r="F173" s="45"/>
      <c r="G173" s="45"/>
      <c r="H173" s="45"/>
      <c r="I173" s="46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</row>
    <row r="174" spans="1:38">
      <c r="A174" s="45"/>
      <c r="B174" s="45"/>
      <c r="C174" s="45"/>
      <c r="D174" s="45"/>
      <c r="E174" s="45"/>
      <c r="F174" s="45"/>
      <c r="G174" s="45"/>
      <c r="H174" s="45"/>
      <c r="I174" s="46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</row>
    <row r="175" spans="1:38">
      <c r="A175" s="45"/>
      <c r="B175" s="45"/>
      <c r="C175" s="45"/>
      <c r="D175" s="45"/>
      <c r="E175" s="45"/>
      <c r="F175" s="45"/>
      <c r="G175" s="45"/>
      <c r="H175" s="45"/>
      <c r="I175" s="46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</row>
    <row r="176" spans="1:38">
      <c r="A176" s="45"/>
      <c r="B176" s="45"/>
      <c r="C176" s="45"/>
      <c r="D176" s="45"/>
      <c r="E176" s="45"/>
      <c r="F176" s="45"/>
      <c r="G176" s="45"/>
      <c r="H176" s="45"/>
      <c r="I176" s="46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</row>
    <row r="177" spans="1:38">
      <c r="A177" s="45"/>
      <c r="B177" s="45"/>
      <c r="C177" s="45"/>
      <c r="D177" s="45"/>
      <c r="E177" s="45"/>
      <c r="F177" s="45"/>
      <c r="G177" s="45"/>
      <c r="H177" s="45"/>
      <c r="I177" s="46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</row>
    <row r="178" spans="1:38">
      <c r="A178" s="45"/>
      <c r="B178" s="45"/>
      <c r="C178" s="45"/>
      <c r="D178" s="45"/>
      <c r="E178" s="45"/>
      <c r="F178" s="45"/>
      <c r="G178" s="45"/>
      <c r="H178" s="45"/>
      <c r="I178" s="46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</row>
    <row r="179" spans="1:38">
      <c r="A179" s="45"/>
      <c r="B179" s="45"/>
      <c r="C179" s="45"/>
      <c r="D179" s="45"/>
      <c r="E179" s="45"/>
      <c r="F179" s="45"/>
      <c r="G179" s="45"/>
      <c r="H179" s="45"/>
      <c r="I179" s="46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</row>
    <row r="180" spans="1:38">
      <c r="A180" s="45"/>
      <c r="B180" s="45"/>
      <c r="C180" s="45"/>
      <c r="D180" s="45"/>
      <c r="E180" s="45"/>
      <c r="F180" s="45"/>
      <c r="G180" s="45"/>
      <c r="H180" s="45"/>
      <c r="I180" s="46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</row>
    <row r="181" spans="1:38">
      <c r="A181" s="45"/>
      <c r="B181" s="45"/>
      <c r="C181" s="45"/>
      <c r="D181" s="45"/>
      <c r="E181" s="45"/>
      <c r="F181" s="45"/>
      <c r="G181" s="45"/>
      <c r="H181" s="45"/>
      <c r="I181" s="46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</row>
    <row r="182" spans="1:38">
      <c r="A182" s="45"/>
      <c r="B182" s="45"/>
      <c r="C182" s="45"/>
      <c r="D182" s="45"/>
      <c r="E182" s="45"/>
      <c r="F182" s="45"/>
      <c r="G182" s="45"/>
      <c r="H182" s="45"/>
      <c r="I182" s="46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</row>
    <row r="183" spans="1:38">
      <c r="A183" s="45"/>
      <c r="B183" s="45"/>
      <c r="C183" s="45"/>
      <c r="D183" s="45"/>
      <c r="E183" s="45"/>
      <c r="F183" s="45"/>
      <c r="G183" s="45"/>
      <c r="H183" s="45"/>
      <c r="I183" s="46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</row>
    <row r="184" spans="1:38">
      <c r="A184" s="45"/>
      <c r="B184" s="45"/>
      <c r="C184" s="45"/>
      <c r="D184" s="45"/>
      <c r="E184" s="45"/>
      <c r="F184" s="45"/>
      <c r="G184" s="45"/>
      <c r="H184" s="45"/>
      <c r="I184" s="46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</row>
    <row r="185" spans="1:38">
      <c r="A185" s="45"/>
      <c r="B185" s="45"/>
      <c r="C185" s="45"/>
      <c r="D185" s="45"/>
      <c r="E185" s="45"/>
      <c r="F185" s="45"/>
      <c r="G185" s="45"/>
      <c r="H185" s="45"/>
      <c r="I185" s="46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</row>
    <row r="186" spans="1:38">
      <c r="A186" s="45"/>
      <c r="B186" s="45"/>
      <c r="C186" s="45"/>
      <c r="D186" s="45"/>
      <c r="E186" s="45"/>
      <c r="F186" s="45"/>
      <c r="G186" s="45"/>
      <c r="H186" s="45"/>
      <c r="I186" s="46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</row>
    <row r="187" spans="1:38">
      <c r="A187" s="45"/>
      <c r="B187" s="45"/>
      <c r="C187" s="45"/>
      <c r="D187" s="45"/>
      <c r="E187" s="45"/>
      <c r="F187" s="45"/>
      <c r="G187" s="45"/>
      <c r="H187" s="45"/>
      <c r="I187" s="46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</row>
    <row r="188" spans="1:38">
      <c r="A188" s="45"/>
      <c r="B188" s="45"/>
      <c r="C188" s="45"/>
      <c r="D188" s="45"/>
      <c r="E188" s="45"/>
      <c r="F188" s="45"/>
      <c r="G188" s="45"/>
      <c r="H188" s="45"/>
      <c r="I188" s="46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</row>
    <row r="189" spans="1:38">
      <c r="A189" s="45"/>
      <c r="B189" s="45"/>
      <c r="C189" s="45"/>
      <c r="D189" s="45"/>
      <c r="E189" s="45"/>
      <c r="F189" s="45"/>
      <c r="G189" s="45"/>
      <c r="H189" s="45"/>
      <c r="I189" s="46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</row>
    <row r="190" spans="1:38">
      <c r="A190" s="45"/>
      <c r="B190" s="45"/>
      <c r="C190" s="45"/>
      <c r="D190" s="45"/>
      <c r="E190" s="45"/>
      <c r="F190" s="45"/>
      <c r="G190" s="45"/>
      <c r="H190" s="45"/>
      <c r="I190" s="46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</row>
    <row r="191" spans="1:38">
      <c r="A191" s="45"/>
      <c r="B191" s="45"/>
      <c r="C191" s="45"/>
      <c r="D191" s="45"/>
      <c r="E191" s="45"/>
      <c r="F191" s="45"/>
      <c r="G191" s="45"/>
      <c r="H191" s="45"/>
      <c r="I191" s="46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</row>
    <row r="192" spans="1:38">
      <c r="A192" s="45"/>
      <c r="B192" s="45"/>
      <c r="C192" s="45"/>
      <c r="D192" s="45"/>
      <c r="E192" s="45"/>
      <c r="F192" s="45"/>
      <c r="G192" s="45"/>
      <c r="H192" s="45"/>
      <c r="I192" s="46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</row>
    <row r="193" spans="1:38">
      <c r="A193" s="45"/>
      <c r="B193" s="45"/>
      <c r="C193" s="45"/>
      <c r="D193" s="45"/>
      <c r="E193" s="45"/>
      <c r="F193" s="45"/>
      <c r="G193" s="45"/>
      <c r="H193" s="45"/>
      <c r="I193" s="46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</row>
    <row r="194" spans="1:38">
      <c r="A194" s="45"/>
      <c r="B194" s="45"/>
      <c r="C194" s="45"/>
      <c r="D194" s="45"/>
      <c r="E194" s="45"/>
      <c r="F194" s="45"/>
      <c r="G194" s="45"/>
      <c r="H194" s="45"/>
      <c r="I194" s="46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</row>
    <row r="195" spans="1:38">
      <c r="A195" s="45"/>
      <c r="B195" s="45"/>
      <c r="C195" s="45"/>
      <c r="D195" s="45"/>
      <c r="E195" s="45"/>
      <c r="F195" s="45"/>
      <c r="G195" s="45"/>
      <c r="H195" s="45"/>
      <c r="I195" s="46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</row>
    <row r="196" spans="1:38">
      <c r="A196" s="45"/>
      <c r="B196" s="45"/>
      <c r="C196" s="45"/>
      <c r="D196" s="45"/>
      <c r="E196" s="45"/>
      <c r="F196" s="45"/>
      <c r="G196" s="45"/>
      <c r="H196" s="45"/>
      <c r="I196" s="46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</row>
    <row r="197" spans="1:38">
      <c r="A197" s="45"/>
      <c r="B197" s="45"/>
      <c r="C197" s="45"/>
      <c r="D197" s="45"/>
      <c r="E197" s="45"/>
      <c r="F197" s="45"/>
      <c r="G197" s="45"/>
      <c r="H197" s="45"/>
      <c r="I197" s="46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</row>
    <row r="198" spans="1:38">
      <c r="A198" s="45"/>
      <c r="B198" s="45"/>
      <c r="C198" s="45"/>
      <c r="D198" s="45"/>
      <c r="E198" s="45"/>
      <c r="F198" s="45"/>
      <c r="G198" s="45"/>
      <c r="H198" s="45"/>
      <c r="I198" s="46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</row>
    <row r="199" spans="1:38">
      <c r="A199" s="45"/>
      <c r="B199" s="45"/>
      <c r="C199" s="45"/>
      <c r="D199" s="45"/>
      <c r="E199" s="45"/>
      <c r="F199" s="45"/>
      <c r="G199" s="45"/>
      <c r="H199" s="45"/>
      <c r="I199" s="46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</row>
    <row r="200" spans="1:38">
      <c r="A200" s="45"/>
      <c r="B200" s="45"/>
      <c r="C200" s="45"/>
      <c r="D200" s="45"/>
      <c r="E200" s="45"/>
      <c r="F200" s="45"/>
      <c r="G200" s="45"/>
      <c r="H200" s="45"/>
      <c r="I200" s="46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</row>
    <row r="201" spans="1:38">
      <c r="A201" s="45"/>
      <c r="B201" s="45"/>
      <c r="C201" s="45"/>
      <c r="D201" s="45"/>
      <c r="E201" s="45"/>
      <c r="F201" s="45"/>
      <c r="G201" s="45"/>
      <c r="H201" s="45"/>
      <c r="I201" s="46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</row>
    <row r="202" spans="1:38">
      <c r="A202" s="45"/>
      <c r="B202" s="45"/>
      <c r="C202" s="45"/>
      <c r="D202" s="45"/>
      <c r="E202" s="45"/>
      <c r="F202" s="45"/>
      <c r="G202" s="45"/>
      <c r="H202" s="45"/>
      <c r="I202" s="46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</row>
    <row r="203" spans="1:38">
      <c r="A203" s="45"/>
      <c r="B203" s="45"/>
      <c r="C203" s="45"/>
      <c r="D203" s="45"/>
      <c r="E203" s="45"/>
      <c r="F203" s="45"/>
      <c r="G203" s="45"/>
      <c r="H203" s="45"/>
      <c r="I203" s="46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</row>
    <row r="204" spans="1:38">
      <c r="A204" s="45"/>
      <c r="B204" s="45"/>
      <c r="C204" s="45"/>
      <c r="D204" s="45"/>
      <c r="E204" s="45"/>
      <c r="F204" s="45"/>
      <c r="G204" s="45"/>
      <c r="H204" s="45"/>
      <c r="I204" s="46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</row>
    <row r="205" spans="1:38">
      <c r="A205" s="45"/>
      <c r="B205" s="45"/>
      <c r="C205" s="45"/>
      <c r="D205" s="45"/>
      <c r="E205" s="45"/>
      <c r="F205" s="45"/>
      <c r="G205" s="45"/>
      <c r="H205" s="45"/>
      <c r="I205" s="46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</row>
    <row r="206" spans="1:38">
      <c r="A206" s="45"/>
      <c r="B206" s="45"/>
      <c r="C206" s="45"/>
      <c r="D206" s="45"/>
      <c r="E206" s="45"/>
      <c r="F206" s="45"/>
      <c r="G206" s="45"/>
      <c r="H206" s="45"/>
      <c r="I206" s="46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</row>
    <row r="207" spans="1:38">
      <c r="A207" s="45"/>
      <c r="B207" s="45"/>
      <c r="C207" s="45"/>
      <c r="D207" s="45"/>
      <c r="E207" s="45"/>
      <c r="F207" s="45"/>
      <c r="G207" s="45"/>
      <c r="H207" s="45"/>
      <c r="I207" s="46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</row>
    <row r="208" spans="1:38">
      <c r="A208" s="45"/>
      <c r="B208" s="45"/>
      <c r="C208" s="45"/>
      <c r="D208" s="45"/>
      <c r="E208" s="45"/>
      <c r="F208" s="45"/>
      <c r="G208" s="45"/>
      <c r="H208" s="45"/>
      <c r="I208" s="46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</row>
    <row r="209" spans="1:38">
      <c r="A209" s="45"/>
      <c r="B209" s="45"/>
      <c r="C209" s="45"/>
      <c r="D209" s="45"/>
      <c r="E209" s="45"/>
      <c r="F209" s="45"/>
      <c r="G209" s="45"/>
      <c r="H209" s="45"/>
      <c r="I209" s="46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</row>
    <row r="210" spans="1:38">
      <c r="A210" s="45"/>
      <c r="B210" s="45"/>
      <c r="C210" s="45"/>
      <c r="D210" s="45"/>
      <c r="E210" s="45"/>
      <c r="F210" s="45"/>
      <c r="G210" s="45"/>
      <c r="H210" s="45"/>
      <c r="I210" s="46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</row>
    <row r="211" spans="1:38">
      <c r="A211" s="45"/>
      <c r="B211" s="45"/>
      <c r="C211" s="45"/>
      <c r="D211" s="45"/>
      <c r="E211" s="45"/>
      <c r="F211" s="45"/>
      <c r="G211" s="45"/>
      <c r="H211" s="45"/>
      <c r="I211" s="46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</row>
    <row r="212" spans="1:38">
      <c r="A212" s="45"/>
      <c r="B212" s="45"/>
      <c r="C212" s="45"/>
      <c r="D212" s="45"/>
      <c r="E212" s="45"/>
      <c r="F212" s="45"/>
      <c r="G212" s="45"/>
      <c r="H212" s="45"/>
      <c r="I212" s="46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</row>
    <row r="213" spans="1:38">
      <c r="A213" s="45"/>
      <c r="B213" s="45"/>
      <c r="C213" s="45"/>
      <c r="D213" s="45"/>
      <c r="E213" s="45"/>
      <c r="F213" s="45"/>
      <c r="G213" s="45"/>
      <c r="H213" s="45"/>
      <c r="I213" s="46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</row>
    <row r="214" spans="1:38">
      <c r="A214" s="45"/>
      <c r="B214" s="45"/>
      <c r="C214" s="45"/>
      <c r="D214" s="45"/>
      <c r="E214" s="45"/>
      <c r="F214" s="45"/>
      <c r="G214" s="45"/>
      <c r="H214" s="45"/>
      <c r="I214" s="46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</row>
    <row r="215" spans="1:38">
      <c r="A215" s="45"/>
      <c r="B215" s="45"/>
      <c r="C215" s="45"/>
      <c r="D215" s="45"/>
      <c r="E215" s="45"/>
      <c r="F215" s="45"/>
      <c r="G215" s="45"/>
      <c r="H215" s="45"/>
      <c r="I215" s="46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</row>
    <row r="216" spans="1:38">
      <c r="A216" s="45"/>
      <c r="B216" s="45"/>
      <c r="C216" s="45"/>
      <c r="D216" s="45"/>
      <c r="E216" s="45"/>
      <c r="F216" s="45"/>
      <c r="G216" s="45"/>
      <c r="H216" s="45"/>
      <c r="I216" s="46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</row>
    <row r="217" spans="1:38">
      <c r="A217" s="45"/>
      <c r="B217" s="45"/>
      <c r="C217" s="45"/>
      <c r="D217" s="45"/>
      <c r="E217" s="45"/>
      <c r="F217" s="45"/>
      <c r="G217" s="45"/>
      <c r="H217" s="45"/>
      <c r="I217" s="46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</row>
    <row r="218" spans="1:38">
      <c r="A218" s="45"/>
      <c r="B218" s="45"/>
      <c r="C218" s="45"/>
      <c r="D218" s="45"/>
      <c r="E218" s="45"/>
      <c r="F218" s="45"/>
      <c r="G218" s="45"/>
      <c r="H218" s="45"/>
      <c r="I218" s="46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</row>
    <row r="219" spans="1:38">
      <c r="A219" s="45"/>
      <c r="B219" s="45"/>
      <c r="C219" s="45"/>
      <c r="D219" s="45"/>
      <c r="E219" s="45"/>
      <c r="F219" s="45"/>
      <c r="G219" s="45"/>
      <c r="H219" s="45"/>
      <c r="I219" s="46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</row>
    <row r="220" spans="1:38">
      <c r="A220" s="45"/>
      <c r="B220" s="45"/>
      <c r="C220" s="45"/>
      <c r="D220" s="45"/>
      <c r="E220" s="45"/>
      <c r="F220" s="45"/>
      <c r="G220" s="45"/>
      <c r="H220" s="45"/>
      <c r="I220" s="46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</row>
    <row r="221" spans="1:38">
      <c r="A221" s="45"/>
      <c r="B221" s="45"/>
      <c r="C221" s="45"/>
      <c r="D221" s="45"/>
      <c r="E221" s="45"/>
      <c r="F221" s="45"/>
      <c r="G221" s="45"/>
      <c r="H221" s="45"/>
      <c r="I221" s="46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</row>
    <row r="222" spans="1:38">
      <c r="A222" s="45"/>
      <c r="B222" s="45"/>
      <c r="C222" s="45"/>
      <c r="D222" s="45"/>
      <c r="E222" s="45"/>
      <c r="F222" s="45"/>
      <c r="G222" s="45"/>
      <c r="H222" s="45"/>
      <c r="I222" s="46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</row>
    <row r="223" spans="1:38">
      <c r="A223" s="45"/>
      <c r="B223" s="45"/>
      <c r="C223" s="45"/>
      <c r="D223" s="45"/>
      <c r="E223" s="45"/>
      <c r="F223" s="45"/>
      <c r="G223" s="45"/>
      <c r="H223" s="45"/>
      <c r="I223" s="46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</row>
    <row r="224" spans="1:38">
      <c r="A224" s="45"/>
      <c r="B224" s="45"/>
      <c r="C224" s="45"/>
      <c r="D224" s="45"/>
      <c r="E224" s="45"/>
      <c r="F224" s="45"/>
      <c r="G224" s="45"/>
      <c r="H224" s="45"/>
      <c r="I224" s="46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</row>
    <row r="225" spans="1:38">
      <c r="A225" s="45"/>
      <c r="B225" s="45"/>
      <c r="C225" s="45"/>
      <c r="D225" s="45"/>
      <c r="E225" s="45"/>
      <c r="F225" s="45"/>
      <c r="G225" s="45"/>
      <c r="H225" s="45"/>
      <c r="I225" s="46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</row>
    <row r="226" spans="1:38">
      <c r="A226" s="45"/>
      <c r="B226" s="45"/>
      <c r="C226" s="45"/>
      <c r="D226" s="45"/>
      <c r="E226" s="45"/>
      <c r="F226" s="45"/>
      <c r="G226" s="45"/>
      <c r="H226" s="45"/>
      <c r="I226" s="46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</row>
    <row r="227" spans="1:38">
      <c r="A227" s="45"/>
      <c r="B227" s="45"/>
      <c r="C227" s="45"/>
      <c r="D227" s="45"/>
      <c r="E227" s="45"/>
      <c r="F227" s="45"/>
      <c r="G227" s="45"/>
      <c r="H227" s="45"/>
      <c r="I227" s="46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</row>
    <row r="228" spans="1:38">
      <c r="A228" s="45"/>
      <c r="B228" s="45"/>
      <c r="C228" s="45"/>
      <c r="D228" s="45"/>
      <c r="E228" s="45"/>
      <c r="F228" s="45"/>
      <c r="G228" s="45"/>
      <c r="H228" s="45"/>
      <c r="I228" s="46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</row>
    <row r="229" spans="1:38">
      <c r="A229" s="45"/>
      <c r="B229" s="45"/>
      <c r="C229" s="45"/>
      <c r="D229" s="45"/>
      <c r="E229" s="45"/>
      <c r="F229" s="45"/>
      <c r="G229" s="45"/>
      <c r="H229" s="45"/>
      <c r="I229" s="46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</row>
    <row r="230" spans="1:38">
      <c r="A230" s="45"/>
      <c r="B230" s="45"/>
      <c r="C230" s="45"/>
      <c r="D230" s="45"/>
      <c r="E230" s="45"/>
      <c r="F230" s="45"/>
      <c r="G230" s="45"/>
      <c r="H230" s="45"/>
      <c r="I230" s="46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</row>
    <row r="231" spans="1:38">
      <c r="A231" s="45"/>
      <c r="B231" s="45"/>
      <c r="C231" s="45"/>
      <c r="D231" s="45"/>
      <c r="E231" s="45"/>
      <c r="F231" s="45"/>
      <c r="G231" s="45"/>
      <c r="H231" s="45"/>
      <c r="I231" s="46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</row>
    <row r="232" spans="1:38">
      <c r="A232" s="45"/>
      <c r="B232" s="45"/>
      <c r="C232" s="45"/>
      <c r="D232" s="45"/>
      <c r="E232" s="45"/>
      <c r="F232" s="45"/>
      <c r="G232" s="45"/>
      <c r="H232" s="45"/>
      <c r="I232" s="46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</row>
    <row r="233" spans="1:38">
      <c r="A233" s="45"/>
      <c r="B233" s="45"/>
      <c r="C233" s="45"/>
      <c r="D233" s="45"/>
      <c r="E233" s="45"/>
      <c r="F233" s="45"/>
      <c r="G233" s="45"/>
      <c r="H233" s="45"/>
      <c r="I233" s="46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</row>
    <row r="234" spans="1:38">
      <c r="A234" s="45"/>
      <c r="B234" s="45"/>
      <c r="C234" s="45"/>
      <c r="D234" s="45"/>
      <c r="E234" s="45"/>
      <c r="F234" s="45"/>
      <c r="G234" s="45"/>
      <c r="H234" s="45"/>
      <c r="I234" s="46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</row>
    <row r="235" spans="1:38">
      <c r="A235" s="45"/>
      <c r="B235" s="45"/>
      <c r="C235" s="45"/>
      <c r="D235" s="45"/>
      <c r="E235" s="45"/>
      <c r="F235" s="45"/>
      <c r="G235" s="45"/>
      <c r="H235" s="45"/>
      <c r="I235" s="46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</row>
    <row r="236" spans="1:38">
      <c r="A236" s="45"/>
      <c r="B236" s="45"/>
      <c r="C236" s="45"/>
      <c r="D236" s="45"/>
      <c r="E236" s="45"/>
      <c r="F236" s="45"/>
      <c r="G236" s="45"/>
      <c r="H236" s="45"/>
      <c r="I236" s="46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</row>
    <row r="237" spans="1:38">
      <c r="A237" s="45"/>
      <c r="B237" s="45"/>
      <c r="C237" s="45"/>
      <c r="D237" s="45"/>
      <c r="E237" s="45"/>
      <c r="F237" s="45"/>
      <c r="G237" s="45"/>
      <c r="H237" s="45"/>
      <c r="I237" s="46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</row>
    <row r="238" spans="1:38">
      <c r="A238" s="45"/>
      <c r="B238" s="45"/>
      <c r="C238" s="45"/>
      <c r="D238" s="45"/>
      <c r="E238" s="45"/>
      <c r="F238" s="45"/>
      <c r="G238" s="45"/>
      <c r="H238" s="45"/>
      <c r="I238" s="46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</row>
    <row r="239" spans="1:38">
      <c r="A239" s="45"/>
      <c r="B239" s="45"/>
      <c r="C239" s="45"/>
      <c r="D239" s="45"/>
      <c r="E239" s="45"/>
      <c r="F239" s="45"/>
      <c r="G239" s="45"/>
      <c r="H239" s="45"/>
      <c r="I239" s="46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</row>
    <row r="240" spans="1:38">
      <c r="A240" s="45"/>
      <c r="B240" s="45"/>
      <c r="C240" s="45"/>
      <c r="D240" s="45"/>
      <c r="E240" s="45"/>
      <c r="F240" s="45"/>
      <c r="G240" s="45"/>
      <c r="H240" s="45"/>
      <c r="I240" s="46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</row>
    <row r="241" spans="1:38">
      <c r="A241" s="45"/>
      <c r="B241" s="45"/>
      <c r="C241" s="45"/>
      <c r="D241" s="45"/>
      <c r="E241" s="45"/>
      <c r="F241" s="45"/>
      <c r="G241" s="45"/>
      <c r="H241" s="45"/>
      <c r="I241" s="46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</row>
    <row r="242" spans="1:38">
      <c r="A242" s="45"/>
      <c r="B242" s="45"/>
      <c r="C242" s="45"/>
      <c r="D242" s="45"/>
      <c r="E242" s="45"/>
      <c r="F242" s="45"/>
      <c r="G242" s="45"/>
      <c r="H242" s="45"/>
      <c r="I242" s="46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</row>
    <row r="243" spans="1:38">
      <c r="A243" s="45"/>
      <c r="B243" s="45"/>
      <c r="C243" s="45"/>
      <c r="D243" s="45"/>
      <c r="E243" s="45"/>
      <c r="F243" s="45"/>
      <c r="G243" s="45"/>
      <c r="H243" s="45"/>
      <c r="I243" s="46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</row>
    <row r="244" spans="1:38">
      <c r="A244" s="45"/>
      <c r="B244" s="45"/>
      <c r="C244" s="45"/>
      <c r="D244" s="45"/>
      <c r="E244" s="45"/>
      <c r="F244" s="45"/>
      <c r="G244" s="45"/>
      <c r="H244" s="45"/>
      <c r="I244" s="46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</row>
    <row r="245" spans="1:38">
      <c r="A245" s="45"/>
      <c r="B245" s="45"/>
      <c r="C245" s="45"/>
      <c r="D245" s="45"/>
      <c r="E245" s="45"/>
      <c r="F245" s="45"/>
      <c r="G245" s="45"/>
      <c r="H245" s="45"/>
      <c r="I245" s="46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</row>
    <row r="246" spans="1:38">
      <c r="A246" s="45"/>
      <c r="B246" s="45"/>
      <c r="C246" s="45"/>
      <c r="D246" s="45"/>
      <c r="E246" s="45"/>
      <c r="F246" s="45"/>
      <c r="G246" s="45"/>
      <c r="H246" s="45"/>
      <c r="I246" s="46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</row>
    <row r="247" spans="1:38">
      <c r="A247" s="45"/>
      <c r="B247" s="45"/>
      <c r="C247" s="45"/>
      <c r="D247" s="45"/>
      <c r="E247" s="45"/>
      <c r="F247" s="45"/>
      <c r="G247" s="45"/>
      <c r="H247" s="45"/>
      <c r="I247" s="46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</row>
    <row r="248" spans="1:38">
      <c r="A248" s="45"/>
      <c r="B248" s="45"/>
      <c r="C248" s="45"/>
      <c r="D248" s="45"/>
      <c r="E248" s="45"/>
      <c r="F248" s="45"/>
      <c r="G248" s="45"/>
      <c r="H248" s="45"/>
      <c r="I248" s="46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</row>
    <row r="249" spans="1:38">
      <c r="A249" s="45"/>
      <c r="B249" s="45"/>
      <c r="C249" s="45"/>
      <c r="D249" s="45"/>
      <c r="E249" s="45"/>
      <c r="F249" s="45"/>
      <c r="G249" s="45"/>
      <c r="H249" s="45"/>
      <c r="I249" s="46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</row>
    <row r="250" spans="1:38">
      <c r="A250" s="45"/>
      <c r="B250" s="45"/>
      <c r="C250" s="45"/>
      <c r="D250" s="45"/>
      <c r="E250" s="45"/>
      <c r="F250" s="45"/>
      <c r="G250" s="45"/>
      <c r="H250" s="45"/>
      <c r="I250" s="46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</row>
    <row r="251" spans="1:38">
      <c r="A251" s="45"/>
      <c r="B251" s="45"/>
      <c r="C251" s="45"/>
      <c r="D251" s="45"/>
      <c r="E251" s="45"/>
      <c r="F251" s="45"/>
      <c r="G251" s="45"/>
      <c r="H251" s="45"/>
      <c r="I251" s="46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</row>
    <row r="252" spans="1:38">
      <c r="A252" s="45"/>
      <c r="B252" s="45"/>
      <c r="C252" s="45"/>
      <c r="D252" s="45"/>
      <c r="E252" s="45"/>
      <c r="F252" s="45"/>
      <c r="G252" s="45"/>
      <c r="H252" s="45"/>
      <c r="I252" s="46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</row>
    <row r="253" spans="1:38">
      <c r="A253" s="45"/>
      <c r="B253" s="45"/>
      <c r="C253" s="45"/>
      <c r="D253" s="45"/>
      <c r="E253" s="45"/>
      <c r="F253" s="45"/>
      <c r="G253" s="45"/>
      <c r="H253" s="45"/>
      <c r="I253" s="46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</row>
    <row r="254" spans="1:38">
      <c r="A254" s="45"/>
      <c r="B254" s="45"/>
      <c r="C254" s="45"/>
      <c r="D254" s="45"/>
      <c r="E254" s="45"/>
      <c r="F254" s="45"/>
      <c r="G254" s="45"/>
      <c r="H254" s="45"/>
      <c r="I254" s="46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</row>
    <row r="255" spans="1:38">
      <c r="A255" s="45"/>
      <c r="B255" s="45"/>
      <c r="C255" s="45"/>
      <c r="D255" s="45"/>
      <c r="E255" s="45"/>
      <c r="F255" s="45"/>
      <c r="G255" s="45"/>
      <c r="H255" s="45"/>
      <c r="I255" s="46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</row>
    <row r="256" spans="1:38">
      <c r="A256" s="45"/>
      <c r="B256" s="45"/>
      <c r="C256" s="45"/>
      <c r="D256" s="45"/>
      <c r="E256" s="45"/>
      <c r="F256" s="45"/>
      <c r="G256" s="45"/>
      <c r="H256" s="45"/>
      <c r="I256" s="46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</row>
    <row r="257" spans="1:38">
      <c r="A257" s="45"/>
      <c r="B257" s="45"/>
      <c r="C257" s="45"/>
      <c r="D257" s="45"/>
      <c r="E257" s="45"/>
      <c r="F257" s="45"/>
      <c r="G257" s="45"/>
      <c r="H257" s="45"/>
      <c r="I257" s="46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</row>
    <row r="258" spans="1:38">
      <c r="A258" s="45"/>
      <c r="B258" s="45"/>
      <c r="C258" s="45"/>
      <c r="D258" s="45"/>
      <c r="E258" s="45"/>
      <c r="F258" s="45"/>
      <c r="G258" s="45"/>
      <c r="H258" s="45"/>
      <c r="I258" s="46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</row>
    <row r="259" spans="1:38">
      <c r="A259" s="45"/>
      <c r="B259" s="45"/>
      <c r="C259" s="45"/>
      <c r="D259" s="45"/>
      <c r="E259" s="45"/>
      <c r="F259" s="45"/>
      <c r="G259" s="45"/>
      <c r="H259" s="45"/>
      <c r="I259" s="46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</row>
    <row r="260" spans="1:38">
      <c r="A260" s="45"/>
      <c r="B260" s="45"/>
      <c r="C260" s="45"/>
      <c r="D260" s="45"/>
      <c r="E260" s="45"/>
      <c r="F260" s="45"/>
      <c r="G260" s="45"/>
      <c r="H260" s="45"/>
      <c r="I260" s="46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</row>
    <row r="261" spans="1:38">
      <c r="A261" s="45"/>
      <c r="B261" s="45"/>
      <c r="C261" s="45"/>
      <c r="D261" s="45"/>
      <c r="E261" s="45"/>
      <c r="F261" s="45"/>
      <c r="G261" s="45"/>
      <c r="H261" s="45"/>
      <c r="I261" s="46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</row>
    <row r="262" spans="1:38">
      <c r="A262" s="45"/>
      <c r="B262" s="45"/>
      <c r="C262" s="45"/>
      <c r="D262" s="45"/>
      <c r="E262" s="45"/>
      <c r="F262" s="45"/>
      <c r="G262" s="45"/>
      <c r="H262" s="45"/>
      <c r="I262" s="46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</row>
    <row r="263" spans="1:38">
      <c r="A263" s="45"/>
      <c r="B263" s="45"/>
      <c r="C263" s="45"/>
      <c r="D263" s="45"/>
      <c r="E263" s="45"/>
      <c r="F263" s="45"/>
      <c r="G263" s="45"/>
      <c r="H263" s="45"/>
      <c r="I263" s="46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</row>
    <row r="264" spans="1:38">
      <c r="A264" s="45"/>
      <c r="B264" s="45"/>
      <c r="C264" s="45"/>
      <c r="D264" s="45"/>
      <c r="E264" s="45"/>
      <c r="F264" s="45"/>
      <c r="G264" s="45"/>
      <c r="H264" s="45"/>
      <c r="I264" s="46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</row>
    <row r="265" spans="1:38">
      <c r="A265" s="45"/>
      <c r="B265" s="45"/>
      <c r="C265" s="45"/>
      <c r="D265" s="45"/>
      <c r="E265" s="45"/>
      <c r="F265" s="45"/>
      <c r="G265" s="45"/>
      <c r="H265" s="45"/>
      <c r="I265" s="46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</row>
    <row r="266" spans="1:38">
      <c r="A266" s="45"/>
      <c r="B266" s="45"/>
      <c r="C266" s="45"/>
      <c r="D266" s="45"/>
      <c r="E266" s="45"/>
      <c r="F266" s="45"/>
      <c r="G266" s="45"/>
      <c r="H266" s="45"/>
      <c r="I266" s="46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</row>
    <row r="267" spans="1:38">
      <c r="A267" s="45"/>
      <c r="B267" s="45"/>
      <c r="C267" s="45"/>
      <c r="D267" s="45"/>
      <c r="E267" s="45"/>
      <c r="F267" s="45"/>
      <c r="G267" s="45"/>
      <c r="H267" s="45"/>
      <c r="I267" s="46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</row>
    <row r="268" spans="1:38">
      <c r="A268" s="45"/>
      <c r="B268" s="45"/>
      <c r="C268" s="45"/>
      <c r="D268" s="45"/>
      <c r="E268" s="45"/>
      <c r="F268" s="45"/>
      <c r="G268" s="45"/>
      <c r="H268" s="45"/>
      <c r="I268" s="46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</row>
    <row r="269" spans="1:38">
      <c r="A269" s="45"/>
      <c r="B269" s="45"/>
      <c r="C269" s="45"/>
      <c r="D269" s="45"/>
      <c r="E269" s="45"/>
      <c r="F269" s="45"/>
      <c r="G269" s="45"/>
      <c r="H269" s="45"/>
      <c r="I269" s="46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</row>
    <row r="270" spans="1:38">
      <c r="A270" s="45"/>
      <c r="B270" s="45"/>
      <c r="C270" s="45"/>
      <c r="D270" s="45"/>
      <c r="E270" s="45"/>
      <c r="F270" s="45"/>
      <c r="G270" s="45"/>
      <c r="H270" s="45"/>
      <c r="I270" s="46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</row>
    <row r="271" spans="1:38">
      <c r="A271" s="45"/>
      <c r="B271" s="45"/>
      <c r="C271" s="45"/>
      <c r="D271" s="45"/>
      <c r="E271" s="45"/>
      <c r="F271" s="45"/>
      <c r="G271" s="45"/>
      <c r="H271" s="45"/>
      <c r="I271" s="46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</row>
    <row r="272" spans="1:38">
      <c r="A272" s="45"/>
      <c r="B272" s="45"/>
      <c r="C272" s="45"/>
      <c r="D272" s="45"/>
      <c r="E272" s="45"/>
      <c r="F272" s="45"/>
      <c r="G272" s="45"/>
      <c r="H272" s="45"/>
      <c r="I272" s="46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</row>
    <row r="273" spans="1:38">
      <c r="A273" s="45"/>
      <c r="B273" s="45"/>
      <c r="C273" s="45"/>
      <c r="D273" s="45"/>
      <c r="E273" s="45"/>
      <c r="F273" s="45"/>
      <c r="G273" s="45"/>
      <c r="H273" s="45"/>
      <c r="I273" s="46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</row>
    <row r="274" spans="1:38">
      <c r="A274" s="45"/>
      <c r="B274" s="45"/>
      <c r="C274" s="45"/>
      <c r="D274" s="45"/>
      <c r="E274" s="45"/>
      <c r="F274" s="45"/>
      <c r="G274" s="45"/>
      <c r="H274" s="45"/>
      <c r="I274" s="46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</row>
    <row r="275" spans="1:38">
      <c r="A275" s="45"/>
      <c r="B275" s="45"/>
      <c r="C275" s="45"/>
      <c r="D275" s="45"/>
      <c r="E275" s="45"/>
      <c r="F275" s="45"/>
      <c r="G275" s="45"/>
      <c r="H275" s="45"/>
      <c r="I275" s="46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</row>
  </sheetData>
  <hyperlinks>
    <hyperlink ref="A1" location="Fashion!A1" display="Main" xr:uid="{3AEBBA14-0BED-4CCC-8C91-8C92B0BC04A6}"/>
    <hyperlink ref="B4" r:id="rId1" xr:uid="{BDD06D7C-6214-484F-BD75-9E2578E87F1D}"/>
    <hyperlink ref="B5" r:id="rId2" xr:uid="{D0D45C6D-D005-431D-88EE-48B0F919F9FD}"/>
    <hyperlink ref="B6" r:id="rId3" xr:uid="{0A3DB026-BF02-4A08-BB56-A1547A274F1C}"/>
    <hyperlink ref="B9" r:id="rId4" xr:uid="{6737FACC-6C23-4B73-B728-10E59B020A6D}"/>
    <hyperlink ref="B8" r:id="rId5" xr:uid="{1FF8A75E-1B83-44EE-BF6E-ECFBB21BAA71}"/>
    <hyperlink ref="B7" r:id="rId6" xr:uid="{FD8CDE51-CBCA-4903-9591-A411929AE979}"/>
    <hyperlink ref="B10" r:id="rId7" xr:uid="{52277005-A567-43DB-A59D-9F27EBD5A1F8}"/>
    <hyperlink ref="B11" r:id="rId8" xr:uid="{375CA3F5-0971-4B88-AE18-2FA8725E19B9}"/>
    <hyperlink ref="B12" r:id="rId9" xr:uid="{E476A2CA-4FD1-40FA-9E73-294BDACAE2B4}"/>
    <hyperlink ref="B13" r:id="rId10" xr:uid="{8BDBC31C-41A3-46BB-9DE7-EE0A44EF77CC}"/>
    <hyperlink ref="B19" r:id="rId11" xr:uid="{FDB36EFD-8D8C-4474-8161-EAA5D3DE0FD6}"/>
    <hyperlink ref="B14" r:id="rId12" xr:uid="{386E338F-1014-4D13-B1BC-4E190265AAB1}"/>
    <hyperlink ref="B15" r:id="rId13" xr:uid="{70B8A604-8070-409A-BFF3-871073E05A08}"/>
    <hyperlink ref="B16" r:id="rId14" xr:uid="{CAB9993E-7F07-4C4D-ACFE-3B0A30849A03}"/>
    <hyperlink ref="B17" r:id="rId15" xr:uid="{24469372-6ACC-417E-804F-2A8B1B6E6AB5}"/>
    <hyperlink ref="B21" r:id="rId16" xr:uid="{B4E6A469-D2EF-43F5-B5CF-01609BCAA6FC}"/>
    <hyperlink ref="B26" r:id="rId17" xr:uid="{CEF96C79-A827-4C97-970D-9A875ACC84CC}"/>
    <hyperlink ref="B20" r:id="rId18" xr:uid="{1DA019F2-3D84-463D-9303-3FCC495D12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03DF-4C0A-43B2-976A-D46975A18CF0}">
  <dimension ref="A1:AH223"/>
  <sheetViews>
    <sheetView zoomScale="200" zoomScaleNormal="200" workbookViewId="0">
      <selection activeCell="B13" sqref="B13"/>
    </sheetView>
  </sheetViews>
  <sheetFormatPr defaultRowHeight="13.5"/>
  <cols>
    <col min="1" max="1" width="4.42578125" style="6" customWidth="1"/>
    <col min="2" max="2" width="15.140625" style="6" bestFit="1" customWidth="1"/>
    <col min="3" max="16384" width="9.140625" style="6"/>
  </cols>
  <sheetData>
    <row r="1" spans="1:34">
      <c r="A1" s="44" t="s">
        <v>459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</row>
    <row r="2" spans="1:34">
      <c r="A2" s="45" t="s">
        <v>460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</row>
    <row r="3" spans="1:34">
      <c r="A3" s="47" t="s">
        <v>1</v>
      </c>
      <c r="B3" s="48" t="s">
        <v>2</v>
      </c>
      <c r="C3" s="49" t="s">
        <v>3</v>
      </c>
      <c r="D3" s="49" t="s">
        <v>19</v>
      </c>
      <c r="E3" s="50" t="s">
        <v>4</v>
      </c>
      <c r="F3" s="51" t="s">
        <v>5</v>
      </c>
      <c r="G3" s="50" t="s">
        <v>87</v>
      </c>
      <c r="H3" s="51" t="s">
        <v>6</v>
      </c>
      <c r="I3" s="49" t="s">
        <v>442</v>
      </c>
      <c r="J3" s="49" t="s">
        <v>443</v>
      </c>
      <c r="K3" s="50" t="s">
        <v>147</v>
      </c>
      <c r="L3" s="51" t="s">
        <v>95</v>
      </c>
      <c r="M3" s="50" t="s">
        <v>145</v>
      </c>
      <c r="N3" s="50" t="s">
        <v>146</v>
      </c>
      <c r="O3" s="50" t="s">
        <v>89</v>
      </c>
      <c r="P3" s="50" t="s">
        <v>90</v>
      </c>
      <c r="Q3" s="50" t="s">
        <v>91</v>
      </c>
      <c r="R3" s="50" t="s">
        <v>92</v>
      </c>
      <c r="S3" s="50" t="s">
        <v>93</v>
      </c>
      <c r="T3" s="50" t="s">
        <v>94</v>
      </c>
      <c r="U3" s="50" t="s">
        <v>76</v>
      </c>
      <c r="V3" s="50" t="s">
        <v>86</v>
      </c>
      <c r="W3" s="52" t="s">
        <v>77</v>
      </c>
      <c r="X3" s="50" t="s">
        <v>81</v>
      </c>
      <c r="Y3" s="50" t="s">
        <v>78</v>
      </c>
      <c r="Z3" s="50" t="s">
        <v>80</v>
      </c>
      <c r="AA3" s="50" t="s">
        <v>79</v>
      </c>
      <c r="AB3" s="50" t="s">
        <v>435</v>
      </c>
      <c r="AC3" s="48" t="s">
        <v>436</v>
      </c>
      <c r="AD3" s="53" t="s">
        <v>398</v>
      </c>
      <c r="AE3" s="51" t="s">
        <v>96</v>
      </c>
      <c r="AF3" s="48"/>
      <c r="AG3" s="48"/>
      <c r="AH3" s="14" t="s">
        <v>126</v>
      </c>
    </row>
    <row r="4" spans="1:34">
      <c r="A4" s="55">
        <v>1</v>
      </c>
      <c r="B4" s="44" t="s">
        <v>103</v>
      </c>
      <c r="C4" s="57" t="s">
        <v>104</v>
      </c>
      <c r="D4" s="45" t="s">
        <v>21</v>
      </c>
      <c r="E4" s="58">
        <v>124.5</v>
      </c>
      <c r="F4" s="56">
        <v>141681</v>
      </c>
      <c r="G4" s="56">
        <v>-2469</v>
      </c>
      <c r="H4" s="56">
        <v>139212</v>
      </c>
      <c r="I4" s="59" t="s">
        <v>422</v>
      </c>
      <c r="J4" s="60">
        <v>45798</v>
      </c>
      <c r="K4" s="58">
        <v>54217</v>
      </c>
      <c r="L4" s="61">
        <v>0.09</v>
      </c>
      <c r="M4" s="56">
        <v>5797</v>
      </c>
      <c r="N4" s="56">
        <v>4474</v>
      </c>
      <c r="O4" s="61">
        <v>0.28999999999999998</v>
      </c>
      <c r="P4" s="61">
        <v>0.11</v>
      </c>
      <c r="Q4" s="62">
        <v>24</v>
      </c>
      <c r="R4" s="63"/>
      <c r="S4" s="62">
        <v>2</v>
      </c>
      <c r="T4" s="62"/>
      <c r="U4" s="62">
        <v>14</v>
      </c>
      <c r="V4" s="62">
        <v>2</v>
      </c>
      <c r="W4" s="63">
        <v>17</v>
      </c>
      <c r="X4" s="62"/>
      <c r="Y4" s="64">
        <v>0.56999999999999995</v>
      </c>
      <c r="Z4" s="64">
        <v>0.28999999999999998</v>
      </c>
      <c r="AA4" s="64">
        <v>0.28999999999999998</v>
      </c>
      <c r="AB4" s="56">
        <v>4952</v>
      </c>
      <c r="AC4" s="56"/>
      <c r="AD4" s="65">
        <v>1987</v>
      </c>
      <c r="AE4" s="64" t="s">
        <v>118</v>
      </c>
      <c r="AF4" s="45"/>
      <c r="AG4" s="45"/>
    </row>
    <row r="5" spans="1:34">
      <c r="A5" s="55">
        <f>+A4+1</f>
        <v>2</v>
      </c>
      <c r="B5" s="66" t="s">
        <v>306</v>
      </c>
      <c r="C5" s="57" t="s">
        <v>309</v>
      </c>
      <c r="D5" s="45" t="s">
        <v>21</v>
      </c>
      <c r="E5" s="58">
        <v>292.68</v>
      </c>
      <c r="F5" s="56">
        <v>18579.62025072</v>
      </c>
      <c r="G5" s="56">
        <v>855.73500000000013</v>
      </c>
      <c r="H5" s="56">
        <v>19435.35525072</v>
      </c>
      <c r="I5" s="59" t="s">
        <v>148</v>
      </c>
      <c r="J5" s="60">
        <v>45723</v>
      </c>
      <c r="K5" s="58"/>
      <c r="L5" s="61"/>
      <c r="M5" s="56"/>
      <c r="N5" s="56"/>
      <c r="O5" s="61"/>
      <c r="P5" s="61"/>
      <c r="Q5" s="62"/>
      <c r="R5" s="62"/>
      <c r="S5" s="62"/>
      <c r="T5" s="62"/>
      <c r="U5" s="62"/>
      <c r="V5" s="62"/>
      <c r="W5" s="63"/>
      <c r="X5" s="62"/>
      <c r="Y5" s="64"/>
      <c r="Z5" s="64"/>
      <c r="AA5" s="64"/>
      <c r="AB5" s="56"/>
      <c r="AC5" s="56"/>
      <c r="AD5" s="65">
        <v>1972</v>
      </c>
      <c r="AE5" s="64" t="s">
        <v>118</v>
      </c>
      <c r="AF5" s="45"/>
      <c r="AG5" s="45"/>
    </row>
    <row r="6" spans="1:34">
      <c r="A6" s="55">
        <f>+A5+1</f>
        <v>3</v>
      </c>
      <c r="B6" s="66" t="s">
        <v>307</v>
      </c>
      <c r="C6" s="57" t="s">
        <v>308</v>
      </c>
      <c r="D6" s="45" t="s">
        <v>219</v>
      </c>
      <c r="E6" s="58">
        <v>101.55</v>
      </c>
      <c r="F6" s="56">
        <v>15871.712567999999</v>
      </c>
      <c r="G6" s="56">
        <v>880.27599999999995</v>
      </c>
      <c r="H6" s="56">
        <v>16751.988568000001</v>
      </c>
      <c r="I6" s="59" t="s">
        <v>148</v>
      </c>
      <c r="J6" s="60">
        <v>45736</v>
      </c>
      <c r="K6" s="58"/>
      <c r="L6" s="61"/>
      <c r="M6" s="58"/>
      <c r="N6" s="58"/>
      <c r="O6" s="61"/>
      <c r="P6" s="61"/>
      <c r="Q6" s="62"/>
      <c r="R6" s="62"/>
      <c r="S6" s="62"/>
      <c r="T6" s="62"/>
      <c r="U6" s="62"/>
      <c r="V6" s="62"/>
      <c r="W6" s="63"/>
      <c r="X6" s="62"/>
      <c r="Y6" s="64"/>
      <c r="Z6" s="64"/>
      <c r="AA6" s="64"/>
      <c r="AB6" s="56"/>
      <c r="AC6" s="56"/>
      <c r="AD6" s="65">
        <v>1864</v>
      </c>
      <c r="AE6" s="64" t="s">
        <v>118</v>
      </c>
      <c r="AF6" s="45"/>
      <c r="AG6" s="45"/>
    </row>
    <row r="7" spans="1:34">
      <c r="A7" s="55">
        <f t="shared" ref="A7:A11" si="0">+A6+1</f>
        <v>4</v>
      </c>
      <c r="B7" s="44" t="s">
        <v>127</v>
      </c>
      <c r="C7" s="57" t="s">
        <v>414</v>
      </c>
      <c r="D7" s="45" t="s">
        <v>82</v>
      </c>
      <c r="E7" s="58">
        <v>32.299999999999997</v>
      </c>
      <c r="F7" s="56">
        <v>8703.6872000000003</v>
      </c>
      <c r="G7" s="56">
        <v>-912.08</v>
      </c>
      <c r="H7" s="56">
        <v>7791.6072000000004</v>
      </c>
      <c r="I7" s="59" t="s">
        <v>432</v>
      </c>
      <c r="J7" s="60"/>
      <c r="K7" s="58"/>
      <c r="L7" s="61"/>
      <c r="M7" s="58"/>
      <c r="N7" s="58"/>
      <c r="O7" s="61"/>
      <c r="P7" s="61"/>
      <c r="Q7" s="62"/>
      <c r="R7" s="62"/>
      <c r="S7" s="62"/>
      <c r="T7" s="62"/>
      <c r="U7" s="62"/>
      <c r="V7" s="62"/>
      <c r="W7" s="63"/>
      <c r="X7" s="62"/>
      <c r="Y7" s="64"/>
      <c r="Z7" s="64"/>
      <c r="AA7" s="64"/>
      <c r="AB7" s="56"/>
      <c r="AC7" s="56"/>
      <c r="AD7" s="65">
        <v>2008</v>
      </c>
      <c r="AE7" s="64" t="s">
        <v>415</v>
      </c>
      <c r="AF7" s="45"/>
      <c r="AG7" s="45"/>
    </row>
    <row r="8" spans="1:34">
      <c r="A8" s="55">
        <f t="shared" si="0"/>
        <v>5</v>
      </c>
      <c r="B8" s="44" t="s">
        <v>324</v>
      </c>
      <c r="C8" s="57" t="s">
        <v>326</v>
      </c>
      <c r="D8" s="45" t="s">
        <v>325</v>
      </c>
      <c r="E8" s="58">
        <v>27.8</v>
      </c>
      <c r="F8" s="56">
        <v>5512.4063999999998</v>
      </c>
      <c r="G8" s="56">
        <v>392.36399999999998</v>
      </c>
      <c r="H8" s="56">
        <v>5904.7703999999994</v>
      </c>
      <c r="I8" s="46" t="s">
        <v>338</v>
      </c>
      <c r="J8" s="60">
        <v>45804</v>
      </c>
      <c r="K8" s="56"/>
      <c r="L8" s="61"/>
      <c r="M8" s="56"/>
      <c r="N8" s="56"/>
      <c r="O8" s="61"/>
      <c r="P8" s="61"/>
      <c r="Q8" s="62"/>
      <c r="R8" s="62"/>
      <c r="S8" s="62"/>
      <c r="T8" s="62"/>
      <c r="U8" s="62"/>
      <c r="V8" s="62"/>
      <c r="W8" s="63"/>
      <c r="X8" s="62"/>
      <c r="Y8" s="64"/>
      <c r="Z8" s="64"/>
      <c r="AA8" s="64"/>
      <c r="AB8" s="56"/>
      <c r="AC8" s="56"/>
      <c r="AD8" s="65">
        <v>1956</v>
      </c>
      <c r="AE8" s="64" t="s">
        <v>118</v>
      </c>
      <c r="AF8" s="45"/>
      <c r="AG8" s="45"/>
    </row>
    <row r="9" spans="1:34">
      <c r="A9" s="55">
        <f t="shared" si="0"/>
        <v>6</v>
      </c>
      <c r="B9" s="44" t="s">
        <v>439</v>
      </c>
      <c r="C9" s="57" t="s">
        <v>346</v>
      </c>
      <c r="D9" s="45" t="s">
        <v>21</v>
      </c>
      <c r="E9" s="58">
        <v>24.29</v>
      </c>
      <c r="F9" s="56">
        <v>4005.5894754400001</v>
      </c>
      <c r="G9" s="56">
        <v>2220</v>
      </c>
      <c r="H9" s="56">
        <v>6225.5894754399997</v>
      </c>
      <c r="I9" s="46"/>
      <c r="J9" s="45"/>
      <c r="K9" s="58"/>
      <c r="L9" s="61"/>
      <c r="M9" s="58"/>
      <c r="N9" s="58"/>
      <c r="O9" s="61"/>
      <c r="P9" s="61"/>
      <c r="Q9" s="62"/>
      <c r="R9" s="62"/>
      <c r="S9" s="62"/>
      <c r="T9" s="62"/>
      <c r="U9" s="62"/>
      <c r="V9" s="62"/>
      <c r="W9" s="63"/>
      <c r="X9" s="62"/>
      <c r="Y9" s="64"/>
      <c r="Z9" s="64"/>
      <c r="AA9" s="64"/>
      <c r="AB9" s="56"/>
      <c r="AC9" s="56"/>
      <c r="AD9" s="65"/>
      <c r="AE9" s="64" t="s">
        <v>118</v>
      </c>
      <c r="AF9" s="45"/>
      <c r="AG9" s="45"/>
    </row>
    <row r="10" spans="1:34">
      <c r="A10" s="55">
        <f t="shared" si="0"/>
        <v>7</v>
      </c>
      <c r="B10" s="44" t="s">
        <v>161</v>
      </c>
      <c r="C10" s="57" t="s">
        <v>394</v>
      </c>
      <c r="D10" s="45" t="s">
        <v>21</v>
      </c>
      <c r="E10" s="58">
        <v>34.99</v>
      </c>
      <c r="F10" s="56">
        <v>2750.9694340999999</v>
      </c>
      <c r="G10" s="56">
        <v>1257</v>
      </c>
      <c r="H10" s="56">
        <v>4007.9694340999999</v>
      </c>
      <c r="I10" s="59" t="s">
        <v>337</v>
      </c>
      <c r="J10" s="60">
        <v>45722</v>
      </c>
      <c r="K10" s="58"/>
      <c r="L10" s="61"/>
      <c r="M10" s="58"/>
      <c r="N10" s="58"/>
      <c r="O10" s="61"/>
      <c r="P10" s="61"/>
      <c r="Q10" s="62"/>
      <c r="R10" s="62"/>
      <c r="S10" s="62"/>
      <c r="T10" s="62"/>
      <c r="U10" s="62"/>
      <c r="V10" s="62"/>
      <c r="W10" s="63"/>
      <c r="X10" s="62"/>
      <c r="Y10" s="64"/>
      <c r="Z10" s="64"/>
      <c r="AA10" s="64"/>
      <c r="AB10" s="56"/>
      <c r="AC10" s="56"/>
      <c r="AD10" s="65">
        <v>1977</v>
      </c>
      <c r="AE10" s="64" t="s">
        <v>118</v>
      </c>
      <c r="AF10" s="45"/>
      <c r="AG10" s="45"/>
    </row>
    <row r="11" spans="1:34">
      <c r="A11" s="55">
        <f t="shared" si="0"/>
        <v>8</v>
      </c>
      <c r="B11" s="44" t="s">
        <v>169</v>
      </c>
      <c r="C11" s="57" t="s">
        <v>170</v>
      </c>
      <c r="D11" s="45" t="s">
        <v>21</v>
      </c>
      <c r="E11" s="58">
        <v>24.73</v>
      </c>
      <c r="F11" s="56">
        <v>1761.5194085300002</v>
      </c>
      <c r="G11" s="56">
        <v>-256.60000000000002</v>
      </c>
      <c r="H11" s="56">
        <v>1504.9194085300001</v>
      </c>
      <c r="I11" s="46" t="s">
        <v>338</v>
      </c>
      <c r="J11" s="45"/>
      <c r="K11" s="56"/>
      <c r="L11" s="61"/>
      <c r="M11" s="56"/>
      <c r="N11" s="56"/>
      <c r="O11" s="61"/>
      <c r="P11" s="61"/>
      <c r="Q11" s="62"/>
      <c r="R11" s="62"/>
      <c r="S11" s="62"/>
      <c r="T11" s="62"/>
      <c r="U11" s="62"/>
      <c r="V11" s="62"/>
      <c r="W11" s="63"/>
      <c r="X11" s="62"/>
      <c r="Y11" s="64"/>
      <c r="Z11" s="64"/>
      <c r="AA11" s="64"/>
      <c r="AB11" s="56"/>
      <c r="AC11" s="56"/>
      <c r="AD11" s="65">
        <v>2003</v>
      </c>
      <c r="AE11" s="64" t="s">
        <v>118</v>
      </c>
      <c r="AF11" s="45"/>
      <c r="AG11" s="45"/>
    </row>
    <row r="12" spans="1:34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</row>
    <row r="13" spans="1:34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</row>
    <row r="14" spans="1:3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</row>
    <row r="15" spans="1:34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</row>
    <row r="16" spans="1:34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</row>
    <row r="17" spans="1:33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</row>
    <row r="18" spans="1:33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</row>
    <row r="19" spans="1:33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</row>
    <row r="20" spans="1:3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</row>
    <row r="21" spans="1:33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</row>
    <row r="22" spans="1:33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</row>
    <row r="23" spans="1:3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</row>
    <row r="24" spans="1:3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</row>
    <row r="25" spans="1:33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</row>
    <row r="26" spans="1:33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</row>
    <row r="27" spans="1:33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</row>
    <row r="28" spans="1:33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</row>
    <row r="29" spans="1:3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</row>
    <row r="30" spans="1:33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</row>
    <row r="31" spans="1:3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</row>
    <row r="32" spans="1:3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</row>
    <row r="33" spans="1: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</row>
    <row r="34" spans="1:3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</row>
    <row r="35" spans="1:3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</row>
    <row r="36" spans="1:33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</row>
    <row r="37" spans="1:33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</row>
    <row r="38" spans="1:33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</row>
    <row r="39" spans="1:33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</row>
    <row r="40" spans="1:33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</row>
    <row r="41" spans="1:3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</row>
    <row r="42" spans="1:33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</row>
    <row r="43" spans="1:3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</row>
    <row r="44" spans="1:33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</row>
    <row r="45" spans="1:33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</row>
    <row r="46" spans="1:33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</row>
    <row r="47" spans="1:33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</row>
    <row r="48" spans="1:33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</row>
    <row r="49" spans="1:33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</row>
    <row r="50" spans="1:33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</row>
    <row r="51" spans="1:33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</row>
    <row r="52" spans="1:33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</row>
    <row r="53" spans="1:3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</row>
    <row r="54" spans="1:33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spans="1:33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</row>
    <row r="56" spans="1:33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</row>
    <row r="57" spans="1:33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</row>
    <row r="58" spans="1:33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</row>
    <row r="59" spans="1:33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</row>
    <row r="60" spans="1:33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</row>
    <row r="61" spans="1:33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</row>
    <row r="62" spans="1:33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</row>
    <row r="63" spans="1:3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</row>
    <row r="64" spans="1:33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</row>
    <row r="65" spans="1:33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</row>
    <row r="66" spans="1:33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</row>
    <row r="67" spans="1:33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</row>
    <row r="68" spans="1:33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</row>
    <row r="69" spans="1:33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</row>
    <row r="70" spans="1:33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</row>
    <row r="71" spans="1:33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</row>
    <row r="72" spans="1:33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</row>
    <row r="73" spans="1:3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</row>
    <row r="74" spans="1:33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</row>
    <row r="75" spans="1:33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</row>
    <row r="76" spans="1:33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</row>
    <row r="77" spans="1:33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</row>
    <row r="78" spans="1:33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</row>
    <row r="79" spans="1:33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</row>
    <row r="80" spans="1:33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</row>
    <row r="81" spans="1:33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</row>
    <row r="82" spans="1:33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</row>
    <row r="83" spans="1:3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</row>
    <row r="84" spans="1:33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</row>
    <row r="85" spans="1:33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</row>
    <row r="86" spans="1:33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</row>
    <row r="87" spans="1:33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</row>
    <row r="88" spans="1:33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</row>
    <row r="89" spans="1:33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</row>
    <row r="90" spans="1:33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</row>
    <row r="91" spans="1:33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</row>
    <row r="92" spans="1:33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</row>
    <row r="93" spans="1:3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</row>
    <row r="94" spans="1:33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</row>
    <row r="95" spans="1:33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</row>
    <row r="96" spans="1:33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</row>
    <row r="97" spans="1:33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</row>
    <row r="98" spans="1:33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</row>
    <row r="99" spans="1:33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</row>
    <row r="100" spans="1:33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</row>
    <row r="101" spans="1:33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</row>
    <row r="102" spans="1:33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</row>
    <row r="103" spans="1:3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</row>
    <row r="104" spans="1:33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</row>
    <row r="105" spans="1:33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</row>
    <row r="106" spans="1:33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</row>
    <row r="107" spans="1:33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</row>
    <row r="108" spans="1:33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</row>
    <row r="109" spans="1:33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</row>
    <row r="110" spans="1:33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</row>
    <row r="111" spans="1:33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</row>
    <row r="112" spans="1:33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</row>
    <row r="113" spans="1:3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</row>
    <row r="114" spans="1:33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</row>
    <row r="115" spans="1:33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</row>
    <row r="116" spans="1:33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</row>
    <row r="117" spans="1:33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</row>
    <row r="118" spans="1:33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</row>
    <row r="119" spans="1:33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</row>
    <row r="120" spans="1:33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</row>
    <row r="121" spans="1:33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</row>
    <row r="122" spans="1:33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</row>
    <row r="123" spans="1:3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</row>
    <row r="124" spans="1:33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</row>
    <row r="125" spans="1:33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</row>
    <row r="126" spans="1:33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</row>
    <row r="127" spans="1:33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</row>
    <row r="128" spans="1:33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</row>
    <row r="129" spans="1:33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</row>
    <row r="130" spans="1:33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</row>
    <row r="131" spans="1:33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</row>
    <row r="132" spans="1:33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</row>
    <row r="133" spans="1: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</row>
    <row r="134" spans="1:33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</row>
    <row r="135" spans="1:33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</row>
    <row r="136" spans="1:33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</row>
    <row r="137" spans="1:33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</row>
    <row r="138" spans="1:33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</row>
    <row r="139" spans="1:33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</row>
    <row r="140" spans="1:33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</row>
    <row r="141" spans="1:33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</row>
    <row r="142" spans="1:33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</row>
    <row r="143" spans="1:3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</row>
    <row r="144" spans="1:33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</row>
    <row r="145" spans="1:33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</row>
    <row r="146" spans="1:33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</row>
    <row r="147" spans="1:33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</row>
    <row r="148" spans="1:33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</row>
    <row r="149" spans="1:33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</row>
    <row r="150" spans="1:33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</row>
    <row r="151" spans="1:33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</row>
    <row r="152" spans="1:33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</row>
    <row r="153" spans="1:3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</row>
    <row r="154" spans="1:33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</row>
    <row r="155" spans="1:33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</row>
    <row r="156" spans="1:33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</row>
    <row r="157" spans="1:33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</row>
    <row r="158" spans="1:33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</row>
    <row r="159" spans="1:33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</row>
    <row r="160" spans="1:33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</row>
    <row r="161" spans="1:33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</row>
    <row r="162" spans="1:33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</row>
    <row r="163" spans="1:3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</row>
    <row r="164" spans="1:33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</row>
    <row r="165" spans="1:33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</row>
    <row r="166" spans="1:33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</row>
    <row r="167" spans="1:33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</row>
    <row r="168" spans="1:33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</row>
    <row r="169" spans="1:33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</row>
    <row r="170" spans="1:33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</row>
    <row r="171" spans="1:33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</row>
    <row r="172" spans="1:33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</row>
    <row r="173" spans="1:3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</row>
    <row r="174" spans="1:33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</row>
    <row r="175" spans="1:33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</row>
    <row r="176" spans="1:33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</row>
    <row r="177" spans="1:33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</row>
    <row r="178" spans="1:33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</row>
    <row r="179" spans="1:33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</row>
    <row r="180" spans="1:33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</row>
    <row r="181" spans="1:33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</row>
    <row r="182" spans="1:33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</row>
    <row r="183" spans="1:3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</row>
    <row r="184" spans="1:33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</row>
    <row r="185" spans="1:33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</row>
    <row r="186" spans="1:33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</row>
    <row r="187" spans="1:33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</row>
    <row r="188" spans="1:33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</row>
    <row r="189" spans="1:33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</row>
    <row r="190" spans="1:33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</row>
    <row r="191" spans="1:33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</row>
    <row r="192" spans="1:33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</row>
    <row r="193" spans="1:3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</row>
    <row r="194" spans="1:33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</row>
    <row r="195" spans="1:33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</row>
    <row r="196" spans="1:33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</row>
    <row r="197" spans="1:33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</row>
    <row r="198" spans="1:33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</row>
    <row r="199" spans="1:33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</row>
    <row r="200" spans="1:33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</row>
    <row r="201" spans="1:33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</row>
    <row r="202" spans="1:33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</row>
    <row r="203" spans="1:3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</row>
    <row r="204" spans="1:33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</row>
    <row r="205" spans="1:33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</row>
    <row r="206" spans="1:33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</row>
    <row r="207" spans="1:33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</row>
    <row r="208" spans="1:33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</row>
    <row r="209" spans="1:33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</row>
    <row r="210" spans="1:33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</row>
    <row r="211" spans="1:33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</row>
    <row r="212" spans="1:33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</row>
    <row r="213" spans="1:3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</row>
    <row r="214" spans="1:33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</row>
    <row r="215" spans="1:33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</row>
    <row r="216" spans="1:33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</row>
    <row r="217" spans="1:33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</row>
    <row r="218" spans="1:33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</row>
    <row r="219" spans="1:33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</row>
    <row r="220" spans="1:33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</row>
    <row r="221" spans="1:33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</row>
    <row r="222" spans="1:33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</row>
    <row r="223" spans="1:3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</row>
  </sheetData>
  <hyperlinks>
    <hyperlink ref="A1" location="Fashion!A1" display="Main" xr:uid="{8F1CCE42-8C42-4BE9-998F-DE8D53FBC595}"/>
    <hyperlink ref="B4" r:id="rId1" xr:uid="{58DFCEB2-46D7-4A32-96F4-62AA133CB0D1}"/>
    <hyperlink ref="B5" r:id="rId2" xr:uid="{9CCA0A2A-6928-4693-8C38-F0FF395331F1}"/>
    <hyperlink ref="B6" r:id="rId3" xr:uid="{61FBA8BC-93C3-4FAD-AEEB-715CA6C3606F}"/>
    <hyperlink ref="B7" r:id="rId4" xr:uid="{609B7AF9-671C-4C0F-ACCE-4B8932214A2D}"/>
    <hyperlink ref="B8" r:id="rId5" xr:uid="{B7394782-0C0C-4077-8CF8-F7D9035C82D6}"/>
    <hyperlink ref="B9" r:id="rId6" xr:uid="{49F2C437-B3A2-4E5F-9894-2F7ED0D12BEF}"/>
    <hyperlink ref="B10" r:id="rId7" xr:uid="{1322DD5E-1915-4868-A233-BF7F0FB3384F}"/>
    <hyperlink ref="B11" r:id="rId8" xr:uid="{99E167C7-B107-48C0-8B7B-A4B94481BE7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AF2D-0F5F-41CB-A4FA-60433C4DB52C}">
  <dimension ref="A1:AM67"/>
  <sheetViews>
    <sheetView zoomScale="200" zoomScaleNormal="200" workbookViewId="0">
      <selection activeCell="J5" sqref="J5"/>
    </sheetView>
  </sheetViews>
  <sheetFormatPr defaultRowHeight="13.5"/>
  <cols>
    <col min="1" max="1" width="5.42578125" style="6" bestFit="1" customWidth="1"/>
    <col min="2" max="2" width="20.7109375" style="6" bestFit="1" customWidth="1"/>
    <col min="3" max="3" width="12.42578125" style="6" customWidth="1"/>
    <col min="4" max="16384" width="9.140625" style="6"/>
  </cols>
  <sheetData>
    <row r="1" spans="1:39">
      <c r="A1" s="44" t="s">
        <v>459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</row>
    <row r="2" spans="1:39">
      <c r="A2" s="45" t="s">
        <v>460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</row>
    <row r="3" spans="1:39">
      <c r="A3" s="47" t="s">
        <v>315</v>
      </c>
      <c r="B3" s="48" t="s">
        <v>2</v>
      </c>
      <c r="C3" s="49" t="s">
        <v>457</v>
      </c>
      <c r="D3" s="48" t="s">
        <v>19</v>
      </c>
      <c r="E3" s="67" t="s">
        <v>4</v>
      </c>
      <c r="F3" s="68" t="s">
        <v>5</v>
      </c>
      <c r="G3" s="68" t="s">
        <v>87</v>
      </c>
      <c r="H3" s="68" t="s">
        <v>6</v>
      </c>
      <c r="I3" s="50" t="s">
        <v>442</v>
      </c>
      <c r="J3" s="69" t="s">
        <v>458</v>
      </c>
      <c r="K3" s="67"/>
      <c r="L3" s="70"/>
      <c r="M3" s="67"/>
      <c r="N3" s="67"/>
      <c r="O3" s="70"/>
      <c r="P3" s="70"/>
      <c r="Q3" s="48"/>
      <c r="R3" s="48"/>
      <c r="S3" s="48"/>
      <c r="T3" s="54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</row>
    <row r="4" spans="1:39">
      <c r="A4" s="55">
        <v>1</v>
      </c>
      <c r="B4" s="44" t="s">
        <v>138</v>
      </c>
      <c r="C4" s="57" t="s">
        <v>139</v>
      </c>
      <c r="D4" s="45" t="s">
        <v>20</v>
      </c>
      <c r="E4" s="58">
        <f>+[82]Main!$I$2</f>
        <v>165.3</v>
      </c>
      <c r="F4" s="56">
        <f>+[82]Main!$I$4*FX!C3</f>
        <v>78910.853010912018</v>
      </c>
      <c r="G4" s="56">
        <f>+([82]Main!$I$6-[82]Main!$I$5)*FX!C3</f>
        <v>9857.1200000000008</v>
      </c>
      <c r="H4" s="56">
        <f>+F4+G4</f>
        <v>88767.973010912014</v>
      </c>
      <c r="I4" s="104" t="s">
        <v>805</v>
      </c>
      <c r="J4" s="60">
        <v>46315</v>
      </c>
      <c r="K4" s="58"/>
      <c r="L4" s="61"/>
      <c r="M4" s="58"/>
      <c r="N4" s="58"/>
      <c r="O4" s="61"/>
      <c r="P4" s="61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</row>
    <row r="5" spans="1:39">
      <c r="A5" s="55">
        <f>+A4+1</f>
        <v>2</v>
      </c>
      <c r="B5" s="44" t="s">
        <v>83</v>
      </c>
      <c r="C5" s="57" t="s">
        <v>84</v>
      </c>
      <c r="D5" s="45" t="s">
        <v>85</v>
      </c>
      <c r="E5" s="58">
        <f>+[83]Main!$J$2</f>
        <v>157.35</v>
      </c>
      <c r="F5" s="56">
        <f>+[83]Main!$J$5*FX!C7</f>
        <v>109823.20036800001</v>
      </c>
      <c r="G5" s="56">
        <f>+([83]Main!$J$7-[83]Main!$J$6)*FX!C7</f>
        <v>243.04000000000002</v>
      </c>
      <c r="H5" s="56">
        <f t="shared" ref="H5:H6" si="0">+F5+G5</f>
        <v>110066.240368</v>
      </c>
      <c r="I5" s="103" t="s">
        <v>872</v>
      </c>
      <c r="J5" s="102">
        <v>46339</v>
      </c>
      <c r="K5" s="58"/>
      <c r="L5" s="61"/>
      <c r="M5" s="58"/>
      <c r="N5" s="58"/>
      <c r="O5" s="61"/>
      <c r="P5" s="61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</row>
    <row r="6" spans="1:39">
      <c r="A6" s="55">
        <f>+A7+1</f>
        <v>4</v>
      </c>
      <c r="B6" s="44" t="s">
        <v>697</v>
      </c>
      <c r="C6" s="57" t="s">
        <v>699</v>
      </c>
      <c r="D6" s="45" t="s">
        <v>21</v>
      </c>
      <c r="E6" s="58">
        <f>+[84]Main!$K$2</f>
        <v>80.58</v>
      </c>
      <c r="F6" s="56">
        <f>+[84]Main!$K$4</f>
        <v>29153.4342507</v>
      </c>
      <c r="G6" s="56">
        <f>+([84]Main!$K$6-[84]Main!$K$5)</f>
        <v>4186</v>
      </c>
      <c r="H6" s="56">
        <f t="shared" si="0"/>
        <v>33339.434250699996</v>
      </c>
      <c r="I6" s="94" t="s">
        <v>818</v>
      </c>
      <c r="J6" s="60"/>
      <c r="K6" s="58"/>
      <c r="L6" s="61"/>
      <c r="M6" s="58"/>
      <c r="N6" s="58"/>
      <c r="O6" s="61"/>
      <c r="P6" s="6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</row>
    <row r="7" spans="1:39">
      <c r="A7" s="55">
        <f>+A5+1</f>
        <v>3</v>
      </c>
      <c r="B7" s="44" t="s">
        <v>421</v>
      </c>
      <c r="C7" s="57" t="s">
        <v>438</v>
      </c>
      <c r="D7" s="45" t="s">
        <v>85</v>
      </c>
      <c r="E7" s="58">
        <f>+[85]Main!$I$3</f>
        <v>177.95</v>
      </c>
      <c r="F7" s="56">
        <f>+[85]Main!$I$5*FX!C7</f>
        <v>10344.705947284801</v>
      </c>
      <c r="G7" s="56">
        <f>+([85]Main!$I$7-[85]Main!$I$6)*FX!C7</f>
        <v>-1336.16</v>
      </c>
      <c r="H7" s="56">
        <f>+F7+G7</f>
        <v>9008.5459472848015</v>
      </c>
      <c r="I7" s="91" t="s">
        <v>422</v>
      </c>
      <c r="J7" s="60">
        <v>46099</v>
      </c>
      <c r="K7" s="58"/>
      <c r="L7" s="61"/>
      <c r="M7" s="58"/>
      <c r="N7" s="58"/>
      <c r="O7" s="61"/>
      <c r="P7" s="6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</row>
    <row r="8" spans="1:39">
      <c r="A8" s="55">
        <f>+A6+1</f>
        <v>5</v>
      </c>
      <c r="B8" s="45" t="s">
        <v>140</v>
      </c>
      <c r="C8" s="57" t="s">
        <v>141</v>
      </c>
      <c r="D8" s="45" t="s">
        <v>185</v>
      </c>
      <c r="E8" s="58"/>
      <c r="F8" s="56"/>
      <c r="G8" s="56"/>
      <c r="H8" s="56"/>
      <c r="I8" s="46"/>
      <c r="J8" s="45"/>
      <c r="K8" s="58"/>
      <c r="L8" s="61"/>
      <c r="M8" s="58"/>
      <c r="N8" s="58"/>
      <c r="O8" s="61"/>
      <c r="P8" s="61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</row>
    <row r="9" spans="1:39">
      <c r="A9" s="55">
        <f t="shared" ref="A9:A54" si="1">+A8+1</f>
        <v>6</v>
      </c>
      <c r="B9" s="45" t="s">
        <v>142</v>
      </c>
      <c r="C9" s="57" t="s">
        <v>144</v>
      </c>
      <c r="D9" s="45" t="s">
        <v>143</v>
      </c>
      <c r="E9" s="58"/>
      <c r="F9" s="56"/>
      <c r="G9" s="56"/>
      <c r="H9" s="56"/>
      <c r="I9" s="46"/>
      <c r="J9" s="45"/>
      <c r="K9" s="58"/>
      <c r="L9" s="61"/>
      <c r="M9" s="58"/>
      <c r="N9" s="58"/>
      <c r="O9" s="61"/>
      <c r="P9" s="61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</row>
    <row r="10" spans="1:39">
      <c r="A10" s="55">
        <f t="shared" si="1"/>
        <v>7</v>
      </c>
      <c r="B10" s="45" t="s">
        <v>339</v>
      </c>
      <c r="C10" s="57" t="s">
        <v>340</v>
      </c>
      <c r="D10" s="45" t="s">
        <v>454</v>
      </c>
      <c r="E10" s="58"/>
      <c r="F10" s="56"/>
      <c r="G10" s="56"/>
      <c r="H10" s="56"/>
      <c r="I10" s="46"/>
      <c r="J10" s="45"/>
      <c r="K10" s="58"/>
      <c r="L10" s="61"/>
      <c r="M10" s="58"/>
      <c r="N10" s="58"/>
      <c r="O10" s="61"/>
      <c r="P10" s="6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</row>
    <row r="11" spans="1:39">
      <c r="A11" s="55">
        <f t="shared" si="1"/>
        <v>8</v>
      </c>
      <c r="B11" s="45" t="s">
        <v>342</v>
      </c>
      <c r="C11" s="45" t="s">
        <v>341</v>
      </c>
      <c r="D11" s="45" t="s">
        <v>21</v>
      </c>
      <c r="E11" s="58"/>
      <c r="F11" s="56"/>
      <c r="G11" s="56"/>
      <c r="H11" s="56"/>
      <c r="I11" s="46"/>
      <c r="J11" s="45"/>
      <c r="K11" s="58"/>
      <c r="L11" s="61"/>
      <c r="M11" s="58"/>
      <c r="N11" s="58"/>
      <c r="O11" s="61"/>
      <c r="P11" s="61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</row>
    <row r="12" spans="1:39">
      <c r="A12" s="55">
        <f t="shared" si="1"/>
        <v>9</v>
      </c>
      <c r="B12" s="45" t="s">
        <v>343</v>
      </c>
      <c r="C12" s="57" t="s">
        <v>344</v>
      </c>
      <c r="D12" s="45" t="s">
        <v>185</v>
      </c>
      <c r="E12" s="58"/>
      <c r="F12" s="56"/>
      <c r="G12" s="56"/>
      <c r="H12" s="56"/>
      <c r="I12" s="46"/>
      <c r="J12" s="45"/>
      <c r="K12" s="58"/>
      <c r="L12" s="61"/>
      <c r="M12" s="58"/>
      <c r="N12" s="58"/>
      <c r="O12" s="61"/>
      <c r="P12" s="61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</row>
    <row r="13" spans="1:39">
      <c r="A13" s="55">
        <f t="shared" si="1"/>
        <v>10</v>
      </c>
      <c r="B13" s="45" t="s">
        <v>345</v>
      </c>
      <c r="C13" s="57" t="s">
        <v>346</v>
      </c>
      <c r="D13" s="45" t="s">
        <v>21</v>
      </c>
      <c r="E13" s="58"/>
      <c r="F13" s="56"/>
      <c r="G13" s="56"/>
      <c r="H13" s="56"/>
      <c r="I13" s="46"/>
      <c r="J13" s="45"/>
      <c r="K13" s="58"/>
      <c r="L13" s="61"/>
      <c r="M13" s="58"/>
      <c r="N13" s="58"/>
      <c r="O13" s="61"/>
      <c r="P13" s="61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</row>
    <row r="14" spans="1:39">
      <c r="A14" s="55">
        <f t="shared" si="1"/>
        <v>11</v>
      </c>
      <c r="B14" s="45" t="s">
        <v>348</v>
      </c>
      <c r="C14" s="57" t="s">
        <v>349</v>
      </c>
      <c r="D14" s="45" t="s">
        <v>347</v>
      </c>
      <c r="E14" s="58"/>
      <c r="F14" s="56"/>
      <c r="G14" s="56"/>
      <c r="H14" s="56"/>
      <c r="I14" s="46"/>
      <c r="J14" s="45"/>
      <c r="K14" s="58"/>
      <c r="L14" s="61"/>
      <c r="M14" s="58"/>
      <c r="N14" s="58"/>
      <c r="O14" s="61"/>
      <c r="P14" s="61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</row>
    <row r="15" spans="1:39">
      <c r="A15" s="55">
        <f t="shared" si="1"/>
        <v>12</v>
      </c>
      <c r="B15" s="45" t="s">
        <v>350</v>
      </c>
      <c r="C15" s="57" t="s">
        <v>351</v>
      </c>
      <c r="D15" s="45" t="s">
        <v>352</v>
      </c>
      <c r="E15" s="58"/>
      <c r="F15" s="56"/>
      <c r="G15" s="56"/>
      <c r="H15" s="56"/>
      <c r="I15" s="46"/>
      <c r="J15" s="45"/>
      <c r="K15" s="58"/>
      <c r="L15" s="61"/>
      <c r="M15" s="58"/>
      <c r="N15" s="58"/>
      <c r="O15" s="61"/>
      <c r="P15" s="61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>
      <c r="A16" s="55">
        <f t="shared" si="1"/>
        <v>13</v>
      </c>
      <c r="B16" s="45" t="s">
        <v>353</v>
      </c>
      <c r="C16" s="57" t="s">
        <v>355</v>
      </c>
      <c r="D16" s="45" t="s">
        <v>354</v>
      </c>
      <c r="E16" s="58"/>
      <c r="F16" s="56"/>
      <c r="G16" s="56"/>
      <c r="H16" s="56"/>
      <c r="I16" s="46"/>
      <c r="J16" s="45"/>
      <c r="K16" s="58"/>
      <c r="L16" s="61"/>
      <c r="M16" s="58"/>
      <c r="N16" s="58"/>
      <c r="O16" s="61"/>
      <c r="P16" s="61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39">
      <c r="A17" s="55">
        <f t="shared" si="1"/>
        <v>14</v>
      </c>
      <c r="B17" s="45" t="s">
        <v>356</v>
      </c>
      <c r="C17" s="57" t="s">
        <v>357</v>
      </c>
      <c r="D17" s="45" t="s">
        <v>165</v>
      </c>
      <c r="E17" s="58"/>
      <c r="F17" s="56"/>
      <c r="G17" s="56"/>
      <c r="H17" s="56"/>
      <c r="I17" s="46"/>
      <c r="J17" s="45"/>
      <c r="K17" s="58"/>
      <c r="L17" s="61"/>
      <c r="M17" s="58"/>
      <c r="N17" s="58"/>
      <c r="O17" s="61"/>
      <c r="P17" s="61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39">
      <c r="A18" s="55">
        <f t="shared" si="1"/>
        <v>15</v>
      </c>
      <c r="B18" s="45" t="s">
        <v>358</v>
      </c>
      <c r="C18" s="57" t="s">
        <v>211</v>
      </c>
      <c r="D18" s="45" t="s">
        <v>82</v>
      </c>
      <c r="E18" s="58"/>
      <c r="F18" s="56"/>
      <c r="G18" s="56"/>
      <c r="H18" s="56"/>
      <c r="I18" s="46"/>
      <c r="J18" s="45"/>
      <c r="K18" s="58"/>
      <c r="L18" s="61"/>
      <c r="M18" s="58"/>
      <c r="N18" s="58"/>
      <c r="O18" s="61"/>
      <c r="P18" s="61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>
      <c r="A19" s="55">
        <f t="shared" si="1"/>
        <v>16</v>
      </c>
      <c r="B19" s="45" t="s">
        <v>359</v>
      </c>
      <c r="C19" s="57" t="s">
        <v>360</v>
      </c>
      <c r="D19" s="45" t="s">
        <v>185</v>
      </c>
      <c r="E19" s="58"/>
      <c r="F19" s="56"/>
      <c r="G19" s="56"/>
      <c r="H19" s="56"/>
      <c r="I19" s="46"/>
      <c r="J19" s="45"/>
      <c r="K19" s="58"/>
      <c r="L19" s="61"/>
      <c r="M19" s="58"/>
      <c r="N19" s="58"/>
      <c r="O19" s="61"/>
      <c r="P19" s="61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</row>
    <row r="20" spans="1:39">
      <c r="A20" s="55">
        <f t="shared" si="1"/>
        <v>17</v>
      </c>
      <c r="B20" s="45" t="s">
        <v>361</v>
      </c>
      <c r="C20" s="57" t="s">
        <v>371</v>
      </c>
      <c r="D20" s="45" t="s">
        <v>185</v>
      </c>
      <c r="E20" s="58"/>
      <c r="F20" s="56"/>
      <c r="G20" s="56"/>
      <c r="H20" s="56"/>
      <c r="I20" s="46"/>
      <c r="J20" s="45"/>
      <c r="K20" s="58"/>
      <c r="L20" s="61"/>
      <c r="M20" s="58"/>
      <c r="N20" s="58"/>
      <c r="O20" s="61"/>
      <c r="P20" s="61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</row>
    <row r="21" spans="1:39">
      <c r="A21" s="55">
        <f t="shared" si="1"/>
        <v>18</v>
      </c>
      <c r="B21" s="45" t="s">
        <v>362</v>
      </c>
      <c r="C21" s="71" t="s">
        <v>372</v>
      </c>
      <c r="D21" s="45" t="s">
        <v>254</v>
      </c>
      <c r="E21" s="58"/>
      <c r="F21" s="56"/>
      <c r="G21" s="56"/>
      <c r="H21" s="56"/>
      <c r="I21" s="46"/>
      <c r="J21" s="45"/>
      <c r="K21" s="58"/>
      <c r="L21" s="61"/>
      <c r="M21" s="58"/>
      <c r="N21" s="58"/>
      <c r="O21" s="61"/>
      <c r="P21" s="61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</row>
    <row r="22" spans="1:39">
      <c r="A22" s="55">
        <f t="shared" si="1"/>
        <v>19</v>
      </c>
      <c r="B22" s="45" t="s">
        <v>363</v>
      </c>
      <c r="C22" s="57" t="s">
        <v>373</v>
      </c>
      <c r="D22" s="45" t="s">
        <v>21</v>
      </c>
      <c r="E22" s="58"/>
      <c r="F22" s="56"/>
      <c r="G22" s="56"/>
      <c r="H22" s="56"/>
      <c r="I22" s="46"/>
      <c r="J22" s="45"/>
      <c r="K22" s="58"/>
      <c r="L22" s="61"/>
      <c r="M22" s="58"/>
      <c r="N22" s="58"/>
      <c r="O22" s="61"/>
      <c r="P22" s="61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</row>
    <row r="23" spans="1:39">
      <c r="A23" s="55">
        <f t="shared" si="1"/>
        <v>20</v>
      </c>
      <c r="B23" s="45" t="s">
        <v>364</v>
      </c>
      <c r="C23" s="57" t="s">
        <v>236</v>
      </c>
      <c r="D23" s="45" t="s">
        <v>235</v>
      </c>
      <c r="E23" s="58"/>
      <c r="F23" s="56"/>
      <c r="G23" s="56"/>
      <c r="H23" s="56"/>
      <c r="I23" s="46"/>
      <c r="J23" s="45"/>
      <c r="K23" s="58"/>
      <c r="L23" s="61"/>
      <c r="M23" s="58"/>
      <c r="N23" s="58"/>
      <c r="O23" s="61"/>
      <c r="P23" s="61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</row>
    <row r="24" spans="1:39">
      <c r="A24" s="55">
        <f t="shared" si="1"/>
        <v>21</v>
      </c>
      <c r="B24" s="45" t="s">
        <v>365</v>
      </c>
      <c r="C24" s="57" t="s">
        <v>374</v>
      </c>
      <c r="D24" s="45" t="s">
        <v>223</v>
      </c>
      <c r="E24" s="58"/>
      <c r="F24" s="56"/>
      <c r="G24" s="56"/>
      <c r="H24" s="56"/>
      <c r="I24" s="46"/>
      <c r="J24" s="45"/>
      <c r="K24" s="58"/>
      <c r="L24" s="61"/>
      <c r="M24" s="58"/>
      <c r="N24" s="58"/>
      <c r="O24" s="61"/>
      <c r="P24" s="61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</row>
    <row r="25" spans="1:39">
      <c r="A25" s="55">
        <f t="shared" si="1"/>
        <v>22</v>
      </c>
      <c r="B25" s="45" t="s">
        <v>366</v>
      </c>
      <c r="C25" s="57" t="s">
        <v>375</v>
      </c>
      <c r="D25" s="45" t="s">
        <v>352</v>
      </c>
      <c r="E25" s="58"/>
      <c r="F25" s="56"/>
      <c r="G25" s="56"/>
      <c r="H25" s="56"/>
      <c r="I25" s="46"/>
      <c r="J25" s="45"/>
      <c r="K25" s="58"/>
      <c r="L25" s="61"/>
      <c r="M25" s="58"/>
      <c r="N25" s="58"/>
      <c r="O25" s="61"/>
      <c r="P25" s="61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</row>
    <row r="26" spans="1:39">
      <c r="A26" s="55">
        <f t="shared" si="1"/>
        <v>23</v>
      </c>
      <c r="B26" s="45" t="s">
        <v>367</v>
      </c>
      <c r="C26" s="57" t="s">
        <v>376</v>
      </c>
      <c r="D26" s="45" t="s">
        <v>85</v>
      </c>
      <c r="E26" s="58"/>
      <c r="F26" s="56"/>
      <c r="G26" s="56"/>
      <c r="H26" s="56"/>
      <c r="I26" s="46"/>
      <c r="J26" s="45"/>
      <c r="K26" s="58"/>
      <c r="L26" s="61"/>
      <c r="M26" s="58"/>
      <c r="N26" s="58"/>
      <c r="O26" s="61"/>
      <c r="P26" s="61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</row>
    <row r="27" spans="1:39">
      <c r="A27" s="55">
        <f t="shared" si="1"/>
        <v>24</v>
      </c>
      <c r="B27" s="45" t="s">
        <v>368</v>
      </c>
      <c r="C27" s="57" t="s">
        <v>377</v>
      </c>
      <c r="D27" s="45" t="s">
        <v>82</v>
      </c>
      <c r="E27" s="58"/>
      <c r="F27" s="45"/>
      <c r="G27" s="45"/>
      <c r="H27" s="45"/>
      <c r="I27" s="46"/>
      <c r="J27" s="45"/>
      <c r="K27" s="58"/>
      <c r="L27" s="61"/>
      <c r="M27" s="58"/>
      <c r="N27" s="58"/>
      <c r="O27" s="61"/>
      <c r="P27" s="61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</row>
    <row r="28" spans="1:39">
      <c r="A28" s="55">
        <f t="shared" si="1"/>
        <v>25</v>
      </c>
      <c r="B28" s="45" t="s">
        <v>369</v>
      </c>
      <c r="C28" s="57" t="s">
        <v>268</v>
      </c>
      <c r="D28" s="45" t="s">
        <v>20</v>
      </c>
      <c r="E28" s="58"/>
      <c r="F28" s="45"/>
      <c r="G28" s="45"/>
      <c r="H28" s="45"/>
      <c r="I28" s="46"/>
      <c r="J28" s="45"/>
      <c r="K28" s="58"/>
      <c r="L28" s="61"/>
      <c r="M28" s="58"/>
      <c r="N28" s="58"/>
      <c r="O28" s="61"/>
      <c r="P28" s="61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 spans="1:39">
      <c r="A29" s="55">
        <f t="shared" si="1"/>
        <v>26</v>
      </c>
      <c r="B29" s="45" t="s">
        <v>370</v>
      </c>
      <c r="C29" s="57" t="s">
        <v>378</v>
      </c>
      <c r="D29" s="45" t="s">
        <v>454</v>
      </c>
      <c r="E29" s="58"/>
      <c r="F29" s="45"/>
      <c r="G29" s="45"/>
      <c r="H29" s="45"/>
      <c r="I29" s="46"/>
      <c r="J29" s="45"/>
      <c r="K29" s="58"/>
      <c r="L29" s="61"/>
      <c r="M29" s="58"/>
      <c r="N29" s="58"/>
      <c r="O29" s="61"/>
      <c r="P29" s="61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</row>
    <row r="30" spans="1:39">
      <c r="A30" s="55">
        <f t="shared" si="1"/>
        <v>27</v>
      </c>
      <c r="B30" s="45" t="s">
        <v>429</v>
      </c>
      <c r="C30" s="57" t="s">
        <v>676</v>
      </c>
      <c r="D30" s="45"/>
      <c r="E30" s="58"/>
      <c r="F30" s="45"/>
      <c r="G30" s="45"/>
      <c r="H30" s="45"/>
      <c r="I30" s="46"/>
      <c r="J30" s="45"/>
      <c r="K30" s="58"/>
      <c r="L30" s="61"/>
      <c r="M30" s="58"/>
      <c r="N30" s="58"/>
      <c r="O30" s="61"/>
      <c r="P30" s="61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</row>
    <row r="31" spans="1:39">
      <c r="A31" s="55">
        <f t="shared" si="1"/>
        <v>28</v>
      </c>
      <c r="B31" s="45" t="s">
        <v>539</v>
      </c>
      <c r="C31" s="57" t="s">
        <v>538</v>
      </c>
      <c r="D31" s="45" t="s">
        <v>124</v>
      </c>
      <c r="E31" s="58"/>
      <c r="F31" s="45"/>
      <c r="G31" s="45"/>
      <c r="H31" s="45"/>
      <c r="I31" s="46"/>
      <c r="J31" s="45"/>
      <c r="K31" s="58"/>
      <c r="L31" s="61"/>
      <c r="M31" s="58"/>
      <c r="N31" s="58"/>
      <c r="O31" s="61"/>
      <c r="P31" s="61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</row>
    <row r="32" spans="1:39">
      <c r="A32" s="55">
        <f t="shared" si="1"/>
        <v>29</v>
      </c>
      <c r="B32" s="45" t="s">
        <v>535</v>
      </c>
      <c r="C32" s="57" t="s">
        <v>536</v>
      </c>
      <c r="D32" s="45" t="s">
        <v>21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1:39">
      <c r="A33" s="55">
        <f t="shared" si="1"/>
        <v>30</v>
      </c>
      <c r="B33" s="45" t="s">
        <v>534</v>
      </c>
      <c r="C33" s="57" t="s">
        <v>537</v>
      </c>
      <c r="D33" s="45" t="s">
        <v>82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</row>
    <row r="34" spans="1:39">
      <c r="A34" s="55">
        <f t="shared" si="1"/>
        <v>31</v>
      </c>
      <c r="B34" s="45" t="s">
        <v>540</v>
      </c>
      <c r="C34" s="57" t="s">
        <v>541</v>
      </c>
      <c r="D34" s="45" t="s">
        <v>542</v>
      </c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1:39">
      <c r="A35" s="55">
        <f t="shared" si="1"/>
        <v>32</v>
      </c>
      <c r="B35" s="45" t="s">
        <v>543</v>
      </c>
      <c r="C35" s="57" t="s">
        <v>544</v>
      </c>
      <c r="D35" s="45" t="s">
        <v>21</v>
      </c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</row>
    <row r="36" spans="1:39">
      <c r="A36" s="55">
        <f t="shared" si="1"/>
        <v>33</v>
      </c>
      <c r="B36" s="45" t="s">
        <v>545</v>
      </c>
      <c r="C36" s="57" t="s">
        <v>546</v>
      </c>
      <c r="D36" s="45" t="s">
        <v>21</v>
      </c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</row>
    <row r="37" spans="1:39">
      <c r="A37" s="55">
        <f t="shared" si="1"/>
        <v>34</v>
      </c>
      <c r="B37" s="45" t="s">
        <v>547</v>
      </c>
      <c r="C37" s="57" t="s">
        <v>548</v>
      </c>
      <c r="D37" s="45" t="s">
        <v>109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</row>
    <row r="38" spans="1:39">
      <c r="A38" s="55">
        <f t="shared" si="1"/>
        <v>35</v>
      </c>
      <c r="B38" s="45" t="s">
        <v>549</v>
      </c>
      <c r="C38" s="57" t="s">
        <v>550</v>
      </c>
      <c r="D38" s="45" t="s">
        <v>124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</row>
    <row r="39" spans="1:39">
      <c r="A39" s="55">
        <f t="shared" si="1"/>
        <v>36</v>
      </c>
      <c r="B39" s="45" t="s">
        <v>551</v>
      </c>
      <c r="C39" s="57" t="s">
        <v>552</v>
      </c>
      <c r="D39" s="45" t="s">
        <v>165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</row>
    <row r="40" spans="1:39">
      <c r="A40" s="55">
        <f t="shared" si="1"/>
        <v>37</v>
      </c>
      <c r="B40" s="45" t="s">
        <v>553</v>
      </c>
      <c r="C40" s="57" t="s">
        <v>554</v>
      </c>
      <c r="D40" s="45" t="s">
        <v>542</v>
      </c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1:39">
      <c r="A41" s="55">
        <f t="shared" si="1"/>
        <v>38</v>
      </c>
      <c r="B41" s="45" t="s">
        <v>555</v>
      </c>
      <c r="C41" s="57" t="s">
        <v>556</v>
      </c>
      <c r="D41" s="45" t="s">
        <v>82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1:39">
      <c r="A42" s="55">
        <f t="shared" si="1"/>
        <v>39</v>
      </c>
      <c r="B42" s="45" t="s">
        <v>557</v>
      </c>
      <c r="C42" s="57" t="s">
        <v>558</v>
      </c>
      <c r="D42" s="45" t="s">
        <v>21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  <row r="43" spans="1:39">
      <c r="A43" s="55">
        <f t="shared" si="1"/>
        <v>40</v>
      </c>
      <c r="B43" s="45" t="s">
        <v>532</v>
      </c>
      <c r="C43" s="57" t="s">
        <v>674</v>
      </c>
      <c r="D43" s="45" t="s">
        <v>219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</row>
    <row r="44" spans="1:39">
      <c r="A44" s="55">
        <f t="shared" si="1"/>
        <v>41</v>
      </c>
      <c r="B44" s="45" t="s">
        <v>533</v>
      </c>
      <c r="C44" s="57" t="s">
        <v>675</v>
      </c>
      <c r="D44" s="45" t="s">
        <v>21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</row>
    <row r="45" spans="1:39">
      <c r="A45" s="55">
        <f t="shared" si="1"/>
        <v>42</v>
      </c>
      <c r="B45" s="45" t="s">
        <v>559</v>
      </c>
      <c r="C45" s="45" t="s">
        <v>560</v>
      </c>
      <c r="D45" s="45" t="s">
        <v>85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</row>
    <row r="46" spans="1:39">
      <c r="A46" s="55">
        <f t="shared" si="1"/>
        <v>43</v>
      </c>
      <c r="B46" s="45" t="s">
        <v>561</v>
      </c>
      <c r="C46" s="45" t="s">
        <v>562</v>
      </c>
      <c r="D46" s="45" t="s">
        <v>21</v>
      </c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</row>
    <row r="47" spans="1:39">
      <c r="A47" s="55">
        <f t="shared" si="1"/>
        <v>44</v>
      </c>
      <c r="B47" s="45" t="s">
        <v>563</v>
      </c>
      <c r="C47" s="45" t="s">
        <v>564</v>
      </c>
      <c r="D47" s="45" t="s">
        <v>82</v>
      </c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</row>
    <row r="48" spans="1:39">
      <c r="A48" s="55">
        <f t="shared" si="1"/>
        <v>45</v>
      </c>
      <c r="B48" s="45" t="s">
        <v>565</v>
      </c>
      <c r="C48" s="45" t="s">
        <v>566</v>
      </c>
      <c r="D48" s="45" t="s">
        <v>100</v>
      </c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</row>
    <row r="49" spans="1:39">
      <c r="A49" s="55">
        <f t="shared" si="1"/>
        <v>46</v>
      </c>
      <c r="B49" s="45" t="s">
        <v>342</v>
      </c>
      <c r="C49" s="45" t="s">
        <v>341</v>
      </c>
      <c r="D49" s="45" t="s">
        <v>21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</row>
    <row r="50" spans="1:39">
      <c r="A50" s="55">
        <f t="shared" si="1"/>
        <v>47</v>
      </c>
      <c r="B50" s="45" t="s">
        <v>567</v>
      </c>
      <c r="C50" s="45" t="s">
        <v>568</v>
      </c>
      <c r="D50" s="45" t="s">
        <v>21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</row>
    <row r="51" spans="1:39">
      <c r="A51" s="55">
        <f t="shared" si="1"/>
        <v>48</v>
      </c>
      <c r="B51" s="45" t="s">
        <v>569</v>
      </c>
      <c r="C51" s="45" t="s">
        <v>570</v>
      </c>
      <c r="D51" s="45" t="s">
        <v>20</v>
      </c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</row>
    <row r="52" spans="1:39">
      <c r="A52" s="55">
        <f t="shared" si="1"/>
        <v>49</v>
      </c>
      <c r="B52" s="45" t="s">
        <v>571</v>
      </c>
      <c r="C52" s="45" t="s">
        <v>572</v>
      </c>
      <c r="D52" s="45" t="s">
        <v>124</v>
      </c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</row>
    <row r="53" spans="1:39">
      <c r="A53" s="55">
        <f t="shared" si="1"/>
        <v>50</v>
      </c>
      <c r="B53" s="45" t="s">
        <v>573</v>
      </c>
      <c r="C53" s="45" t="s">
        <v>574</v>
      </c>
      <c r="D53" s="45" t="s">
        <v>223</v>
      </c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</row>
    <row r="54" spans="1:39">
      <c r="A54" s="55">
        <f t="shared" si="1"/>
        <v>51</v>
      </c>
      <c r="B54" s="45" t="s">
        <v>575</v>
      </c>
      <c r="C54" s="45" t="s">
        <v>576</v>
      </c>
      <c r="D54" s="45" t="s">
        <v>578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</row>
    <row r="55" spans="1:39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</row>
    <row r="56" spans="1:39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</row>
    <row r="57" spans="1:39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</row>
    <row r="58" spans="1:39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</row>
    <row r="59" spans="1:3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</row>
    <row r="60" spans="1:39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</row>
    <row r="61" spans="1:39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</row>
    <row r="62" spans="1:39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</row>
    <row r="63" spans="1:39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</row>
    <row r="64" spans="1:39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</row>
    <row r="65" spans="1:39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</row>
    <row r="66" spans="1:39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</row>
    <row r="67" spans="1:39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</row>
  </sheetData>
  <hyperlinks>
    <hyperlink ref="B4" r:id="rId1" xr:uid="{1FF2BF39-7C4A-4FFE-8877-0A2B82342685}"/>
    <hyperlink ref="B5" r:id="rId2" xr:uid="{A13BACF4-FCB7-4838-B121-5FB6EB623E7F}"/>
    <hyperlink ref="B7" r:id="rId3" xr:uid="{FAD9654E-5148-4908-A030-912BD7FF7F00}"/>
    <hyperlink ref="A1" location="Fashion!A1" display="Main" xr:uid="{19556E51-CA85-4291-B229-E37B5A1E9A7E}"/>
    <hyperlink ref="B6" r:id="rId4" xr:uid="{59764142-B88C-431F-8FD4-D5C44A73AE45}"/>
  </hyperlinks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B318-5BA2-4BBA-A200-FE3B9D2C3D73}">
  <dimension ref="A1:T52"/>
  <sheetViews>
    <sheetView zoomScale="200" zoomScaleNormal="200" workbookViewId="0">
      <selection activeCell="B20" sqref="B20"/>
    </sheetView>
  </sheetViews>
  <sheetFormatPr defaultRowHeight="13.5"/>
  <cols>
    <col min="1" max="1" width="4.7109375" style="6" customWidth="1"/>
    <col min="2" max="2" width="17.5703125" style="6" customWidth="1"/>
    <col min="3" max="16384" width="9.140625" style="6"/>
  </cols>
  <sheetData>
    <row r="1" spans="1:20">
      <c r="A1" s="44" t="s">
        <v>459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20">
      <c r="A2" s="45" t="s">
        <v>460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</row>
    <row r="3" spans="1:20">
      <c r="A3" s="47" t="s">
        <v>315</v>
      </c>
      <c r="B3" s="48" t="s">
        <v>2</v>
      </c>
      <c r="C3" s="49" t="s">
        <v>457</v>
      </c>
      <c r="D3" s="48" t="s">
        <v>19</v>
      </c>
      <c r="E3" s="67" t="s">
        <v>4</v>
      </c>
      <c r="F3" s="68" t="s">
        <v>5</v>
      </c>
      <c r="G3" s="68" t="s">
        <v>87</v>
      </c>
      <c r="H3" s="68" t="s">
        <v>6</v>
      </c>
      <c r="I3" s="50" t="s">
        <v>442</v>
      </c>
      <c r="J3" s="69" t="s">
        <v>458</v>
      </c>
      <c r="K3" s="67" t="s">
        <v>842</v>
      </c>
      <c r="L3" s="70"/>
      <c r="M3" s="67"/>
      <c r="N3" s="67"/>
      <c r="O3" s="70"/>
      <c r="P3" s="70"/>
      <c r="Q3" s="48"/>
      <c r="R3" s="48"/>
      <c r="S3" s="48"/>
      <c r="T3" s="14"/>
    </row>
    <row r="4" spans="1:20">
      <c r="A4" s="55">
        <v>1</v>
      </c>
      <c r="B4" s="89" t="s">
        <v>8</v>
      </c>
      <c r="C4" s="89" t="s">
        <v>102</v>
      </c>
      <c r="D4" s="89" t="s">
        <v>20</v>
      </c>
      <c r="E4" s="45"/>
      <c r="F4" s="45"/>
      <c r="G4" s="45"/>
      <c r="H4" s="45"/>
      <c r="I4" s="45"/>
      <c r="J4" s="45"/>
      <c r="K4" s="89" t="s">
        <v>840</v>
      </c>
      <c r="L4" s="45"/>
      <c r="M4" s="45"/>
      <c r="N4" s="45"/>
      <c r="O4" s="45"/>
      <c r="P4" s="45"/>
      <c r="Q4" s="45"/>
      <c r="R4" s="45"/>
      <c r="S4" s="45"/>
    </row>
    <row r="5" spans="1:20">
      <c r="A5" s="55">
        <f>+A4+1</f>
        <v>2</v>
      </c>
      <c r="B5" s="89" t="s">
        <v>9</v>
      </c>
      <c r="C5" s="89" t="s">
        <v>829</v>
      </c>
      <c r="D5" s="89" t="s">
        <v>20</v>
      </c>
      <c r="E5" s="45"/>
      <c r="F5" s="45"/>
      <c r="G5" s="45"/>
      <c r="H5" s="45"/>
      <c r="I5" s="45"/>
      <c r="J5" s="45"/>
      <c r="K5" s="89" t="s">
        <v>840</v>
      </c>
      <c r="L5" s="45"/>
      <c r="M5" s="45"/>
      <c r="N5" s="45"/>
      <c r="O5" s="45"/>
      <c r="P5" s="45"/>
      <c r="Q5" s="45"/>
      <c r="R5" s="45"/>
      <c r="S5" s="45"/>
    </row>
    <row r="6" spans="1:20">
      <c r="A6" s="55">
        <f t="shared" ref="A6:A51" si="0">+A5+1</f>
        <v>3</v>
      </c>
      <c r="B6" s="89" t="s">
        <v>828</v>
      </c>
      <c r="C6" s="89" t="s">
        <v>139</v>
      </c>
      <c r="D6" s="89" t="s">
        <v>20</v>
      </c>
      <c r="E6" s="45"/>
      <c r="F6" s="45"/>
      <c r="G6" s="45"/>
      <c r="H6" s="45"/>
      <c r="I6" s="45"/>
      <c r="J6" s="45"/>
      <c r="K6" s="89" t="s">
        <v>841</v>
      </c>
      <c r="L6" s="45"/>
      <c r="M6" s="45"/>
      <c r="N6" s="45"/>
      <c r="O6" s="45"/>
      <c r="P6" s="45"/>
      <c r="Q6" s="45"/>
      <c r="R6" s="45"/>
      <c r="S6" s="45"/>
    </row>
    <row r="7" spans="1:20">
      <c r="A7" s="55">
        <f t="shared" si="0"/>
        <v>4</v>
      </c>
      <c r="B7" s="89" t="s">
        <v>83</v>
      </c>
      <c r="C7" s="89" t="s">
        <v>84</v>
      </c>
      <c r="D7" s="89" t="s">
        <v>85</v>
      </c>
      <c r="E7" s="45"/>
      <c r="F7" s="45"/>
      <c r="G7" s="45"/>
      <c r="H7" s="45"/>
      <c r="I7" s="45"/>
      <c r="J7" s="45"/>
      <c r="K7" s="89" t="s">
        <v>843</v>
      </c>
      <c r="L7" s="45"/>
      <c r="M7" s="45"/>
      <c r="N7" s="45"/>
      <c r="O7" s="45"/>
      <c r="P7" s="45"/>
      <c r="Q7" s="45"/>
      <c r="R7" s="45"/>
      <c r="S7" s="45"/>
    </row>
    <row r="8" spans="1:20">
      <c r="A8" s="55">
        <f t="shared" si="0"/>
        <v>5</v>
      </c>
      <c r="B8" s="89" t="s">
        <v>98</v>
      </c>
      <c r="C8" s="89" t="s">
        <v>101</v>
      </c>
      <c r="D8" s="89" t="s">
        <v>20</v>
      </c>
      <c r="E8" s="45"/>
      <c r="F8" s="45"/>
      <c r="G8" s="45"/>
      <c r="H8" s="45"/>
      <c r="I8" s="45"/>
      <c r="J8" s="45"/>
      <c r="K8" s="89" t="s">
        <v>840</v>
      </c>
      <c r="L8" s="45"/>
      <c r="M8" s="45"/>
      <c r="N8" s="45"/>
      <c r="O8" s="45"/>
      <c r="P8" s="45"/>
      <c r="Q8" s="45"/>
      <c r="R8" s="45"/>
      <c r="S8" s="45"/>
    </row>
    <row r="9" spans="1:20">
      <c r="A9" s="55">
        <f t="shared" si="0"/>
        <v>6</v>
      </c>
      <c r="B9" s="89" t="s">
        <v>140</v>
      </c>
      <c r="C9" s="89" t="s">
        <v>141</v>
      </c>
      <c r="D9" s="89" t="s">
        <v>185</v>
      </c>
      <c r="E9" s="45"/>
      <c r="F9" s="45"/>
      <c r="G9" s="45"/>
      <c r="H9" s="45"/>
      <c r="I9" s="45"/>
      <c r="J9" s="45"/>
      <c r="K9" s="89" t="s">
        <v>843</v>
      </c>
      <c r="L9" s="45"/>
      <c r="M9" s="45"/>
      <c r="N9" s="45"/>
      <c r="O9" s="45"/>
      <c r="P9" s="45"/>
      <c r="Q9" s="45"/>
      <c r="R9" s="45"/>
      <c r="S9" s="45"/>
    </row>
    <row r="10" spans="1:20">
      <c r="A10" s="55">
        <f t="shared" si="0"/>
        <v>7</v>
      </c>
      <c r="B10" s="89" t="s">
        <v>7</v>
      </c>
      <c r="C10" s="89" t="s">
        <v>446</v>
      </c>
      <c r="D10" s="89" t="s">
        <v>20</v>
      </c>
      <c r="E10" s="45"/>
      <c r="F10" s="45"/>
      <c r="G10" s="45"/>
      <c r="H10" s="45"/>
      <c r="I10" s="45"/>
      <c r="J10" s="45"/>
      <c r="K10" s="89" t="s">
        <v>840</v>
      </c>
      <c r="L10" s="45"/>
      <c r="M10" s="45"/>
      <c r="N10" s="45"/>
      <c r="O10" s="45"/>
      <c r="P10" s="45"/>
      <c r="Q10" s="45"/>
      <c r="R10" s="45"/>
      <c r="S10" s="45"/>
    </row>
    <row r="11" spans="1:20">
      <c r="A11" s="55">
        <f t="shared" si="0"/>
        <v>8</v>
      </c>
      <c r="B11" s="89" t="s">
        <v>18</v>
      </c>
      <c r="C11" s="89" t="s">
        <v>448</v>
      </c>
      <c r="D11" s="89" t="s">
        <v>165</v>
      </c>
      <c r="E11" s="45"/>
      <c r="F11" s="45"/>
      <c r="G11" s="45"/>
      <c r="H11" s="45"/>
      <c r="I11" s="45"/>
      <c r="J11" s="45"/>
      <c r="K11" s="89" t="s">
        <v>844</v>
      </c>
      <c r="L11" s="45"/>
      <c r="M11" s="45"/>
      <c r="N11" s="45"/>
      <c r="O11" s="45"/>
      <c r="P11" s="45"/>
      <c r="Q11" s="45"/>
      <c r="R11" s="45"/>
      <c r="S11" s="45"/>
    </row>
    <row r="12" spans="1:20">
      <c r="A12" s="55">
        <f t="shared" si="0"/>
        <v>9</v>
      </c>
      <c r="B12" s="89" t="s">
        <v>339</v>
      </c>
      <c r="C12" s="89" t="s">
        <v>340</v>
      </c>
      <c r="D12" s="89" t="s">
        <v>254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</row>
    <row r="13" spans="1:20">
      <c r="A13" s="55">
        <f t="shared" si="0"/>
        <v>10</v>
      </c>
      <c r="B13" s="89" t="s">
        <v>135</v>
      </c>
      <c r="C13" s="89" t="s">
        <v>136</v>
      </c>
      <c r="D13" s="89" t="s">
        <v>165</v>
      </c>
      <c r="E13" s="45"/>
      <c r="F13" s="45"/>
      <c r="G13" s="45"/>
      <c r="H13" s="45"/>
      <c r="I13" s="45"/>
      <c r="J13" s="45"/>
      <c r="K13" s="89" t="s">
        <v>844</v>
      </c>
      <c r="L13" s="45"/>
      <c r="M13" s="45"/>
      <c r="N13" s="45"/>
      <c r="O13" s="45"/>
      <c r="P13" s="45"/>
      <c r="Q13" s="45"/>
      <c r="R13" s="45"/>
      <c r="S13" s="45"/>
    </row>
    <row r="14" spans="1:20">
      <c r="A14" s="55">
        <f t="shared" si="0"/>
        <v>11</v>
      </c>
      <c r="B14" s="89" t="s">
        <v>387</v>
      </c>
      <c r="C14" s="89" t="s">
        <v>386</v>
      </c>
      <c r="D14" s="89" t="s">
        <v>165</v>
      </c>
      <c r="E14" s="45"/>
      <c r="F14" s="45"/>
      <c r="G14" s="45"/>
      <c r="H14" s="45"/>
      <c r="I14" s="45"/>
      <c r="J14" s="45"/>
      <c r="K14" s="89" t="s">
        <v>844</v>
      </c>
      <c r="L14" s="45"/>
      <c r="M14" s="45"/>
      <c r="N14" s="45"/>
      <c r="O14" s="45"/>
      <c r="P14" s="45"/>
      <c r="Q14" s="45"/>
      <c r="R14" s="45"/>
      <c r="S14" s="45"/>
    </row>
    <row r="15" spans="1:20">
      <c r="A15" s="55">
        <f t="shared" si="0"/>
        <v>12</v>
      </c>
      <c r="B15" s="89" t="s">
        <v>830</v>
      </c>
      <c r="C15" s="89" t="s">
        <v>831</v>
      </c>
      <c r="D15" s="89" t="s">
        <v>143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</row>
    <row r="16" spans="1:20">
      <c r="A16" s="55">
        <f t="shared" si="0"/>
        <v>13</v>
      </c>
      <c r="B16" s="89" t="s">
        <v>832</v>
      </c>
      <c r="C16" s="89" t="s">
        <v>455</v>
      </c>
      <c r="D16" s="89" t="s">
        <v>219</v>
      </c>
      <c r="E16" s="45"/>
      <c r="F16" s="45"/>
      <c r="G16" s="45"/>
      <c r="H16" s="45"/>
      <c r="I16" s="45"/>
      <c r="J16" s="45"/>
      <c r="K16" s="89" t="s">
        <v>844</v>
      </c>
      <c r="L16" s="45"/>
      <c r="M16" s="45"/>
      <c r="N16" s="45"/>
      <c r="O16" s="45"/>
      <c r="P16" s="45"/>
      <c r="Q16" s="45"/>
      <c r="R16" s="45"/>
      <c r="S16" s="45"/>
    </row>
    <row r="17" spans="1:19">
      <c r="A17" s="55">
        <f t="shared" si="0"/>
        <v>14</v>
      </c>
      <c r="B17" s="89" t="s">
        <v>833</v>
      </c>
      <c r="C17" s="89" t="s">
        <v>349</v>
      </c>
      <c r="D17" s="89" t="s">
        <v>347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</row>
    <row r="18" spans="1:19">
      <c r="A18" s="55">
        <f t="shared" si="0"/>
        <v>15</v>
      </c>
      <c r="B18" s="89" t="s">
        <v>834</v>
      </c>
      <c r="C18" s="89" t="s">
        <v>46</v>
      </c>
      <c r="D18" s="89" t="s">
        <v>165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</row>
    <row r="19" spans="1:19">
      <c r="A19" s="55">
        <f t="shared" si="0"/>
        <v>16</v>
      </c>
      <c r="B19" s="89" t="s">
        <v>342</v>
      </c>
      <c r="C19" s="89" t="s">
        <v>341</v>
      </c>
      <c r="D19" s="89" t="s">
        <v>21</v>
      </c>
      <c r="E19" s="45"/>
      <c r="F19" s="45"/>
      <c r="G19" s="45"/>
      <c r="H19" s="45"/>
      <c r="I19" s="45"/>
      <c r="J19" s="45"/>
      <c r="K19" s="89" t="s">
        <v>845</v>
      </c>
      <c r="L19" s="45"/>
      <c r="M19" s="45"/>
      <c r="N19" s="45"/>
      <c r="O19" s="45"/>
      <c r="P19" s="45"/>
      <c r="Q19" s="45"/>
      <c r="R19" s="45"/>
      <c r="S19" s="45"/>
    </row>
    <row r="20" spans="1:19">
      <c r="A20" s="55">
        <f t="shared" si="0"/>
        <v>17</v>
      </c>
      <c r="B20" s="89" t="s">
        <v>835</v>
      </c>
      <c r="C20" s="89" t="s">
        <v>836</v>
      </c>
      <c r="D20" s="89" t="s">
        <v>21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</row>
    <row r="21" spans="1:19">
      <c r="A21" s="55">
        <f t="shared" si="0"/>
        <v>18</v>
      </c>
      <c r="B21" s="89" t="s">
        <v>350</v>
      </c>
      <c r="C21" s="89" t="s">
        <v>351</v>
      </c>
      <c r="D21" s="89" t="s">
        <v>837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</row>
    <row r="22" spans="1:19">
      <c r="A22" s="55">
        <f t="shared" si="0"/>
        <v>19</v>
      </c>
      <c r="B22" s="89" t="s">
        <v>532</v>
      </c>
      <c r="C22" s="89" t="s">
        <v>838</v>
      </c>
      <c r="D22" s="89" t="s">
        <v>219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</row>
    <row r="23" spans="1:19">
      <c r="A23" s="55">
        <f t="shared" si="0"/>
        <v>20</v>
      </c>
      <c r="B23" s="89" t="s">
        <v>421</v>
      </c>
      <c r="C23" s="57" t="s">
        <v>438</v>
      </c>
      <c r="D23" s="45" t="s">
        <v>85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</row>
    <row r="24" spans="1:19">
      <c r="A24" s="55">
        <f t="shared" si="0"/>
        <v>21</v>
      </c>
      <c r="B24" s="89" t="s">
        <v>839</v>
      </c>
      <c r="C24" s="89" t="s">
        <v>357</v>
      </c>
      <c r="D24" s="89" t="s">
        <v>165</v>
      </c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</row>
    <row r="25" spans="1:19">
      <c r="A25" s="55">
        <f t="shared" si="0"/>
        <v>22</v>
      </c>
      <c r="B25" s="89" t="s">
        <v>370</v>
      </c>
      <c r="C25" s="89" t="s">
        <v>378</v>
      </c>
      <c r="D25" s="89" t="s">
        <v>254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</row>
    <row r="26" spans="1:19">
      <c r="A26" s="55">
        <f t="shared" si="0"/>
        <v>23</v>
      </c>
      <c r="B26" s="89" t="s">
        <v>846</v>
      </c>
      <c r="C26" s="89" t="s">
        <v>699</v>
      </c>
      <c r="D26" s="89" t="s">
        <v>21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</row>
    <row r="27" spans="1:19">
      <c r="A27" s="55">
        <f t="shared" si="0"/>
        <v>24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</row>
    <row r="28" spans="1:19">
      <c r="A28" s="55">
        <f t="shared" si="0"/>
        <v>25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</row>
    <row r="29" spans="1:19">
      <c r="A29" s="55">
        <f t="shared" si="0"/>
        <v>26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</row>
    <row r="30" spans="1:19">
      <c r="A30" s="55">
        <f t="shared" si="0"/>
        <v>27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</row>
    <row r="31" spans="1:19">
      <c r="A31" s="55">
        <f t="shared" si="0"/>
        <v>28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</row>
    <row r="32" spans="1:19">
      <c r="A32" s="55">
        <f t="shared" si="0"/>
        <v>29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</row>
    <row r="33" spans="1:19">
      <c r="A33" s="55">
        <f t="shared" si="0"/>
        <v>30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</row>
    <row r="34" spans="1:19">
      <c r="A34" s="55">
        <f t="shared" si="0"/>
        <v>31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</row>
    <row r="35" spans="1:19">
      <c r="A35" s="55">
        <f t="shared" si="0"/>
        <v>32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</row>
    <row r="36" spans="1:19">
      <c r="A36" s="55">
        <f t="shared" si="0"/>
        <v>33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</row>
    <row r="37" spans="1:19">
      <c r="A37" s="55">
        <f t="shared" si="0"/>
        <v>34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</row>
    <row r="38" spans="1:19">
      <c r="A38" s="55">
        <f t="shared" si="0"/>
        <v>35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</row>
    <row r="39" spans="1:19">
      <c r="A39" s="55">
        <f t="shared" si="0"/>
        <v>36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</row>
    <row r="40" spans="1:19">
      <c r="A40" s="55">
        <f t="shared" si="0"/>
        <v>37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</row>
    <row r="41" spans="1:19">
      <c r="A41" s="55">
        <f t="shared" si="0"/>
        <v>38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</row>
    <row r="42" spans="1:19">
      <c r="A42" s="55">
        <f t="shared" si="0"/>
        <v>39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</row>
    <row r="43" spans="1:19">
      <c r="A43" s="55">
        <f t="shared" si="0"/>
        <v>40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</row>
    <row r="44" spans="1:19">
      <c r="A44" s="55">
        <f t="shared" si="0"/>
        <v>41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</row>
    <row r="45" spans="1:19">
      <c r="A45" s="55">
        <f t="shared" si="0"/>
        <v>42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</row>
    <row r="46" spans="1:19">
      <c r="A46" s="55">
        <f t="shared" si="0"/>
        <v>43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</row>
    <row r="47" spans="1:19">
      <c r="A47" s="55">
        <f t="shared" si="0"/>
        <v>44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</row>
    <row r="48" spans="1:19">
      <c r="A48" s="55">
        <f t="shared" si="0"/>
        <v>45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</row>
    <row r="49" spans="1:19">
      <c r="A49" s="55">
        <f t="shared" si="0"/>
        <v>46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</row>
    <row r="50" spans="1:19">
      <c r="A50" s="55">
        <f t="shared" si="0"/>
        <v>47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</row>
    <row r="51" spans="1:19">
      <c r="A51" s="55">
        <f t="shared" si="0"/>
        <v>48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</row>
    <row r="52" spans="1:19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</row>
  </sheetData>
  <hyperlinks>
    <hyperlink ref="A1" location="Main!A1" display="Main" xr:uid="{DCE93B03-73FA-4BC2-A7B7-DEE1CD9A6A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1EC5-F720-4AB1-9031-7261BEEF1FBA}">
  <dimension ref="A1:AJ155"/>
  <sheetViews>
    <sheetView zoomScale="200" zoomScaleNormal="200" workbookViewId="0">
      <pane xSplit="2" ySplit="3" topLeftCell="C19" activePane="bottomRight" state="frozen"/>
      <selection pane="topRight" activeCell="C1" sqref="C1"/>
      <selection pane="bottomLeft" activeCell="A3" sqref="A3"/>
      <selection pane="bottomRight" activeCell="E44" sqref="E44"/>
    </sheetView>
  </sheetViews>
  <sheetFormatPr defaultRowHeight="13.5"/>
  <cols>
    <col min="1" max="1" width="4.5703125" style="6" customWidth="1"/>
    <col min="2" max="2" width="27.140625" style="6" customWidth="1"/>
    <col min="3" max="16384" width="9.140625" style="6"/>
  </cols>
  <sheetData>
    <row r="1" spans="1:36">
      <c r="A1" s="44" t="s">
        <v>459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</row>
    <row r="2" spans="1:36">
      <c r="A2" s="45" t="s">
        <v>460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</row>
    <row r="3" spans="1:36">
      <c r="A3" s="47" t="s">
        <v>315</v>
      </c>
      <c r="B3" s="48" t="s">
        <v>2</v>
      </c>
      <c r="C3" s="49" t="s">
        <v>457</v>
      </c>
      <c r="D3" s="48" t="s">
        <v>19</v>
      </c>
      <c r="E3" s="67" t="s">
        <v>4</v>
      </c>
      <c r="F3" s="68" t="s">
        <v>5</v>
      </c>
      <c r="G3" s="68" t="s">
        <v>87</v>
      </c>
      <c r="H3" s="68" t="s">
        <v>6</v>
      </c>
      <c r="I3" s="50" t="s">
        <v>442</v>
      </c>
      <c r="J3" s="69" t="s">
        <v>458</v>
      </c>
      <c r="K3" s="67"/>
      <c r="L3" s="70"/>
      <c r="M3" s="67"/>
      <c r="N3" s="67"/>
      <c r="O3" s="70"/>
      <c r="P3" s="70"/>
      <c r="Q3" s="48"/>
      <c r="R3" s="48"/>
      <c r="S3" s="48"/>
      <c r="T3" s="54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</row>
    <row r="4" spans="1:36">
      <c r="A4" s="55">
        <v>1</v>
      </c>
      <c r="B4" s="45" t="s">
        <v>579</v>
      </c>
      <c r="C4" s="45" t="s">
        <v>580</v>
      </c>
      <c r="D4" s="45" t="s">
        <v>21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</row>
    <row r="5" spans="1:36">
      <c r="A5" s="55">
        <f>+A4+1</f>
        <v>2</v>
      </c>
      <c r="B5" s="45" t="s">
        <v>581</v>
      </c>
      <c r="C5" s="45" t="s">
        <v>582</v>
      </c>
      <c r="D5" s="45" t="s">
        <v>21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6" spans="1:36">
      <c r="A6" s="55">
        <f t="shared" ref="A6:A49" si="0">+A5+1</f>
        <v>3</v>
      </c>
      <c r="B6" s="45" t="s">
        <v>583</v>
      </c>
      <c r="C6" s="45" t="s">
        <v>584</v>
      </c>
      <c r="D6" s="45" t="s">
        <v>21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</row>
    <row r="7" spans="1:36">
      <c r="A7" s="55">
        <f t="shared" si="0"/>
        <v>4</v>
      </c>
      <c r="B7" s="45" t="s">
        <v>585</v>
      </c>
      <c r="C7" s="45" t="s">
        <v>586</v>
      </c>
      <c r="D7" s="45" t="s">
        <v>352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</row>
    <row r="8" spans="1:36">
      <c r="A8" s="55">
        <f t="shared" si="0"/>
        <v>5</v>
      </c>
      <c r="B8" s="45" t="s">
        <v>587</v>
      </c>
      <c r="C8" s="45" t="s">
        <v>588</v>
      </c>
      <c r="D8" s="45" t="s">
        <v>21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</row>
    <row r="9" spans="1:36">
      <c r="A9" s="55">
        <f t="shared" si="0"/>
        <v>6</v>
      </c>
      <c r="B9" s="45" t="s">
        <v>589</v>
      </c>
      <c r="C9" s="45" t="s">
        <v>590</v>
      </c>
      <c r="D9" s="45" t="s">
        <v>21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</row>
    <row r="10" spans="1:36">
      <c r="A10" s="55">
        <f t="shared" si="0"/>
        <v>7</v>
      </c>
      <c r="B10" s="45" t="s">
        <v>591</v>
      </c>
      <c r="C10" s="45" t="s">
        <v>592</v>
      </c>
      <c r="D10" s="45" t="s">
        <v>21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</row>
    <row r="11" spans="1:36">
      <c r="A11" s="55">
        <f t="shared" si="0"/>
        <v>8</v>
      </c>
      <c r="B11" s="45" t="s">
        <v>593</v>
      </c>
      <c r="C11" s="45" t="s">
        <v>594</v>
      </c>
      <c r="D11" s="45" t="s">
        <v>21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</row>
    <row r="12" spans="1:36">
      <c r="A12" s="55">
        <f t="shared" si="0"/>
        <v>9</v>
      </c>
      <c r="B12" s="45" t="s">
        <v>595</v>
      </c>
      <c r="C12" s="45" t="s">
        <v>596</v>
      </c>
      <c r="D12" s="45" t="s">
        <v>109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</row>
    <row r="13" spans="1:36">
      <c r="A13" s="55">
        <f t="shared" si="0"/>
        <v>10</v>
      </c>
      <c r="B13" s="45" t="s">
        <v>597</v>
      </c>
      <c r="C13" s="45" t="s">
        <v>598</v>
      </c>
      <c r="D13" s="45" t="s">
        <v>21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</row>
    <row r="14" spans="1:36">
      <c r="A14" s="55">
        <f t="shared" si="0"/>
        <v>11</v>
      </c>
      <c r="B14" s="45" t="s">
        <v>599</v>
      </c>
      <c r="C14" s="45" t="s">
        <v>600</v>
      </c>
      <c r="D14" s="45" t="s">
        <v>21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</row>
    <row r="15" spans="1:36">
      <c r="A15" s="55">
        <f t="shared" si="0"/>
        <v>12</v>
      </c>
      <c r="B15" s="45" t="s">
        <v>601</v>
      </c>
      <c r="C15" s="45" t="s">
        <v>602</v>
      </c>
      <c r="D15" s="45" t="s">
        <v>542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</row>
    <row r="16" spans="1:36">
      <c r="A16" s="55">
        <f t="shared" si="0"/>
        <v>13</v>
      </c>
      <c r="B16" s="45" t="s">
        <v>603</v>
      </c>
      <c r="C16" s="45" t="s">
        <v>604</v>
      </c>
      <c r="D16" s="45" t="s">
        <v>21</v>
      </c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</row>
    <row r="17" spans="1:36">
      <c r="A17" s="55">
        <f t="shared" si="0"/>
        <v>14</v>
      </c>
      <c r="B17" s="45" t="s">
        <v>605</v>
      </c>
      <c r="C17" s="45" t="s">
        <v>606</v>
      </c>
      <c r="D17" s="45" t="s">
        <v>352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</row>
    <row r="18" spans="1:36">
      <c r="A18" s="55">
        <f t="shared" si="0"/>
        <v>15</v>
      </c>
      <c r="B18" s="45" t="s">
        <v>607</v>
      </c>
      <c r="C18" s="45" t="s">
        <v>608</v>
      </c>
      <c r="D18" s="45" t="s">
        <v>668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spans="1:36">
      <c r="A19" s="55">
        <f t="shared" si="0"/>
        <v>16</v>
      </c>
      <c r="B19" s="45" t="s">
        <v>609</v>
      </c>
      <c r="C19" s="45" t="s">
        <v>610</v>
      </c>
      <c r="D19" s="45" t="s">
        <v>21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</row>
    <row r="20" spans="1:36">
      <c r="A20" s="55">
        <f t="shared" si="0"/>
        <v>17</v>
      </c>
      <c r="B20" s="45" t="s">
        <v>611</v>
      </c>
      <c r="C20" s="45" t="s">
        <v>612</v>
      </c>
      <c r="D20" s="45" t="s">
        <v>223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spans="1:36">
      <c r="A21" s="55">
        <f t="shared" si="0"/>
        <v>18</v>
      </c>
      <c r="B21" s="45" t="s">
        <v>613</v>
      </c>
      <c r="C21" s="45" t="s">
        <v>614</v>
      </c>
      <c r="D21" s="45" t="s">
        <v>669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spans="1:36">
      <c r="A22" s="55">
        <f t="shared" si="0"/>
        <v>19</v>
      </c>
      <c r="B22" s="45" t="s">
        <v>615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spans="1:36">
      <c r="A23" s="55">
        <f t="shared" si="0"/>
        <v>20</v>
      </c>
      <c r="B23" s="45" t="s">
        <v>616</v>
      </c>
      <c r="C23" s="45" t="s">
        <v>617</v>
      </c>
      <c r="D23" s="45" t="s">
        <v>124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spans="1:36">
      <c r="A24" s="55">
        <f t="shared" si="0"/>
        <v>21</v>
      </c>
      <c r="B24" s="45" t="s">
        <v>618</v>
      </c>
      <c r="C24" s="45" t="s">
        <v>619</v>
      </c>
      <c r="D24" s="45" t="s">
        <v>526</v>
      </c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spans="1:36">
      <c r="A25" s="55">
        <f t="shared" si="0"/>
        <v>22</v>
      </c>
      <c r="B25" s="45" t="s">
        <v>620</v>
      </c>
      <c r="C25" s="45" t="s">
        <v>621</v>
      </c>
      <c r="D25" s="45" t="s">
        <v>219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spans="1:36">
      <c r="A26" s="55">
        <f t="shared" si="0"/>
        <v>23</v>
      </c>
      <c r="B26" s="45" t="s">
        <v>622</v>
      </c>
      <c r="C26" s="45" t="s">
        <v>623</v>
      </c>
      <c r="D26" s="45" t="s">
        <v>670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spans="1:36">
      <c r="A27" s="55">
        <f t="shared" si="0"/>
        <v>24</v>
      </c>
      <c r="B27" s="45" t="s">
        <v>624</v>
      </c>
      <c r="C27" s="45" t="s">
        <v>625</v>
      </c>
      <c r="D27" s="45" t="s">
        <v>21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spans="1:36">
      <c r="A28" s="55">
        <f t="shared" si="0"/>
        <v>25</v>
      </c>
      <c r="B28" s="45" t="s">
        <v>626</v>
      </c>
      <c r="C28" s="45" t="s">
        <v>627</v>
      </c>
      <c r="D28" s="45" t="s">
        <v>82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spans="1:36">
      <c r="A29" s="55">
        <f t="shared" si="0"/>
        <v>26</v>
      </c>
      <c r="B29" s="45" t="s">
        <v>628</v>
      </c>
      <c r="C29" s="45" t="s">
        <v>629</v>
      </c>
      <c r="D29" s="45" t="s">
        <v>21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spans="1:36">
      <c r="A30" s="55">
        <f t="shared" si="0"/>
        <v>27</v>
      </c>
      <c r="B30" s="45" t="s">
        <v>630</v>
      </c>
      <c r="C30" s="45" t="s">
        <v>631</v>
      </c>
      <c r="D30" s="45" t="s">
        <v>109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spans="1:36">
      <c r="A31" s="55">
        <f t="shared" si="0"/>
        <v>28</v>
      </c>
      <c r="B31" s="45" t="s">
        <v>632</v>
      </c>
      <c r="C31" s="45" t="s">
        <v>633</v>
      </c>
      <c r="D31" s="45" t="s">
        <v>165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spans="1:36">
      <c r="A32" s="55">
        <f t="shared" si="0"/>
        <v>29</v>
      </c>
      <c r="B32" s="45" t="s">
        <v>634</v>
      </c>
      <c r="C32" s="45" t="s">
        <v>635</v>
      </c>
      <c r="D32" s="45" t="s">
        <v>671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spans="1:36">
      <c r="A33" s="55">
        <f t="shared" si="0"/>
        <v>30</v>
      </c>
      <c r="B33" s="45" t="s">
        <v>636</v>
      </c>
      <c r="C33" s="45" t="s">
        <v>637</v>
      </c>
      <c r="D33" s="45" t="s">
        <v>21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spans="1:36">
      <c r="A34" s="55">
        <f t="shared" si="0"/>
        <v>31</v>
      </c>
      <c r="B34" s="45" t="s">
        <v>638</v>
      </c>
      <c r="C34" s="45" t="s">
        <v>639</v>
      </c>
      <c r="D34" s="45" t="s">
        <v>82</v>
      </c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spans="1:36">
      <c r="A35" s="55">
        <f t="shared" si="0"/>
        <v>32</v>
      </c>
      <c r="B35" s="45" t="s">
        <v>640</v>
      </c>
      <c r="C35" s="45" t="s">
        <v>641</v>
      </c>
      <c r="D35" s="45" t="s">
        <v>21</v>
      </c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spans="1:36">
      <c r="A36" s="55">
        <f t="shared" si="0"/>
        <v>33</v>
      </c>
      <c r="B36" s="45" t="s">
        <v>642</v>
      </c>
      <c r="C36" s="45" t="s">
        <v>643</v>
      </c>
      <c r="D36" s="45" t="s">
        <v>21</v>
      </c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spans="1:36">
      <c r="A37" s="55">
        <f t="shared" si="0"/>
        <v>34</v>
      </c>
      <c r="B37" s="45" t="s">
        <v>644</v>
      </c>
      <c r="C37" s="45" t="s">
        <v>645</v>
      </c>
      <c r="D37" s="45" t="s">
        <v>670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spans="1:36">
      <c r="A38" s="55">
        <f t="shared" si="0"/>
        <v>35</v>
      </c>
      <c r="B38" s="45" t="s">
        <v>646</v>
      </c>
      <c r="C38" s="45" t="s">
        <v>647</v>
      </c>
      <c r="D38" s="45" t="s">
        <v>670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spans="1:36">
      <c r="A39" s="55">
        <f t="shared" si="0"/>
        <v>36</v>
      </c>
      <c r="B39" s="45" t="s">
        <v>648</v>
      </c>
      <c r="C39" s="45" t="s">
        <v>649</v>
      </c>
      <c r="D39" s="45" t="s">
        <v>21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spans="1:36">
      <c r="A40" s="55">
        <f t="shared" si="0"/>
        <v>37</v>
      </c>
      <c r="B40" s="45" t="s">
        <v>650</v>
      </c>
      <c r="C40" s="45" t="s">
        <v>651</v>
      </c>
      <c r="D40" s="45" t="s">
        <v>454</v>
      </c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spans="1:36">
      <c r="A41" s="55">
        <f t="shared" si="0"/>
        <v>38</v>
      </c>
      <c r="B41" s="45" t="s">
        <v>652</v>
      </c>
      <c r="C41" s="45" t="s">
        <v>653</v>
      </c>
      <c r="D41" s="45" t="s">
        <v>21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spans="1:36">
      <c r="A42" s="55">
        <f t="shared" si="0"/>
        <v>39</v>
      </c>
      <c r="B42" s="45" t="s">
        <v>654</v>
      </c>
      <c r="C42" s="45" t="s">
        <v>655</v>
      </c>
      <c r="D42" s="45" t="s">
        <v>21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spans="1:36">
      <c r="A43" s="55">
        <f t="shared" si="0"/>
        <v>40</v>
      </c>
      <c r="B43" s="45" t="s">
        <v>656</v>
      </c>
      <c r="C43" s="45" t="s">
        <v>657</v>
      </c>
      <c r="D43" s="45" t="s">
        <v>577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spans="1:36">
      <c r="A44" s="55">
        <f t="shared" si="0"/>
        <v>41</v>
      </c>
      <c r="B44" s="45" t="s">
        <v>658</v>
      </c>
      <c r="C44" s="45" t="s">
        <v>659</v>
      </c>
      <c r="D44" s="45" t="s">
        <v>165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spans="1:36">
      <c r="A45" s="55">
        <f t="shared" si="0"/>
        <v>42</v>
      </c>
      <c r="B45" s="45" t="s">
        <v>660</v>
      </c>
      <c r="C45" s="45" t="s">
        <v>661</v>
      </c>
      <c r="D45" s="45" t="s">
        <v>670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spans="1:36">
      <c r="A46" s="55">
        <f t="shared" si="0"/>
        <v>43</v>
      </c>
      <c r="B46" s="45" t="s">
        <v>662</v>
      </c>
      <c r="C46" s="45" t="s">
        <v>663</v>
      </c>
      <c r="D46" s="45" t="s">
        <v>21</v>
      </c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spans="1:36">
      <c r="A47" s="55">
        <f t="shared" si="0"/>
        <v>44</v>
      </c>
      <c r="B47" s="45" t="s">
        <v>664</v>
      </c>
      <c r="C47" s="45" t="s">
        <v>665</v>
      </c>
      <c r="D47" s="45" t="s">
        <v>21</v>
      </c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spans="1:36">
      <c r="A48" s="55">
        <f t="shared" si="0"/>
        <v>45</v>
      </c>
      <c r="B48" s="45" t="s">
        <v>666</v>
      </c>
      <c r="C48" s="45" t="s">
        <v>667</v>
      </c>
      <c r="D48" s="45" t="s">
        <v>21</v>
      </c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spans="1:36">
      <c r="A49" s="55">
        <f t="shared" si="0"/>
        <v>46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spans="1:36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spans="1:36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spans="1:36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spans="1:36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spans="1:36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spans="1:36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spans="1:3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spans="1:36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spans="1:36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</row>
    <row r="59" spans="1:36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</row>
    <row r="60" spans="1:36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</row>
    <row r="61" spans="1:36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</row>
    <row r="62" spans="1:36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</row>
    <row r="63" spans="1:36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</row>
    <row r="64" spans="1:36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</row>
    <row r="65" spans="1:36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</row>
    <row r="66" spans="1:3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</row>
    <row r="67" spans="1:36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</row>
    <row r="68" spans="1:36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</row>
    <row r="69" spans="1:36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spans="1:36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</row>
    <row r="71" spans="1:36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</row>
    <row r="72" spans="1:36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</row>
    <row r="73" spans="1:36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</row>
    <row r="74" spans="1:36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</row>
    <row r="75" spans="1:36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</row>
    <row r="76" spans="1:3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</row>
    <row r="77" spans="1:36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</row>
    <row r="78" spans="1:36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</row>
    <row r="79" spans="1:36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</row>
    <row r="80" spans="1:36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</row>
    <row r="81" spans="1:36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</row>
    <row r="82" spans="1:36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</row>
    <row r="83" spans="1:36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</row>
    <row r="84" spans="1:36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</row>
    <row r="85" spans="1:36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</row>
    <row r="86" spans="1:3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spans="1:36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</row>
    <row r="88" spans="1:36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</row>
    <row r="89" spans="1:36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</row>
    <row r="90" spans="1:36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</row>
    <row r="91" spans="1:36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</row>
    <row r="92" spans="1:36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</row>
    <row r="93" spans="1:36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</row>
    <row r="94" spans="1:36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</row>
    <row r="95" spans="1:36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</row>
    <row r="96" spans="1:3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</row>
    <row r="97" spans="1:36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</row>
    <row r="98" spans="1:36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</row>
    <row r="99" spans="1:36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</row>
    <row r="100" spans="1:36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</row>
    <row r="101" spans="1:36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</row>
    <row r="102" spans="1:36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</row>
    <row r="103" spans="1:36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spans="1:36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</row>
    <row r="105" spans="1:36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</row>
    <row r="106" spans="1:3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</row>
    <row r="107" spans="1:36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</row>
    <row r="108" spans="1:36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</row>
    <row r="109" spans="1:36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</row>
    <row r="110" spans="1:36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</row>
    <row r="111" spans="1:36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 spans="1:36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 spans="1:36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</row>
    <row r="114" spans="1:36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</row>
    <row r="115" spans="1:36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</row>
    <row r="116" spans="1:3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</row>
    <row r="117" spans="1:36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</row>
    <row r="118" spans="1:36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</row>
    <row r="119" spans="1:36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</row>
    <row r="120" spans="1:36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spans="1:36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</row>
    <row r="122" spans="1:36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</row>
    <row r="123" spans="1:36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</row>
    <row r="124" spans="1:36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</row>
    <row r="125" spans="1:36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</row>
    <row r="126" spans="1:3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</row>
    <row r="127" spans="1:36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</row>
    <row r="128" spans="1:36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</row>
    <row r="129" spans="1:36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</row>
    <row r="130" spans="1:36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</row>
    <row r="131" spans="1:36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</row>
    <row r="132" spans="1:36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</row>
    <row r="133" spans="1:36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</row>
    <row r="134" spans="1:36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</row>
    <row r="135" spans="1:36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</row>
    <row r="136" spans="1: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</row>
    <row r="137" spans="1:36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</row>
    <row r="138" spans="1:36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</row>
    <row r="139" spans="1:36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</row>
    <row r="140" spans="1:36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</row>
    <row r="141" spans="1:36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</row>
    <row r="142" spans="1:36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</row>
    <row r="143" spans="1:36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</row>
    <row r="144" spans="1:36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</row>
    <row r="145" spans="1:36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</row>
    <row r="146" spans="1:3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</row>
    <row r="147" spans="1:36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</row>
    <row r="148" spans="1:36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</row>
    <row r="149" spans="1:36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</row>
    <row r="150" spans="1:36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</row>
    <row r="151" spans="1:36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</row>
    <row r="152" spans="1:36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</row>
    <row r="153" spans="1:36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</row>
    <row r="154" spans="1:36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</row>
    <row r="155" spans="1:36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</row>
  </sheetData>
  <hyperlinks>
    <hyperlink ref="A1" location="Fashion!A1" display="Main" xr:uid="{04C532B0-6493-461C-9A72-03209778558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625C-E19A-4813-ABA6-8D106ACC7803}">
  <dimension ref="A1:AH20"/>
  <sheetViews>
    <sheetView zoomScale="200" zoomScaleNormal="200" workbookViewId="0">
      <selection activeCell="B18" sqref="B18"/>
    </sheetView>
  </sheetViews>
  <sheetFormatPr defaultRowHeight="15"/>
  <cols>
    <col min="1" max="1" width="5" bestFit="1" customWidth="1"/>
  </cols>
  <sheetData>
    <row r="1" spans="1:34">
      <c r="A1" s="44" t="s">
        <v>459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</row>
    <row r="2" spans="1:34"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</row>
    <row r="4" spans="1:34"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</row>
    <row r="5" spans="1:34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</row>
    <row r="6" spans="1:34"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</row>
    <row r="7" spans="1:34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</row>
    <row r="8" spans="1:34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</row>
    <row r="9" spans="1:34"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</row>
    <row r="10" spans="1:34"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</row>
    <row r="11" spans="1:34"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</row>
    <row r="13" spans="1:34"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</row>
    <row r="14" spans="1:34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</row>
    <row r="15" spans="1:34"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</row>
    <row r="16" spans="1:34"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</row>
    <row r="17" spans="2:34"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</row>
    <row r="18" spans="2:34"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</row>
    <row r="19" spans="2:34">
      <c r="B19" s="77" t="s">
        <v>804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</row>
    <row r="20" spans="2:34">
      <c r="B20" s="77" t="s">
        <v>695</v>
      </c>
    </row>
  </sheetData>
  <hyperlinks>
    <hyperlink ref="A1" location="Main!A1" display="Main" xr:uid="{DC140323-43D4-490C-89F0-35533960EF2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721E-8381-4599-A817-7308E9F2867F}">
  <dimension ref="B3:K26"/>
  <sheetViews>
    <sheetView zoomScale="200" zoomScaleNormal="200" workbookViewId="0">
      <selection activeCell="B12" sqref="B12"/>
    </sheetView>
  </sheetViews>
  <sheetFormatPr defaultRowHeight="15"/>
  <cols>
    <col min="1" max="1" width="3.7109375" customWidth="1"/>
    <col min="2" max="2" width="33.5703125" bestFit="1" customWidth="1"/>
    <col min="3" max="3" width="34.42578125" customWidth="1"/>
  </cols>
  <sheetData>
    <row r="3" spans="2:11">
      <c r="B3" s="45" t="s">
        <v>423</v>
      </c>
      <c r="C3" s="45" t="s">
        <v>425</v>
      </c>
      <c r="D3" s="45"/>
      <c r="E3" s="45"/>
      <c r="F3" s="45"/>
      <c r="G3" s="45"/>
      <c r="H3" s="45"/>
      <c r="I3" s="45"/>
      <c r="J3" s="45"/>
      <c r="K3" s="45"/>
    </row>
    <row r="4" spans="2:11">
      <c r="B4" s="45" t="s">
        <v>424</v>
      </c>
      <c r="C4" s="45" t="s">
        <v>426</v>
      </c>
      <c r="D4" s="45"/>
      <c r="E4" s="45"/>
      <c r="F4" s="45"/>
      <c r="G4" s="45"/>
      <c r="H4" s="45"/>
      <c r="I4" s="45"/>
      <c r="J4" s="45"/>
      <c r="K4" s="45"/>
    </row>
    <row r="5" spans="2:11">
      <c r="B5" s="45" t="s">
        <v>427</v>
      </c>
      <c r="C5" s="45" t="s">
        <v>428</v>
      </c>
      <c r="D5" s="45"/>
      <c r="E5" s="45"/>
      <c r="F5" s="45"/>
      <c r="G5" s="45"/>
      <c r="H5" s="45"/>
      <c r="I5" s="45"/>
      <c r="J5" s="45"/>
      <c r="K5" s="45"/>
    </row>
    <row r="6" spans="2:11">
      <c r="B6" s="45" t="s">
        <v>461</v>
      </c>
      <c r="C6" s="45" t="s">
        <v>465</v>
      </c>
      <c r="D6" s="45"/>
      <c r="E6" s="45"/>
      <c r="F6" s="45"/>
      <c r="G6" s="45"/>
      <c r="H6" s="45"/>
      <c r="I6" s="45"/>
      <c r="J6" s="45"/>
      <c r="K6" s="45"/>
    </row>
    <row r="7" spans="2:11">
      <c r="B7" s="45" t="s">
        <v>462</v>
      </c>
      <c r="C7" s="45" t="s">
        <v>466</v>
      </c>
      <c r="D7" s="45"/>
      <c r="E7" s="45"/>
      <c r="F7" s="45"/>
      <c r="G7" s="45"/>
      <c r="H7" s="45"/>
      <c r="I7" s="45"/>
      <c r="J7" s="45"/>
      <c r="K7" s="45"/>
    </row>
    <row r="8" spans="2:11">
      <c r="B8" s="45" t="s">
        <v>463</v>
      </c>
      <c r="C8" s="76" t="s">
        <v>813</v>
      </c>
      <c r="D8" s="45"/>
      <c r="E8" s="45"/>
      <c r="F8" s="45"/>
      <c r="G8" s="45"/>
      <c r="H8" s="45"/>
      <c r="I8" s="45"/>
      <c r="J8" s="45"/>
      <c r="K8" s="45"/>
    </row>
    <row r="9" spans="2:11">
      <c r="B9" s="45" t="s">
        <v>464</v>
      </c>
      <c r="C9" s="76" t="s">
        <v>812</v>
      </c>
      <c r="D9" s="45"/>
      <c r="E9" s="45"/>
      <c r="F9" s="45"/>
      <c r="G9" s="45"/>
      <c r="H9" s="45"/>
      <c r="I9" s="45"/>
      <c r="J9" s="45"/>
      <c r="K9" s="45"/>
    </row>
    <row r="10" spans="2:11">
      <c r="B10" s="45" t="s">
        <v>467</v>
      </c>
      <c r="C10" s="45" t="s">
        <v>468</v>
      </c>
      <c r="D10" s="45"/>
      <c r="E10" s="45"/>
      <c r="F10" s="45"/>
      <c r="G10" s="45"/>
      <c r="H10" s="45"/>
      <c r="I10" s="45"/>
      <c r="J10" s="45"/>
      <c r="K10" s="45"/>
    </row>
    <row r="11" spans="2:11">
      <c r="B11" s="45" t="s">
        <v>469</v>
      </c>
      <c r="C11" s="45" t="s">
        <v>470</v>
      </c>
      <c r="D11" s="45"/>
      <c r="E11" s="45"/>
      <c r="F11" s="45"/>
      <c r="G11" s="45"/>
      <c r="H11" s="45"/>
      <c r="I11" s="45"/>
      <c r="J11" s="45"/>
      <c r="K11" s="45"/>
    </row>
    <row r="12" spans="2:11">
      <c r="B12" s="45" t="s">
        <v>471</v>
      </c>
      <c r="C12" s="45" t="s">
        <v>472</v>
      </c>
      <c r="D12" s="45"/>
      <c r="E12" s="45"/>
      <c r="F12" s="45"/>
      <c r="G12" s="45"/>
      <c r="H12" s="45"/>
      <c r="I12" s="45"/>
      <c r="J12" s="45"/>
      <c r="K12" s="45"/>
    </row>
    <row r="13" spans="2:11">
      <c r="B13" s="76" t="s">
        <v>814</v>
      </c>
      <c r="C13" s="76" t="s">
        <v>815</v>
      </c>
      <c r="D13" s="45"/>
      <c r="E13" s="45"/>
      <c r="F13" s="45"/>
      <c r="G13" s="45"/>
      <c r="H13" s="45"/>
      <c r="I13" s="45"/>
      <c r="J13" s="45"/>
      <c r="K13" s="45"/>
    </row>
    <row r="14" spans="2:11">
      <c r="B14" s="101" t="s">
        <v>874</v>
      </c>
      <c r="C14" s="101" t="s">
        <v>875</v>
      </c>
    </row>
    <row r="15" spans="2:11">
      <c r="B15" s="101" t="s">
        <v>876</v>
      </c>
      <c r="C15" s="101" t="s">
        <v>877</v>
      </c>
    </row>
    <row r="16" spans="2:11">
      <c r="B16" s="101" t="s">
        <v>878</v>
      </c>
      <c r="C16" s="101" t="s">
        <v>879</v>
      </c>
    </row>
    <row r="17" spans="2:3">
      <c r="B17" s="101" t="s">
        <v>880</v>
      </c>
      <c r="C17" s="101" t="s">
        <v>881</v>
      </c>
    </row>
    <row r="18" spans="2:3">
      <c r="B18" s="101" t="s">
        <v>116</v>
      </c>
      <c r="C18" s="101" t="s">
        <v>882</v>
      </c>
    </row>
    <row r="19" spans="2:3">
      <c r="B19" s="101" t="s">
        <v>883</v>
      </c>
      <c r="C19" s="101" t="s">
        <v>884</v>
      </c>
    </row>
    <row r="20" spans="2:3">
      <c r="B20" s="101" t="s">
        <v>885</v>
      </c>
      <c r="C20" s="101" t="s">
        <v>886</v>
      </c>
    </row>
    <row r="21" spans="2:3">
      <c r="B21" s="101" t="s">
        <v>887</v>
      </c>
      <c r="C21" s="101" t="s">
        <v>888</v>
      </c>
    </row>
    <row r="22" spans="2:3">
      <c r="B22" s="101" t="s">
        <v>889</v>
      </c>
      <c r="C22" s="101" t="s">
        <v>890</v>
      </c>
    </row>
    <row r="23" spans="2:3">
      <c r="B23" s="101" t="s">
        <v>891</v>
      </c>
      <c r="C23" s="101" t="s">
        <v>892</v>
      </c>
    </row>
    <row r="24" spans="2:3">
      <c r="B24" s="101" t="s">
        <v>893</v>
      </c>
      <c r="C24" s="101" t="s">
        <v>894</v>
      </c>
    </row>
    <row r="26" spans="2:3">
      <c r="B26" s="44" t="s">
        <v>895</v>
      </c>
    </row>
  </sheetData>
  <hyperlinks>
    <hyperlink ref="B26" r:id="rId1" xr:uid="{2497FE43-AD89-4E81-A1FB-4BB8A8E28BD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85E6-43A5-4E02-9D6A-CBFE460AC0A7}">
  <dimension ref="B2:C16"/>
  <sheetViews>
    <sheetView zoomScale="200" zoomScaleNormal="200" workbookViewId="0">
      <selection activeCell="B3" sqref="B3"/>
    </sheetView>
  </sheetViews>
  <sheetFormatPr defaultColWidth="8.85546875" defaultRowHeight="15"/>
  <cols>
    <col min="1" max="1" width="4.7109375" customWidth="1"/>
    <col min="2" max="2" width="20.28515625" bestFit="1" customWidth="1"/>
  </cols>
  <sheetData>
    <row r="2" spans="2:3">
      <c r="B2" s="72" t="s">
        <v>129</v>
      </c>
      <c r="C2" s="57"/>
    </row>
    <row r="3" spans="2:3">
      <c r="B3" s="45" t="s">
        <v>121</v>
      </c>
      <c r="C3" s="73">
        <v>1.04</v>
      </c>
    </row>
    <row r="4" spans="2:3">
      <c r="B4" s="45" t="s">
        <v>120</v>
      </c>
      <c r="C4" s="73">
        <v>9.5000000000000001E-2</v>
      </c>
    </row>
    <row r="5" spans="2:3">
      <c r="B5" s="45" t="s">
        <v>119</v>
      </c>
      <c r="C5" s="73">
        <v>6.3E-3</v>
      </c>
    </row>
    <row r="6" spans="2:3">
      <c r="B6" s="45" t="s">
        <v>122</v>
      </c>
      <c r="C6" s="73">
        <v>0.14000000000000001</v>
      </c>
    </row>
    <row r="7" spans="2:3">
      <c r="B7" s="45" t="s">
        <v>130</v>
      </c>
      <c r="C7" s="73">
        <v>1.1200000000000001</v>
      </c>
    </row>
    <row r="8" spans="2:3">
      <c r="B8" s="45" t="s">
        <v>336</v>
      </c>
      <c r="C8" s="73">
        <v>1.24</v>
      </c>
    </row>
    <row r="9" spans="2:3">
      <c r="B9" s="45" t="s">
        <v>379</v>
      </c>
      <c r="C9" s="73">
        <v>0.14000000000000001</v>
      </c>
    </row>
    <row r="10" spans="2:3">
      <c r="B10" s="45" t="s">
        <v>389</v>
      </c>
      <c r="C10" s="73">
        <v>0.92</v>
      </c>
    </row>
    <row r="11" spans="2:3">
      <c r="B11" s="45" t="s">
        <v>391</v>
      </c>
      <c r="C11" s="73">
        <v>0.25</v>
      </c>
    </row>
    <row r="12" spans="2:3">
      <c r="B12" s="45" t="s">
        <v>393</v>
      </c>
      <c r="C12" s="73">
        <v>1.0999999999999999E-2</v>
      </c>
    </row>
    <row r="13" spans="2:3">
      <c r="B13" s="45" t="s">
        <v>396</v>
      </c>
      <c r="C13" s="73">
        <v>0.69</v>
      </c>
    </row>
    <row r="14" spans="2:3">
      <c r="B14" s="45" t="s">
        <v>397</v>
      </c>
      <c r="C14" s="73">
        <v>5.3999999999999999E-2</v>
      </c>
    </row>
    <row r="15" spans="2:3">
      <c r="B15" s="45" t="s">
        <v>437</v>
      </c>
      <c r="C15" s="73">
        <v>0.03</v>
      </c>
    </row>
    <row r="16" spans="2:3">
      <c r="B16" s="45"/>
      <c r="C16" s="4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58B9-0FBA-4749-BEFA-4DF05274EAFA}">
  <dimension ref="A1:H12"/>
  <sheetViews>
    <sheetView zoomScale="200" zoomScaleNormal="200" workbookViewId="0">
      <selection activeCell="H6" sqref="H6"/>
    </sheetView>
  </sheetViews>
  <sheetFormatPr defaultRowHeight="12.75"/>
  <cols>
    <col min="1" max="1" width="5.42578125" style="95" bestFit="1" customWidth="1"/>
    <col min="2" max="3" width="19.85546875" style="95" customWidth="1"/>
    <col min="4" max="4" width="15.28515625" style="95" bestFit="1" customWidth="1"/>
    <col min="5" max="5" width="11.28515625" style="95" bestFit="1" customWidth="1"/>
    <col min="6" max="7" width="9.28515625" style="95" bestFit="1" customWidth="1"/>
    <col min="8" max="16384" width="9.140625" style="95"/>
  </cols>
  <sheetData>
    <row r="1" spans="1:8">
      <c r="A1" s="44" t="s">
        <v>459</v>
      </c>
    </row>
    <row r="2" spans="1:8">
      <c r="B2" s="74" t="s">
        <v>2</v>
      </c>
      <c r="C2" s="74" t="s">
        <v>870</v>
      </c>
      <c r="D2" s="74" t="s">
        <v>716</v>
      </c>
      <c r="E2" s="74" t="s">
        <v>717</v>
      </c>
      <c r="F2" s="75" t="s">
        <v>4</v>
      </c>
      <c r="G2" s="75" t="s">
        <v>798</v>
      </c>
      <c r="H2" s="75" t="s">
        <v>126</v>
      </c>
    </row>
    <row r="3" spans="1:8">
      <c r="B3" s="95" t="s">
        <v>718</v>
      </c>
      <c r="C3" s="44" t="s">
        <v>719</v>
      </c>
      <c r="D3" s="95" t="s">
        <v>727</v>
      </c>
      <c r="E3" s="96">
        <v>45757</v>
      </c>
      <c r="F3" s="97" t="s">
        <v>474</v>
      </c>
      <c r="G3" s="97">
        <v>1250</v>
      </c>
    </row>
    <row r="4" spans="1:8">
      <c r="B4" s="95" t="s">
        <v>692</v>
      </c>
      <c r="C4" s="44" t="s">
        <v>692</v>
      </c>
      <c r="D4" s="95" t="s">
        <v>725</v>
      </c>
      <c r="E4" s="96">
        <v>45782</v>
      </c>
      <c r="F4" s="98" t="s">
        <v>726</v>
      </c>
      <c r="G4" s="99">
        <v>9420</v>
      </c>
      <c r="H4" s="95" t="s">
        <v>799</v>
      </c>
    </row>
    <row r="5" spans="1:8">
      <c r="B5" s="95" t="s">
        <v>128</v>
      </c>
      <c r="C5" s="95" t="s">
        <v>128</v>
      </c>
      <c r="D5" s="95" t="s">
        <v>728</v>
      </c>
      <c r="E5" s="96">
        <v>45637</v>
      </c>
      <c r="F5" s="97" t="s">
        <v>474</v>
      </c>
      <c r="G5" s="99">
        <v>1100</v>
      </c>
    </row>
    <row r="6" spans="1:8">
      <c r="B6" s="95" t="s">
        <v>729</v>
      </c>
      <c r="C6" s="95" t="s">
        <v>729</v>
      </c>
      <c r="D6" s="95" t="s">
        <v>730</v>
      </c>
      <c r="E6" s="96">
        <v>45669</v>
      </c>
      <c r="F6" s="107" t="s">
        <v>474</v>
      </c>
      <c r="G6" s="99">
        <v>2200</v>
      </c>
      <c r="H6" s="95" t="s">
        <v>897</v>
      </c>
    </row>
    <row r="7" spans="1:8">
      <c r="B7" s="95" t="s">
        <v>191</v>
      </c>
      <c r="C7" s="44" t="s">
        <v>191</v>
      </c>
      <c r="D7" s="95" t="s">
        <v>680</v>
      </c>
      <c r="E7" s="96">
        <v>45889</v>
      </c>
      <c r="F7" s="95">
        <v>16.75</v>
      </c>
      <c r="G7" s="95" t="s">
        <v>797</v>
      </c>
      <c r="H7" s="95" t="s">
        <v>796</v>
      </c>
    </row>
    <row r="8" spans="1:8">
      <c r="B8" s="95" t="s">
        <v>420</v>
      </c>
      <c r="C8" s="100" t="s">
        <v>476</v>
      </c>
      <c r="D8" s="95" t="s">
        <v>802</v>
      </c>
      <c r="E8" s="96">
        <v>45322</v>
      </c>
      <c r="G8" s="95">
        <v>500</v>
      </c>
      <c r="H8" s="95" t="s">
        <v>803</v>
      </c>
    </row>
    <row r="9" spans="1:8">
      <c r="B9" s="95" t="s">
        <v>806</v>
      </c>
      <c r="C9" s="95" t="s">
        <v>807</v>
      </c>
      <c r="D9" s="95" t="s">
        <v>689</v>
      </c>
      <c r="E9" s="96">
        <v>45808</v>
      </c>
      <c r="G9" s="95">
        <v>290</v>
      </c>
    </row>
    <row r="10" spans="1:8">
      <c r="B10" s="95" t="s">
        <v>864</v>
      </c>
      <c r="C10" s="95" t="s">
        <v>864</v>
      </c>
      <c r="D10" s="95" t="s">
        <v>863</v>
      </c>
      <c r="E10" s="96">
        <v>46112</v>
      </c>
      <c r="F10" s="98" t="s">
        <v>474</v>
      </c>
      <c r="G10" s="95">
        <v>39</v>
      </c>
    </row>
    <row r="11" spans="1:8">
      <c r="B11" s="95" t="s">
        <v>866</v>
      </c>
      <c r="C11" s="95" t="s">
        <v>8</v>
      </c>
      <c r="D11" s="95" t="s">
        <v>867</v>
      </c>
      <c r="E11" s="96">
        <v>46156</v>
      </c>
      <c r="F11" s="98" t="s">
        <v>474</v>
      </c>
      <c r="G11" s="95">
        <v>850</v>
      </c>
    </row>
    <row r="12" spans="1:8">
      <c r="B12" s="95" t="s">
        <v>869</v>
      </c>
      <c r="C12" s="95" t="s">
        <v>871</v>
      </c>
      <c r="D12" s="95" t="s">
        <v>868</v>
      </c>
      <c r="E12" s="96">
        <v>46160</v>
      </c>
      <c r="F12" s="98" t="s">
        <v>474</v>
      </c>
      <c r="G12" s="95">
        <v>100</v>
      </c>
    </row>
  </sheetData>
  <hyperlinks>
    <hyperlink ref="A1" location="Main!A1" display="Main" xr:uid="{996B57F6-8038-47F6-A248-0F268F1ACEFB}"/>
    <hyperlink ref="C4" r:id="rId1" display="SKX" xr:uid="{8E2CF5BB-29AF-4437-8F96-D294155BB64C}"/>
    <hyperlink ref="C3" r:id="rId2" xr:uid="{2A12F8E0-FB6F-4E0D-B2A9-CED87F005A2E}"/>
    <hyperlink ref="C7" r:id="rId3" xr:uid="{198927E1-7FEB-4804-8A3B-9B9BC35A8F8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C47F-1AC4-4057-B9F0-395F82201EB4}">
  <dimension ref="A1:P30"/>
  <sheetViews>
    <sheetView zoomScale="200" zoomScaleNormal="200" workbookViewId="0">
      <selection activeCell="C30" sqref="C30"/>
    </sheetView>
  </sheetViews>
  <sheetFormatPr defaultRowHeight="13.5"/>
  <cols>
    <col min="1" max="1" width="5.42578125" style="6" bestFit="1" customWidth="1"/>
    <col min="2" max="2" width="19.140625" style="6" customWidth="1"/>
    <col min="3" max="3" width="15.28515625" style="6" bestFit="1" customWidth="1"/>
    <col min="4" max="4" width="12.5703125" style="6" bestFit="1" customWidth="1"/>
    <col min="5" max="5" width="25.5703125" style="6" bestFit="1" customWidth="1"/>
    <col min="6" max="16384" width="9.140625" style="6"/>
  </cols>
  <sheetData>
    <row r="1" spans="1:16">
      <c r="A1" s="44" t="s">
        <v>459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>
      <c r="A2" s="45"/>
      <c r="B2" s="45" t="s">
        <v>2</v>
      </c>
      <c r="C2" s="45" t="s">
        <v>720</v>
      </c>
      <c r="D2" s="45" t="s">
        <v>721</v>
      </c>
      <c r="E2" s="45" t="s">
        <v>722</v>
      </c>
      <c r="F2" s="45" t="s">
        <v>126</v>
      </c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>
      <c r="A3" s="45"/>
      <c r="B3" s="45" t="s">
        <v>724</v>
      </c>
      <c r="C3" s="45" t="s">
        <v>723</v>
      </c>
      <c r="D3" s="45" t="s">
        <v>8</v>
      </c>
      <c r="E3" s="45" t="s">
        <v>732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>
      <c r="A4" s="45"/>
      <c r="B4" s="45" t="s">
        <v>731</v>
      </c>
      <c r="C4" s="45" t="s">
        <v>736</v>
      </c>
      <c r="D4" s="45" t="s">
        <v>8</v>
      </c>
      <c r="E4" s="45" t="s">
        <v>733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</row>
    <row r="5" spans="1:16">
      <c r="A5" s="45"/>
      <c r="B5" s="45" t="s">
        <v>737</v>
      </c>
      <c r="C5" s="45" t="s">
        <v>734</v>
      </c>
      <c r="D5" s="45" t="s">
        <v>7</v>
      </c>
      <c r="E5" s="45" t="s">
        <v>735</v>
      </c>
      <c r="F5" s="45" t="s">
        <v>738</v>
      </c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>
      <c r="A6" s="45"/>
      <c r="B6" s="45" t="s">
        <v>739</v>
      </c>
      <c r="C6" s="45" t="s">
        <v>740</v>
      </c>
      <c r="D6" s="45" t="s">
        <v>9</v>
      </c>
      <c r="E6" s="45" t="s">
        <v>741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</row>
    <row r="7" spans="1:16">
      <c r="A7" s="45"/>
      <c r="B7" s="45" t="s">
        <v>743</v>
      </c>
      <c r="C7" s="45" t="s">
        <v>744</v>
      </c>
      <c r="D7" s="45" t="s">
        <v>99</v>
      </c>
      <c r="E7" s="45" t="s">
        <v>745</v>
      </c>
      <c r="F7" s="45" t="s">
        <v>756</v>
      </c>
      <c r="G7" s="45"/>
      <c r="H7" s="45"/>
      <c r="I7" s="45"/>
      <c r="J7" s="45"/>
      <c r="K7" s="45"/>
      <c r="L7" s="45"/>
      <c r="M7" s="45"/>
      <c r="N7" s="45"/>
      <c r="O7" s="45"/>
      <c r="P7" s="45"/>
    </row>
    <row r="8" spans="1:16">
      <c r="A8" s="45"/>
      <c r="B8" s="45" t="s">
        <v>135</v>
      </c>
      <c r="C8" s="45" t="s">
        <v>746</v>
      </c>
      <c r="D8" s="45" t="s">
        <v>135</v>
      </c>
      <c r="E8" s="45" t="s">
        <v>747</v>
      </c>
      <c r="F8" s="45" t="s">
        <v>748</v>
      </c>
      <c r="G8" s="45"/>
      <c r="H8" s="45"/>
      <c r="I8" s="45"/>
      <c r="J8" s="45"/>
      <c r="K8" s="45"/>
      <c r="L8" s="45"/>
      <c r="M8" s="45"/>
      <c r="N8" s="45"/>
      <c r="O8" s="45"/>
      <c r="P8" s="45"/>
    </row>
    <row r="9" spans="1:16">
      <c r="A9" s="45"/>
      <c r="B9" s="45" t="s">
        <v>749</v>
      </c>
      <c r="C9" s="45" t="s">
        <v>750</v>
      </c>
      <c r="D9" s="45" t="s">
        <v>682</v>
      </c>
      <c r="E9" s="45" t="s">
        <v>748</v>
      </c>
      <c r="F9" s="45" t="s">
        <v>751</v>
      </c>
      <c r="G9" s="45"/>
      <c r="H9" s="45"/>
      <c r="I9" s="45"/>
      <c r="J9" s="45"/>
      <c r="K9" s="45"/>
      <c r="L9" s="45"/>
      <c r="M9" s="45"/>
      <c r="N9" s="45"/>
      <c r="O9" s="45"/>
      <c r="P9" s="45"/>
    </row>
    <row r="10" spans="1:16">
      <c r="A10" s="45"/>
      <c r="B10" s="45" t="s">
        <v>752</v>
      </c>
      <c r="C10" s="45" t="s">
        <v>753</v>
      </c>
      <c r="D10" s="45" t="s">
        <v>754</v>
      </c>
      <c r="E10" s="45" t="s">
        <v>748</v>
      </c>
      <c r="F10" s="45" t="s">
        <v>755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>
      <c r="A11" s="45"/>
      <c r="B11" s="45" t="s">
        <v>757</v>
      </c>
      <c r="C11" s="45" t="s">
        <v>758</v>
      </c>
      <c r="D11" s="45" t="s">
        <v>7</v>
      </c>
      <c r="E11" s="45" t="s">
        <v>762</v>
      </c>
      <c r="F11" s="45" t="s">
        <v>759</v>
      </c>
      <c r="G11" s="45"/>
      <c r="H11" s="45"/>
      <c r="I11" s="45"/>
      <c r="J11" s="45"/>
      <c r="K11" s="45"/>
      <c r="L11" s="45"/>
      <c r="M11" s="45"/>
      <c r="N11" s="45"/>
      <c r="O11" s="45"/>
      <c r="P11" s="45"/>
    </row>
    <row r="12" spans="1:16">
      <c r="A12" s="45"/>
      <c r="B12" s="45" t="s">
        <v>760</v>
      </c>
      <c r="C12" s="45" t="s">
        <v>761</v>
      </c>
      <c r="D12" s="45" t="s">
        <v>123</v>
      </c>
      <c r="E12" s="45" t="s">
        <v>763</v>
      </c>
      <c r="F12" s="45" t="s">
        <v>764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</row>
    <row r="13" spans="1:16">
      <c r="A13" s="45"/>
      <c r="B13" s="45" t="s">
        <v>718</v>
      </c>
      <c r="C13" s="45" t="s">
        <v>765</v>
      </c>
      <c r="D13" s="45" t="s">
        <v>135</v>
      </c>
      <c r="E13" s="45" t="s">
        <v>766</v>
      </c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</row>
    <row r="14" spans="1:16">
      <c r="A14" s="45"/>
      <c r="B14" s="45" t="s">
        <v>767</v>
      </c>
      <c r="C14" s="45" t="s">
        <v>768</v>
      </c>
      <c r="D14" s="45" t="s">
        <v>677</v>
      </c>
      <c r="E14" s="45" t="s">
        <v>773</v>
      </c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</row>
    <row r="15" spans="1:16">
      <c r="A15" s="45"/>
      <c r="B15" s="45" t="s">
        <v>769</v>
      </c>
      <c r="C15" s="45" t="s">
        <v>770</v>
      </c>
      <c r="D15" s="45" t="s">
        <v>771</v>
      </c>
      <c r="E15" s="45" t="s">
        <v>772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</row>
    <row r="16" spans="1:16">
      <c r="A16" s="45"/>
      <c r="B16" s="45" t="s">
        <v>774</v>
      </c>
      <c r="C16" s="45" t="s">
        <v>775</v>
      </c>
      <c r="D16" s="45" t="s">
        <v>776</v>
      </c>
      <c r="E16" s="45" t="s">
        <v>777</v>
      </c>
      <c r="F16" s="45" t="s">
        <v>778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</row>
    <row r="17" spans="1:16">
      <c r="A17" s="45"/>
      <c r="B17" s="45" t="s">
        <v>779</v>
      </c>
      <c r="C17" s="45" t="s">
        <v>780</v>
      </c>
      <c r="D17" s="45" t="s">
        <v>781</v>
      </c>
      <c r="E17" s="45" t="s">
        <v>773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1:16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</row>
    <row r="19" spans="1:16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</row>
    <row r="20" spans="1:16">
      <c r="B20" s="74" t="s">
        <v>795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16">
      <c r="A21" s="45"/>
      <c r="B21" s="89" t="s">
        <v>822</v>
      </c>
      <c r="C21" s="45" t="s">
        <v>782</v>
      </c>
      <c r="D21" s="77" t="s">
        <v>822</v>
      </c>
      <c r="E21" s="77" t="s">
        <v>748</v>
      </c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16">
      <c r="A22" s="45"/>
      <c r="B22" s="45" t="s">
        <v>783</v>
      </c>
      <c r="C22" s="45" t="s">
        <v>784</v>
      </c>
      <c r="D22" s="77" t="s">
        <v>823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</row>
    <row r="23" spans="1:16">
      <c r="A23" s="45"/>
      <c r="B23" s="45" t="s">
        <v>785</v>
      </c>
      <c r="C23" s="45" t="s">
        <v>786</v>
      </c>
      <c r="D23" s="77" t="s">
        <v>785</v>
      </c>
      <c r="E23" s="77" t="s">
        <v>748</v>
      </c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</row>
    <row r="24" spans="1:16">
      <c r="A24" s="45"/>
      <c r="B24" s="45" t="s">
        <v>787</v>
      </c>
      <c r="C24" s="45" t="s">
        <v>788</v>
      </c>
      <c r="D24" s="77" t="s">
        <v>787</v>
      </c>
      <c r="E24" s="77" t="s">
        <v>748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</row>
    <row r="25" spans="1:16">
      <c r="A25" s="45"/>
      <c r="B25" s="45" t="s">
        <v>98</v>
      </c>
      <c r="C25" s="45" t="s">
        <v>789</v>
      </c>
      <c r="D25" s="77" t="s">
        <v>98</v>
      </c>
      <c r="E25" s="77" t="s">
        <v>748</v>
      </c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</row>
    <row r="26" spans="1:16">
      <c r="A26" s="45"/>
      <c r="B26" s="45" t="s">
        <v>790</v>
      </c>
      <c r="C26" s="45" t="s">
        <v>791</v>
      </c>
      <c r="D26" s="77" t="s">
        <v>790</v>
      </c>
      <c r="E26" s="77" t="s">
        <v>748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</row>
    <row r="27" spans="1:16">
      <c r="A27" s="45"/>
      <c r="B27" s="45" t="s">
        <v>792</v>
      </c>
      <c r="C27" s="45" t="s">
        <v>793</v>
      </c>
      <c r="D27" s="77" t="s">
        <v>792</v>
      </c>
      <c r="E27" s="77" t="s">
        <v>748</v>
      </c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</row>
    <row r="28" spans="1:16">
      <c r="A28" s="45"/>
      <c r="B28" s="45" t="s">
        <v>718</v>
      </c>
      <c r="C28" s="45" t="s">
        <v>794</v>
      </c>
      <c r="D28" s="77" t="s">
        <v>718</v>
      </c>
      <c r="E28" s="77" t="s">
        <v>748</v>
      </c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</row>
    <row r="29" spans="1:16">
      <c r="A29" s="45"/>
      <c r="B29" s="89" t="s">
        <v>9</v>
      </c>
      <c r="C29" s="89" t="s">
        <v>861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</row>
    <row r="30" spans="1:16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</row>
  </sheetData>
  <hyperlinks>
    <hyperlink ref="A1" location="Main!A1" display="Main" xr:uid="{7A8A7424-EC50-4E3D-BBB6-97F1BE50C49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E1C4-97F2-4C2B-8888-284E30CF8393}">
  <dimension ref="A1:B17"/>
  <sheetViews>
    <sheetView workbookViewId="0">
      <selection activeCell="B11" sqref="B11"/>
    </sheetView>
  </sheetViews>
  <sheetFormatPr defaultRowHeight="15"/>
  <cols>
    <col min="1" max="1" width="5" bestFit="1" customWidth="1"/>
  </cols>
  <sheetData>
    <row r="1" spans="1:2">
      <c r="A1" s="44" t="s">
        <v>459</v>
      </c>
    </row>
    <row r="2" spans="1:2">
      <c r="B2" s="90" t="s">
        <v>848</v>
      </c>
    </row>
    <row r="3" spans="1:2">
      <c r="B3" s="44" t="s">
        <v>849</v>
      </c>
    </row>
    <row r="4" spans="1:2">
      <c r="B4" t="s">
        <v>850</v>
      </c>
    </row>
    <row r="5" spans="1:2">
      <c r="B5" t="s">
        <v>860</v>
      </c>
    </row>
    <row r="6" spans="1:2">
      <c r="B6" t="s">
        <v>851</v>
      </c>
    </row>
    <row r="7" spans="1:2">
      <c r="B7" t="s">
        <v>855</v>
      </c>
    </row>
    <row r="8" spans="1:2">
      <c r="B8" t="s">
        <v>856</v>
      </c>
    </row>
    <row r="9" spans="1:2">
      <c r="B9" t="s">
        <v>857</v>
      </c>
    </row>
    <row r="10" spans="1:2">
      <c r="B10" t="s">
        <v>858</v>
      </c>
    </row>
    <row r="11" spans="1:2">
      <c r="B11" t="s">
        <v>859</v>
      </c>
    </row>
    <row r="15" spans="1:2">
      <c r="B15" t="s">
        <v>852</v>
      </c>
    </row>
    <row r="16" spans="1:2">
      <c r="B16" t="s">
        <v>853</v>
      </c>
    </row>
    <row r="17" spans="2:2">
      <c r="B17" t="s">
        <v>854</v>
      </c>
    </row>
  </sheetData>
  <hyperlinks>
    <hyperlink ref="A1" location="Main!A1" display="Main" xr:uid="{34E87583-67A0-4497-BCFB-14D5F7F5F351}"/>
    <hyperlink ref="B3" r:id="rId1" xr:uid="{3295B675-D17D-4644-A0D7-A7C87410F13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56C3-8711-45A1-8A34-862C4185F0B3}">
  <dimension ref="A1:Q24"/>
  <sheetViews>
    <sheetView zoomScale="200" zoomScaleNormal="200" workbookViewId="0">
      <selection activeCell="C5" sqref="C5"/>
    </sheetView>
  </sheetViews>
  <sheetFormatPr defaultRowHeight="13.5"/>
  <cols>
    <col min="1" max="1" width="5.42578125" style="6" bestFit="1" customWidth="1"/>
    <col min="2" max="2" width="24.28515625" style="6" bestFit="1" customWidth="1"/>
    <col min="3" max="16384" width="9.140625" style="6"/>
  </cols>
  <sheetData>
    <row r="1" spans="1:17">
      <c r="A1" s="44" t="s">
        <v>459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3" spans="1:17">
      <c r="A3" s="45"/>
      <c r="B3" s="72" t="s">
        <v>804</v>
      </c>
      <c r="C3" s="57"/>
      <c r="D3" s="45"/>
      <c r="E3" s="58"/>
      <c r="F3" s="56"/>
      <c r="G3" s="56"/>
      <c r="H3" s="56"/>
      <c r="I3" s="46"/>
      <c r="J3" s="45"/>
      <c r="K3" s="45"/>
      <c r="L3" s="45"/>
      <c r="M3" s="45"/>
      <c r="N3" s="45"/>
      <c r="O3" s="45"/>
      <c r="P3" s="45"/>
      <c r="Q3" s="45"/>
    </row>
    <row r="4" spans="1:17">
      <c r="A4" s="45"/>
      <c r="B4" s="109" t="s">
        <v>434</v>
      </c>
      <c r="C4" s="110" t="s">
        <v>903</v>
      </c>
      <c r="D4" s="45"/>
      <c r="E4" s="58"/>
      <c r="F4" s="56"/>
      <c r="G4" s="56"/>
      <c r="H4" s="56"/>
      <c r="I4" s="46"/>
      <c r="J4" s="45"/>
      <c r="K4" s="45"/>
      <c r="L4" s="45"/>
      <c r="M4" s="45"/>
      <c r="N4" s="45"/>
      <c r="O4" s="45"/>
      <c r="P4" s="45"/>
      <c r="Q4" s="45"/>
    </row>
    <row r="5" spans="1:17">
      <c r="A5" s="45"/>
      <c r="B5" s="45" t="s">
        <v>473</v>
      </c>
      <c r="C5" s="46" t="s">
        <v>474</v>
      </c>
      <c r="D5" s="45" t="s">
        <v>124</v>
      </c>
      <c r="E5" s="58" t="s">
        <v>475</v>
      </c>
      <c r="F5" s="56"/>
      <c r="G5" s="56"/>
      <c r="H5" s="56"/>
      <c r="I5" s="46"/>
      <c r="J5" s="45"/>
      <c r="K5" s="45"/>
      <c r="L5" s="45"/>
      <c r="M5" s="45"/>
      <c r="N5" s="45"/>
      <c r="O5" s="45"/>
      <c r="P5" s="45"/>
      <c r="Q5" s="45"/>
    </row>
    <row r="6" spans="1:17">
      <c r="A6" s="45"/>
      <c r="B6" s="45" t="s">
        <v>677</v>
      </c>
      <c r="C6" s="57"/>
      <c r="D6" s="45"/>
      <c r="E6" s="58"/>
      <c r="F6" s="56"/>
      <c r="G6" s="56"/>
      <c r="H6" s="56"/>
      <c r="I6" s="46"/>
      <c r="J6" s="45"/>
      <c r="K6" s="45"/>
      <c r="L6" s="45"/>
      <c r="M6" s="45"/>
      <c r="N6" s="45"/>
      <c r="O6" s="45"/>
      <c r="P6" s="45"/>
      <c r="Q6" s="45"/>
    </row>
    <row r="7" spans="1:17">
      <c r="A7" s="45"/>
      <c r="B7" s="45" t="s">
        <v>678</v>
      </c>
      <c r="C7" s="57"/>
      <c r="D7" s="45"/>
      <c r="E7" s="58"/>
      <c r="F7" s="56"/>
      <c r="G7" s="56"/>
      <c r="H7" s="56"/>
      <c r="I7" s="46"/>
      <c r="J7" s="45"/>
      <c r="K7" s="45"/>
      <c r="L7" s="45"/>
      <c r="M7" s="45"/>
      <c r="N7" s="45"/>
      <c r="O7" s="45"/>
      <c r="P7" s="45"/>
      <c r="Q7" s="45"/>
    </row>
    <row r="8" spans="1:17">
      <c r="A8" s="45"/>
      <c r="B8" s="45" t="s">
        <v>679</v>
      </c>
      <c r="C8" s="57"/>
      <c r="D8" s="45"/>
      <c r="E8" s="58"/>
      <c r="F8" s="56"/>
      <c r="G8" s="56"/>
      <c r="H8" s="56"/>
      <c r="I8" s="46"/>
      <c r="J8" s="45"/>
      <c r="K8" s="45"/>
      <c r="L8" s="45"/>
      <c r="M8" s="45"/>
      <c r="N8" s="45"/>
      <c r="O8" s="45"/>
      <c r="P8" s="45"/>
      <c r="Q8" s="45"/>
    </row>
    <row r="9" spans="1:17">
      <c r="A9" s="45"/>
      <c r="B9" s="45" t="s">
        <v>680</v>
      </c>
      <c r="C9" s="57"/>
      <c r="D9" s="45"/>
      <c r="E9" s="58"/>
      <c r="F9" s="56"/>
      <c r="G9" s="56"/>
      <c r="H9" s="56"/>
      <c r="I9" s="46"/>
      <c r="J9" s="45"/>
      <c r="K9" s="45"/>
      <c r="L9" s="45"/>
      <c r="M9" s="45"/>
      <c r="N9" s="45"/>
      <c r="O9" s="45"/>
      <c r="P9" s="45"/>
      <c r="Q9" s="45"/>
    </row>
    <row r="10" spans="1:17">
      <c r="A10" s="45"/>
      <c r="B10" s="45" t="s">
        <v>681</v>
      </c>
      <c r="C10" s="57"/>
      <c r="D10" s="45"/>
      <c r="E10" s="58"/>
      <c r="F10" s="56"/>
      <c r="G10" s="56"/>
      <c r="H10" s="56"/>
      <c r="I10" s="46"/>
      <c r="J10" s="45"/>
      <c r="K10" s="45"/>
      <c r="L10" s="45"/>
      <c r="M10" s="45"/>
      <c r="N10" s="45"/>
      <c r="O10" s="45"/>
      <c r="P10" s="45"/>
      <c r="Q10" s="45"/>
    </row>
    <row r="11" spans="1:17">
      <c r="A11" s="45"/>
      <c r="B11" s="45" t="s">
        <v>682</v>
      </c>
      <c r="C11" s="57"/>
      <c r="D11" s="45"/>
      <c r="E11" s="58"/>
      <c r="F11" s="56"/>
      <c r="G11" s="56"/>
      <c r="H11" s="56"/>
      <c r="I11" s="46"/>
      <c r="J11" s="45"/>
      <c r="K11" s="45"/>
      <c r="L11" s="45"/>
      <c r="M11" s="45"/>
      <c r="N11" s="45"/>
      <c r="O11" s="45"/>
      <c r="P11" s="45"/>
      <c r="Q11" s="45"/>
    </row>
    <row r="12" spans="1:17">
      <c r="A12" s="45"/>
      <c r="B12" s="45" t="s">
        <v>683</v>
      </c>
      <c r="C12" s="57"/>
      <c r="D12" s="45"/>
      <c r="E12" s="58"/>
      <c r="F12" s="56"/>
      <c r="G12" s="56"/>
      <c r="H12" s="56"/>
      <c r="I12" s="46"/>
      <c r="J12" s="45"/>
      <c r="K12" s="45"/>
      <c r="L12" s="45"/>
      <c r="M12" s="45"/>
      <c r="N12" s="45"/>
      <c r="O12" s="45"/>
      <c r="P12" s="45"/>
      <c r="Q12" s="45"/>
    </row>
    <row r="13" spans="1:17">
      <c r="A13" s="45"/>
      <c r="B13" s="45" t="s">
        <v>684</v>
      </c>
      <c r="C13" s="45"/>
      <c r="D13" s="45"/>
      <c r="E13" s="58"/>
      <c r="F13" s="56"/>
      <c r="G13" s="56"/>
      <c r="H13" s="56"/>
      <c r="I13" s="46"/>
      <c r="J13" s="45"/>
      <c r="K13" s="45"/>
      <c r="L13" s="45"/>
      <c r="M13" s="45"/>
      <c r="N13" s="45"/>
      <c r="O13" s="45"/>
      <c r="P13" s="45"/>
      <c r="Q13" s="45"/>
    </row>
    <row r="14" spans="1:17">
      <c r="A14" s="45"/>
      <c r="B14" s="45" t="s">
        <v>685</v>
      </c>
      <c r="C14" s="57"/>
      <c r="D14" s="45"/>
      <c r="E14" s="58"/>
      <c r="F14" s="56"/>
      <c r="G14" s="56"/>
      <c r="H14" s="56"/>
      <c r="I14" s="46"/>
      <c r="J14" s="45"/>
      <c r="K14" s="45"/>
      <c r="L14" s="45"/>
      <c r="M14" s="45"/>
      <c r="N14" s="45"/>
      <c r="O14" s="45"/>
      <c r="P14" s="45"/>
      <c r="Q14" s="45"/>
    </row>
    <row r="15" spans="1:17">
      <c r="A15" s="45"/>
      <c r="B15" s="92" t="s">
        <v>862</v>
      </c>
      <c r="C15" s="93" t="s">
        <v>865</v>
      </c>
      <c r="D15" s="45"/>
      <c r="E15" s="58"/>
      <c r="F15" s="56"/>
      <c r="G15" s="56"/>
      <c r="H15" s="56"/>
      <c r="I15" s="46"/>
      <c r="J15" s="45"/>
      <c r="K15" s="45"/>
      <c r="L15" s="45"/>
      <c r="M15" s="45"/>
      <c r="N15" s="45"/>
      <c r="O15" s="45"/>
      <c r="P15" s="45"/>
      <c r="Q15" s="45"/>
    </row>
    <row r="16" spans="1:17">
      <c r="A16" s="45"/>
      <c r="B16" s="45" t="s">
        <v>686</v>
      </c>
      <c r="C16" s="57"/>
      <c r="D16" s="45"/>
      <c r="E16" s="58"/>
      <c r="F16" s="56"/>
      <c r="G16" s="56"/>
      <c r="H16" s="56"/>
      <c r="I16" s="46"/>
      <c r="J16" s="45"/>
      <c r="K16" s="45"/>
      <c r="L16" s="45"/>
      <c r="M16" s="45"/>
      <c r="N16" s="45"/>
      <c r="O16" s="45"/>
      <c r="P16" s="45"/>
      <c r="Q16" s="45"/>
    </row>
    <row r="17" spans="1:17">
      <c r="A17" s="45"/>
      <c r="B17" s="45" t="s">
        <v>687</v>
      </c>
      <c r="C17" s="57"/>
      <c r="D17" s="45"/>
      <c r="E17" s="58"/>
      <c r="F17" s="56"/>
      <c r="G17" s="56"/>
      <c r="H17" s="56"/>
      <c r="I17" s="46"/>
      <c r="J17" s="45"/>
      <c r="K17" s="45"/>
      <c r="L17" s="45"/>
      <c r="M17" s="45"/>
      <c r="N17" s="45"/>
      <c r="O17" s="45"/>
      <c r="P17" s="45"/>
      <c r="Q17" s="45"/>
    </row>
    <row r="18" spans="1:17">
      <c r="A18" s="45"/>
      <c r="B18" s="45" t="s">
        <v>695</v>
      </c>
      <c r="C18" s="57"/>
      <c r="D18" s="45"/>
      <c r="E18" s="58"/>
      <c r="F18" s="56"/>
      <c r="G18" s="56"/>
      <c r="H18" s="56"/>
      <c r="I18" s="46"/>
      <c r="J18" s="45"/>
      <c r="K18" s="45"/>
      <c r="L18" s="45"/>
      <c r="M18" s="45"/>
      <c r="N18" s="45"/>
      <c r="O18" s="45"/>
      <c r="P18" s="45"/>
      <c r="Q18" s="45"/>
    </row>
    <row r="19" spans="1:17">
      <c r="A19" s="45"/>
      <c r="B19" s="89" t="s">
        <v>847</v>
      </c>
      <c r="C19" s="57" t="s">
        <v>800</v>
      </c>
      <c r="D19" s="45"/>
      <c r="E19" s="58" t="s">
        <v>801</v>
      </c>
      <c r="F19" s="56"/>
      <c r="G19" s="56"/>
      <c r="H19" s="56"/>
      <c r="I19" s="46"/>
      <c r="J19" s="45"/>
      <c r="K19" s="45"/>
      <c r="L19" s="45"/>
      <c r="M19" s="45"/>
      <c r="N19" s="45"/>
      <c r="O19" s="45"/>
      <c r="P19" s="45"/>
      <c r="Q19" s="45"/>
    </row>
    <row r="20" spans="1:17">
      <c r="A20" s="45"/>
      <c r="B20" s="45"/>
      <c r="C20" s="57"/>
      <c r="D20" s="45"/>
      <c r="E20" s="58"/>
      <c r="F20" s="56"/>
      <c r="G20" s="56"/>
      <c r="H20" s="56"/>
      <c r="I20" s="46"/>
      <c r="J20" s="45"/>
      <c r="K20" s="45"/>
      <c r="L20" s="45"/>
      <c r="M20" s="45"/>
      <c r="N20" s="45"/>
      <c r="O20" s="45"/>
      <c r="P20" s="45"/>
      <c r="Q20" s="45"/>
    </row>
    <row r="21" spans="1:17">
      <c r="A21" s="45"/>
      <c r="B21" s="77" t="s">
        <v>819</v>
      </c>
      <c r="C21" s="57"/>
      <c r="D21" s="45"/>
      <c r="E21" s="58"/>
      <c r="F21" s="56"/>
      <c r="G21" s="56"/>
      <c r="H21" s="56"/>
      <c r="I21" s="46"/>
      <c r="J21" s="45"/>
      <c r="K21" s="45"/>
      <c r="L21" s="45"/>
      <c r="M21" s="45"/>
      <c r="N21" s="45"/>
      <c r="O21" s="45"/>
      <c r="P21" s="45"/>
      <c r="Q21" s="45"/>
    </row>
    <row r="22" spans="1:17">
      <c r="A22" s="45"/>
      <c r="B22" s="77" t="s">
        <v>820</v>
      </c>
      <c r="C22" s="77" t="s">
        <v>821</v>
      </c>
      <c r="D22" s="45"/>
      <c r="E22" s="58"/>
      <c r="F22" s="56"/>
      <c r="G22" s="56"/>
      <c r="H22" s="56"/>
      <c r="I22" s="46"/>
      <c r="J22" s="45"/>
      <c r="K22" s="45"/>
      <c r="L22" s="45"/>
      <c r="M22" s="45"/>
      <c r="N22" s="45"/>
      <c r="O22" s="45"/>
      <c r="P22" s="45"/>
      <c r="Q22" s="45"/>
    </row>
    <row r="23" spans="1:17">
      <c r="A23" s="45"/>
      <c r="B23" s="45"/>
      <c r="C23" s="57"/>
      <c r="D23" s="45"/>
      <c r="E23" s="58"/>
      <c r="F23" s="56"/>
      <c r="G23" s="56"/>
      <c r="H23" s="56"/>
      <c r="I23" s="46"/>
      <c r="J23" s="45"/>
      <c r="K23" s="45"/>
      <c r="L23" s="45"/>
      <c r="M23" s="45"/>
      <c r="N23" s="45"/>
      <c r="O23" s="45"/>
      <c r="P23" s="45"/>
      <c r="Q23" s="45"/>
    </row>
    <row r="24" spans="1:17">
      <c r="A24" s="45"/>
      <c r="B24" s="45"/>
      <c r="C24" s="71"/>
      <c r="D24" s="45"/>
      <c r="E24" s="58"/>
      <c r="F24" s="56"/>
      <c r="G24" s="56"/>
      <c r="H24" s="56"/>
      <c r="I24" s="46"/>
      <c r="J24" s="45"/>
      <c r="K24" s="45"/>
      <c r="L24" s="45"/>
      <c r="M24" s="45"/>
      <c r="N24" s="45"/>
      <c r="O24" s="45"/>
      <c r="P24" s="45"/>
      <c r="Q24" s="45"/>
    </row>
  </sheetData>
  <hyperlinks>
    <hyperlink ref="A1" location="Main!A1" display="Main" xr:uid="{5E02671F-4BBD-43BB-896A-19D7F7B398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</vt:lpstr>
      <vt:lpstr>Sports</vt:lpstr>
      <vt:lpstr>Retail</vt:lpstr>
      <vt:lpstr>Accessoires</vt:lpstr>
      <vt:lpstr>Luxury</vt:lpstr>
      <vt:lpstr>Furniture</vt:lpstr>
      <vt:lpstr>Shoes</vt:lpstr>
      <vt:lpstr>Glossar</vt:lpstr>
      <vt:lpstr>FX</vt:lpstr>
      <vt:lpstr>Acquisitions</vt:lpstr>
      <vt:lpstr>People</vt:lpstr>
      <vt:lpstr>Industry</vt:lpstr>
      <vt:lpstr>Private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Settje</dc:creator>
  <cp:keywords/>
  <dc:description/>
  <cp:lastModifiedBy>Oscar Settje</cp:lastModifiedBy>
  <cp:revision/>
  <dcterms:created xsi:type="dcterms:W3CDTF">2024-05-29T15:27:25Z</dcterms:created>
  <dcterms:modified xsi:type="dcterms:W3CDTF">2026-09-14T09:02:26Z</dcterms:modified>
  <cp:category/>
  <cp:contentStatus/>
</cp:coreProperties>
</file>