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E28E644-925C-4FDA-98FA-61A75365D42B}" xr6:coauthVersionLast="47" xr6:coauthVersionMax="47" xr10:uidLastSave="{00000000-0000-0000-0000-000000000000}"/>
  <bookViews>
    <workbookView xWindow="-120" yWindow="-120" windowWidth="38640" windowHeight="2112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<sst xmlns="http://schemas.openxmlformats.org/spreadsheetml/2006/main" count="1559" uniqueCount="899">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</sst>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 applyAlignment="1">
      <alignment horizontal="right"/>
    </xf>
    <xf numFmtId="0" fontId="8" fillId="0" borderId="0" xfId="0" applyFont="1"/>
    <xf numFmtId="0" fontId="22" fillId="0" borderId="0" xfId="0" applyFont="1"/>
    <xf numFmtId="0" fontId="7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4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right"/>
    </xf>
    <xf numFmtId="16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202.53</v>
          </cell>
        </row>
        <row r="4">
          <cell r="K4">
            <v>81093.012000000002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114.34</v>
          </cell>
        </row>
        <row r="4">
          <cell r="I4">
            <v>12398.796003380001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245.3</v>
          </cell>
        </row>
        <row r="4">
          <cell r="H4">
            <v>30074.960383599999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 refreshError="1"/>
      <sheetData sheetId="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136.34</v>
          </cell>
        </row>
        <row r="4">
          <cell r="H4">
            <v>6774.6866083200002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9" activePane="bottomRight" state="frozen"/>
      <selection pane="topRight" activeCell="C1" sqref="C1"/>
      <selection pane="bottomLeft" activeCell="A4" sqref="A4"/>
      <selection pane="bottomRight" activeCell="J24" sqref="J24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1824296.3482408095</v>
      </c>
      <c r="G4" s="17">
        <f>SUM(G6:G153)</f>
        <v>14493.280323800005</v>
      </c>
      <c r="H4" s="17">
        <f>SUM(H6:H153)</f>
        <v>1838789.6285646092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23113.470425724779</v>
      </c>
      <c r="G5" s="83">
        <f>AVERAGE(G6:G153)</f>
        <v>188.22441978961047</v>
      </c>
      <c r="H5" s="83">
        <f>AVERAGE(H6:H153)</f>
        <v>23880.384786553368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499.3</v>
      </c>
      <c r="F6" s="17">
        <f>+[1]Main!$I$6*FX!C3</f>
        <v>258434.89270768003</v>
      </c>
      <c r="G6" s="17">
        <f>(+[1]Main!$I$8-[1]Main!$I$7)*FX!C3</f>
        <v>12010.960000000001</v>
      </c>
      <c r="H6" s="17">
        <f>F6+G6</f>
        <v>270445.85270768002</v>
      </c>
      <c r="I6" s="25" t="s">
        <v>827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874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202.53</v>
      </c>
      <c r="F13" s="17">
        <f>+[8]Main!$K$4</f>
        <v>81093.012000000002</v>
      </c>
      <c r="G13" s="17">
        <f>+[8]Main!$K$6-[8]Main!$K$5</f>
        <v>2473.587</v>
      </c>
      <c r="H13" s="17">
        <f t="shared" si="1"/>
        <v>83566.599000000002</v>
      </c>
      <c r="I13" s="25" t="s">
        <v>818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875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114.34</v>
      </c>
      <c r="F15" s="17">
        <f>+[10]Main!$I$4</f>
        <v>12398.796003380001</v>
      </c>
      <c r="G15" s="17">
        <f>+[10]Main!$I$6-[10]Main!$I$5</f>
        <v>-1514.729</v>
      </c>
      <c r="H15" s="17">
        <f>F15+G15</f>
        <v>10884.067003380002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827</v>
      </c>
      <c r="J16" s="26">
        <v>46268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245.3</v>
      </c>
      <c r="F17" s="17">
        <f>+[12]Main!$H$4*FX!C3</f>
        <v>31277.958798944001</v>
      </c>
      <c r="G17" s="17">
        <f>+([12]Main!$H$6-[12]Main!$H$5)*FX!C3</f>
        <v>8578.9600000000009</v>
      </c>
      <c r="H17" s="17">
        <f t="shared" si="1"/>
        <v>39856.918798944003</v>
      </c>
      <c r="I17" s="25" t="s">
        <v>827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828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166.25</v>
      </c>
      <c r="F20" s="17">
        <f>+[15]Main!$I$4*FX!C4</f>
        <v>25232.110793750002</v>
      </c>
      <c r="G20" s="17">
        <f>+([15]Main!$I$6-[15]Main!$I$5)*FX!C4</f>
        <v>187.91</v>
      </c>
      <c r="H20" s="17">
        <f t="shared" si="1"/>
        <v>25420.020793750002</v>
      </c>
      <c r="I20" s="25" t="s">
        <v>806</v>
      </c>
      <c r="J20" s="26"/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827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47.32</v>
      </c>
      <c r="F23" s="17">
        <f>+[18]Main!$H$4*FX!C3</f>
        <v>13313.188044374401</v>
      </c>
      <c r="G23" s="17">
        <f>+([18]Main!$H$6-[18]Main!$H$5)*FX!C3</f>
        <v>-376.31984</v>
      </c>
      <c r="H23" s="17">
        <f t="shared" si="1"/>
        <v>12936.868204374401</v>
      </c>
      <c r="I23" s="25" t="s">
        <v>806</v>
      </c>
      <c r="J23" s="26">
        <v>46316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818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827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827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827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828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827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826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806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827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86.1</v>
      </c>
      <c r="F38" s="17">
        <f>+[33]Main!$J$4*FX!C3</f>
        <v>6088.4257237439997</v>
      </c>
      <c r="G38" s="17">
        <f>+([33]Main!$J$6-[33]Main!$J$5)*FX!C3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827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136.34</v>
      </c>
      <c r="F44" s="17">
        <f>+[39]Main!$H$4</f>
        <v>6774.6866083200002</v>
      </c>
      <c r="G44" s="17">
        <f>+[39]Main!$H$6-[39]Main!$H$5</f>
        <v>1204.9399999999998</v>
      </c>
      <c r="H44" s="17">
        <f>F44+G44</f>
        <v>7979.6266083199998</v>
      </c>
      <c r="I44" s="16" t="s">
        <v>827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875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827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827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827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826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898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869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3" t="s">
        <v>827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/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5" t="s">
        <v>874</v>
      </c>
      <c r="J5" s="104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5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2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0" t="s">
        <v>8</v>
      </c>
      <c r="C4" s="90" t="s">
        <v>102</v>
      </c>
      <c r="D4" s="90" t="s">
        <v>20</v>
      </c>
      <c r="E4" s="45"/>
      <c r="F4" s="45"/>
      <c r="G4" s="45"/>
      <c r="H4" s="45"/>
      <c r="I4" s="45"/>
      <c r="J4" s="45"/>
      <c r="K4" s="90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0" t="s">
        <v>9</v>
      </c>
      <c r="C5" s="90" t="s">
        <v>830</v>
      </c>
      <c r="D5" s="90" t="s">
        <v>20</v>
      </c>
      <c r="E5" s="45"/>
      <c r="F5" s="45"/>
      <c r="G5" s="45"/>
      <c r="H5" s="45"/>
      <c r="I5" s="45"/>
      <c r="J5" s="45"/>
      <c r="K5" s="90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0" t="s">
        <v>829</v>
      </c>
      <c r="C6" s="90" t="s">
        <v>139</v>
      </c>
      <c r="D6" s="90" t="s">
        <v>20</v>
      </c>
      <c r="E6" s="45"/>
      <c r="F6" s="45"/>
      <c r="G6" s="45"/>
      <c r="H6" s="45"/>
      <c r="I6" s="45"/>
      <c r="J6" s="45"/>
      <c r="K6" s="90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0" t="s">
        <v>83</v>
      </c>
      <c r="C7" s="90" t="s">
        <v>84</v>
      </c>
      <c r="D7" s="90" t="s">
        <v>85</v>
      </c>
      <c r="E7" s="45"/>
      <c r="F7" s="45"/>
      <c r="G7" s="45"/>
      <c r="H7" s="45"/>
      <c r="I7" s="45"/>
      <c r="J7" s="45"/>
      <c r="K7" s="90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0" t="s">
        <v>98</v>
      </c>
      <c r="C8" s="90" t="s">
        <v>101</v>
      </c>
      <c r="D8" s="90" t="s">
        <v>20</v>
      </c>
      <c r="E8" s="45"/>
      <c r="F8" s="45"/>
      <c r="G8" s="45"/>
      <c r="H8" s="45"/>
      <c r="I8" s="45"/>
      <c r="J8" s="45"/>
      <c r="K8" s="90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0" t="s">
        <v>140</v>
      </c>
      <c r="C9" s="90" t="s">
        <v>141</v>
      </c>
      <c r="D9" s="90" t="s">
        <v>185</v>
      </c>
      <c r="E9" s="45"/>
      <c r="F9" s="45"/>
      <c r="G9" s="45"/>
      <c r="H9" s="45"/>
      <c r="I9" s="45"/>
      <c r="J9" s="45"/>
      <c r="K9" s="90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0" t="s">
        <v>7</v>
      </c>
      <c r="C10" s="90" t="s">
        <v>446</v>
      </c>
      <c r="D10" s="90" t="s">
        <v>20</v>
      </c>
      <c r="E10" s="45"/>
      <c r="F10" s="45"/>
      <c r="G10" s="45"/>
      <c r="H10" s="45"/>
      <c r="I10" s="45"/>
      <c r="J10" s="45"/>
      <c r="K10" s="90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0" t="s">
        <v>18</v>
      </c>
      <c r="C11" s="90" t="s">
        <v>448</v>
      </c>
      <c r="D11" s="90" t="s">
        <v>165</v>
      </c>
      <c r="E11" s="45"/>
      <c r="F11" s="45"/>
      <c r="G11" s="45"/>
      <c r="H11" s="45"/>
      <c r="I11" s="45"/>
      <c r="J11" s="45"/>
      <c r="K11" s="90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0" t="s">
        <v>339</v>
      </c>
      <c r="C12" s="90" t="s">
        <v>340</v>
      </c>
      <c r="D12" s="90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0" t="s">
        <v>135</v>
      </c>
      <c r="C13" s="90" t="s">
        <v>136</v>
      </c>
      <c r="D13" s="90" t="s">
        <v>165</v>
      </c>
      <c r="E13" s="45"/>
      <c r="F13" s="45"/>
      <c r="G13" s="45"/>
      <c r="H13" s="45"/>
      <c r="I13" s="45"/>
      <c r="J13" s="45"/>
      <c r="K13" s="90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0" t="s">
        <v>387</v>
      </c>
      <c r="C14" s="90" t="s">
        <v>386</v>
      </c>
      <c r="D14" s="90" t="s">
        <v>165</v>
      </c>
      <c r="E14" s="45"/>
      <c r="F14" s="45"/>
      <c r="G14" s="45"/>
      <c r="H14" s="45"/>
      <c r="I14" s="45"/>
      <c r="J14" s="45"/>
      <c r="K14" s="90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0" t="s">
        <v>831</v>
      </c>
      <c r="C15" s="90" t="s">
        <v>832</v>
      </c>
      <c r="D15" s="90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0" t="s">
        <v>833</v>
      </c>
      <c r="C16" s="90" t="s">
        <v>455</v>
      </c>
      <c r="D16" s="90" t="s">
        <v>219</v>
      </c>
      <c r="E16" s="45"/>
      <c r="F16" s="45"/>
      <c r="G16" s="45"/>
      <c r="H16" s="45"/>
      <c r="I16" s="45"/>
      <c r="J16" s="45"/>
      <c r="K16" s="90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0" t="s">
        <v>834</v>
      </c>
      <c r="C17" s="90" t="s">
        <v>349</v>
      </c>
      <c r="D17" s="90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0" t="s">
        <v>835</v>
      </c>
      <c r="C18" s="90" t="s">
        <v>46</v>
      </c>
      <c r="D18" s="90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0" t="s">
        <v>342</v>
      </c>
      <c r="C19" s="90" t="s">
        <v>341</v>
      </c>
      <c r="D19" s="90" t="s">
        <v>21</v>
      </c>
      <c r="E19" s="45"/>
      <c r="F19" s="45"/>
      <c r="G19" s="45"/>
      <c r="H19" s="45"/>
      <c r="I19" s="45"/>
      <c r="J19" s="45"/>
      <c r="K19" s="90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0" t="s">
        <v>836</v>
      </c>
      <c r="C20" s="90" t="s">
        <v>837</v>
      </c>
      <c r="D20" s="90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0" t="s">
        <v>350</v>
      </c>
      <c r="C21" s="90" t="s">
        <v>351</v>
      </c>
      <c r="D21" s="90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0" t="s">
        <v>532</v>
      </c>
      <c r="C22" s="90" t="s">
        <v>839</v>
      </c>
      <c r="D22" s="90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0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0" t="s">
        <v>840</v>
      </c>
      <c r="C24" s="90" t="s">
        <v>357</v>
      </c>
      <c r="D24" s="90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0" t="s">
        <v>370</v>
      </c>
      <c r="C25" s="90" t="s">
        <v>378</v>
      </c>
      <c r="D25" s="90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0" t="s">
        <v>847</v>
      </c>
      <c r="C26" s="90" t="s">
        <v>699</v>
      </c>
      <c r="D26" s="90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2" t="s">
        <v>876</v>
      </c>
      <c r="C14" s="102" t="s">
        <v>877</v>
      </c>
    </row>
    <row r="15" spans="2:11">
      <c r="B15" s="102" t="s">
        <v>878</v>
      </c>
      <c r="C15" s="102" t="s">
        <v>879</v>
      </c>
    </row>
    <row r="16" spans="2:11">
      <c r="B16" s="102" t="s">
        <v>880</v>
      </c>
      <c r="C16" s="102" t="s">
        <v>881</v>
      </c>
    </row>
    <row r="17" spans="2:3">
      <c r="B17" s="102" t="s">
        <v>882</v>
      </c>
      <c r="C17" s="102" t="s">
        <v>883</v>
      </c>
    </row>
    <row r="18" spans="2:3">
      <c r="B18" s="102" t="s">
        <v>116</v>
      </c>
      <c r="C18" s="102" t="s">
        <v>884</v>
      </c>
    </row>
    <row r="19" spans="2:3">
      <c r="B19" s="102" t="s">
        <v>885</v>
      </c>
      <c r="C19" s="102" t="s">
        <v>886</v>
      </c>
    </row>
    <row r="20" spans="2:3">
      <c r="B20" s="102" t="s">
        <v>887</v>
      </c>
      <c r="C20" s="102" t="s">
        <v>888</v>
      </c>
    </row>
    <row r="21" spans="2:3">
      <c r="B21" s="102" t="s">
        <v>889</v>
      </c>
      <c r="C21" s="102" t="s">
        <v>890</v>
      </c>
    </row>
    <row r="22" spans="2:3">
      <c r="B22" s="102" t="s">
        <v>891</v>
      </c>
      <c r="C22" s="102" t="s">
        <v>892</v>
      </c>
    </row>
    <row r="23" spans="2:3">
      <c r="B23" s="102" t="s">
        <v>893</v>
      </c>
      <c r="C23" s="102" t="s">
        <v>894</v>
      </c>
    </row>
    <row r="24" spans="2:3">
      <c r="B24" s="102" t="s">
        <v>895</v>
      </c>
      <c r="C24" s="102" t="s">
        <v>896</v>
      </c>
    </row>
    <row r="26" spans="2:3">
      <c r="B26" s="44" t="s">
        <v>897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6" bestFit="1" customWidth="1"/>
    <col min="2" max="3" width="19.85546875" style="96" customWidth="1"/>
    <col min="4" max="4" width="15.28515625" style="96" bestFit="1" customWidth="1"/>
    <col min="5" max="5" width="11.28515625" style="96" bestFit="1" customWidth="1"/>
    <col min="6" max="7" width="9.28515625" style="96" bestFit="1" customWidth="1"/>
    <col min="8" max="16384" width="9.140625" style="96"/>
  </cols>
  <sheetData>
    <row r="1" spans="1:8">
      <c r="A1" s="44" t="s">
        <v>459</v>
      </c>
    </row>
    <row r="2" spans="1:8">
      <c r="B2" s="74" t="s">
        <v>2</v>
      </c>
      <c r="C2" s="74" t="s">
        <v>872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6" t="s">
        <v>719</v>
      </c>
      <c r="C3" s="44" t="s">
        <v>720</v>
      </c>
      <c r="D3" s="96" t="s">
        <v>728</v>
      </c>
      <c r="E3" s="97">
        <v>45757</v>
      </c>
      <c r="F3" s="98" t="s">
        <v>474</v>
      </c>
      <c r="G3" s="98">
        <v>1250</v>
      </c>
    </row>
    <row r="4" spans="1:8">
      <c r="B4" s="96" t="s">
        <v>692</v>
      </c>
      <c r="C4" s="44" t="s">
        <v>692</v>
      </c>
      <c r="D4" s="96" t="s">
        <v>726</v>
      </c>
      <c r="E4" s="97">
        <v>45782</v>
      </c>
      <c r="F4" s="99" t="s">
        <v>727</v>
      </c>
      <c r="G4" s="100">
        <v>9420</v>
      </c>
      <c r="H4" s="96" t="s">
        <v>800</v>
      </c>
    </row>
    <row r="5" spans="1:8">
      <c r="B5" s="96" t="s">
        <v>128</v>
      </c>
      <c r="C5" s="96" t="s">
        <v>128</v>
      </c>
      <c r="D5" s="96" t="s">
        <v>729</v>
      </c>
      <c r="E5" s="97">
        <v>45637</v>
      </c>
      <c r="F5" s="98" t="s">
        <v>474</v>
      </c>
      <c r="G5" s="100">
        <v>1100</v>
      </c>
    </row>
    <row r="6" spans="1:8">
      <c r="B6" s="96" t="s">
        <v>730</v>
      </c>
      <c r="C6" s="96" t="s">
        <v>730</v>
      </c>
      <c r="D6" s="96" t="s">
        <v>731</v>
      </c>
    </row>
    <row r="7" spans="1:8">
      <c r="B7" s="96" t="s">
        <v>191</v>
      </c>
      <c r="C7" s="44" t="s">
        <v>191</v>
      </c>
      <c r="D7" s="96" t="s">
        <v>680</v>
      </c>
      <c r="E7" s="97">
        <v>45889</v>
      </c>
      <c r="F7" s="96">
        <v>16.75</v>
      </c>
      <c r="G7" s="96" t="s">
        <v>798</v>
      </c>
      <c r="H7" s="96" t="s">
        <v>797</v>
      </c>
    </row>
    <row r="8" spans="1:8">
      <c r="B8" s="96" t="s">
        <v>420</v>
      </c>
      <c r="C8" s="101" t="s">
        <v>476</v>
      </c>
      <c r="D8" s="96" t="s">
        <v>803</v>
      </c>
      <c r="E8" s="97">
        <v>45322</v>
      </c>
      <c r="G8" s="96">
        <v>500</v>
      </c>
      <c r="H8" s="96" t="s">
        <v>804</v>
      </c>
    </row>
    <row r="9" spans="1:8">
      <c r="B9" s="96" t="s">
        <v>807</v>
      </c>
      <c r="C9" s="96" t="s">
        <v>808</v>
      </c>
      <c r="D9" s="96" t="s">
        <v>689</v>
      </c>
      <c r="E9" s="97">
        <v>45808</v>
      </c>
      <c r="G9" s="96">
        <v>290</v>
      </c>
    </row>
    <row r="10" spans="1:8">
      <c r="B10" s="96" t="s">
        <v>865</v>
      </c>
      <c r="C10" s="96" t="s">
        <v>865</v>
      </c>
      <c r="D10" s="96" t="s">
        <v>864</v>
      </c>
      <c r="E10" s="97">
        <v>46112</v>
      </c>
      <c r="F10" s="99" t="s">
        <v>474</v>
      </c>
      <c r="G10" s="96">
        <v>39</v>
      </c>
    </row>
    <row r="11" spans="1:8">
      <c r="B11" s="96" t="s">
        <v>867</v>
      </c>
      <c r="C11" s="96" t="s">
        <v>8</v>
      </c>
      <c r="D11" s="96" t="s">
        <v>868</v>
      </c>
      <c r="E11" s="97">
        <v>46156</v>
      </c>
      <c r="F11" s="99" t="s">
        <v>474</v>
      </c>
      <c r="G11" s="96">
        <v>850</v>
      </c>
    </row>
    <row r="12" spans="1:8">
      <c r="B12" s="96" t="s">
        <v>871</v>
      </c>
      <c r="C12" s="96" t="s">
        <v>873</v>
      </c>
      <c r="D12" s="96" t="s">
        <v>870</v>
      </c>
      <c r="E12" s="97">
        <v>46160</v>
      </c>
      <c r="F12" s="99" t="s">
        <v>474</v>
      </c>
      <c r="G12" s="96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0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0" t="s">
        <v>9</v>
      </c>
      <c r="C29" s="90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1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3" t="s">
        <v>863</v>
      </c>
      <c r="C15" s="94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0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2026-07-23T09:56:10Z</dcterms:modified>
  <cp:category/>
  <cp:contentStatus/>
</cp:coreProperties>
</file>