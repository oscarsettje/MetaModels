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841EE4C-3C90-4DFB-8362-587B51B8545D}" xr6:coauthVersionLast="47" xr6:coauthVersionMax="47" xr10:uidLastSave="{00000000-0000-0000-0000-000000000000}"/>
  <bookViews>
    <workbookView xWindow="225" yWindow="5070" windowWidth="38175" windowHeight="15240" activeTab="3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<sst xmlns="http://schemas.openxmlformats.org/spreadsheetml/2006/main" count="1536" uniqueCount="877">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</sst>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103">
    <xf numFmtId="0" fontId="0" fillId="0" borderId="0" xfId="0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left"/>
    </xf>
    <xf numFmtId="2" fontId="14" fillId="0" borderId="0" xfId="1" applyNumberFormat="1" applyFont="1"/>
    <xf numFmtId="0" fontId="14" fillId="0" borderId="0" xfId="1" applyNumberFormat="1" applyFont="1" applyAlignment="1">
      <alignment horizontal="right"/>
    </xf>
    <xf numFmtId="0" fontId="15" fillId="0" borderId="0" xfId="0" applyFont="1"/>
    <xf numFmtId="0" fontId="13" fillId="2" borderId="1" xfId="0" applyFont="1" applyFill="1" applyBorder="1" applyAlignment="1">
      <alignment horizontal="center"/>
    </xf>
    <xf numFmtId="0" fontId="13" fillId="2" borderId="2" xfId="0" applyFont="1" applyFill="1" applyBorder="1"/>
    <xf numFmtId="0" fontId="13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center"/>
    </xf>
    <xf numFmtId="0" fontId="13" fillId="2" borderId="2" xfId="1" applyNumberFormat="1" applyFont="1" applyFill="1" applyBorder="1" applyAlignment="1">
      <alignment horizontal="right"/>
    </xf>
    <xf numFmtId="0" fontId="16" fillId="2" borderId="2" xfId="0" applyFont="1" applyFill="1" applyBorder="1"/>
    <xf numFmtId="0" fontId="16" fillId="2" borderId="3" xfId="0" applyFont="1" applyFill="1" applyBorder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66" fontId="14" fillId="0" borderId="0" xfId="0" applyNumberFormat="1" applyFont="1"/>
    <xf numFmtId="9" fontId="14" fillId="0" borderId="0" xfId="0" applyNumberFormat="1" applyFont="1" applyAlignment="1">
      <alignment horizontal="right"/>
    </xf>
    <xf numFmtId="168" fontId="14" fillId="0" borderId="0" xfId="0" applyNumberFormat="1" applyFont="1" applyAlignment="1">
      <alignment horizontal="right"/>
    </xf>
    <xf numFmtId="168" fontId="14" fillId="0" borderId="0" xfId="1" applyNumberFormat="1" applyFont="1" applyAlignment="1">
      <alignment horizontal="right"/>
    </xf>
    <xf numFmtId="9" fontId="14" fillId="0" borderId="0" xfId="1" applyFont="1"/>
    <xf numFmtId="168" fontId="14" fillId="0" borderId="0" xfId="0" applyNumberFormat="1" applyFont="1"/>
    <xf numFmtId="0" fontId="17" fillId="0" borderId="0" xfId="2" applyFont="1"/>
    <xf numFmtId="165" fontId="14" fillId="0" borderId="0" xfId="0" applyNumberFormat="1" applyFont="1"/>
    <xf numFmtId="17" fontId="14" fillId="0" borderId="0" xfId="0" applyNumberFormat="1" applyFont="1" applyAlignment="1">
      <alignment horizontal="right"/>
    </xf>
    <xf numFmtId="16" fontId="14" fillId="0" borderId="0" xfId="0" applyNumberFormat="1" applyFont="1"/>
    <xf numFmtId="168" fontId="14" fillId="0" borderId="0" xfId="1" applyNumberFormat="1" applyFont="1"/>
    <xf numFmtId="164" fontId="14" fillId="0" borderId="0" xfId="1" applyNumberFormat="1" applyFont="1"/>
    <xf numFmtId="167" fontId="14" fillId="0" borderId="0" xfId="0" applyNumberFormat="1" applyFont="1"/>
    <xf numFmtId="16" fontId="14" fillId="0" borderId="0" xfId="0" applyNumberFormat="1" applyFont="1" applyAlignment="1">
      <alignment horizontal="right"/>
    </xf>
    <xf numFmtId="0" fontId="17" fillId="0" borderId="0" xfId="2" applyFont="1" applyAlignment="1">
      <alignment horizontal="left"/>
    </xf>
    <xf numFmtId="0" fontId="14" fillId="0" borderId="0" xfId="0" quotePrefix="1" applyFont="1" applyAlignment="1">
      <alignment horizontal="left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165" fontId="15" fillId="0" borderId="0" xfId="0" applyNumberFormat="1" applyFont="1"/>
    <xf numFmtId="0" fontId="15" fillId="0" borderId="0" xfId="0" applyFont="1" applyAlignment="1">
      <alignment horizontal="right"/>
    </xf>
    <xf numFmtId="9" fontId="15" fillId="0" borderId="0" xfId="1" applyFont="1"/>
    <xf numFmtId="168" fontId="15" fillId="0" borderId="0" xfId="0" applyNumberFormat="1" applyFont="1"/>
    <xf numFmtId="168" fontId="15" fillId="0" borderId="0" xfId="1" applyNumberFormat="1" applyFont="1"/>
    <xf numFmtId="164" fontId="15" fillId="0" borderId="0" xfId="1" applyNumberFormat="1" applyFont="1"/>
    <xf numFmtId="166" fontId="15" fillId="0" borderId="0" xfId="0" applyNumberFormat="1" applyFont="1"/>
    <xf numFmtId="0" fontId="15" fillId="0" borderId="0" xfId="1" applyNumberFormat="1" applyFont="1" applyAlignment="1">
      <alignment horizontal="right"/>
    </xf>
    <xf numFmtId="2" fontId="15" fillId="0" borderId="0" xfId="1" applyNumberFormat="1" applyFont="1"/>
    <xf numFmtId="0" fontId="18" fillId="0" borderId="0" xfId="2"/>
    <xf numFmtId="0" fontId="10" fillId="0" borderId="0" xfId="0" applyFont="1"/>
    <xf numFmtId="0" fontId="10" fillId="0" borderId="0" xfId="0" applyFont="1" applyAlignment="1">
      <alignment horizontal="right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12" fillId="2" borderId="2" xfId="1" applyNumberFormat="1" applyFont="1" applyFill="1" applyBorder="1" applyAlignment="1">
      <alignment horizontal="right"/>
    </xf>
    <xf numFmtId="0" fontId="12" fillId="2" borderId="2" xfId="1" applyNumberFormat="1" applyFont="1" applyFill="1" applyBorder="1" applyAlignment="1">
      <alignment horizontal="right"/>
    </xf>
    <xf numFmtId="0" fontId="12" fillId="2" borderId="3" xfId="0" applyFont="1" applyFill="1" applyBorder="1"/>
    <xf numFmtId="0" fontId="10" fillId="0" borderId="0" xfId="0" applyFont="1" applyAlignment="1">
      <alignment horizontal="center"/>
    </xf>
    <xf numFmtId="166" fontId="10" fillId="0" borderId="0" xfId="0" applyNumberFormat="1" applyFont="1"/>
    <xf numFmtId="0" fontId="10" fillId="0" borderId="0" xfId="0" applyFont="1" applyAlignment="1">
      <alignment horizontal="left"/>
    </xf>
    <xf numFmtId="165" fontId="10" fillId="0" borderId="0" xfId="0" applyNumberFormat="1" applyFont="1"/>
    <xf numFmtId="17" fontId="10" fillId="0" borderId="0" xfId="0" applyNumberFormat="1" applyFont="1" applyAlignment="1">
      <alignment horizontal="right"/>
    </xf>
    <xf numFmtId="16" fontId="10" fillId="0" borderId="0" xfId="0" applyNumberFormat="1" applyFont="1"/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0" fontId="10" fillId="0" borderId="0" xfId="1" applyNumberFormat="1" applyFont="1" applyAlignment="1">
      <alignment horizontal="right"/>
    </xf>
    <xf numFmtId="0" fontId="18" fillId="0" borderId="0" xfId="2" applyAlignment="1">
      <alignment horizontal="left"/>
    </xf>
    <xf numFmtId="165" fontId="12" fillId="2" borderId="2" xfId="0" applyNumberFormat="1" applyFont="1" applyFill="1" applyBorder="1"/>
    <xf numFmtId="166" fontId="12" fillId="2" borderId="2" xfId="0" applyNumberFormat="1" applyFont="1" applyFill="1" applyBorder="1"/>
    <xf numFmtId="166" fontId="12" fillId="2" borderId="2" xfId="0" applyNumberFormat="1" applyFont="1" applyFill="1" applyBorder="1" applyAlignment="1">
      <alignment horizontal="right"/>
    </xf>
    <xf numFmtId="9" fontId="12" fillId="2" borderId="2" xfId="1" applyFont="1" applyFill="1" applyBorder="1"/>
    <xf numFmtId="0" fontId="10" fillId="0" borderId="0" xfId="0" quotePrefix="1" applyFont="1" applyAlignment="1">
      <alignment horizontal="left"/>
    </xf>
    <xf numFmtId="0" fontId="19" fillId="0" borderId="0" xfId="0" applyFont="1"/>
    <xf numFmtId="2" fontId="10" fillId="0" borderId="0" xfId="0" applyNumberFormat="1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right"/>
    </xf>
    <xf numFmtId="0" fontId="9" fillId="0" borderId="0" xfId="0" applyFont="1"/>
    <xf numFmtId="0" fontId="8" fillId="0" borderId="0" xfId="0" applyFont="1"/>
    <xf numFmtId="2" fontId="13" fillId="2" borderId="2" xfId="1" applyNumberFormat="1" applyFont="1" applyFill="1" applyBorder="1" applyAlignment="1">
      <alignment horizontal="left"/>
    </xf>
    <xf numFmtId="166" fontId="14" fillId="0" borderId="0" xfId="0" applyNumberFormat="1" applyFont="1" applyAlignment="1">
      <alignment horizontal="right"/>
    </xf>
    <xf numFmtId="0" fontId="14" fillId="0" borderId="4" xfId="0" applyFont="1" applyBorder="1" applyAlignment="1">
      <alignment horizontal="center"/>
    </xf>
    <xf numFmtId="0" fontId="13" fillId="0" borderId="4" xfId="0" applyFont="1" applyBorder="1"/>
    <xf numFmtId="0" fontId="14" fillId="0" borderId="4" xfId="0" applyFont="1" applyBorder="1"/>
    <xf numFmtId="166" fontId="14" fillId="0" borderId="4" xfId="0" applyNumberFormat="1" applyFont="1" applyBorder="1"/>
    <xf numFmtId="166" fontId="14" fillId="0" borderId="4" xfId="0" applyNumberFormat="1" applyFont="1" applyBorder="1" applyAlignment="1">
      <alignment horizontal="right"/>
    </xf>
    <xf numFmtId="9" fontId="14" fillId="0" borderId="4" xfId="1" applyFont="1" applyBorder="1"/>
    <xf numFmtId="168" fontId="14" fillId="0" borderId="4" xfId="0" applyNumberFormat="1" applyFont="1" applyBorder="1"/>
    <xf numFmtId="0" fontId="14" fillId="0" borderId="4" xfId="1" applyNumberFormat="1" applyFont="1" applyBorder="1" applyAlignment="1">
      <alignment horizontal="right"/>
    </xf>
    <xf numFmtId="0" fontId="15" fillId="0" borderId="4" xfId="0" applyFont="1" applyBorder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20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/>
    <xf numFmtId="0" fontId="1" fillId="0" borderId="0" xfId="0" applyFont="1" applyAlignment="1">
      <alignment horizontal="lef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80.760000000000005</v>
          </cell>
        </row>
        <row r="4">
          <cell r="J4">
            <v>3699.7390012800006</v>
          </cell>
        </row>
        <row r="5">
          <cell r="J5">
            <v>701.6</v>
          </cell>
        </row>
        <row r="6">
          <cell r="J6">
            <v>2291.4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215.35</v>
          </cell>
        </row>
        <row r="4">
          <cell r="J4">
            <v>19175.813831250001</v>
          </cell>
        </row>
        <row r="5">
          <cell r="J5">
            <v>1353.2260000000001</v>
          </cell>
        </row>
        <row r="6">
          <cell r="J6">
            <v>1905.299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 refreshError="1"/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5" sqref="J15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810</v>
      </c>
      <c r="N3" s="10" t="s">
        <v>811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826</v>
      </c>
      <c r="F4" s="17">
        <f>SUM(F6:F153)</f>
        <v>1804913.2447462713</v>
      </c>
      <c r="G4" s="17">
        <f>SUM(G6:G153)</f>
        <v>10241.959215200002</v>
      </c>
      <c r="H4" s="17">
        <f>SUM(H6:H153)</f>
        <v>1815155.2039614709</v>
      </c>
      <c r="I4" s="79" t="s">
        <v>422</v>
      </c>
      <c r="J4" s="15" t="s">
        <v>826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826</v>
      </c>
      <c r="D5" s="82" t="str" cm="1">
        <f t="array" ref="D5">_xlfn.LET(_xlpm.rng,D6:D182,INDEX(_xlpm.rng,MATCH(MAX(COUNTIF(_xlpm.rng,_xlpm.rng)),COUNTIF(_xlpm.rng,_xlpm.rng),0)))</f>
        <v>US</v>
      </c>
      <c r="E5" s="80" t="s">
        <v>826</v>
      </c>
      <c r="F5" s="83">
        <f>+AVERAGE(F6:F181)</f>
        <v>22868.114685287586</v>
      </c>
      <c r="G5" s="83">
        <f>AVERAGE(G6:G153)</f>
        <v>133.01245734025977</v>
      </c>
      <c r="H5" s="83">
        <f>AVERAGE(H6:H153)</f>
        <v>23573.444207291828</v>
      </c>
      <c r="I5" s="84" t="s">
        <v>422</v>
      </c>
      <c r="J5" s="80" t="s">
        <v>826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499.3</v>
      </c>
      <c r="F6" s="17">
        <f>+[1]Main!$I$6*FX!C3</f>
        <v>258434.89270768003</v>
      </c>
      <c r="G6" s="17">
        <f>(+[1]Main!$I$8-[1]Main!$I$7)*FX!C3</f>
        <v>12010.960000000001</v>
      </c>
      <c r="H6" s="17">
        <f>F6+G6</f>
        <v>270445.85270768002</v>
      </c>
      <c r="I6" s="25" t="s">
        <v>828</v>
      </c>
      <c r="J6" s="26">
        <v>46231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1751</v>
      </c>
      <c r="F7" s="17">
        <f>+[2]Main!$K$4*FX!C3</f>
        <v>192246.12202848002</v>
      </c>
      <c r="G7" s="17">
        <f>+([2]Main!$K$6-[2]Main!$K$5)*FX!C3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52.82</v>
      </c>
      <c r="F8" s="17">
        <f>+[3]Main!$J$5*FX!C3</f>
        <v>171175.63038214078</v>
      </c>
      <c r="G8" s="17">
        <f>+([3]Main!$J$7-[3]Main!$J$6)*FX!C3</f>
        <v>-11396.32</v>
      </c>
      <c r="H8" s="17">
        <f t="shared" ref="H8:H35" si="1">F8+G8</f>
        <v>159779.31038214077</v>
      </c>
      <c r="I8" s="25" t="s">
        <v>422</v>
      </c>
      <c r="J8" s="26">
        <v>46183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875</v>
      </c>
      <c r="J9" s="26"/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48.01</v>
      </c>
      <c r="F11" s="17">
        <f>+[6]Main!$I$5</f>
        <v>71078.804999999993</v>
      </c>
      <c r="G11" s="17">
        <f>+[6]Main!$I$7-[6]Main!$I$6</f>
        <v>-28</v>
      </c>
      <c r="H11" s="17">
        <f t="shared" si="1"/>
        <v>71050.804999999993</v>
      </c>
      <c r="I11" s="25" t="s">
        <v>819</v>
      </c>
      <c r="J11" s="26">
        <v>46198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75540</v>
      </c>
      <c r="F12" s="17">
        <f>+[7]Main!$J$5*FX!C5</f>
        <v>146020.56045670799</v>
      </c>
      <c r="G12" s="17">
        <f>+([7]Main!$J$7-[7]Main!$J$6)*FX!C5</f>
        <v>-4946.4386999999997</v>
      </c>
      <c r="H12" s="17">
        <f t="shared" si="1"/>
        <v>141074.12175670799</v>
      </c>
      <c r="I12" s="25" t="s">
        <v>797</v>
      </c>
      <c r="J12" s="26">
        <v>46212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170</v>
      </c>
      <c r="F13" s="17">
        <f>+[8]Main!$K$4</f>
        <v>68068</v>
      </c>
      <c r="G13" s="17">
        <f>+[8]Main!$K$6-[8]Main!$K$5</f>
        <v>2473.587</v>
      </c>
      <c r="H13" s="17">
        <f t="shared" si="1"/>
        <v>70541.587</v>
      </c>
      <c r="I13" s="25" t="s">
        <v>819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876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156.36000000000001</v>
      </c>
      <c r="F15" s="17">
        <f>+[10]Main!$I$4</f>
        <v>17275.07043756</v>
      </c>
      <c r="G15" s="17">
        <f>+[10]Main!$I$6-[10]Main!$I$5</f>
        <v>-1807.202</v>
      </c>
      <c r="H15" s="17">
        <f>F15+G15</f>
        <v>15467.868437560001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828</v>
      </c>
      <c r="J16" s="26">
        <v>46233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256.14999999999998</v>
      </c>
      <c r="F17" s="17">
        <f>+[12]Main!$H$4*FX!C3</f>
        <v>32661.431497551999</v>
      </c>
      <c r="G17" s="17">
        <f>+([12]Main!$H$6-[12]Main!$H$5)*FX!C3</f>
        <v>8578.9600000000009</v>
      </c>
      <c r="H17" s="17">
        <f t="shared" si="1"/>
        <v>41240.391497552002</v>
      </c>
      <c r="I17" s="25" t="s">
        <v>828</v>
      </c>
      <c r="J17" s="26">
        <v>46231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107</v>
      </c>
      <c r="F19" s="17">
        <f>+[14]Main!$M$4</f>
        <v>14860.262398999999</v>
      </c>
      <c r="G19" s="17">
        <f>+[14]Main!$M$6-[14]Main!$M$5</f>
        <v>-1907.249</v>
      </c>
      <c r="H19" s="17">
        <f>F19+G19</f>
        <v>12953.013398999999</v>
      </c>
      <c r="I19" s="25" t="s">
        <v>829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170.3</v>
      </c>
      <c r="F20" s="17">
        <f>+[15]Main!$I$4*FX!C4</f>
        <v>25871.945346</v>
      </c>
      <c r="G20" s="17">
        <f>+([15]Main!$I$6-[15]Main!$I$5)*FX!C4</f>
        <v>184.49</v>
      </c>
      <c r="H20" s="17">
        <f t="shared" si="1"/>
        <v>26056.435346000002</v>
      </c>
      <c r="I20" s="25" t="s">
        <v>828</v>
      </c>
      <c r="J20" s="26">
        <v>46198</v>
      </c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828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53.46</v>
      </c>
      <c r="F23" s="17">
        <f>+[18]Main!$H$4*FX!C3</f>
        <v>15040.638902203202</v>
      </c>
      <c r="G23" s="17">
        <f>+([18]Main!$H$6-[18]Main!$H$5)*FX!C3</f>
        <v>-376.31984</v>
      </c>
      <c r="H23" s="17">
        <f t="shared" si="1"/>
        <v>14664.319062203202</v>
      </c>
      <c r="I23" s="25" t="s">
        <v>828</v>
      </c>
      <c r="J23" s="26">
        <v>46225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819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828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828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828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829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828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827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807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25.5</v>
      </c>
      <c r="F36" s="17">
        <f>+[31]Main!$J$4</f>
        <v>9484.0043700000006</v>
      </c>
      <c r="G36" s="17">
        <f>+([31]Main!$J$6-[31]Main!$J$5)</f>
        <v>-1026</v>
      </c>
      <c r="H36" s="17">
        <f>+G36+F36</f>
        <v>8458.0043700000006</v>
      </c>
      <c r="I36" s="16" t="s">
        <v>422</v>
      </c>
      <c r="J36" s="26">
        <v>46170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812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86.1</v>
      </c>
      <c r="F38" s="17">
        <f>+[33]Main!$J$4*FX!C3</f>
        <v>6088.4257237439997</v>
      </c>
      <c r="G38" s="17">
        <f>+([33]Main!$J$6-[33]Main!$J$5)*FX!C3</f>
        <v>200.49328000000006</v>
      </c>
      <c r="H38" s="17">
        <f>F38+G38</f>
        <v>6288.9190037439994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828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22.68</v>
      </c>
      <c r="F40" s="17">
        <f>+[35]Main!$I$4</f>
        <v>8722.6429726799997</v>
      </c>
      <c r="G40" s="17">
        <f>+[35]Main!$I$6-[35]Main!$I$5</f>
        <v>237.40000000000009</v>
      </c>
      <c r="H40" s="17">
        <f>F40+G40</f>
        <v>8960.0429726799994</v>
      </c>
      <c r="I40" s="16" t="s">
        <v>828</v>
      </c>
      <c r="J40" s="26">
        <v>46212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102.6</v>
      </c>
      <c r="F44" s="17">
        <f>+[39]Main!$H$4</f>
        <v>5098.1578847999999</v>
      </c>
      <c r="G44" s="17">
        <f>+[39]Main!$H$6-[39]Main!$H$5</f>
        <v>1204.9399999999998</v>
      </c>
      <c r="H44" s="17">
        <f>F44+G44</f>
        <v>6303.0978847999995</v>
      </c>
      <c r="I44" s="16" t="s">
        <v>828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807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876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828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95.69</v>
      </c>
      <c r="F53" s="17">
        <f>+[48]Main!$I$4</f>
        <v>4527.9551099999999</v>
      </c>
      <c r="G53" s="17">
        <f>+[48]Main!$I$6-[48]Main!$I$5</f>
        <v>-784.57600000000002</v>
      </c>
      <c r="H53" s="17">
        <f>F53+G53</f>
        <v>3743.3791099999999</v>
      </c>
      <c r="I53" s="25" t="s">
        <v>422</v>
      </c>
      <c r="J53" s="26">
        <v>46169</v>
      </c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80.760000000000005</v>
      </c>
      <c r="F55" s="17">
        <f>+[50]Main!$J$4</f>
        <v>3699.7390012800006</v>
      </c>
      <c r="G55" s="17">
        <f>+([50]Main!$J$6-[50]Main!$J$5)</f>
        <v>1589.8000000000002</v>
      </c>
      <c r="H55" s="17">
        <f>F55+G55</f>
        <v>5289.5390012800008</v>
      </c>
      <c r="I55" s="16" t="s">
        <v>422</v>
      </c>
      <c r="J55" s="26">
        <v>46177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829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807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818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813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828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827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23" t="s">
        <v>161</v>
      </c>
      <c r="C67" s="3" t="s">
        <v>394</v>
      </c>
      <c r="D67" s="2" t="s">
        <v>21</v>
      </c>
      <c r="E67" s="24">
        <f>+[61]Main!$I$2</f>
        <v>54.91</v>
      </c>
      <c r="F67" s="17">
        <f>+[61]Main!$I$4</f>
        <v>4407.5666168399994</v>
      </c>
      <c r="G67" s="17">
        <f>+[61]Main!$I$6-[61]Main!$I$5</f>
        <v>1102</v>
      </c>
      <c r="H67" s="17">
        <f>F67+G67</f>
        <v>5509.5666168399994</v>
      </c>
      <c r="I67" s="25" t="s">
        <v>813</v>
      </c>
      <c r="J67" s="26">
        <v>46085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33.92</v>
      </c>
      <c r="F68" s="17">
        <f>+[62]Main!$H$4</f>
        <v>2464.3691366400003</v>
      </c>
      <c r="G68" s="17">
        <f>+[62]Main!$H$6-[62]Main!$H$5</f>
        <v>182.17599999999999</v>
      </c>
      <c r="H68" s="17">
        <f>+F68+G68</f>
        <v>2646.5451366400002</v>
      </c>
      <c r="I68" s="16" t="s">
        <v>149</v>
      </c>
      <c r="J68" s="26">
        <v>45967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19.670000000000002</v>
      </c>
      <c r="F69" s="17">
        <f>+[63]Main!$I$4</f>
        <v>2341.6752811900001</v>
      </c>
      <c r="G69" s="17">
        <f>+[63]Main!$I$6-[63]Main!$I$5</f>
        <v>1542</v>
      </c>
      <c r="H69" s="17">
        <f>+F69+G69</f>
        <v>3883.6752811900001</v>
      </c>
      <c r="I69" s="16" t="s">
        <v>380</v>
      </c>
      <c r="J69" s="26">
        <v>45805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870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813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I21" sqref="I21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215.35</v>
      </c>
      <c r="F20" s="56">
        <f>+[80]Main!$J$4</f>
        <v>19175.813831250001</v>
      </c>
      <c r="G20" s="56">
        <f>+[80]Main!$J$6-[80]Main!$J$5</f>
        <v>552.07299999999987</v>
      </c>
      <c r="H20" s="56">
        <f>+F20+G20</f>
        <v>19727.886831250002</v>
      </c>
      <c r="I20" s="96" t="s">
        <v>422</v>
      </c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tabSelected="1" zoomScale="200" zoomScaleNormal="200" workbookViewId="0">
      <selection activeCell="J6" sqref="J6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90" t="s">
        <v>819</v>
      </c>
      <c r="J5" s="60">
        <v>46218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6" t="s">
        <v>820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3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844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1" t="s">
        <v>8</v>
      </c>
      <c r="C4" s="91" t="s">
        <v>102</v>
      </c>
      <c r="D4" s="91" t="s">
        <v>20</v>
      </c>
      <c r="E4" s="45"/>
      <c r="F4" s="45"/>
      <c r="G4" s="45"/>
      <c r="H4" s="45"/>
      <c r="I4" s="45"/>
      <c r="J4" s="45"/>
      <c r="K4" s="91" t="s">
        <v>842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1" t="s">
        <v>9</v>
      </c>
      <c r="C5" s="91" t="s">
        <v>831</v>
      </c>
      <c r="D5" s="91" t="s">
        <v>20</v>
      </c>
      <c r="E5" s="45"/>
      <c r="F5" s="45"/>
      <c r="G5" s="45"/>
      <c r="H5" s="45"/>
      <c r="I5" s="45"/>
      <c r="J5" s="45"/>
      <c r="K5" s="91" t="s">
        <v>842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1" t="s">
        <v>830</v>
      </c>
      <c r="C6" s="91" t="s">
        <v>139</v>
      </c>
      <c r="D6" s="91" t="s">
        <v>20</v>
      </c>
      <c r="E6" s="45"/>
      <c r="F6" s="45"/>
      <c r="G6" s="45"/>
      <c r="H6" s="45"/>
      <c r="I6" s="45"/>
      <c r="J6" s="45"/>
      <c r="K6" s="91" t="s">
        <v>843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1" t="s">
        <v>83</v>
      </c>
      <c r="C7" s="91" t="s">
        <v>84</v>
      </c>
      <c r="D7" s="91" t="s">
        <v>85</v>
      </c>
      <c r="E7" s="45"/>
      <c r="F7" s="45"/>
      <c r="G7" s="45"/>
      <c r="H7" s="45"/>
      <c r="I7" s="45"/>
      <c r="J7" s="45"/>
      <c r="K7" s="91" t="s">
        <v>845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1" t="s">
        <v>98</v>
      </c>
      <c r="C8" s="91" t="s">
        <v>101</v>
      </c>
      <c r="D8" s="91" t="s">
        <v>20</v>
      </c>
      <c r="E8" s="45"/>
      <c r="F8" s="45"/>
      <c r="G8" s="45"/>
      <c r="H8" s="45"/>
      <c r="I8" s="45"/>
      <c r="J8" s="45"/>
      <c r="K8" s="91" t="s">
        <v>842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1" t="s">
        <v>140</v>
      </c>
      <c r="C9" s="91" t="s">
        <v>141</v>
      </c>
      <c r="D9" s="91" t="s">
        <v>185</v>
      </c>
      <c r="E9" s="45"/>
      <c r="F9" s="45"/>
      <c r="G9" s="45"/>
      <c r="H9" s="45"/>
      <c r="I9" s="45"/>
      <c r="J9" s="45"/>
      <c r="K9" s="91" t="s">
        <v>845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1" t="s">
        <v>7</v>
      </c>
      <c r="C10" s="91" t="s">
        <v>446</v>
      </c>
      <c r="D10" s="91" t="s">
        <v>20</v>
      </c>
      <c r="E10" s="45"/>
      <c r="F10" s="45"/>
      <c r="G10" s="45"/>
      <c r="H10" s="45"/>
      <c r="I10" s="45"/>
      <c r="J10" s="45"/>
      <c r="K10" s="91" t="s">
        <v>842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1" t="s">
        <v>18</v>
      </c>
      <c r="C11" s="91" t="s">
        <v>448</v>
      </c>
      <c r="D11" s="91" t="s">
        <v>165</v>
      </c>
      <c r="E11" s="45"/>
      <c r="F11" s="45"/>
      <c r="G11" s="45"/>
      <c r="H11" s="45"/>
      <c r="I11" s="45"/>
      <c r="J11" s="45"/>
      <c r="K11" s="91" t="s">
        <v>846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1" t="s">
        <v>339</v>
      </c>
      <c r="C12" s="91" t="s">
        <v>340</v>
      </c>
      <c r="D12" s="91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1" t="s">
        <v>135</v>
      </c>
      <c r="C13" s="91" t="s">
        <v>136</v>
      </c>
      <c r="D13" s="91" t="s">
        <v>165</v>
      </c>
      <c r="E13" s="45"/>
      <c r="F13" s="45"/>
      <c r="G13" s="45"/>
      <c r="H13" s="45"/>
      <c r="I13" s="45"/>
      <c r="J13" s="45"/>
      <c r="K13" s="91" t="s">
        <v>846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1" t="s">
        <v>387</v>
      </c>
      <c r="C14" s="91" t="s">
        <v>386</v>
      </c>
      <c r="D14" s="91" t="s">
        <v>165</v>
      </c>
      <c r="E14" s="45"/>
      <c r="F14" s="45"/>
      <c r="G14" s="45"/>
      <c r="H14" s="45"/>
      <c r="I14" s="45"/>
      <c r="J14" s="45"/>
      <c r="K14" s="91" t="s">
        <v>846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1" t="s">
        <v>832</v>
      </c>
      <c r="C15" s="91" t="s">
        <v>833</v>
      </c>
      <c r="D15" s="91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1" t="s">
        <v>834</v>
      </c>
      <c r="C16" s="91" t="s">
        <v>455</v>
      </c>
      <c r="D16" s="91" t="s">
        <v>219</v>
      </c>
      <c r="E16" s="45"/>
      <c r="F16" s="45"/>
      <c r="G16" s="45"/>
      <c r="H16" s="45"/>
      <c r="I16" s="45"/>
      <c r="J16" s="45"/>
      <c r="K16" s="91" t="s">
        <v>846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1" t="s">
        <v>835</v>
      </c>
      <c r="C17" s="91" t="s">
        <v>349</v>
      </c>
      <c r="D17" s="91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1" t="s">
        <v>836</v>
      </c>
      <c r="C18" s="91" t="s">
        <v>46</v>
      </c>
      <c r="D18" s="91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1" t="s">
        <v>342</v>
      </c>
      <c r="C19" s="91" t="s">
        <v>341</v>
      </c>
      <c r="D19" s="91" t="s">
        <v>21</v>
      </c>
      <c r="E19" s="45"/>
      <c r="F19" s="45"/>
      <c r="G19" s="45"/>
      <c r="H19" s="45"/>
      <c r="I19" s="45"/>
      <c r="J19" s="45"/>
      <c r="K19" s="91" t="s">
        <v>847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1" t="s">
        <v>837</v>
      </c>
      <c r="C20" s="91" t="s">
        <v>838</v>
      </c>
      <c r="D20" s="91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1" t="s">
        <v>350</v>
      </c>
      <c r="C21" s="91" t="s">
        <v>351</v>
      </c>
      <c r="D21" s="91" t="s">
        <v>839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1" t="s">
        <v>532</v>
      </c>
      <c r="C22" s="91" t="s">
        <v>840</v>
      </c>
      <c r="D22" s="91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1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1" t="s">
        <v>841</v>
      </c>
      <c r="C24" s="91" t="s">
        <v>357</v>
      </c>
      <c r="D24" s="91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1" t="s">
        <v>370</v>
      </c>
      <c r="C25" s="91" t="s">
        <v>378</v>
      </c>
      <c r="D25" s="91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1" t="s">
        <v>848</v>
      </c>
      <c r="C26" s="91" t="s">
        <v>699</v>
      </c>
      <c r="D26" s="91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806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815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814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816</v>
      </c>
      <c r="C13" s="76" t="s">
        <v>817</v>
      </c>
      <c r="D13" s="45"/>
      <c r="E13" s="45"/>
      <c r="F13" s="45"/>
      <c r="G13" s="45"/>
      <c r="H13" s="45"/>
      <c r="I13" s="45"/>
      <c r="J13" s="45"/>
      <c r="K13" s="4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7" bestFit="1" customWidth="1"/>
    <col min="2" max="3" width="19.85546875" style="97" customWidth="1"/>
    <col min="4" max="4" width="15.28515625" style="97" bestFit="1" customWidth="1"/>
    <col min="5" max="5" width="11.28515625" style="97" bestFit="1" customWidth="1"/>
    <col min="6" max="7" width="9.28515625" style="97" bestFit="1" customWidth="1"/>
    <col min="8" max="16384" width="9.140625" style="97"/>
  </cols>
  <sheetData>
    <row r="1" spans="1:8">
      <c r="A1" s="44" t="s">
        <v>459</v>
      </c>
    </row>
    <row r="2" spans="1:8">
      <c r="B2" s="74" t="s">
        <v>2</v>
      </c>
      <c r="C2" s="74" t="s">
        <v>873</v>
      </c>
      <c r="D2" s="74" t="s">
        <v>717</v>
      </c>
      <c r="E2" s="74" t="s">
        <v>718</v>
      </c>
      <c r="F2" s="75" t="s">
        <v>4</v>
      </c>
      <c r="G2" s="75" t="s">
        <v>800</v>
      </c>
      <c r="H2" s="75" t="s">
        <v>126</v>
      </c>
    </row>
    <row r="3" spans="1:8">
      <c r="B3" s="97" t="s">
        <v>719</v>
      </c>
      <c r="C3" s="44" t="s">
        <v>720</v>
      </c>
      <c r="D3" s="97" t="s">
        <v>728</v>
      </c>
      <c r="E3" s="98">
        <v>45757</v>
      </c>
      <c r="F3" s="99" t="s">
        <v>474</v>
      </c>
      <c r="G3" s="99">
        <v>1250</v>
      </c>
    </row>
    <row r="4" spans="1:8">
      <c r="B4" s="97" t="s">
        <v>692</v>
      </c>
      <c r="C4" s="44" t="s">
        <v>692</v>
      </c>
      <c r="D4" s="97" t="s">
        <v>726</v>
      </c>
      <c r="E4" s="98">
        <v>45782</v>
      </c>
      <c r="F4" s="100" t="s">
        <v>727</v>
      </c>
      <c r="G4" s="101">
        <v>9420</v>
      </c>
      <c r="H4" s="97" t="s">
        <v>801</v>
      </c>
    </row>
    <row r="5" spans="1:8">
      <c r="B5" s="97" t="s">
        <v>128</v>
      </c>
      <c r="C5" s="97" t="s">
        <v>128</v>
      </c>
      <c r="D5" s="97" t="s">
        <v>729</v>
      </c>
      <c r="E5" s="98">
        <v>45637</v>
      </c>
      <c r="F5" s="99" t="s">
        <v>474</v>
      </c>
      <c r="G5" s="101">
        <v>1100</v>
      </c>
    </row>
    <row r="6" spans="1:8">
      <c r="B6" s="97" t="s">
        <v>730</v>
      </c>
      <c r="C6" s="97" t="s">
        <v>730</v>
      </c>
      <c r="D6" s="97" t="s">
        <v>731</v>
      </c>
    </row>
    <row r="7" spans="1:8">
      <c r="B7" s="97" t="s">
        <v>191</v>
      </c>
      <c r="C7" s="44" t="s">
        <v>191</v>
      </c>
      <c r="D7" s="97" t="s">
        <v>680</v>
      </c>
      <c r="E7" s="98">
        <v>45889</v>
      </c>
      <c r="F7" s="97">
        <v>16.75</v>
      </c>
      <c r="G7" s="97" t="s">
        <v>799</v>
      </c>
      <c r="H7" s="97" t="s">
        <v>798</v>
      </c>
    </row>
    <row r="8" spans="1:8">
      <c r="B8" s="97" t="s">
        <v>420</v>
      </c>
      <c r="C8" s="102" t="s">
        <v>476</v>
      </c>
      <c r="D8" s="97" t="s">
        <v>804</v>
      </c>
      <c r="E8" s="98">
        <v>45322</v>
      </c>
      <c r="G8" s="97">
        <v>500</v>
      </c>
      <c r="H8" s="97" t="s">
        <v>805</v>
      </c>
    </row>
    <row r="9" spans="1:8">
      <c r="B9" s="97" t="s">
        <v>808</v>
      </c>
      <c r="C9" s="97" t="s">
        <v>809</v>
      </c>
      <c r="D9" s="97" t="s">
        <v>689</v>
      </c>
      <c r="E9" s="98">
        <v>45808</v>
      </c>
      <c r="G9" s="97">
        <v>290</v>
      </c>
    </row>
    <row r="10" spans="1:8">
      <c r="B10" s="97" t="s">
        <v>866</v>
      </c>
      <c r="C10" s="97" t="s">
        <v>866</v>
      </c>
      <c r="D10" s="97" t="s">
        <v>865</v>
      </c>
      <c r="E10" s="98">
        <v>46112</v>
      </c>
      <c r="F10" s="100" t="s">
        <v>474</v>
      </c>
      <c r="G10" s="97">
        <v>39</v>
      </c>
    </row>
    <row r="11" spans="1:8">
      <c r="B11" s="97" t="s">
        <v>868</v>
      </c>
      <c r="C11" s="97" t="s">
        <v>8</v>
      </c>
      <c r="D11" s="97" t="s">
        <v>869</v>
      </c>
      <c r="E11" s="98">
        <v>46156</v>
      </c>
      <c r="F11" s="100" t="s">
        <v>474</v>
      </c>
      <c r="G11" s="97">
        <v>850</v>
      </c>
    </row>
    <row r="12" spans="1:8">
      <c r="B12" s="97" t="s">
        <v>872</v>
      </c>
      <c r="C12" s="97" t="s">
        <v>874</v>
      </c>
      <c r="D12" s="97" t="s">
        <v>871</v>
      </c>
      <c r="E12" s="98">
        <v>46160</v>
      </c>
      <c r="F12" s="100" t="s">
        <v>474</v>
      </c>
      <c r="G12" s="97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1" t="s">
        <v>824</v>
      </c>
      <c r="C21" s="45" t="s">
        <v>783</v>
      </c>
      <c r="D21" s="77" t="s">
        <v>824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825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1" t="s">
        <v>9</v>
      </c>
      <c r="C29" s="91" t="s">
        <v>863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2" t="s">
        <v>850</v>
      </c>
    </row>
    <row r="3" spans="1:2">
      <c r="B3" s="44" t="s">
        <v>851</v>
      </c>
    </row>
    <row r="4" spans="1:2">
      <c r="B4" t="s">
        <v>852</v>
      </c>
    </row>
    <row r="5" spans="1:2">
      <c r="B5" t="s">
        <v>862</v>
      </c>
    </row>
    <row r="6" spans="1:2">
      <c r="B6" t="s">
        <v>853</v>
      </c>
    </row>
    <row r="7" spans="1:2">
      <c r="B7" t="s">
        <v>857</v>
      </c>
    </row>
    <row r="8" spans="1:2">
      <c r="B8" t="s">
        <v>858</v>
      </c>
    </row>
    <row r="9" spans="1:2">
      <c r="B9" t="s">
        <v>859</v>
      </c>
    </row>
    <row r="10" spans="1:2">
      <c r="B10" t="s">
        <v>860</v>
      </c>
    </row>
    <row r="11" spans="1:2">
      <c r="B11" t="s">
        <v>861</v>
      </c>
    </row>
    <row r="15" spans="1:2">
      <c r="B15" t="s">
        <v>854</v>
      </c>
    </row>
    <row r="16" spans="1:2">
      <c r="B16" t="s">
        <v>855</v>
      </c>
    </row>
    <row r="17" spans="2:2">
      <c r="B17" t="s">
        <v>856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806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4" t="s">
        <v>864</v>
      </c>
      <c r="C15" s="95" t="s">
        <v>867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1" t="s">
        <v>849</v>
      </c>
      <c r="C19" s="57" t="s">
        <v>802</v>
      </c>
      <c r="D19" s="45"/>
      <c r="E19" s="58" t="s">
        <v>803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821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822</v>
      </c>
      <c r="C22" s="77" t="s">
        <v>823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2026-05-26T14:31:34Z</dcterms:modified>
  <cp:category/>
  <cp:contentStatus/>
</cp:coreProperties>
</file>