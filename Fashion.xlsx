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C2988CF-04FA-4B44-8F5E-E2D394C1F7A0}" xr6:coauthVersionLast="47" xr6:coauthVersionMax="47" xr10:uidLastSave="{00000000-0000-0000-0000-000000000000}"/>
  <bookViews>
    <workbookView xWindow="225" yWindow="3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H4" i="1" s="1"/>
  <c r="K5" i="1" l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<sst xmlns="http://schemas.openxmlformats.org/spreadsheetml/2006/main" count="1423" uniqueCount="829">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</sst>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93">
    <xf numFmtId="0" fontId="0" fillId="0" borderId="0" xfId="0"/>
    <xf numFmtId="0" fontId="5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2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9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0" fontId="7" fillId="2" borderId="2" xfId="1" applyNumberFormat="1" applyFont="1" applyFill="1" applyBorder="1" applyAlignment="1">
      <alignment horizontal="right"/>
    </xf>
    <xf numFmtId="0" fontId="10" fillId="2" borderId="2" xfId="0" applyFont="1" applyFill="1" applyBorder="1"/>
    <xf numFmtId="0" fontId="10" fillId="2" borderId="3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166" fontId="8" fillId="0" borderId="0" xfId="0" applyNumberFormat="1" applyFont="1"/>
    <xf numFmtId="9" fontId="8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0" borderId="0" xfId="1" applyNumberFormat="1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0" fontId="11" fillId="0" borderId="0" xfId="2" applyFont="1"/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7" fontId="8" fillId="0" borderId="0" xfId="0" applyNumberFormat="1" applyFont="1"/>
    <xf numFmtId="16" fontId="8" fillId="0" borderId="0" xfId="0" applyNumberFormat="1" applyFont="1" applyAlignment="1">
      <alignment horizontal="right"/>
    </xf>
    <xf numFmtId="0" fontId="11" fillId="0" borderId="0" xfId="2" applyFont="1" applyAlignment="1">
      <alignment horizontal="left"/>
    </xf>
    <xf numFmtId="0" fontId="8" fillId="0" borderId="0" xfId="0" quotePrefix="1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65" fontId="9" fillId="0" borderId="0" xfId="0" applyNumberFormat="1" applyFont="1"/>
    <xf numFmtId="0" fontId="9" fillId="0" borderId="0" xfId="0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6" fontId="9" fillId="0" borderId="0" xfId="0" applyNumberFormat="1" applyFont="1"/>
    <xf numFmtId="0" fontId="9" fillId="0" borderId="0" xfId="1" applyNumberFormat="1" applyFont="1" applyAlignment="1">
      <alignment horizontal="right"/>
    </xf>
    <xf numFmtId="2" fontId="9" fillId="0" borderId="0" xfId="1" applyNumberFormat="1" applyFont="1"/>
    <xf numFmtId="0" fontId="12" fillId="0" borderId="0" xfId="2"/>
    <xf numFmtId="0" fontId="3" fillId="0" borderId="0" xfId="0" applyFont="1"/>
    <xf numFmtId="0" fontId="3" fillId="0" borderId="0" xfId="0" applyFont="1" applyAlignment="1">
      <alignment horizontal="right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6" fillId="2" borderId="3" xfId="0" applyFont="1" applyFill="1" applyBorder="1"/>
    <xf numFmtId="0" fontId="3" fillId="0" borderId="0" xfId="0" applyFont="1" applyAlignment="1">
      <alignment horizontal="center"/>
    </xf>
    <xf numFmtId="166" fontId="3" fillId="0" borderId="0" xfId="0" applyNumberFormat="1" applyFont="1"/>
    <xf numFmtId="0" fontId="3" fillId="0" borderId="0" xfId="0" applyFont="1" applyAlignment="1">
      <alignment horizontal="left"/>
    </xf>
    <xf numFmtId="165" fontId="3" fillId="0" borderId="0" xfId="0" applyNumberFormat="1" applyFont="1"/>
    <xf numFmtId="17" fontId="3" fillId="0" borderId="0" xfId="0" applyNumberFormat="1" applyFont="1" applyAlignment="1">
      <alignment horizontal="right"/>
    </xf>
    <xf numFmtId="16" fontId="3" fillId="0" borderId="0" xfId="0" applyNumberFormat="1" applyFont="1"/>
    <xf numFmtId="9" fontId="3" fillId="0" borderId="0" xfId="1" applyFont="1"/>
    <xf numFmtId="168" fontId="3" fillId="0" borderId="0" xfId="0" applyNumberFormat="1" applyFont="1"/>
    <xf numFmtId="168" fontId="3" fillId="0" borderId="0" xfId="1" applyNumberFormat="1" applyFont="1"/>
    <xf numFmtId="164" fontId="3" fillId="0" borderId="0" xfId="1" applyNumberFormat="1" applyFont="1"/>
    <xf numFmtId="0" fontId="3" fillId="0" borderId="0" xfId="1" applyNumberFormat="1" applyFont="1" applyAlignment="1">
      <alignment horizontal="right"/>
    </xf>
    <xf numFmtId="0" fontId="12" fillId="0" borderId="0" xfId="2" applyAlignment="1">
      <alignment horizontal="left"/>
    </xf>
    <xf numFmtId="16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2" xfId="0" applyNumberFormat="1" applyFont="1" applyFill="1" applyBorder="1" applyAlignment="1">
      <alignment horizontal="right"/>
    </xf>
    <xf numFmtId="9" fontId="6" fillId="2" borderId="2" xfId="1" applyFont="1" applyFill="1" applyBorder="1"/>
    <xf numFmtId="0" fontId="3" fillId="0" borderId="0" xfId="0" quotePrefix="1" applyFont="1" applyAlignment="1">
      <alignment horizontal="left"/>
    </xf>
    <xf numFmtId="0" fontId="13" fillId="0" borderId="0" xfId="0" applyFont="1"/>
    <xf numFmtId="2" fontId="3" fillId="0" borderId="0" xfId="0" applyNumberFormat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0" fontId="2" fillId="0" borderId="0" xfId="0" applyFont="1"/>
    <xf numFmtId="0" fontId="1" fillId="0" borderId="0" xfId="0" applyFont="1"/>
    <xf numFmtId="2" fontId="7" fillId="2" borderId="2" xfId="1" applyNumberFormat="1" applyFont="1" applyFill="1" applyBorder="1" applyAlignment="1">
      <alignment horizontal="left"/>
    </xf>
    <xf numFmtId="166" fontId="8" fillId="0" borderId="0" xfId="0" applyNumberFormat="1" applyFont="1" applyAlignment="1">
      <alignment horizontal="right"/>
    </xf>
    <xf numFmtId="0" fontId="8" fillId="0" borderId="4" xfId="0" applyFont="1" applyBorder="1" applyAlignment="1">
      <alignment horizontal="center"/>
    </xf>
    <xf numFmtId="0" fontId="7" fillId="0" borderId="4" xfId="0" applyFont="1" applyBorder="1"/>
    <xf numFmtId="0" fontId="8" fillId="0" borderId="4" xfId="0" applyFont="1" applyBorder="1"/>
    <xf numFmtId="166" fontId="8" fillId="0" borderId="4" xfId="0" applyNumberFormat="1" applyFont="1" applyBorder="1"/>
    <xf numFmtId="166" fontId="8" fillId="0" borderId="4" xfId="0" applyNumberFormat="1" applyFont="1" applyBorder="1" applyAlignment="1">
      <alignment horizontal="right"/>
    </xf>
    <xf numFmtId="9" fontId="8" fillId="0" borderId="4" xfId="1" applyFont="1" applyBorder="1"/>
    <xf numFmtId="168" fontId="8" fillId="0" borderId="4" xfId="0" applyNumberFormat="1" applyFont="1" applyBorder="1"/>
    <xf numFmtId="0" fontId="8" fillId="0" borderId="4" xfId="1" applyNumberFormat="1" applyFont="1" applyBorder="1" applyAlignment="1">
      <alignment horizontal="right"/>
    </xf>
    <xf numFmtId="0" fontId="9" fillId="0" borderId="4" xfId="0" applyFont="1" applyBorder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100.74</v>
          </cell>
        </row>
        <row r="4">
          <cell r="J4">
            <v>20616.416016480001</v>
          </cell>
        </row>
        <row r="5">
          <cell r="J5">
            <v>743.2</v>
          </cell>
        </row>
        <row r="6">
          <cell r="J6">
            <v>2635.4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3710</v>
          </cell>
        </row>
        <row r="4">
          <cell r="I4">
            <v>2653960.5315300003</v>
          </cell>
        </row>
        <row r="5">
          <cell r="I5">
            <v>123998</v>
          </cell>
        </row>
        <row r="6">
          <cell r="I6">
            <v>35000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31" sqref="B31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1870795.7324653578</v>
      </c>
      <c r="G4" s="18">
        <f>SUM(G6:G153)</f>
        <v>14613.674615200003</v>
      </c>
      <c r="H4" s="18">
        <f>SUM(H6:H153)</f>
        <v>1885409.4070805567</v>
      </c>
      <c r="I4" s="83" t="s">
        <v>422</v>
      </c>
      <c r="J4" s="16" t="s">
        <v>828</v>
      </c>
      <c r="K4" s="18">
        <f>SUM(K6:K153)</f>
        <v>488291.97860000003</v>
      </c>
      <c r="L4" s="19">
        <f>SUMPRODUCT(L6:L182,K6:K182)/SUM(K6:K1820)</f>
        <v>4.5446103889776254E-2</v>
      </c>
      <c r="M4" s="18">
        <f>SUM(M6:M85)</f>
        <v>82599.931999999986</v>
      </c>
      <c r="N4" s="18">
        <f>SUM(N6:N85)</f>
        <v>47789.579999999994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23704.815576562731</v>
      </c>
      <c r="G5" s="87">
        <f>AVERAGE(G6:G153)</f>
        <v>189.78798201558445</v>
      </c>
      <c r="H5" s="87">
        <f>AVERAGE(H6:H153)</f>
        <v>24485.836455591645</v>
      </c>
      <c r="I5" s="88" t="s">
        <v>422</v>
      </c>
      <c r="J5" s="84" t="s">
        <v>828</v>
      </c>
      <c r="K5" s="87">
        <f>AVERAGE(K6:K153)</f>
        <v>27127.332144444445</v>
      </c>
      <c r="L5" s="89">
        <f>AVERAGE(L6:L182)</f>
        <v>6.1055555555555557E-2</v>
      </c>
      <c r="M5" s="87">
        <f t="shared" ref="M5:AA5" si="0">AVERAGE(M6:M85)</f>
        <v>5162.4957499999991</v>
      </c>
      <c r="N5" s="87">
        <f t="shared" si="0"/>
        <v>3185.9719999999998</v>
      </c>
      <c r="O5" s="89">
        <f t="shared" si="0"/>
        <v>0.54437500000000005</v>
      </c>
      <c r="P5" s="89">
        <f t="shared" si="0"/>
        <v>0.15707924701533954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84683*FX!C3</f>
        <v>88070.32</v>
      </c>
      <c r="L6" s="22">
        <v>-0.02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0.22326795224543297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2186</v>
      </c>
      <c r="F7" s="18">
        <f>+[2]Main!$K$4*FX!C3</f>
        <v>238338.74459823998</v>
      </c>
      <c r="G7" s="18">
        <f>+([2]Main!$K$6-[2]Main!$K$5)*FX!C3</f>
        <v>-10700.56</v>
      </c>
      <c r="H7" s="18">
        <f>F7+G7</f>
        <v>227638.18459823998</v>
      </c>
      <c r="I7" s="26" t="s">
        <v>815</v>
      </c>
      <c r="J7" s="27">
        <v>46034</v>
      </c>
      <c r="K7" s="18">
        <f>13427*1.08</f>
        <v>14501.160000000002</v>
      </c>
      <c r="L7" s="22">
        <v>0.16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152.19999999999999</v>
      </c>
      <c r="F9" s="18">
        <f>+[4]Main!$I$5</f>
        <v>171377.19999999998</v>
      </c>
      <c r="G9" s="18">
        <f>+[4]Main!$I$7-[4]Main!$I$6</f>
        <v>-1771</v>
      </c>
      <c r="H9" s="18">
        <f>F9+G9</f>
        <v>169606.19999999998</v>
      </c>
      <c r="I9" s="26" t="s">
        <v>821</v>
      </c>
      <c r="J9" s="27">
        <v>46078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/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157.55000000000001</v>
      </c>
      <c r="F16" s="18">
        <f>+[11]Main!$I$4*FX!C3</f>
        <v>29255.624511568003</v>
      </c>
      <c r="G16" s="18">
        <f>+([11]Main!$I$6-[11]Main!$I$5)*FX!C3</f>
        <v>1502.8</v>
      </c>
      <c r="H16" s="18">
        <f>F16+G16</f>
        <v>30758.424511568002</v>
      </c>
      <c r="I16" s="26" t="s">
        <v>815</v>
      </c>
      <c r="J16" s="27">
        <v>46090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331.65</v>
      </c>
      <c r="F17" s="18">
        <f>+[12]Main!$H$4*FX!C3</f>
        <v>42286.546042884002</v>
      </c>
      <c r="G17" s="18">
        <f>+([12]Main!$H$6-[12]Main!$H$5)*FX!C3</f>
        <v>9883.1200000000008</v>
      </c>
      <c r="H17" s="18">
        <f t="shared" si="1"/>
        <v>52169.666042884004</v>
      </c>
      <c r="I17" s="26" t="s">
        <v>815</v>
      </c>
      <c r="J17" s="27">
        <v>46063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63380*FX!C9</f>
        <v>8873.2000000000007</v>
      </c>
      <c r="L18" s="22">
        <v>0.14000000000000001</v>
      </c>
      <c r="M18" s="18"/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87.2</v>
      </c>
      <c r="F19" s="18">
        <f>+[14]Main!$M$4</f>
        <v>13030.808300000001</v>
      </c>
      <c r="G19" s="18">
        <f>+[14]Main!$M$6-[14]Main!$M$5</f>
        <v>-1414.479</v>
      </c>
      <c r="H19" s="18">
        <f>F19+G19</f>
        <v>11616.329300000001</v>
      </c>
      <c r="I19" s="26" t="s">
        <v>809</v>
      </c>
      <c r="J19" s="27">
        <v>46051</v>
      </c>
      <c r="K19" s="25"/>
      <c r="L19" s="22"/>
      <c r="M19" s="18"/>
      <c r="N19" s="18"/>
      <c r="O19" s="22"/>
      <c r="P19" s="22"/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171.25</v>
      </c>
      <c r="F20" s="18">
        <f>+[15]Main!$I$4*FX!C4</f>
        <v>26092.146624999998</v>
      </c>
      <c r="G20" s="18">
        <f>+([15]Main!$I$6-[15]Main!$I$5)*FX!C4</f>
        <v>5226.33</v>
      </c>
      <c r="H20" s="18">
        <f t="shared" si="1"/>
        <v>31318.476624999996</v>
      </c>
      <c r="I20" s="26" t="s">
        <v>815</v>
      </c>
      <c r="J20" s="27">
        <v>46051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40.6</v>
      </c>
      <c r="F21" s="18">
        <f>+[16]Main!$H$5*FX!C3</f>
        <v>12965.254149120001</v>
      </c>
      <c r="G21" s="18">
        <f>(+[16]Main!$H$7-[16]Main!$H$6)*FX!C3</f>
        <v>-368.62695999999994</v>
      </c>
      <c r="H21" s="18">
        <f t="shared" si="1"/>
        <v>12596.627189120001</v>
      </c>
      <c r="I21" s="26" t="s">
        <v>815</v>
      </c>
      <c r="J21" s="27">
        <v>46084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50.68</v>
      </c>
      <c r="F23" s="18">
        <f>+[18]Main!$H$4*FX!C3</f>
        <v>14258.5031717856</v>
      </c>
      <c r="G23" s="18">
        <f>+([18]Main!$H$6-[18]Main!$H$5)*FX!C3</f>
        <v>-376.31984</v>
      </c>
      <c r="H23" s="18">
        <f t="shared" si="1"/>
        <v>13882.1833317856</v>
      </c>
      <c r="I23" s="26" t="s">
        <v>815</v>
      </c>
      <c r="J23" s="27">
        <v>46072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100.74</v>
      </c>
      <c r="F25" s="18">
        <f>+[20]Main!$J$4</f>
        <v>20616.416016480001</v>
      </c>
      <c r="G25" s="18">
        <f>+[20]Main!$J$6-[20]Main!$J$5</f>
        <v>1892.2</v>
      </c>
      <c r="H25" s="18">
        <f t="shared" si="1"/>
        <v>22508.616016480002</v>
      </c>
      <c r="I25" s="26" t="s">
        <v>715</v>
      </c>
      <c r="J25" s="27">
        <v>46058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3710</v>
      </c>
      <c r="F26" s="18">
        <f>+[21]Main!$I$4*FX!C5</f>
        <v>16719.951348639002</v>
      </c>
      <c r="G26" s="18">
        <f>+([21]Main!$I$6-[21]Main!$I$5)*FX!C5</f>
        <v>-560.68740000000003</v>
      </c>
      <c r="H26" s="18">
        <f>F26+G26</f>
        <v>16159.263948639002</v>
      </c>
      <c r="I26" s="17" t="s">
        <v>815</v>
      </c>
      <c r="J26" s="27">
        <v>46066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118.8</v>
      </c>
      <c r="F27" s="18">
        <f>+[22]Main!$I$4*FX!C8</f>
        <v>17250.235199999999</v>
      </c>
      <c r="G27" s="18">
        <f>+([22]Main!$I$6-[22]Main!$I$5)*FX!C8</f>
        <v>421.84800000000007</v>
      </c>
      <c r="H27" s="18">
        <f>F27+G27</f>
        <v>17672.083200000001</v>
      </c>
      <c r="I27" s="26" t="s">
        <v>149</v>
      </c>
      <c r="J27" s="27">
        <v>46028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42.48</v>
      </c>
      <c r="F28" s="18">
        <f>+[23]Main!$H$5*FX!C7</f>
        <v>11989.632432718079</v>
      </c>
      <c r="G28" s="18">
        <f>+([23]Main!$H$7-[23]Main!$H$6)*FX!C7</f>
        <v>-1014.272</v>
      </c>
      <c r="H28" s="18">
        <f>F28+G28</f>
        <v>10975.360432718078</v>
      </c>
      <c r="I28" s="26" t="s">
        <v>815</v>
      </c>
      <c r="J28" s="27">
        <v>46085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34.25</v>
      </c>
      <c r="F29" s="18">
        <f>+[24]Main!$J$4</f>
        <v>19049.829518499999</v>
      </c>
      <c r="G29" s="18">
        <f>+[24]Main!$J$6-[24]Main!$J$5</f>
        <v>698.10000000000014</v>
      </c>
      <c r="H29" s="18">
        <f t="shared" si="1"/>
        <v>19747.929518499997</v>
      </c>
      <c r="I29" s="17" t="s">
        <v>815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15.1</v>
      </c>
      <c r="F34" s="18">
        <f>+[29]Main!$H$4</f>
        <v>5899.9438458000004</v>
      </c>
      <c r="G34" s="18">
        <f>+[29]Main!$H$6-[29]Main!$H$5</f>
        <v>3627.2110000000002</v>
      </c>
      <c r="H34" s="18">
        <f>+G34+F34</f>
        <v>9527.1548457999997</v>
      </c>
      <c r="I34" s="17" t="s">
        <v>798</v>
      </c>
      <c r="J34" s="27">
        <v>46050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36.1845</v>
      </c>
      <c r="F35" s="18">
        <f>+[30]Main!$I$5*FX!C3</f>
        <v>6920.7306306652799</v>
      </c>
      <c r="G35" s="18">
        <f>+([30]Main!$I$7-[30]Main!$I$6)*FX!C3</f>
        <v>853.08912000000009</v>
      </c>
      <c r="H35" s="18">
        <f t="shared" si="1"/>
        <v>7773.8197506652796</v>
      </c>
      <c r="I35" s="17" t="s">
        <v>422</v>
      </c>
      <c r="J35" s="27">
        <v>46072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27.09</v>
      </c>
      <c r="F36" s="18">
        <f>+[31]Main!$J$4</f>
        <v>10075.3599366</v>
      </c>
      <c r="G36" s="18">
        <f>+([31]Main!$J$6-[31]Main!$J$5)</f>
        <v>-1026</v>
      </c>
      <c r="H36" s="18">
        <f>+G36+F36</f>
        <v>9049.3599365999999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93</v>
      </c>
      <c r="F38" s="18">
        <f>+[33]Main!$J$4*FX!C3</f>
        <v>6576.348342719999</v>
      </c>
      <c r="G38" s="18">
        <f>+([33]Main!$J$6-[33]Main!$J$5)*FX!C3</f>
        <v>-246.27304000000004</v>
      </c>
      <c r="H38" s="18">
        <f>F38+G38</f>
        <v>6330.0753027199989</v>
      </c>
      <c r="I38" s="17" t="s">
        <v>149</v>
      </c>
      <c r="J38" s="27">
        <v>46034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22.77</v>
      </c>
      <c r="F40" s="18">
        <f>+[35]Main!$I$4</f>
        <v>8899.1889901200011</v>
      </c>
      <c r="G40" s="18">
        <f>+[35]Main!$I$6-[35]Main!$I$5</f>
        <v>335.29999999999995</v>
      </c>
      <c r="H40" s="18">
        <f>F40+G40</f>
        <v>9234.4889901200004</v>
      </c>
      <c r="I40" s="17" t="s">
        <v>815</v>
      </c>
      <c r="J40" s="27">
        <v>46050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81.19</v>
      </c>
      <c r="F44" s="18">
        <f>+[39]Main!$H$4</f>
        <v>4215.0321918300006</v>
      </c>
      <c r="G44" s="18">
        <f>+[39]Main!$H$6-[39]Main!$H$5</f>
        <v>1164.528</v>
      </c>
      <c r="H44" s="18">
        <f>F44+G44</f>
        <v>5379.5601918300008</v>
      </c>
      <c r="I44" s="17" t="s">
        <v>815</v>
      </c>
      <c r="J44" s="27">
        <v>46065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77.23</v>
      </c>
      <c r="F50" s="18">
        <f>+[45]Main!$J$4</f>
        <v>6928.0655860600009</v>
      </c>
      <c r="G50" s="18">
        <f>+[45]Main!$J$6-[45]Main!$J$5</f>
        <v>-611.73299999999995</v>
      </c>
      <c r="H50" s="18">
        <f>+F50+G50</f>
        <v>6316.3325860600007</v>
      </c>
      <c r="I50" s="17" t="s">
        <v>809</v>
      </c>
      <c r="J50" s="27">
        <v>46077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20.399999999999999</v>
      </c>
      <c r="F51" s="18">
        <f>+[46]Main!$I$4*FX!C3</f>
        <v>3121.65137856</v>
      </c>
      <c r="G51" s="18">
        <f>+([46]Main!$I$6-[46]Main!$I$5)*FX!C3</f>
        <v>1093.3520000000003</v>
      </c>
      <c r="H51" s="18">
        <f t="shared" si="3"/>
        <v>4215.0033785600008</v>
      </c>
      <c r="I51" s="17" t="s">
        <v>149</v>
      </c>
      <c r="J51" s="27">
        <v>45960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97.7</v>
      </c>
      <c r="F53" s="18">
        <f>+[48]Main!$I$4</f>
        <v>4576.4633999999996</v>
      </c>
      <c r="G53" s="18">
        <f>+[48]Main!$I$6-[48]Main!$I$5</f>
        <v>-631.03800000000001</v>
      </c>
      <c r="H53" s="18">
        <f>F53+G53</f>
        <v>3945.4253999999996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18</v>
      </c>
      <c r="F155" s="18">
        <f>+[79]Main!$J$4</f>
        <v>1475.4221459999999</v>
      </c>
      <c r="G155" s="18">
        <f>+[79]Main!$J$6-[79]Main!$J$5</f>
        <v>542.5</v>
      </c>
      <c r="H155" s="18">
        <f>+F155+G155</f>
        <v>2017.9221459999999</v>
      </c>
      <c r="I155" s="17" t="s">
        <v>815</v>
      </c>
      <c r="J155" s="27">
        <v>45706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257.3</v>
      </c>
      <c r="F4" s="57">
        <f>+[81]Main!$I$4*FX!C3</f>
        <v>121467.16982951201</v>
      </c>
      <c r="G4" s="57">
        <f>+([81]Main!$I$6-[81]Main!$I$5)*FX!C3</f>
        <v>7610.72</v>
      </c>
      <c r="H4" s="57">
        <f>+F4+G4</f>
        <v>129077.88982951202</v>
      </c>
      <c r="I4" s="47" t="s">
        <v>338</v>
      </c>
      <c r="J4" s="61">
        <v>45770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63.49</v>
      </c>
      <c r="F6" s="57">
        <f>+[83]Main!$K$4</f>
        <v>22840.653210200002</v>
      </c>
      <c r="G6" s="57">
        <f>+([83]Main!$K$6-[83]Main!$K$5)</f>
        <v>4670</v>
      </c>
      <c r="H6" s="57">
        <f t="shared" si="0"/>
        <v>27510.653210200002</v>
      </c>
      <c r="I6" s="47" t="s">
        <v>380</v>
      </c>
      <c r="J6" s="61"/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140.1</v>
      </c>
      <c r="F7" s="57">
        <f>+[84]Main!$I$5*FX!C7</f>
        <v>8097.3307833600002</v>
      </c>
      <c r="G7" s="57">
        <f>+([84]Main!$I$7-[84]Main!$I$6)*FX!C7</f>
        <v>-1219.68</v>
      </c>
      <c r="H7" s="57">
        <f>+F7+G7</f>
        <v>6877.6507833599999</v>
      </c>
      <c r="I7" s="47" t="s">
        <v>149</v>
      </c>
      <c r="J7" s="61"/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2026-02-09T14:52:56Z</dcterms:modified>
  <cp:category/>
  <cp:contentStatus/>
</cp:coreProperties>
</file>