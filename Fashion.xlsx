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318FE2F-75F5-4E9F-96A6-504F8209A892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G36" i="1"/>
  <c r="F36" i="1"/>
  <c r="E36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R5" i="1" l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V5" i="1"/>
  <c r="U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<sst xmlns="http://schemas.openxmlformats.org/spreadsheetml/2006/main" count="1390" uniqueCount="820">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</sst>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PS.xlsx" TargetMode="External"/><Relationship Id="rId1" Type="http://schemas.openxmlformats.org/officeDocument/2006/relationships/externalLinkPath" Target="/1.Finance/Anaylsen/Models/GP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470.25</v>
          </cell>
        </row>
        <row r="6">
          <cell r="I6">
            <v>234391.06483649998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2078</v>
          </cell>
        </row>
        <row r="4">
          <cell r="K4">
            <v>217849.56333799998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46.8</v>
          </cell>
        </row>
        <row r="5">
          <cell r="J5">
            <v>145793.12908680001</v>
          </cell>
        </row>
        <row r="6">
          <cell r="J6">
            <v>10785</v>
          </cell>
        </row>
        <row r="7">
          <cell r="J7">
            <v>7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198.37</v>
          </cell>
        </row>
        <row r="4">
          <cell r="I4">
            <v>22758.8770291</v>
          </cell>
        </row>
        <row r="5">
          <cell r="I5">
            <v>1325.2719999999999</v>
          </cell>
        </row>
        <row r="6">
          <cell r="I6">
            <v>271.07600000000002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21.9</v>
          </cell>
        </row>
        <row r="4">
          <cell r="I4">
            <v>8241.3403727999994</v>
          </cell>
        </row>
        <row r="5">
          <cell r="I5">
            <v>2146</v>
          </cell>
        </row>
        <row r="6">
          <cell r="I6">
            <v>1489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108.4</v>
          </cell>
        </row>
        <row r="4">
          <cell r="J4">
            <v>7370.5144783999995</v>
          </cell>
        </row>
        <row r="5">
          <cell r="J5">
            <v>182.05</v>
          </cell>
        </row>
        <row r="6">
          <cell r="J6">
            <v>284.83199999999999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56.5</v>
          </cell>
        </row>
        <row r="4">
          <cell r="I4">
            <v>8580.9375</v>
          </cell>
        </row>
        <row r="5">
          <cell r="I5">
            <v>75.495999999999995</v>
          </cell>
        </row>
        <row r="6">
          <cell r="I6">
            <v>1803.6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3.94</v>
          </cell>
        </row>
        <row r="4">
          <cell r="H4">
            <v>412.44010619999995</v>
          </cell>
        </row>
        <row r="5">
          <cell r="H5">
            <v>54.338999999999999</v>
          </cell>
        </row>
        <row r="6">
          <cell r="H6">
            <v>296.625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4" sqref="A4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1750187.3906775631</v>
      </c>
      <c r="G4" s="19">
        <f>+SUM(G6:G153)</f>
        <v>19145.380205200006</v>
      </c>
      <c r="H4" s="19">
        <f>SUM(H6:H153)</f>
        <v>1769332.7708827639</v>
      </c>
      <c r="I4" s="19"/>
      <c r="J4" s="19"/>
      <c r="K4" s="19">
        <f>SUM(K6:K153)</f>
        <v>488291.97860000003</v>
      </c>
      <c r="L4" s="20">
        <f>+MEDIAN(L6:L153)</f>
        <v>0.09</v>
      </c>
      <c r="M4" s="19">
        <f>SUM(M6:M85)</f>
        <v>78834.799999999988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22729.706372435885</v>
      </c>
      <c r="G5" s="19">
        <f>AVERAGE(G6:G153)</f>
        <v>248.64130136623385</v>
      </c>
      <c r="H5" s="19">
        <f>AVERAGE(H6:H153)</f>
        <v>22978.347673802127</v>
      </c>
      <c r="I5" s="19"/>
      <c r="J5" s="19"/>
      <c r="K5" s="19">
        <f>AVERAGE(K6:K153)</f>
        <v>27127.332144444445</v>
      </c>
      <c r="L5" s="23">
        <f>AVERAGE(L6:L182)</f>
        <v>5.9941176470588241E-2</v>
      </c>
      <c r="M5" s="19">
        <f t="shared" ref="M5:AA5" si="0">AVERAGE(M6:M85)</f>
        <v>5255.6533333333327</v>
      </c>
      <c r="N5" s="19">
        <f t="shared" si="0"/>
        <v>3185.9719999999998</v>
      </c>
      <c r="O5" s="23">
        <f t="shared" si="0"/>
        <v>0.54400000000000015</v>
      </c>
      <c r="P5" s="23">
        <f t="shared" si="0"/>
        <v>0.1555511968163622</v>
      </c>
      <c r="Q5" s="24">
        <f t="shared" si="0"/>
        <v>29.104285714285716</v>
      </c>
      <c r="R5" s="24">
        <f t="shared" si="0"/>
        <v>28.9925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8.8771428571428572</v>
      </c>
      <c r="V5" s="24">
        <f t="shared" si="0"/>
        <v>4.7485714285714291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470.25</v>
      </c>
      <c r="F6" s="19">
        <f>+[1]Main!$I$6*FX!C3</f>
        <v>243766.70742995999</v>
      </c>
      <c r="G6" s="19">
        <f>(+[1]Main!$I$8-[1]Main!$I$7)*FX!C3</f>
        <v>14773.2</v>
      </c>
      <c r="H6" s="19">
        <f>F6+G6</f>
        <v>258539.90742996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23.95</v>
      </c>
      <c r="S6" s="24">
        <v>1.752</v>
      </c>
      <c r="T6" s="24">
        <v>-11.97</v>
      </c>
      <c r="U6" s="24">
        <v>5.73</v>
      </c>
      <c r="V6" s="24">
        <v>4.4800000000000004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2078</v>
      </c>
      <c r="F7" s="19">
        <f>+[2]Main!$K$4*FX!C3</f>
        <v>226563.54587151998</v>
      </c>
      <c r="G7" s="19">
        <f>+([2]Main!$K$6-[2]Main!$K$5)*FX!C3</f>
        <v>-10700.56</v>
      </c>
      <c r="H7" s="19">
        <f>F7+G7</f>
        <v>215862.98587151998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44.9</v>
      </c>
      <c r="S7" s="24">
        <f>155.7/100</f>
        <v>1.5569999999999999</v>
      </c>
      <c r="T7" s="24">
        <v>2.4</v>
      </c>
      <c r="U7" s="24">
        <v>13.7</v>
      </c>
      <c r="V7" s="24">
        <v>14.4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46.8</v>
      </c>
      <c r="F8" s="19">
        <f>+[3]Main!$J$5*FX!C3</f>
        <v>151624.85425027201</v>
      </c>
      <c r="G8" s="19">
        <f>+([3]Main!$J$7-[3]Main!$J$6)*FX!C3</f>
        <v>-11209.12</v>
      </c>
      <c r="H8" s="19">
        <f t="shared" ref="H8:H35" si="1">F8+G8</f>
        <v>140415.73425027201</v>
      </c>
      <c r="I8" s="27" t="s">
        <v>432</v>
      </c>
      <c r="J8" s="28">
        <v>45910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26.13</v>
      </c>
      <c r="R8" s="29">
        <v>27.22</v>
      </c>
      <c r="S8" s="29">
        <v>1.7</v>
      </c>
      <c r="T8" s="24">
        <v>3.9</v>
      </c>
      <c r="U8" s="24">
        <v>6.32</v>
      </c>
      <c r="V8" s="24">
        <v>3.25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24</v>
      </c>
      <c r="R9" s="29"/>
      <c r="S9" s="24">
        <v>2</v>
      </c>
      <c r="T9" s="24"/>
      <c r="U9" s="24">
        <v>14</v>
      </c>
      <c r="V9" s="24">
        <v>2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38.700000000000003</v>
      </c>
      <c r="R11" s="29">
        <v>19.899999999999999</v>
      </c>
      <c r="S11" s="24">
        <v>0.56999999999999995</v>
      </c>
      <c r="T11" s="24">
        <v>1.27</v>
      </c>
      <c r="U11" s="24">
        <v>13.57</v>
      </c>
      <c r="V11" s="24">
        <v>3.6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/>
      <c r="M12" s="19"/>
      <c r="N12" s="19"/>
      <c r="O12" s="23"/>
      <c r="P12" s="23"/>
      <c r="Q12" s="24"/>
      <c r="R12" s="29"/>
      <c r="S12" s="24"/>
      <c r="T12" s="24"/>
      <c r="U12" s="24"/>
      <c r="V12" s="24"/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198.37</v>
      </c>
      <c r="F15" s="19">
        <f>+[10]Main!$I$4</f>
        <v>22758.8770291</v>
      </c>
      <c r="G15" s="19">
        <f>+[10]Main!$I$6-[10]Main!$I$5</f>
        <v>-1054.1959999999999</v>
      </c>
      <c r="H15" s="19">
        <f>F15+G15</f>
        <v>21704.6810291</v>
      </c>
      <c r="I15" s="27" t="s">
        <v>432</v>
      </c>
      <c r="J15" s="28">
        <v>45904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/>
      <c r="R18" s="24"/>
      <c r="S18" s="24"/>
      <c r="T18" s="24"/>
      <c r="U18" s="24"/>
      <c r="V18" s="24"/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/>
      <c r="R19" s="24"/>
      <c r="S19" s="24"/>
      <c r="T19" s="24"/>
      <c r="U19" s="24"/>
      <c r="V19" s="24"/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101.55</v>
      </c>
      <c r="F27" s="19">
        <f>+[22]Main!$I$4*FX!C8</f>
        <v>15871.712567999999</v>
      </c>
      <c r="G27" s="19">
        <f>+([22]Main!$I$6-[22]Main!$I$5)*FX!C8</f>
        <v>880.27599999999995</v>
      </c>
      <c r="H27" s="19">
        <f>F27+G27</f>
        <v>16751.988568000001</v>
      </c>
      <c r="I27" s="27" t="s">
        <v>148</v>
      </c>
      <c r="J27" s="28">
        <v>45736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+[31]Main!$I$2</f>
        <v>21.9</v>
      </c>
      <c r="F36" s="19">
        <f>+[31]Main!$I$4</f>
        <v>8241.3403727999994</v>
      </c>
      <c r="G36" s="19">
        <f>+[31]Main!$I$6-[31]Main!$I$5</f>
        <v>-657</v>
      </c>
      <c r="H36" s="19">
        <f>+G36+F36</f>
        <v>7584.3403727999994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108.4</v>
      </c>
      <c r="F38" s="19">
        <f>+[33]Main!$J$4*FX!C3</f>
        <v>7665.335057536</v>
      </c>
      <c r="G38" s="19">
        <f>+([33]Main!$J$6-[33]Main!$J$5)*FX!C3</f>
        <v>106.89327999999999</v>
      </c>
      <c r="H38" s="19">
        <f>F38+G38</f>
        <v>7772.2283375360003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56.5</v>
      </c>
      <c r="F39" s="19">
        <f>+[34]Main!$I$4</f>
        <v>8580.9375</v>
      </c>
      <c r="G39" s="19">
        <f>+[34]Main!$I$6-[34]Main!$I$5</f>
        <v>1728.1039999999998</v>
      </c>
      <c r="H39" s="19">
        <f>F39+G39</f>
        <v>10309.041499999999</v>
      </c>
      <c r="I39" s="18" t="s">
        <v>432</v>
      </c>
      <c r="J39" s="28"/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+[51]Sheet1!$I$2</f>
        <v>2816.5</v>
      </c>
      <c r="F56" s="19">
        <f>+[51]Sheet1!$I$4*FX!C5</f>
        <v>4393.7011297651507</v>
      </c>
      <c r="G56" s="19">
        <f>+([51]Sheet1!$I$6-[51]Sheet1!$I$5)*FX!C5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+[57]Sheet1!$J$2</f>
        <v>208.43</v>
      </c>
      <c r="F62" s="19">
        <f>+[57]Sheet1!$J$4</f>
        <v>3869.6348861900005</v>
      </c>
      <c r="G62" s="19">
        <f>+[57]Sheet1!$J$6-[57]Sheet1!$J$5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3.94</v>
      </c>
      <c r="F123" s="19">
        <f>+[77]Main!$H$4</f>
        <v>412.44010619999995</v>
      </c>
      <c r="G123" s="19">
        <f>+[77]Main!$H$6-[77]Main!$H$5</f>
        <v>242.286</v>
      </c>
      <c r="H123" s="19">
        <f>+F123+G123</f>
        <v>654.7261062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6" activePane="bottomLeft" state="frozen"/>
      <selection pane="bottomLeft" activeCell="A3" sqref="A3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8" sqref="B8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9" sqref="C9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A2" sqref="A2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2025-09-01T16:46:49Z</dcterms:modified>
  <cp:category/>
  <cp:contentStatus/>
</cp:coreProperties>
</file>