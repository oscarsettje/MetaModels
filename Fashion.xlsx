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01A55CF-D1A2-40F9-AEA0-6315A0D4D40A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<sst xmlns="http://schemas.openxmlformats.org/spreadsheetml/2006/main" count="1521" uniqueCount="865">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</sst>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8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97">
    <xf numFmtId="0" fontId="0" fillId="0" borderId="0" xfId="0"/>
    <xf numFmtId="0" fontId="8" fillId="0" borderId="0" xfId="0" applyFont="1"/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left"/>
    </xf>
    <xf numFmtId="2" fontId="11" fillId="0" borderId="0" xfId="1" applyNumberFormat="1" applyFont="1"/>
    <xf numFmtId="0" fontId="11" fillId="0" borderId="0" xfId="1" applyNumberFormat="1" applyFont="1" applyAlignment="1">
      <alignment horizontal="right"/>
    </xf>
    <xf numFmtId="0" fontId="12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center"/>
    </xf>
    <xf numFmtId="0" fontId="10" fillId="2" borderId="2" xfId="1" applyNumberFormat="1" applyFont="1" applyFill="1" applyBorder="1" applyAlignment="1">
      <alignment horizontal="right"/>
    </xf>
    <xf numFmtId="0" fontId="13" fillId="2" borderId="2" xfId="0" applyFont="1" applyFill="1" applyBorder="1"/>
    <xf numFmtId="0" fontId="13" fillId="2" borderId="3" xfId="0" applyFont="1" applyFill="1" applyBorder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166" fontId="11" fillId="0" borderId="0" xfId="0" applyNumberFormat="1" applyFont="1"/>
    <xf numFmtId="9" fontId="11" fillId="0" borderId="0" xfId="0" applyNumberFormat="1" applyFont="1" applyAlignment="1">
      <alignment horizontal="right"/>
    </xf>
    <xf numFmtId="168" fontId="11" fillId="0" borderId="0" xfId="0" applyNumberFormat="1" applyFont="1" applyAlignment="1">
      <alignment horizontal="right"/>
    </xf>
    <xf numFmtId="168" fontId="11" fillId="0" borderId="0" xfId="1" applyNumberFormat="1" applyFont="1" applyAlignment="1">
      <alignment horizontal="right"/>
    </xf>
    <xf numFmtId="9" fontId="11" fillId="0" borderId="0" xfId="1" applyFont="1"/>
    <xf numFmtId="168" fontId="11" fillId="0" borderId="0" xfId="0" applyNumberFormat="1" applyFont="1"/>
    <xf numFmtId="0" fontId="14" fillId="0" borderId="0" xfId="2" applyFont="1"/>
    <xf numFmtId="165" fontId="11" fillId="0" borderId="0" xfId="0" applyNumberFormat="1" applyFont="1"/>
    <xf numFmtId="17" fontId="11" fillId="0" borderId="0" xfId="0" applyNumberFormat="1" applyFont="1" applyAlignment="1">
      <alignment horizontal="right"/>
    </xf>
    <xf numFmtId="16" fontId="11" fillId="0" borderId="0" xfId="0" applyNumberFormat="1" applyFont="1"/>
    <xf numFmtId="168" fontId="11" fillId="0" borderId="0" xfId="1" applyNumberFormat="1" applyFont="1"/>
    <xf numFmtId="164" fontId="11" fillId="0" borderId="0" xfId="1" applyNumberFormat="1" applyFont="1"/>
    <xf numFmtId="167" fontId="11" fillId="0" borderId="0" xfId="0" applyNumberFormat="1" applyFont="1"/>
    <xf numFmtId="16" fontId="11" fillId="0" borderId="0" xfId="0" applyNumberFormat="1" applyFont="1" applyAlignment="1">
      <alignment horizontal="right"/>
    </xf>
    <xf numFmtId="0" fontId="14" fillId="0" borderId="0" xfId="2" applyFont="1" applyAlignment="1">
      <alignment horizontal="left"/>
    </xf>
    <xf numFmtId="0" fontId="11" fillId="0" borderId="0" xfId="0" quotePrefix="1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165" fontId="12" fillId="0" borderId="0" xfId="0" applyNumberFormat="1" applyFont="1"/>
    <xf numFmtId="0" fontId="12" fillId="0" borderId="0" xfId="0" applyFont="1" applyAlignment="1">
      <alignment horizontal="right"/>
    </xf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166" fontId="12" fillId="0" borderId="0" xfId="0" applyNumberFormat="1" applyFont="1"/>
    <xf numFmtId="0" fontId="12" fillId="0" borderId="0" xfId="1" applyNumberFormat="1" applyFont="1" applyAlignment="1">
      <alignment horizontal="right"/>
    </xf>
    <xf numFmtId="2" fontId="12" fillId="0" borderId="0" xfId="1" applyNumberFormat="1" applyFont="1"/>
    <xf numFmtId="0" fontId="15" fillId="0" borderId="0" xfId="2"/>
    <xf numFmtId="0" fontId="6" fillId="0" borderId="0" xfId="0" applyFont="1"/>
    <xf numFmtId="0" fontId="6" fillId="0" borderId="0" xfId="0" applyFont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left"/>
    </xf>
    <xf numFmtId="0" fontId="9" fillId="2" borderId="2" xfId="0" applyFont="1" applyFill="1" applyBorder="1" applyAlignment="1">
      <alignment horizontal="right"/>
    </xf>
    <xf numFmtId="0" fontId="9" fillId="2" borderId="2" xfId="0" applyFont="1" applyFill="1" applyBorder="1" applyAlignment="1">
      <alignment horizontal="center"/>
    </xf>
    <xf numFmtId="2" fontId="9" fillId="2" borderId="2" xfId="1" applyNumberFormat="1" applyFont="1" applyFill="1" applyBorder="1" applyAlignment="1">
      <alignment horizontal="right"/>
    </xf>
    <xf numFmtId="0" fontId="9" fillId="2" borderId="2" xfId="1" applyNumberFormat="1" applyFont="1" applyFill="1" applyBorder="1" applyAlignment="1">
      <alignment horizontal="right"/>
    </xf>
    <xf numFmtId="0" fontId="9" fillId="2" borderId="3" xfId="0" applyFont="1" applyFill="1" applyBorder="1"/>
    <xf numFmtId="0" fontId="6" fillId="0" borderId="0" xfId="0" applyFont="1" applyAlignment="1">
      <alignment horizontal="center"/>
    </xf>
    <xf numFmtId="166" fontId="6" fillId="0" borderId="0" xfId="0" applyNumberFormat="1" applyFont="1"/>
    <xf numFmtId="0" fontId="6" fillId="0" borderId="0" xfId="0" applyFont="1" applyAlignment="1">
      <alignment horizontal="left"/>
    </xf>
    <xf numFmtId="165" fontId="6" fillId="0" borderId="0" xfId="0" applyNumberFormat="1" applyFont="1"/>
    <xf numFmtId="17" fontId="6" fillId="0" borderId="0" xfId="0" applyNumberFormat="1" applyFont="1" applyAlignment="1">
      <alignment horizontal="right"/>
    </xf>
    <xf numFmtId="16" fontId="6" fillId="0" borderId="0" xfId="0" applyNumberFormat="1" applyFont="1"/>
    <xf numFmtId="9" fontId="6" fillId="0" borderId="0" xfId="1" applyFont="1"/>
    <xf numFmtId="168" fontId="6" fillId="0" borderId="0" xfId="0" applyNumberFormat="1" applyFont="1"/>
    <xf numFmtId="168" fontId="6" fillId="0" borderId="0" xfId="1" applyNumberFormat="1" applyFont="1"/>
    <xf numFmtId="164" fontId="6" fillId="0" borderId="0" xfId="1" applyNumberFormat="1" applyFont="1"/>
    <xf numFmtId="0" fontId="6" fillId="0" borderId="0" xfId="1" applyNumberFormat="1" applyFont="1" applyAlignment="1">
      <alignment horizontal="right"/>
    </xf>
    <xf numFmtId="0" fontId="15" fillId="0" borderId="0" xfId="2" applyAlignment="1">
      <alignment horizontal="left"/>
    </xf>
    <xf numFmtId="165" fontId="9" fillId="2" borderId="2" xfId="0" applyNumberFormat="1" applyFont="1" applyFill="1" applyBorder="1"/>
    <xf numFmtId="166" fontId="9" fillId="2" borderId="2" xfId="0" applyNumberFormat="1" applyFont="1" applyFill="1" applyBorder="1"/>
    <xf numFmtId="166" fontId="9" fillId="2" borderId="2" xfId="0" applyNumberFormat="1" applyFont="1" applyFill="1" applyBorder="1" applyAlignment="1">
      <alignment horizontal="right"/>
    </xf>
    <xf numFmtId="9" fontId="9" fillId="2" borderId="2" xfId="1" applyFont="1" applyFill="1" applyBorder="1"/>
    <xf numFmtId="0" fontId="6" fillId="0" borderId="0" xfId="0" quotePrefix="1" applyFont="1" applyAlignment="1">
      <alignment horizontal="left"/>
    </xf>
    <xf numFmtId="0" fontId="16" fillId="0" borderId="0" xfId="0" applyFont="1"/>
    <xf numFmtId="2" fontId="6" fillId="0" borderId="0" xfId="0" applyNumberFormat="1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right"/>
    </xf>
    <xf numFmtId="14" fontId="6" fillId="0" borderId="0" xfId="0" applyNumberFormat="1" applyFont="1"/>
    <xf numFmtId="3" fontId="6" fillId="0" borderId="0" xfId="0" applyNumberFormat="1" applyFont="1" applyAlignment="1">
      <alignment horizontal="right"/>
    </xf>
    <xf numFmtId="3" fontId="6" fillId="0" borderId="0" xfId="0" applyNumberFormat="1" applyFont="1"/>
    <xf numFmtId="0" fontId="5" fillId="0" borderId="0" xfId="0" applyFont="1"/>
    <xf numFmtId="0" fontId="4" fillId="0" borderId="0" xfId="0" applyFont="1"/>
    <xf numFmtId="2" fontId="10" fillId="2" borderId="2" xfId="1" applyNumberFormat="1" applyFont="1" applyFill="1" applyBorder="1" applyAlignment="1">
      <alignment horizontal="left"/>
    </xf>
    <xf numFmtId="166" fontId="11" fillId="0" borderId="0" xfId="0" applyNumberFormat="1" applyFont="1" applyAlignment="1">
      <alignment horizontal="right"/>
    </xf>
    <xf numFmtId="0" fontId="11" fillId="0" borderId="4" xfId="0" applyFont="1" applyBorder="1" applyAlignment="1">
      <alignment horizontal="center"/>
    </xf>
    <xf numFmtId="0" fontId="10" fillId="0" borderId="4" xfId="0" applyFont="1" applyBorder="1"/>
    <xf numFmtId="0" fontId="11" fillId="0" borderId="4" xfId="0" applyFont="1" applyBorder="1"/>
    <xf numFmtId="166" fontId="11" fillId="0" borderId="4" xfId="0" applyNumberFormat="1" applyFont="1" applyBorder="1"/>
    <xf numFmtId="166" fontId="11" fillId="0" borderId="4" xfId="0" applyNumberFormat="1" applyFont="1" applyBorder="1" applyAlignment="1">
      <alignment horizontal="right"/>
    </xf>
    <xf numFmtId="9" fontId="11" fillId="0" borderId="4" xfId="1" applyFont="1" applyBorder="1"/>
    <xf numFmtId="168" fontId="11" fillId="0" borderId="4" xfId="0" applyNumberFormat="1" applyFont="1" applyBorder="1"/>
    <xf numFmtId="0" fontId="11" fillId="0" borderId="4" xfId="1" applyNumberFormat="1" applyFont="1" applyBorder="1" applyAlignment="1">
      <alignment horizontal="right"/>
    </xf>
    <xf numFmtId="0" fontId="12" fillId="0" borderId="4" xfId="0" applyFont="1" applyBorder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  <xf numFmtId="0" fontId="17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52.82</v>
          </cell>
        </row>
        <row r="5">
          <cell r="J5">
            <v>164591.95229051998</v>
          </cell>
        </row>
        <row r="6">
          <cell r="J6">
            <v>10960</v>
          </cell>
        </row>
        <row r="7">
          <cell r="J7">
            <v>2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23.62</v>
          </cell>
        </row>
        <row r="4">
          <cell r="I4">
            <v>6150.6480000000001</v>
          </cell>
        </row>
        <row r="5">
          <cell r="I5">
            <v>1877.4</v>
          </cell>
        </row>
        <row r="6">
          <cell r="I6">
            <v>778.6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55.02</v>
          </cell>
        </row>
        <row r="4">
          <cell r="I4">
            <v>2880.3823910400001</v>
          </cell>
        </row>
        <row r="5">
          <cell r="I5">
            <v>790.7940000000001</v>
          </cell>
        </row>
        <row r="6">
          <cell r="I6">
            <v>0</v>
          </cell>
        </row>
      </sheetData>
      <sheetData sheetId="1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36.299999999999997</v>
          </cell>
        </row>
        <row r="4">
          <cell r="J4">
            <v>2505.286971</v>
          </cell>
        </row>
        <row r="5">
          <cell r="J5">
            <v>343.12599999999998</v>
          </cell>
        </row>
        <row r="6">
          <cell r="J6">
            <v>295.77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138.30000000000001</v>
          </cell>
        </row>
        <row r="5">
          <cell r="J5">
            <v>86140.984800000006</v>
          </cell>
        </row>
        <row r="6">
          <cell r="J6">
            <v>7278</v>
          </cell>
        </row>
        <row r="7">
          <cell r="J7">
            <v>5988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51" activePane="bottomRight" state="frozen"/>
      <selection pane="topRight" activeCell="C1" sqref="C1"/>
      <selection pane="bottomLeft" activeCell="A4" sqref="A4"/>
      <selection pane="bottomRight" activeCell="I66" sqref="I66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811</v>
      </c>
      <c r="N3" s="11" t="s">
        <v>812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827</v>
      </c>
      <c r="F4" s="18">
        <f>SUM(F6:F153)</f>
        <v>1885705.3110459915</v>
      </c>
      <c r="G4" s="18">
        <f>SUM(G6:G153)</f>
        <v>705.54467519999628</v>
      </c>
      <c r="H4" s="18">
        <f>SUM(H6:H153)</f>
        <v>1886410.8557211906</v>
      </c>
      <c r="I4" s="83" t="s">
        <v>422</v>
      </c>
      <c r="J4" s="16" t="s">
        <v>827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827</v>
      </c>
      <c r="D5" s="86" t="str" cm="1">
        <f t="array" ref="D5">_xlfn.LET(_xlpm.rng,D6:D182,INDEX(_xlpm.rng,MATCH(MAX(COUNTIF(_xlpm.rng,_xlpm.rng)),COUNTIF(_xlpm.rng,_xlpm.rng),0)))</f>
        <v>US</v>
      </c>
      <c r="E5" s="84" t="s">
        <v>827</v>
      </c>
      <c r="F5" s="87">
        <f>+AVERAGE(F6:F181)</f>
        <v>23895.602366874551</v>
      </c>
      <c r="G5" s="87">
        <f>AVERAGE(G6:G153)</f>
        <v>9.1629178597402117</v>
      </c>
      <c r="H5" s="87">
        <f>AVERAGE(H6:H153)</f>
        <v>24498.842282093385</v>
      </c>
      <c r="I5" s="88" t="s">
        <v>422</v>
      </c>
      <c r="J5" s="84" t="s">
        <v>827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46125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52.82</v>
      </c>
      <c r="F8" s="18">
        <f>+[3]Main!$J$5*FX!C3</f>
        <v>171175.63038214078</v>
      </c>
      <c r="G8" s="18">
        <f>+([3]Main!$J$7-[3]Main!$J$6)*FX!C3</f>
        <v>-11396.32</v>
      </c>
      <c r="H8" s="18">
        <f t="shared" ref="H8:H35" si="1">F8+G8</f>
        <v>159779.31038214077</v>
      </c>
      <c r="I8" s="26" t="s">
        <v>422</v>
      </c>
      <c r="J8" s="27">
        <v>46183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828</v>
      </c>
      <c r="J9" s="27">
        <v>46162</v>
      </c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821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814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141.80000000000001</v>
      </c>
      <c r="F16" s="18">
        <f>+[11]Main!$I$4*FX!C3</f>
        <v>26332.485291840003</v>
      </c>
      <c r="G16" s="18">
        <f>+([11]Main!$I$6-[11]Main!$I$5)*FX!C3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821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40.880000000000003</v>
      </c>
      <c r="F21" s="18">
        <f>+[16]Main!$H$5*FX!C3</f>
        <v>13054.669694976001</v>
      </c>
      <c r="G21" s="18">
        <f>(+[16]Main!$H$7-[16]Main!$H$6)*FX!C3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46161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821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23.62</v>
      </c>
      <c r="F33" s="18">
        <f>+[28]Main!$I$4*FX!C3</f>
        <v>6396.6739200000002</v>
      </c>
      <c r="G33" s="18">
        <f>+([28]Main!$I$6-[28]Main!$I$5)*FX!C3</f>
        <v>-1142.7520000000002</v>
      </c>
      <c r="H33" s="18">
        <f>F33+G33</f>
        <v>5253.9219199999998</v>
      </c>
      <c r="I33" s="26" t="s">
        <v>422</v>
      </c>
      <c r="J33" s="27">
        <v>46148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820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829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422</v>
      </c>
      <c r="J36" s="27">
        <v>46170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813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814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808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830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55.02</v>
      </c>
      <c r="F54" s="18">
        <f>+[49]Main!$I$4</f>
        <v>2880.3823910400001</v>
      </c>
      <c r="G54" s="18">
        <f>+[49]Main!$I$6-[49]Main!$I$5</f>
        <v>-790.7940000000001</v>
      </c>
      <c r="H54" s="18">
        <f t="shared" si="3"/>
        <v>2089.5883910399998</v>
      </c>
      <c r="I54" s="17" t="s">
        <v>422</v>
      </c>
      <c r="J54" s="27">
        <v>46142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814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808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819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814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36.299999999999997</v>
      </c>
      <c r="F63" s="18">
        <f>+[57]Main!$J$4*FX!C3</f>
        <v>2605.4984498399999</v>
      </c>
      <c r="G63" s="18">
        <f>+([57]Main!$J$6-[57]Main!$J$5)*FX!C3</f>
        <v>-49.250239999999998</v>
      </c>
      <c r="H63" s="18">
        <f>+F63+G63</f>
        <v>2556.2482098400001</v>
      </c>
      <c r="I63" s="17" t="s">
        <v>422</v>
      </c>
      <c r="J63" s="27">
        <v>46147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820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814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820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814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23" sqref="B23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138.30000000000001</v>
      </c>
      <c r="F5" s="57">
        <f>+[82]Main!$J$5*FX!C7</f>
        <v>96477.902976000012</v>
      </c>
      <c r="G5" s="57">
        <f>+([82]Main!$J$7-[82]Main!$J$6)*FX!C7</f>
        <v>-1444.8000000000002</v>
      </c>
      <c r="H5" s="57">
        <f t="shared" ref="H5:H6" si="0">+F5+G5</f>
        <v>95033.102976000009</v>
      </c>
      <c r="I5" s="94" t="s">
        <v>820</v>
      </c>
      <c r="J5" s="61">
        <v>46164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808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D4" sqref="D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 t="s">
        <v>845</v>
      </c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95" t="s">
        <v>8</v>
      </c>
      <c r="C4" s="95" t="s">
        <v>102</v>
      </c>
      <c r="D4" s="95" t="s">
        <v>20</v>
      </c>
      <c r="E4" s="46"/>
      <c r="F4" s="46"/>
      <c r="G4" s="46"/>
      <c r="H4" s="46"/>
      <c r="I4" s="46"/>
      <c r="J4" s="46"/>
      <c r="K4" s="95" t="s">
        <v>843</v>
      </c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95" t="s">
        <v>9</v>
      </c>
      <c r="C5" s="95" t="s">
        <v>832</v>
      </c>
      <c r="D5" s="95" t="s">
        <v>20</v>
      </c>
      <c r="E5" s="46"/>
      <c r="F5" s="46"/>
      <c r="G5" s="46"/>
      <c r="H5" s="46"/>
      <c r="I5" s="46"/>
      <c r="J5" s="46"/>
      <c r="K5" s="95" t="s">
        <v>843</v>
      </c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95" t="s">
        <v>831</v>
      </c>
      <c r="C6" s="95" t="s">
        <v>139</v>
      </c>
      <c r="D6" s="95" t="s">
        <v>20</v>
      </c>
      <c r="E6" s="46"/>
      <c r="F6" s="46"/>
      <c r="G6" s="46"/>
      <c r="H6" s="46"/>
      <c r="I6" s="46"/>
      <c r="J6" s="46"/>
      <c r="K6" s="95" t="s">
        <v>844</v>
      </c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95" t="s">
        <v>83</v>
      </c>
      <c r="C7" s="95" t="s">
        <v>84</v>
      </c>
      <c r="D7" s="95" t="s">
        <v>85</v>
      </c>
      <c r="E7" s="46"/>
      <c r="F7" s="46"/>
      <c r="G7" s="46"/>
      <c r="H7" s="46"/>
      <c r="I7" s="46"/>
      <c r="J7" s="46"/>
      <c r="K7" s="95" t="s">
        <v>846</v>
      </c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95" t="s">
        <v>98</v>
      </c>
      <c r="C8" s="95" t="s">
        <v>101</v>
      </c>
      <c r="D8" s="95" t="s">
        <v>20</v>
      </c>
      <c r="E8" s="46"/>
      <c r="F8" s="46"/>
      <c r="G8" s="46"/>
      <c r="H8" s="46"/>
      <c r="I8" s="46"/>
      <c r="J8" s="46"/>
      <c r="K8" s="95" t="s">
        <v>843</v>
      </c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95" t="s">
        <v>140</v>
      </c>
      <c r="C9" s="95" t="s">
        <v>141</v>
      </c>
      <c r="D9" s="95" t="s">
        <v>185</v>
      </c>
      <c r="E9" s="46"/>
      <c r="F9" s="46"/>
      <c r="G9" s="46"/>
      <c r="H9" s="46"/>
      <c r="I9" s="46"/>
      <c r="J9" s="46"/>
      <c r="K9" s="95" t="s">
        <v>846</v>
      </c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95" t="s">
        <v>7</v>
      </c>
      <c r="C10" s="95" t="s">
        <v>446</v>
      </c>
      <c r="D10" s="95" t="s">
        <v>20</v>
      </c>
      <c r="E10" s="46"/>
      <c r="F10" s="46"/>
      <c r="G10" s="46"/>
      <c r="H10" s="46"/>
      <c r="I10" s="46"/>
      <c r="J10" s="46"/>
      <c r="K10" s="95" t="s">
        <v>843</v>
      </c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95" t="s">
        <v>18</v>
      </c>
      <c r="C11" s="95" t="s">
        <v>448</v>
      </c>
      <c r="D11" s="95" t="s">
        <v>165</v>
      </c>
      <c r="E11" s="46"/>
      <c r="F11" s="46"/>
      <c r="G11" s="46"/>
      <c r="H11" s="46"/>
      <c r="I11" s="46"/>
      <c r="J11" s="46"/>
      <c r="K11" s="95" t="s">
        <v>847</v>
      </c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95" t="s">
        <v>339</v>
      </c>
      <c r="C12" s="95" t="s">
        <v>340</v>
      </c>
      <c r="D12" s="95" t="s">
        <v>254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95" t="s">
        <v>135</v>
      </c>
      <c r="C13" s="95" t="s">
        <v>136</v>
      </c>
      <c r="D13" s="95" t="s">
        <v>165</v>
      </c>
      <c r="E13" s="46"/>
      <c r="F13" s="46"/>
      <c r="G13" s="46"/>
      <c r="H13" s="46"/>
      <c r="I13" s="46"/>
      <c r="J13" s="46"/>
      <c r="K13" s="95" t="s">
        <v>847</v>
      </c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95" t="s">
        <v>387</v>
      </c>
      <c r="C14" s="95" t="s">
        <v>386</v>
      </c>
      <c r="D14" s="95" t="s">
        <v>165</v>
      </c>
      <c r="E14" s="46"/>
      <c r="F14" s="46"/>
      <c r="G14" s="46"/>
      <c r="H14" s="46"/>
      <c r="I14" s="46"/>
      <c r="J14" s="46"/>
      <c r="K14" s="95" t="s">
        <v>847</v>
      </c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95" t="s">
        <v>833</v>
      </c>
      <c r="C15" s="95" t="s">
        <v>834</v>
      </c>
      <c r="D15" s="95" t="s">
        <v>143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95" t="s">
        <v>835</v>
      </c>
      <c r="C16" s="95" t="s">
        <v>455</v>
      </c>
      <c r="D16" s="95" t="s">
        <v>219</v>
      </c>
      <c r="E16" s="46"/>
      <c r="F16" s="46"/>
      <c r="G16" s="46"/>
      <c r="H16" s="46"/>
      <c r="I16" s="46"/>
      <c r="J16" s="46"/>
      <c r="K16" s="95" t="s">
        <v>847</v>
      </c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95" t="s">
        <v>836</v>
      </c>
      <c r="C17" s="95" t="s">
        <v>349</v>
      </c>
      <c r="D17" s="95" t="s">
        <v>347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95" t="s">
        <v>837</v>
      </c>
      <c r="C18" s="95" t="s">
        <v>46</v>
      </c>
      <c r="D18" s="95" t="s">
        <v>165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95" t="s">
        <v>342</v>
      </c>
      <c r="C19" s="95" t="s">
        <v>341</v>
      </c>
      <c r="D19" s="95" t="s">
        <v>21</v>
      </c>
      <c r="E19" s="46"/>
      <c r="F19" s="46"/>
      <c r="G19" s="46"/>
      <c r="H19" s="46"/>
      <c r="I19" s="46"/>
      <c r="J19" s="46"/>
      <c r="K19" s="95" t="s">
        <v>848</v>
      </c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95" t="s">
        <v>838</v>
      </c>
      <c r="C20" s="95" t="s">
        <v>839</v>
      </c>
      <c r="D20" s="95" t="s">
        <v>21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95" t="s">
        <v>350</v>
      </c>
      <c r="C21" s="95" t="s">
        <v>351</v>
      </c>
      <c r="D21" s="95" t="s">
        <v>840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95" t="s">
        <v>532</v>
      </c>
      <c r="C22" s="95" t="s">
        <v>841</v>
      </c>
      <c r="D22" s="95" t="s">
        <v>219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95" t="s">
        <v>421</v>
      </c>
      <c r="C23" s="58" t="s">
        <v>438</v>
      </c>
      <c r="D23" s="46" t="s">
        <v>85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95" t="s">
        <v>842</v>
      </c>
      <c r="C24" s="95" t="s">
        <v>357</v>
      </c>
      <c r="D24" s="95" t="s">
        <v>165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95" t="s">
        <v>370</v>
      </c>
      <c r="C25" s="95" t="s">
        <v>378</v>
      </c>
      <c r="D25" s="95" t="s">
        <v>254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95" t="s">
        <v>849</v>
      </c>
      <c r="C26" s="95" t="s">
        <v>699</v>
      </c>
      <c r="D26" s="95" t="s">
        <v>21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 t="s">
        <v>807</v>
      </c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  <row r="20" spans="2:34">
      <c r="B20" s="81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816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815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817</v>
      </c>
      <c r="C13" s="80" t="s">
        <v>818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E14" sqref="E14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809</v>
      </c>
      <c r="C9" s="46" t="s">
        <v>810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B20" s="75" t="s">
        <v>797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95" t="s">
        <v>825</v>
      </c>
      <c r="C21" s="46" t="s">
        <v>784</v>
      </c>
      <c r="D21" s="81" t="s">
        <v>825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826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95" t="s">
        <v>9</v>
      </c>
      <c r="C29" s="95" t="s">
        <v>864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5" t="s">
        <v>459</v>
      </c>
    </row>
    <row r="2" spans="1:2">
      <c r="B2" s="96" t="s">
        <v>851</v>
      </c>
    </row>
    <row r="3" spans="1:2">
      <c r="B3" s="45" t="s">
        <v>852</v>
      </c>
    </row>
    <row r="4" spans="1:2">
      <c r="B4" t="s">
        <v>853</v>
      </c>
    </row>
    <row r="5" spans="1:2">
      <c r="B5" t="s">
        <v>863</v>
      </c>
    </row>
    <row r="6" spans="1:2">
      <c r="B6" t="s">
        <v>854</v>
      </c>
    </row>
    <row r="7" spans="1:2">
      <c r="B7" t="s">
        <v>858</v>
      </c>
    </row>
    <row r="8" spans="1:2">
      <c r="B8" t="s">
        <v>859</v>
      </c>
    </row>
    <row r="9" spans="1:2">
      <c r="B9" t="s">
        <v>860</v>
      </c>
    </row>
    <row r="10" spans="1:2">
      <c r="B10" t="s">
        <v>861</v>
      </c>
    </row>
    <row r="11" spans="1:2">
      <c r="B11" t="s">
        <v>862</v>
      </c>
    </row>
    <row r="15" spans="1:2">
      <c r="B15" t="s">
        <v>855</v>
      </c>
    </row>
    <row r="16" spans="1:2">
      <c r="B16" t="s">
        <v>856</v>
      </c>
    </row>
    <row r="17" spans="2:2">
      <c r="B17" t="s">
        <v>857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19" sqref="B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B18" s="95" t="s">
        <v>850</v>
      </c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822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823</v>
      </c>
      <c r="C21" s="81" t="s">
        <v>824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2026-03-17T10:34:30Z</dcterms:modified>
  <cp:category/>
  <cp:contentStatus/>
</cp:coreProperties>
</file>