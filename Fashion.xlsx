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4ABFB7B-4E81-4451-85A0-6F9329426EF6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<sst xmlns="http://schemas.openxmlformats.org/spreadsheetml/2006/main" count="1559" uniqueCount="900">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</sst>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5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/>
    <xf numFmtId="0" fontId="22" fillId="0" borderId="0" xfId="0" applyFont="1"/>
    <xf numFmtId="0" fontId="6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3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114.34</v>
          </cell>
        </row>
        <row r="4">
          <cell r="I4">
            <v>12398.796003380001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3" activePane="bottomRight" state="frozen"/>
      <selection pane="topRight" activeCell="C1" sqref="C1"/>
      <selection pane="bottomLeft" activeCell="A4" sqref="A4"/>
      <selection pane="bottomRight" activeCell="J69" sqref="J69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810</v>
      </c>
      <c r="N3" s="10" t="s">
        <v>811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826</v>
      </c>
      <c r="F4" s="17">
        <f>SUM(F6:F153)</f>
        <v>1806632.6828585202</v>
      </c>
      <c r="G4" s="17">
        <f>SUM(G6:G153)</f>
        <v>9312.3892152000008</v>
      </c>
      <c r="H4" s="17">
        <f>SUM(H6:H153)</f>
        <v>1815945.0720737199</v>
      </c>
      <c r="I4" s="79" t="s">
        <v>422</v>
      </c>
      <c r="J4" s="15" t="s">
        <v>826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826</v>
      </c>
      <c r="D5" s="82" t="str" cm="1">
        <f t="array" ref="D5">_xlfn.LET(_xlpm.rng,D6:D182,INDEX(_xlpm.rng,MATCH(MAX(COUNTIF(_xlpm.rng,_xlpm.rng)),COUNTIF(_xlpm.rng,_xlpm.rng),0)))</f>
        <v>US</v>
      </c>
      <c r="E5" s="80" t="s">
        <v>826</v>
      </c>
      <c r="F5" s="83">
        <f>+AVERAGE(F6:F181)</f>
        <v>22889.879724683142</v>
      </c>
      <c r="G5" s="83">
        <f>AVERAGE(G6:G153)</f>
        <v>120.94011967792208</v>
      </c>
      <c r="H5" s="83">
        <f>AVERAGE(H6:H153)</f>
        <v>23583.702234723634</v>
      </c>
      <c r="I5" s="84" t="s">
        <v>422</v>
      </c>
      <c r="J5" s="80" t="s">
        <v>826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+[2]Main!$I$4</f>
        <v>499.3</v>
      </c>
      <c r="F6" s="17">
        <f>+[2]Main!$I$6*FX!C3</f>
        <v>258434.89270768003</v>
      </c>
      <c r="G6" s="17">
        <f>(+[2]Main!$I$8-[2]Main!$I$7)*FX!C3</f>
        <v>12010.960000000001</v>
      </c>
      <c r="H6" s="17">
        <f>F6+G6</f>
        <v>270445.85270768002</v>
      </c>
      <c r="I6" s="25" t="s">
        <v>828</v>
      </c>
      <c r="J6" s="26">
        <v>46231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+[3]Main!$K$2</f>
        <v>1751</v>
      </c>
      <c r="F7" s="17">
        <f>+[3]Main!$K$4*FX!C3</f>
        <v>192246.12202848002</v>
      </c>
      <c r="G7" s="17">
        <f>+([3]Main!$K$6-[3]Main!$K$5)*FX!C3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+[4]Main!$J$3</f>
        <v>55</v>
      </c>
      <c r="F8" s="17">
        <f>+[4]Main!$J$5*FX!C3</f>
        <v>178241.80688600001</v>
      </c>
      <c r="G8" s="17">
        <f>+([4]Main!$J$7-[4]Main!$J$6)*FX!C3</f>
        <v>-11228.880000000001</v>
      </c>
      <c r="H8" s="17">
        <f t="shared" ref="H8:H35" si="1">F8+G8</f>
        <v>167012.926886</v>
      </c>
      <c r="I8" s="25" t="s">
        <v>828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+[5]Main!$I$3</f>
        <v>159.16999999999999</v>
      </c>
      <c r="F9" s="17">
        <f>+[5]Main!$I$5</f>
        <v>178270.4</v>
      </c>
      <c r="G9" s="17">
        <f>+[5]Main!$I$7-[5]Main!$I$6</f>
        <v>-2710</v>
      </c>
      <c r="H9" s="17">
        <f>F9+G9</f>
        <v>175560.4</v>
      </c>
      <c r="I9" s="25" t="s">
        <v>875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+[6]Main!$I$2</f>
        <v>471.6</v>
      </c>
      <c r="F10" s="17">
        <f>+[6]Main!$I$4*FX!C3</f>
        <v>88484.89470912001</v>
      </c>
      <c r="G10" s="17">
        <f>+([6]Main!$I$6-[6]Main!$I$5)*FX!C3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+[7]Main!$I$3</f>
        <v>48.01</v>
      </c>
      <c r="F11" s="17">
        <f>+[7]Main!$I$5</f>
        <v>71078.804999999993</v>
      </c>
      <c r="G11" s="17">
        <f>+[7]Main!$I$7-[7]Main!$I$6</f>
        <v>-28</v>
      </c>
      <c r="H11" s="17">
        <f t="shared" si="1"/>
        <v>71050.804999999993</v>
      </c>
      <c r="I11" s="25" t="s">
        <v>819</v>
      </c>
      <c r="J11" s="26">
        <v>46198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+[8]Main!$J$3</f>
        <v>75540</v>
      </c>
      <c r="F12" s="17">
        <f>+[8]Main!$J$5*FX!C5</f>
        <v>146020.56045670799</v>
      </c>
      <c r="G12" s="17">
        <f>+([8]Main!$J$7-[8]Main!$J$6)*FX!C5</f>
        <v>-4946.4386999999997</v>
      </c>
      <c r="H12" s="17">
        <f t="shared" si="1"/>
        <v>141074.12175670799</v>
      </c>
      <c r="I12" s="25" t="s">
        <v>797</v>
      </c>
      <c r="J12" s="26">
        <v>46212</v>
      </c>
      <c r="K12" s="17">
        <f>2301122*FX!C5</f>
        <v>14497.068600000001</v>
      </c>
      <c r="L12" s="21">
        <v>0.08</v>
      </c>
      <c r="M12" s="17">
        <f>+SUM([8]Model!$G$20:$I$20,[8]Model!$C$20)*FX!C5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+[9]Main!$K$2</f>
        <v>170</v>
      </c>
      <c r="F13" s="17">
        <f>+[9]Main!$K$4</f>
        <v>68068</v>
      </c>
      <c r="G13" s="17">
        <f>+[9]Main!$K$6-[9]Main!$K$5</f>
        <v>2473.587</v>
      </c>
      <c r="H13" s="17">
        <f t="shared" si="1"/>
        <v>70541.587</v>
      </c>
      <c r="I13" s="25" t="s">
        <v>819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+[10]Main!$H$3</f>
        <v>232.02</v>
      </c>
      <c r="F14" s="17">
        <f>+[10]Main!$H$5</f>
        <v>74236.423139999999</v>
      </c>
      <c r="G14" s="17">
        <f>+[10]Main!$H$7-[10]Main!$H$6</f>
        <v>-3112.7929999999997</v>
      </c>
      <c r="H14" s="17">
        <f t="shared" si="1"/>
        <v>71123.630139999994</v>
      </c>
      <c r="I14" s="25" t="s">
        <v>876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+[11]Main!$I$2</f>
        <v>114.34</v>
      </c>
      <c r="F15" s="17">
        <f>+[11]Main!$I$4</f>
        <v>12398.796003380001</v>
      </c>
      <c r="G15" s="17">
        <f>+[11]Main!$I$6-[11]Main!$I$5</f>
        <v>-1514.729</v>
      </c>
      <c r="H15" s="17">
        <f>F15+G15</f>
        <v>10884.067003380002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+[12]Main!$I$2</f>
        <v>147.4</v>
      </c>
      <c r="F16" s="17">
        <f>+[12]Main!$I$4*FX!C3</f>
        <v>27162.897954192002</v>
      </c>
      <c r="G16" s="17">
        <f>+([12]Main!$I$6-[12]Main!$I$5)*FX!C3</f>
        <v>2208.96</v>
      </c>
      <c r="H16" s="17">
        <f>F16+G16</f>
        <v>29371.857954192001</v>
      </c>
      <c r="I16" s="25" t="s">
        <v>828</v>
      </c>
      <c r="J16" s="26">
        <v>46268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+[13]Main!$H$2</f>
        <v>256.14999999999998</v>
      </c>
      <c r="F17" s="17">
        <f>+[13]Main!$H$4*FX!C3</f>
        <v>32661.431497551999</v>
      </c>
      <c r="G17" s="17">
        <f>+([13]Main!$H$6-[13]Main!$H$5)*FX!C3</f>
        <v>8578.9600000000009</v>
      </c>
      <c r="H17" s="17">
        <f t="shared" si="1"/>
        <v>41240.391497552002</v>
      </c>
      <c r="I17" s="25" t="s">
        <v>828</v>
      </c>
      <c r="J17" s="26">
        <v>46231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+[14]Main!$H$2</f>
        <v>80.55</v>
      </c>
      <c r="F18" s="17">
        <f>+[14]Main!$H$5*FX!C9</f>
        <v>29160.086447520003</v>
      </c>
      <c r="G18" s="17">
        <f>+([14]Main!$H$7-[14]Main!$H$6)*FX!C9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+[15]Main!$M$2</f>
        <v>107</v>
      </c>
      <c r="F19" s="17">
        <f>+[15]Main!$M$4</f>
        <v>14860.262398999999</v>
      </c>
      <c r="G19" s="17">
        <f>+[15]Main!$M$6-[15]Main!$M$5</f>
        <v>-1907.249</v>
      </c>
      <c r="H19" s="17">
        <f>F19+G19</f>
        <v>12953.013398999999</v>
      </c>
      <c r="I19" s="25" t="s">
        <v>829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+[16]Main!$I$2</f>
        <v>170.3</v>
      </c>
      <c r="F20" s="17">
        <f>+[16]Main!$I$4*FX!C4</f>
        <v>25871.945346</v>
      </c>
      <c r="G20" s="17">
        <f>+([16]Main!$I$6-[16]Main!$I$5)*FX!C4</f>
        <v>184.49</v>
      </c>
      <c r="H20" s="17">
        <f t="shared" si="1"/>
        <v>26056.435346000002</v>
      </c>
      <c r="I20" s="25" t="s">
        <v>828</v>
      </c>
      <c r="J20" s="26">
        <v>46198</v>
      </c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+[17]Main!$H$2</f>
        <v>34.700000000000003</v>
      </c>
      <c r="F21" s="17">
        <f>+[17]Main!$H$5*FX!C3</f>
        <v>11081.140861440002</v>
      </c>
      <c r="G21" s="17">
        <f>(+[17]Main!$H$7-[17]Main!$H$6)*FX!C3</f>
        <v>489.51760000000007</v>
      </c>
      <c r="H21" s="17">
        <f t="shared" si="1"/>
        <v>11570.658461440002</v>
      </c>
      <c r="I21" s="25" t="s">
        <v>828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+[18]Main!$I$2</f>
        <v>5221.55</v>
      </c>
      <c r="F22" s="17">
        <f>+[18]Main!$I$4*FX!C12</f>
        <v>20418.151071830049</v>
      </c>
      <c r="G22" s="17">
        <f>+([18]Main!$I$6-[18]Main!$I$5)*FX!C12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+[19]Main!$H$2</f>
        <v>53.46</v>
      </c>
      <c r="F23" s="17">
        <f>+[19]Main!$H$4*FX!C3</f>
        <v>15040.638902203202</v>
      </c>
      <c r="G23" s="17">
        <f>+([19]Main!$H$6-[19]Main!$H$5)*FX!C3</f>
        <v>-376.31984</v>
      </c>
      <c r="H23" s="17">
        <f t="shared" si="1"/>
        <v>14664.319062203202</v>
      </c>
      <c r="I23" s="25" t="s">
        <v>828</v>
      </c>
      <c r="J23" s="26">
        <v>46225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+[20]Main!$I$2</f>
        <v>304.51</v>
      </c>
      <c r="F24" s="17">
        <f>+[20]Main!$I$4</f>
        <v>19088.948091260001</v>
      </c>
      <c r="G24" s="17">
        <f>+[20]Main!$I$6-[20]Main!$I$5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+[21]Main!$J$2</f>
        <v>134.28</v>
      </c>
      <c r="F25" s="17">
        <f>+[21]Main!$J$4</f>
        <v>27130.56419592</v>
      </c>
      <c r="G25" s="17">
        <f>+[21]Main!$J$6-[21]Main!$J$5</f>
        <v>1330.5779</v>
      </c>
      <c r="H25" s="17">
        <f t="shared" si="1"/>
        <v>28461.14209592</v>
      </c>
      <c r="I25" s="25" t="s">
        <v>819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+[22]Main!$I$2</f>
        <v>4496</v>
      </c>
      <c r="F26" s="17">
        <f>+[22]Main!$I$4*FX!C5</f>
        <v>20073.934380225597</v>
      </c>
      <c r="G26" s="17">
        <f>+([22]Main!$I$6-[22]Main!$I$5)*FX!C5</f>
        <v>-279.65070000000003</v>
      </c>
      <c r="H26" s="17">
        <f>F26+G26</f>
        <v>19794.283680225599</v>
      </c>
      <c r="I26" s="16" t="s">
        <v>828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+[23]Main!$I$2</f>
        <v>127.35</v>
      </c>
      <c r="F27" s="17">
        <f>+[23]Main!$I$4*FX!C8</f>
        <v>18491.7294</v>
      </c>
      <c r="G27" s="17">
        <f>+([23]Main!$I$6-[23]Main!$I$5)*FX!C8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+[24]Main!$H$2</f>
        <v>36.42</v>
      </c>
      <c r="F28" s="17">
        <f>+[24]Main!$H$5*FX!C7</f>
        <v>10293.145395479522</v>
      </c>
      <c r="G28" s="17">
        <f>+([24]Main!$H$7-[24]Main!$H$6)*FX!C7</f>
        <v>-1077.8880000000001</v>
      </c>
      <c r="H28" s="17">
        <f>F28+G28</f>
        <v>9215.2573954795207</v>
      </c>
      <c r="I28" s="25" t="s">
        <v>828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+[25]Main!$J$2</f>
        <v>35.26</v>
      </c>
      <c r="F29" s="17">
        <f>+[25]Main!$J$4</f>
        <v>19918.456120539999</v>
      </c>
      <c r="G29" s="17">
        <f>+[25]Main!$J$6-[25]Main!$J$5</f>
        <v>-538.80000000000007</v>
      </c>
      <c r="H29" s="17">
        <f t="shared" si="1"/>
        <v>19379.656120539999</v>
      </c>
      <c r="I29" s="16" t="s">
        <v>828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+[26]Main!$J$2</f>
        <v>47.12</v>
      </c>
      <c r="F30" s="17">
        <f>+[26]Main!$J$5*FX!C9</f>
        <v>8726.4826075060482</v>
      </c>
      <c r="G30" s="17">
        <f>+([26]Main!$J$7-[26]Main!$J$6)*FX!C9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+[27]Main!$H$2</f>
        <v>376.91</v>
      </c>
      <c r="F31" s="17">
        <f>+[27]Main!$H$4</f>
        <v>22473.766070860001</v>
      </c>
      <c r="G31" s="17">
        <f>+[27]Main!$H$6-[27]Main!$H$5</f>
        <v>-826.09999999999991</v>
      </c>
      <c r="H31" s="17">
        <f t="shared" si="1"/>
        <v>21647.666070860003</v>
      </c>
      <c r="I31" s="25" t="s">
        <v>829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+[28]Main!$K$2</f>
        <v>76.739999999999995</v>
      </c>
      <c r="F32" s="17">
        <f>+[28]Main!$K$4*FX!C9</f>
        <v>12537.781199999999</v>
      </c>
      <c r="G32" s="17">
        <f>+([28]Main!$K$6-[28]Main!$K$5)*FX!C9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+[29]Main!$I$2</f>
        <v>19.87</v>
      </c>
      <c r="F33" s="17">
        <f>+[29]Main!$I$4*FX!C3</f>
        <v>5381.1139200000007</v>
      </c>
      <c r="G33" s="17">
        <f>+([29]Main!$I$6-[29]Main!$I$5)*FX!C3</f>
        <v>-565.76</v>
      </c>
      <c r="H33" s="17">
        <f>F33+G33</f>
        <v>4815.3539200000005</v>
      </c>
      <c r="I33" s="25" t="s">
        <v>828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+[30]Main!$H$2</f>
        <v>16.72</v>
      </c>
      <c r="F34" s="17">
        <f>+[30]Main!$H$4</f>
        <v>6550.3894675999991</v>
      </c>
      <c r="G34" s="17">
        <f>+[30]Main!$H$6-[30]Main!$H$5</f>
        <v>2706.0659999999998</v>
      </c>
      <c r="H34" s="17">
        <f>+G34+F34</f>
        <v>9256.4554675999989</v>
      </c>
      <c r="I34" s="16" t="s">
        <v>827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+[31]Main!$I$3</f>
        <v>29.172000000000001</v>
      </c>
      <c r="F35" s="17">
        <f>+[31]Main!$I$5*FX!C3</f>
        <v>5579.5037642572797</v>
      </c>
      <c r="G35" s="17">
        <f>+([31]Main!$I$7-[31]Main!$I$6)*FX!C3</f>
        <v>985.08904000000018</v>
      </c>
      <c r="H35" s="17">
        <f t="shared" si="1"/>
        <v>6564.5928042572796</v>
      </c>
      <c r="I35" s="16" t="s">
        <v>807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+[32]Main!$J$2</f>
        <v>21.27</v>
      </c>
      <c r="F36" s="17">
        <f>+[32]Main!$J$4</f>
        <v>7806.09</v>
      </c>
      <c r="G36" s="17">
        <f>+([32]Main!$J$6-[32]Main!$J$5)</f>
        <v>-1069</v>
      </c>
      <c r="H36" s="17">
        <f>+G36+F36</f>
        <v>6737.09</v>
      </c>
      <c r="I36" s="16" t="s">
        <v>828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+[33]Main!$I$2</f>
        <v>60.4</v>
      </c>
      <c r="F37" s="17">
        <f>+[33]Main!$I$4</f>
        <v>9118.7085583999997</v>
      </c>
      <c r="G37" s="17">
        <f>+[33]Main!$I$6-[33]Main!$I$5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812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+[34]Main!$J$2</f>
        <v>86.1</v>
      </c>
      <c r="F38" s="17">
        <f>+[34]Main!$J$4*FX!C3</f>
        <v>6088.4257237439997</v>
      </c>
      <c r="G38" s="17">
        <f>+([34]Main!$J$6-[34]Main!$J$5)*FX!C3</f>
        <v>200.49328000000006</v>
      </c>
      <c r="H38" s="17">
        <f>F38+G38</f>
        <v>6288.9190037439994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+[35]Main!$I$2</f>
        <v>63.14</v>
      </c>
      <c r="F39" s="17">
        <f>+[35]Main!$I$4</f>
        <v>11754.016119999998</v>
      </c>
      <c r="G39" s="17">
        <f>+[35]Main!$I$6-[35]Main!$I$5</f>
        <v>4478.0450000000001</v>
      </c>
      <c r="H39" s="17">
        <f>F39+G39</f>
        <v>16232.061119999998</v>
      </c>
      <c r="I39" s="16" t="s">
        <v>828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+[36]Main!$I$2</f>
        <v>22.68</v>
      </c>
      <c r="F40" s="17">
        <f>+[36]Main!$I$4</f>
        <v>8722.6429726799997</v>
      </c>
      <c r="G40" s="17">
        <f>+[36]Main!$I$6-[36]Main!$I$5</f>
        <v>237.40000000000009</v>
      </c>
      <c r="H40" s="17">
        <f>F40+G40</f>
        <v>8960.0429726799994</v>
      </c>
      <c r="I40" s="16" t="s">
        <v>828</v>
      </c>
      <c r="J40" s="26">
        <v>46212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+[37]Main!$I$2</f>
        <v>17550</v>
      </c>
      <c r="F41" s="17">
        <f>+[37]Main!$I$4*FX!C11</f>
        <v>8142.7173750000002</v>
      </c>
      <c r="G41" s="17">
        <f>+([37]Main!$I$6-[37]Main!$I$5)*FX!C11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+[38]Main!$J$2</f>
        <v>8.7799999999999994</v>
      </c>
      <c r="F42" s="17">
        <f>+[38]Main!$J$4*FX!C9</f>
        <v>5900.1600000000008</v>
      </c>
      <c r="G42" s="17">
        <f>+([38]Main!$J$6-[38]Main!$J$5)*FX!C9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+[39]Main!$H$2</f>
        <v>41240</v>
      </c>
      <c r="F43" s="17">
        <f>+[39]Main!$H$4*FX!C12</f>
        <v>5059.9509140399996</v>
      </c>
      <c r="G43" s="17">
        <f>+([39]Main!$H$6-[39]Main!$H$5)*FX!C12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+[40]Main!$H$2</f>
        <v>102.6</v>
      </c>
      <c r="F44" s="17">
        <f>+[40]Main!$H$4</f>
        <v>5098.1578847999999</v>
      </c>
      <c r="G44" s="17">
        <f>+[40]Main!$H$6-[40]Main!$H$5</f>
        <v>1204.9399999999998</v>
      </c>
      <c r="H44" s="17">
        <f>F44+G44</f>
        <v>6303.0978847999995</v>
      </c>
      <c r="I44" s="16" t="s">
        <v>828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+[41]Main!$I$2</f>
        <v>27.8</v>
      </c>
      <c r="F45" s="17">
        <f>+[41]Main!$I$4*FX!C14</f>
        <v>5512.4063999999998</v>
      </c>
      <c r="G45" s="17">
        <f>+([41]Main!$I$6-[41]Main!$I$5)*FX!C14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+[42]Main!$I$2</f>
        <v>0.93779999999999997</v>
      </c>
      <c r="F46" s="17">
        <f>+[42]Main!$I$4*FX!C8</f>
        <v>5962.0447439999998</v>
      </c>
      <c r="G46" s="17">
        <f>+([42]Main!$I$6-[42]Main!$I$5)*FX!C8</f>
        <v>155</v>
      </c>
      <c r="H46" s="17">
        <f>F46+G46</f>
        <v>6117.0447439999998</v>
      </c>
      <c r="I46" s="25" t="s">
        <v>807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+[43]Main!$H$2</f>
        <v>86.42</v>
      </c>
      <c r="F47" s="17">
        <f>+[43]Main!$H$4*FX!C13</f>
        <v>6825.0480185999995</v>
      </c>
      <c r="G47" s="17">
        <f>+([43]Main!$H$6-[43]Main!$H$5)*FX!C13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+[44]Main!$H$2</f>
        <v>16.02</v>
      </c>
      <c r="F48" s="17">
        <f>+[44]Main!$H$5*FX!C9</f>
        <v>5313.5769879360005</v>
      </c>
      <c r="G48" s="17">
        <f>+([44]Main!$H$7-[44]Main!$H$6)*FX!C9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+[45]Main!$I$2</f>
        <v>8.01</v>
      </c>
      <c r="F49" s="17">
        <f>+[45]Main!$I$4*FX!C9</f>
        <v>5141.5464790620008</v>
      </c>
      <c r="G49" s="17">
        <f>+([45]Main!$I$6-[45]Main!$I$5)*FX!C9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+[46]Main!$J$2</f>
        <v>74.28</v>
      </c>
      <c r="F50" s="17">
        <f>+[46]Main!$J$4</f>
        <v>6499.7862008400007</v>
      </c>
      <c r="G50" s="17">
        <f>+[46]Main!$J$6-[46]Main!$J$5</f>
        <v>-413.34199999999998</v>
      </c>
      <c r="H50" s="17">
        <f>+F50+G50</f>
        <v>6086.444200840001</v>
      </c>
      <c r="I50" s="16" t="s">
        <v>876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+[47]Main!$I$2</f>
        <v>25.98</v>
      </c>
      <c r="F51" s="17">
        <f>+[47]Main!$I$4*FX!C3</f>
        <v>3978.0368159999998</v>
      </c>
      <c r="G51" s="17">
        <f>+([47]Main!$I$6-[47]Main!$I$5)*FX!C3</f>
        <v>1411.904</v>
      </c>
      <c r="H51" s="17">
        <f t="shared" si="3"/>
        <v>5389.9408160000003</v>
      </c>
      <c r="I51" s="16" t="s">
        <v>828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+[48]Main!$I$2</f>
        <v>3.75</v>
      </c>
      <c r="F52" s="17">
        <f>+[48]Main!$I$5*FX!C9</f>
        <v>5271.5025720000003</v>
      </c>
      <c r="G52" s="17">
        <f>+([48]Main!$I$7-[48]Main!$I$6)*FX!C9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+[49]Main!$I$2</f>
        <v>83.06</v>
      </c>
      <c r="F53" s="17">
        <f>+[49]Main!$I$4</f>
        <v>3735.1251400000001</v>
      </c>
      <c r="G53" s="17">
        <f>+[49]Main!$I$6-[49]Main!$I$5</f>
        <v>-619.22400000000005</v>
      </c>
      <c r="H53" s="17">
        <f>F53+G53</f>
        <v>3115.9011399999999</v>
      </c>
      <c r="I53" s="25" t="s">
        <v>828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+[50]Main!$I$2</f>
        <v>58.06</v>
      </c>
      <c r="F54" s="17">
        <f>+[50]Main!$I$4</f>
        <v>2969.2344415800003</v>
      </c>
      <c r="G54" s="17">
        <f>+[50]Main!$I$6-[50]Main!$I$5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+[51]Main!$J$2</f>
        <v>77.790000000000006</v>
      </c>
      <c r="F55" s="17">
        <f>+[51]Main!$J$4</f>
        <v>3586.7484766800003</v>
      </c>
      <c r="G55" s="17">
        <f>+([51]Main!$J$6-[51]Main!$J$5)</f>
        <v>1689.8000000000002</v>
      </c>
      <c r="H55" s="17">
        <f>F55+G55</f>
        <v>5276.54847668</v>
      </c>
      <c r="I55" s="16" t="s">
        <v>828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+[52]Main!$I$2</f>
        <v>2816.5</v>
      </c>
      <c r="F56" s="17">
        <f>+[52]Main!$I$4*FX!C5</f>
        <v>4393.7011297651507</v>
      </c>
      <c r="G56" s="17">
        <f>+([52]Main!$I$6-[52]Main!$I$5)*FX!C5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+[53]Main!$I$2</f>
        <v>10.93</v>
      </c>
      <c r="F57" s="17">
        <f>+[53]Main!$I$4*FX!C3</f>
        <v>4072.8677600000001</v>
      </c>
      <c r="G57" s="17">
        <f>+([53]Main!$I$6-[53]Main!$I$5)*FX!C3</f>
        <v>-107.12</v>
      </c>
      <c r="H57" s="17">
        <f>+F57+G57</f>
        <v>3965.7477600000002</v>
      </c>
      <c r="I57" s="16" t="s">
        <v>829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+[54]Main!$I$2</f>
        <v>165.1</v>
      </c>
      <c r="F58" s="17">
        <f>+[54]Main!$I$4</f>
        <v>5044.7333572999996</v>
      </c>
      <c r="G58" s="17">
        <f>+[54]Main!$I$6-[54]Main!$I$5</f>
        <v>-95.319000000000003</v>
      </c>
      <c r="H58" s="17">
        <f t="shared" si="3"/>
        <v>4949.4143572999992</v>
      </c>
      <c r="I58" s="16" t="s">
        <v>807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+[55]Main!$I$2</f>
        <v>78.680000000000007</v>
      </c>
      <c r="F59" s="17">
        <f>+[55]Main!$I$4</f>
        <v>4372.5807311200006</v>
      </c>
      <c r="G59" s="17">
        <f>+[55]Main!$I$6-[55]Main!$I$5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818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+[56]Main!$J$2</f>
        <v>132.5</v>
      </c>
      <c r="F61" s="17">
        <f>+[56]Main!$J$4*FX!C15</f>
        <v>3925.244925</v>
      </c>
      <c r="G61" s="17">
        <f>+([56]Main!$J$6-[56]Main!$J$5)*FX!C15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+[57]Main!$J$2</f>
        <v>161.28</v>
      </c>
      <c r="F62" s="17">
        <f>+[57]Main!$J$4</f>
        <v>2990.6024601600002</v>
      </c>
      <c r="G62" s="17">
        <f>+[57]Main!$J$6-[57]Main!$J$5</f>
        <v>-211.91</v>
      </c>
      <c r="H62" s="17">
        <f>+F62+G62</f>
        <v>2778.6924601600003</v>
      </c>
      <c r="I62" s="16" t="s">
        <v>813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+[58]Main!$J$2</f>
        <v>35.700000000000003</v>
      </c>
      <c r="F63" s="17">
        <f>+[58]Main!$J$4*FX!C3</f>
        <v>2562.4323597600001</v>
      </c>
      <c r="G63" s="17">
        <f>+([58]Main!$J$6-[58]Main!$J$5)*FX!C3</f>
        <v>-17.68</v>
      </c>
      <c r="H63" s="17">
        <f>+F63+G63</f>
        <v>2544.7523597600002</v>
      </c>
      <c r="I63" s="16" t="s">
        <v>828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+[59]Main!$I$2</f>
        <v>4.97</v>
      </c>
      <c r="F64" s="17">
        <f>+[59]Main!$I$4</f>
        <v>2117.1355100000001</v>
      </c>
      <c r="G64" s="17">
        <f>+[59]Main!$I$6-[59]Main!$I$5</f>
        <v>881.27599999999995</v>
      </c>
      <c r="H64" s="17">
        <f>+F64+G64</f>
        <v>2998.4115099999999</v>
      </c>
      <c r="I64" s="16" t="s">
        <v>827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+[60]Main!$I$2</f>
        <v>14.35</v>
      </c>
      <c r="F65" s="17">
        <f>+[60]Main!$I$4</f>
        <v>2756.6605860499999</v>
      </c>
      <c r="G65" s="17">
        <f>+[60]Main!$I$6-[60]Main!$I$5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+[61]Main!$I$2</f>
        <v>263.45</v>
      </c>
      <c r="F66" s="17">
        <f>+[61]Main!$I$4*FX!C12</f>
        <v>2976.4027894628493</v>
      </c>
      <c r="G66" s="17">
        <f>+([61]Main!$I$6-[61]Main!$I$5)*FX!C12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899</v>
      </c>
      <c r="D67" s="2" t="s">
        <v>21</v>
      </c>
      <c r="E67" s="24">
        <f>+[62]Main!$I$2</f>
        <v>74.900000000000006</v>
      </c>
      <c r="F67" s="17">
        <f>+[62]Main!$I$4</f>
        <v>5953.9305021000009</v>
      </c>
      <c r="G67" s="17">
        <f>+[62]Main!$I$6-[62]Main!$I$5</f>
        <v>783</v>
      </c>
      <c r="H67" s="17">
        <f>F67+G67</f>
        <v>6736.9305021000009</v>
      </c>
      <c r="I67" s="25" t="s">
        <v>828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+[63]Main!$H$2</f>
        <v>44.03</v>
      </c>
      <c r="F68" s="17">
        <f>+[63]Main!$H$4</f>
        <v>3217.9517470800001</v>
      </c>
      <c r="G68" s="17">
        <f>+[63]Main!$H$6-[63]Main!$H$5</f>
        <v>209.34100000000001</v>
      </c>
      <c r="H68" s="17">
        <f>+F68+G68</f>
        <v>3427.29274708</v>
      </c>
      <c r="I68" s="16" t="s">
        <v>828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+[64]Main!$I$2</f>
        <v>18.14</v>
      </c>
      <c r="F69" s="17">
        <f>+[64]Main!$I$4</f>
        <v>2154.9996926600002</v>
      </c>
      <c r="G69" s="17">
        <f>+[64]Main!$I$6-[64]Main!$I$5</f>
        <v>222</v>
      </c>
      <c r="H69" s="17">
        <f>+F69+G69</f>
        <v>2376.9996926600002</v>
      </c>
      <c r="I69" s="16" t="s">
        <v>827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+[65]Main!$J$2</f>
        <v>10.61</v>
      </c>
      <c r="F70" s="17">
        <f>+[65]Main!$J$4*FX!C3</f>
        <v>2791.9657083759998</v>
      </c>
      <c r="G70" s="17">
        <f>+([65]Main!$J$6-[65]Main!$J$5)*FX!C3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+[66]Main!$J$2</f>
        <v>828.4</v>
      </c>
      <c r="F71" s="17">
        <f>+[66]Main!$J$4*FX!C12</f>
        <v>2214.6636811287999</v>
      </c>
      <c r="G71" s="17">
        <f>+([66]Main!$J$6-[66]Main!$J$5)*FX!C12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+[67]Main!$I$2</f>
        <v>5.82</v>
      </c>
      <c r="F83" s="17">
        <f>+[67]Main!$I$4</f>
        <v>2055.0937514400002</v>
      </c>
      <c r="G83" s="17">
        <f>+[67]Main!$I$6-[67]Main!$I$5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+[68]Main!$H$2</f>
        <v>41.42</v>
      </c>
      <c r="F89" s="17">
        <f>+[68]Main!$H$4</f>
        <v>1491.5652650000002</v>
      </c>
      <c r="G89" s="17">
        <f>+[68]Main!$H$6-[68]Main!$H$5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+[69]Main!$I$2</f>
        <v>38.119999999999997</v>
      </c>
      <c r="F90" s="17">
        <f>+[69]Main!$I$4</f>
        <v>1935.4971035199997</v>
      </c>
      <c r="G90" s="17">
        <f>+[69]Main!$I$6-[69]Main!$I$5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+[70]Main!$I$2</f>
        <v>24.73</v>
      </c>
      <c r="F91" s="17">
        <f>+[70]Main!$I$4</f>
        <v>1761.5194085300002</v>
      </c>
      <c r="G91" s="17">
        <f>+[70]Main!$I$6-[70]Main!$I$5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+[71]Main!$I$2</f>
        <v>27.07</v>
      </c>
      <c r="F95" s="17">
        <f>+[71]Main!$I$4</f>
        <v>1188.01315849</v>
      </c>
      <c r="G95" s="17">
        <f>+[71]Main!$I$6-[71]Main!$I$5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+[72]Main!$I$2</f>
        <v>59.85</v>
      </c>
      <c r="F96" s="17">
        <f>+[72]Main!$I$4</f>
        <v>939.70682505000002</v>
      </c>
      <c r="G96" s="17">
        <f>+[72]Main!$I$6-[72]Main!$I$5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+[73]Main!$J$2</f>
        <v>13.57</v>
      </c>
      <c r="F97" s="17">
        <f>+[73]Main!$J$4*FX!C13</f>
        <v>909.50776909709987</v>
      </c>
      <c r="G97" s="17">
        <f>+([73]Main!$J$6-[73]Main!$J$5)*FX!C13</f>
        <v>1.6559999999999842</v>
      </c>
      <c r="H97" s="17">
        <f>+F97+G97</f>
        <v>911.16376909709982</v>
      </c>
      <c r="I97" s="16" t="s">
        <v>870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+[74]Main!$I$2</f>
        <v>4.53</v>
      </c>
      <c r="F100" s="17">
        <f>+[74]Main!$I$4</f>
        <v>736.21656488999997</v>
      </c>
      <c r="G100" s="17">
        <f>+[74]Main!$I$6-[74]Main!$I$5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+[75]Main!$I$2</f>
        <v>16.75</v>
      </c>
      <c r="F101" s="17">
        <f>+[75]Main!$I$4</f>
        <v>872.38125524999998</v>
      </c>
      <c r="G101" s="17">
        <f>+[75]Main!$I$6-[75]Main!$I$5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+'[76]Main '!$F$2</f>
        <v>2.4350000000000001</v>
      </c>
      <c r="F116" s="17">
        <f>+'[76]Main '!$F$4*FX!C8</f>
        <v>360.19879762439996</v>
      </c>
      <c r="G116" s="17">
        <f>+('[76]Main '!$F$6-'[76]Main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+[77]Main!$H$2</f>
        <v>0.98</v>
      </c>
      <c r="F123" s="17">
        <f>+[77]Main!$H$4</f>
        <v>97.21301296</v>
      </c>
      <c r="G123" s="17">
        <f>+[77]Main!$H$6-[77]Main!$H$5</f>
        <v>274.101</v>
      </c>
      <c r="H123" s="17">
        <f>+F123+G123</f>
        <v>371.31401296000001</v>
      </c>
      <c r="I123" s="16" t="s">
        <v>813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+[78]Main!$I$2</f>
        <v>17.79</v>
      </c>
      <c r="F125" s="17">
        <f>+[78]Main!$I$4</f>
        <v>270.90115659000003</v>
      </c>
      <c r="G125" s="17">
        <f>+[78]Main!$I$6-[78]Main!$I$5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+[79]Main!$I$2</f>
        <v>2540</v>
      </c>
      <c r="F154" s="17">
        <f>+[79]Main!$I$4*FX!C5</f>
        <v>409.27593709799999</v>
      </c>
      <c r="G154" s="17">
        <f>+([79]Main!$I$6-[79]Main!$I$5)*FX!C5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+[80]Main!$J$2</f>
        <v>15.35</v>
      </c>
      <c r="F155" s="17">
        <f>+[80]Main!$J$4</f>
        <v>1258.5394543499999</v>
      </c>
      <c r="G155" s="17">
        <f>+[80]Main!$J$6-[80]Main!$J$5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+[1]Main!$J$2</f>
        <v>225.4</v>
      </c>
      <c r="F20" s="56">
        <f>+[1]Main!$J$4</f>
        <v>19955.789000000001</v>
      </c>
      <c r="G20" s="56">
        <f>+[1]Main!$J$6-[1]Main!$J$5</f>
        <v>907.58199999999999</v>
      </c>
      <c r="H20" s="56">
        <f>+F20+G20</f>
        <v>20863.370999999999</v>
      </c>
      <c r="I20" s="104" t="s">
        <v>828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6" sqref="J6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90" t="s">
        <v>819</v>
      </c>
      <c r="J5" s="60">
        <v>46218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6" t="s">
        <v>820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3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844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1" t="s">
        <v>8</v>
      </c>
      <c r="C4" s="91" t="s">
        <v>102</v>
      </c>
      <c r="D4" s="91" t="s">
        <v>20</v>
      </c>
      <c r="E4" s="45"/>
      <c r="F4" s="45"/>
      <c r="G4" s="45"/>
      <c r="H4" s="45"/>
      <c r="I4" s="45"/>
      <c r="J4" s="45"/>
      <c r="K4" s="91" t="s">
        <v>842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1" t="s">
        <v>9</v>
      </c>
      <c r="C5" s="91" t="s">
        <v>831</v>
      </c>
      <c r="D5" s="91" t="s">
        <v>20</v>
      </c>
      <c r="E5" s="45"/>
      <c r="F5" s="45"/>
      <c r="G5" s="45"/>
      <c r="H5" s="45"/>
      <c r="I5" s="45"/>
      <c r="J5" s="45"/>
      <c r="K5" s="91" t="s">
        <v>842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1" t="s">
        <v>830</v>
      </c>
      <c r="C6" s="91" t="s">
        <v>139</v>
      </c>
      <c r="D6" s="91" t="s">
        <v>20</v>
      </c>
      <c r="E6" s="45"/>
      <c r="F6" s="45"/>
      <c r="G6" s="45"/>
      <c r="H6" s="45"/>
      <c r="I6" s="45"/>
      <c r="J6" s="45"/>
      <c r="K6" s="91" t="s">
        <v>843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1" t="s">
        <v>83</v>
      </c>
      <c r="C7" s="91" t="s">
        <v>84</v>
      </c>
      <c r="D7" s="91" t="s">
        <v>85</v>
      </c>
      <c r="E7" s="45"/>
      <c r="F7" s="45"/>
      <c r="G7" s="45"/>
      <c r="H7" s="45"/>
      <c r="I7" s="45"/>
      <c r="J7" s="45"/>
      <c r="K7" s="91" t="s">
        <v>845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1" t="s">
        <v>98</v>
      </c>
      <c r="C8" s="91" t="s">
        <v>101</v>
      </c>
      <c r="D8" s="91" t="s">
        <v>20</v>
      </c>
      <c r="E8" s="45"/>
      <c r="F8" s="45"/>
      <c r="G8" s="45"/>
      <c r="H8" s="45"/>
      <c r="I8" s="45"/>
      <c r="J8" s="45"/>
      <c r="K8" s="91" t="s">
        <v>842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1" t="s">
        <v>140</v>
      </c>
      <c r="C9" s="91" t="s">
        <v>141</v>
      </c>
      <c r="D9" s="91" t="s">
        <v>185</v>
      </c>
      <c r="E9" s="45"/>
      <c r="F9" s="45"/>
      <c r="G9" s="45"/>
      <c r="H9" s="45"/>
      <c r="I9" s="45"/>
      <c r="J9" s="45"/>
      <c r="K9" s="91" t="s">
        <v>845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1" t="s">
        <v>7</v>
      </c>
      <c r="C10" s="91" t="s">
        <v>446</v>
      </c>
      <c r="D10" s="91" t="s">
        <v>20</v>
      </c>
      <c r="E10" s="45"/>
      <c r="F10" s="45"/>
      <c r="G10" s="45"/>
      <c r="H10" s="45"/>
      <c r="I10" s="45"/>
      <c r="J10" s="45"/>
      <c r="K10" s="91" t="s">
        <v>842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1" t="s">
        <v>18</v>
      </c>
      <c r="C11" s="91" t="s">
        <v>448</v>
      </c>
      <c r="D11" s="91" t="s">
        <v>165</v>
      </c>
      <c r="E11" s="45"/>
      <c r="F11" s="45"/>
      <c r="G11" s="45"/>
      <c r="H11" s="45"/>
      <c r="I11" s="45"/>
      <c r="J11" s="45"/>
      <c r="K11" s="91" t="s">
        <v>846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1" t="s">
        <v>339</v>
      </c>
      <c r="C12" s="91" t="s">
        <v>340</v>
      </c>
      <c r="D12" s="91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1" t="s">
        <v>135</v>
      </c>
      <c r="C13" s="91" t="s">
        <v>136</v>
      </c>
      <c r="D13" s="91" t="s">
        <v>165</v>
      </c>
      <c r="E13" s="45"/>
      <c r="F13" s="45"/>
      <c r="G13" s="45"/>
      <c r="H13" s="45"/>
      <c r="I13" s="45"/>
      <c r="J13" s="45"/>
      <c r="K13" s="91" t="s">
        <v>846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1" t="s">
        <v>387</v>
      </c>
      <c r="C14" s="91" t="s">
        <v>386</v>
      </c>
      <c r="D14" s="91" t="s">
        <v>165</v>
      </c>
      <c r="E14" s="45"/>
      <c r="F14" s="45"/>
      <c r="G14" s="45"/>
      <c r="H14" s="45"/>
      <c r="I14" s="45"/>
      <c r="J14" s="45"/>
      <c r="K14" s="91" t="s">
        <v>846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1" t="s">
        <v>832</v>
      </c>
      <c r="C15" s="91" t="s">
        <v>833</v>
      </c>
      <c r="D15" s="91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1" t="s">
        <v>834</v>
      </c>
      <c r="C16" s="91" t="s">
        <v>455</v>
      </c>
      <c r="D16" s="91" t="s">
        <v>219</v>
      </c>
      <c r="E16" s="45"/>
      <c r="F16" s="45"/>
      <c r="G16" s="45"/>
      <c r="H16" s="45"/>
      <c r="I16" s="45"/>
      <c r="J16" s="45"/>
      <c r="K16" s="91" t="s">
        <v>846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1" t="s">
        <v>835</v>
      </c>
      <c r="C17" s="91" t="s">
        <v>349</v>
      </c>
      <c r="D17" s="91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1" t="s">
        <v>836</v>
      </c>
      <c r="C18" s="91" t="s">
        <v>46</v>
      </c>
      <c r="D18" s="91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1" t="s">
        <v>342</v>
      </c>
      <c r="C19" s="91" t="s">
        <v>341</v>
      </c>
      <c r="D19" s="91" t="s">
        <v>21</v>
      </c>
      <c r="E19" s="45"/>
      <c r="F19" s="45"/>
      <c r="G19" s="45"/>
      <c r="H19" s="45"/>
      <c r="I19" s="45"/>
      <c r="J19" s="45"/>
      <c r="K19" s="91" t="s">
        <v>847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1" t="s">
        <v>837</v>
      </c>
      <c r="C20" s="91" t="s">
        <v>838</v>
      </c>
      <c r="D20" s="91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1" t="s">
        <v>350</v>
      </c>
      <c r="C21" s="91" t="s">
        <v>351</v>
      </c>
      <c r="D21" s="91" t="s">
        <v>839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1" t="s">
        <v>532</v>
      </c>
      <c r="C22" s="91" t="s">
        <v>840</v>
      </c>
      <c r="D22" s="91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1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1" t="s">
        <v>841</v>
      </c>
      <c r="C24" s="91" t="s">
        <v>357</v>
      </c>
      <c r="D24" s="91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1" t="s">
        <v>370</v>
      </c>
      <c r="C25" s="91" t="s">
        <v>378</v>
      </c>
      <c r="D25" s="91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1" t="s">
        <v>848</v>
      </c>
      <c r="C26" s="91" t="s">
        <v>699</v>
      </c>
      <c r="D26" s="91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806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815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814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816</v>
      </c>
      <c r="C13" s="76" t="s">
        <v>817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3" t="s">
        <v>877</v>
      </c>
      <c r="C14" s="103" t="s">
        <v>878</v>
      </c>
    </row>
    <row r="15" spans="2:11">
      <c r="B15" s="103" t="s">
        <v>879</v>
      </c>
      <c r="C15" s="103" t="s">
        <v>880</v>
      </c>
    </row>
    <row r="16" spans="2:11">
      <c r="B16" s="103" t="s">
        <v>881</v>
      </c>
      <c r="C16" s="103" t="s">
        <v>882</v>
      </c>
    </row>
    <row r="17" spans="2:3">
      <c r="B17" s="103" t="s">
        <v>883</v>
      </c>
      <c r="C17" s="103" t="s">
        <v>884</v>
      </c>
    </row>
    <row r="18" spans="2:3">
      <c r="B18" s="103" t="s">
        <v>116</v>
      </c>
      <c r="C18" s="103" t="s">
        <v>885</v>
      </c>
    </row>
    <row r="19" spans="2:3">
      <c r="B19" s="103" t="s">
        <v>886</v>
      </c>
      <c r="C19" s="103" t="s">
        <v>887</v>
      </c>
    </row>
    <row r="20" spans="2:3">
      <c r="B20" s="103" t="s">
        <v>888</v>
      </c>
      <c r="C20" s="103" t="s">
        <v>889</v>
      </c>
    </row>
    <row r="21" spans="2:3">
      <c r="B21" s="103" t="s">
        <v>890</v>
      </c>
      <c r="C21" s="103" t="s">
        <v>891</v>
      </c>
    </row>
    <row r="22" spans="2:3">
      <c r="B22" s="103" t="s">
        <v>892</v>
      </c>
      <c r="C22" s="103" t="s">
        <v>893</v>
      </c>
    </row>
    <row r="23" spans="2:3">
      <c r="B23" s="103" t="s">
        <v>894</v>
      </c>
      <c r="C23" s="103" t="s">
        <v>895</v>
      </c>
    </row>
    <row r="24" spans="2:3">
      <c r="B24" s="103" t="s">
        <v>896</v>
      </c>
      <c r="C24" s="103" t="s">
        <v>897</v>
      </c>
    </row>
    <row r="26" spans="2:3">
      <c r="B26" s="44" t="s">
        <v>898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7" bestFit="1" customWidth="1"/>
    <col min="2" max="3" width="19.85546875" style="97" customWidth="1"/>
    <col min="4" max="4" width="15.28515625" style="97" bestFit="1" customWidth="1"/>
    <col min="5" max="5" width="11.28515625" style="97" bestFit="1" customWidth="1"/>
    <col min="6" max="7" width="9.28515625" style="97" bestFit="1" customWidth="1"/>
    <col min="8" max="16384" width="9.140625" style="97"/>
  </cols>
  <sheetData>
    <row r="1" spans="1:8">
      <c r="A1" s="44" t="s">
        <v>459</v>
      </c>
    </row>
    <row r="2" spans="1:8">
      <c r="B2" s="74" t="s">
        <v>2</v>
      </c>
      <c r="C2" s="74" t="s">
        <v>873</v>
      </c>
      <c r="D2" s="74" t="s">
        <v>717</v>
      </c>
      <c r="E2" s="74" t="s">
        <v>718</v>
      </c>
      <c r="F2" s="75" t="s">
        <v>4</v>
      </c>
      <c r="G2" s="75" t="s">
        <v>800</v>
      </c>
      <c r="H2" s="75" t="s">
        <v>126</v>
      </c>
    </row>
    <row r="3" spans="1:8">
      <c r="B3" s="97" t="s">
        <v>719</v>
      </c>
      <c r="C3" s="44" t="s">
        <v>720</v>
      </c>
      <c r="D3" s="97" t="s">
        <v>728</v>
      </c>
      <c r="E3" s="98">
        <v>45757</v>
      </c>
      <c r="F3" s="99" t="s">
        <v>474</v>
      </c>
      <c r="G3" s="99">
        <v>1250</v>
      </c>
    </row>
    <row r="4" spans="1:8">
      <c r="B4" s="97" t="s">
        <v>692</v>
      </c>
      <c r="C4" s="44" t="s">
        <v>692</v>
      </c>
      <c r="D4" s="97" t="s">
        <v>726</v>
      </c>
      <c r="E4" s="98">
        <v>45782</v>
      </c>
      <c r="F4" s="100" t="s">
        <v>727</v>
      </c>
      <c r="G4" s="101">
        <v>9420</v>
      </c>
      <c r="H4" s="97" t="s">
        <v>801</v>
      </c>
    </row>
    <row r="5" spans="1:8">
      <c r="B5" s="97" t="s">
        <v>128</v>
      </c>
      <c r="C5" s="97" t="s">
        <v>128</v>
      </c>
      <c r="D5" s="97" t="s">
        <v>729</v>
      </c>
      <c r="E5" s="98">
        <v>45637</v>
      </c>
      <c r="F5" s="99" t="s">
        <v>474</v>
      </c>
      <c r="G5" s="101">
        <v>1100</v>
      </c>
    </row>
    <row r="6" spans="1:8">
      <c r="B6" s="97" t="s">
        <v>730</v>
      </c>
      <c r="C6" s="97" t="s">
        <v>730</v>
      </c>
      <c r="D6" s="97" t="s">
        <v>731</v>
      </c>
    </row>
    <row r="7" spans="1:8">
      <c r="B7" s="97" t="s">
        <v>191</v>
      </c>
      <c r="C7" s="44" t="s">
        <v>191</v>
      </c>
      <c r="D7" s="97" t="s">
        <v>680</v>
      </c>
      <c r="E7" s="98">
        <v>45889</v>
      </c>
      <c r="F7" s="97">
        <v>16.75</v>
      </c>
      <c r="G7" s="97" t="s">
        <v>799</v>
      </c>
      <c r="H7" s="97" t="s">
        <v>798</v>
      </c>
    </row>
    <row r="8" spans="1:8">
      <c r="B8" s="97" t="s">
        <v>420</v>
      </c>
      <c r="C8" s="102" t="s">
        <v>476</v>
      </c>
      <c r="D8" s="97" t="s">
        <v>804</v>
      </c>
      <c r="E8" s="98">
        <v>45322</v>
      </c>
      <c r="G8" s="97">
        <v>500</v>
      </c>
      <c r="H8" s="97" t="s">
        <v>805</v>
      </c>
    </row>
    <row r="9" spans="1:8">
      <c r="B9" s="97" t="s">
        <v>808</v>
      </c>
      <c r="C9" s="97" t="s">
        <v>809</v>
      </c>
      <c r="D9" s="97" t="s">
        <v>689</v>
      </c>
      <c r="E9" s="98">
        <v>45808</v>
      </c>
      <c r="G9" s="97">
        <v>290</v>
      </c>
    </row>
    <row r="10" spans="1:8">
      <c r="B10" s="97" t="s">
        <v>866</v>
      </c>
      <c r="C10" s="97" t="s">
        <v>866</v>
      </c>
      <c r="D10" s="97" t="s">
        <v>865</v>
      </c>
      <c r="E10" s="98">
        <v>46112</v>
      </c>
      <c r="F10" s="100" t="s">
        <v>474</v>
      </c>
      <c r="G10" s="97">
        <v>39</v>
      </c>
    </row>
    <row r="11" spans="1:8">
      <c r="B11" s="97" t="s">
        <v>868</v>
      </c>
      <c r="C11" s="97" t="s">
        <v>8</v>
      </c>
      <c r="D11" s="97" t="s">
        <v>869</v>
      </c>
      <c r="E11" s="98">
        <v>46156</v>
      </c>
      <c r="F11" s="100" t="s">
        <v>474</v>
      </c>
      <c r="G11" s="97">
        <v>850</v>
      </c>
    </row>
    <row r="12" spans="1:8">
      <c r="B12" s="97" t="s">
        <v>872</v>
      </c>
      <c r="C12" s="97" t="s">
        <v>874</v>
      </c>
      <c r="D12" s="97" t="s">
        <v>871</v>
      </c>
      <c r="E12" s="98">
        <v>46160</v>
      </c>
      <c r="F12" s="100" t="s">
        <v>474</v>
      </c>
      <c r="G12" s="97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1" t="s">
        <v>824</v>
      </c>
      <c r="C21" s="45" t="s">
        <v>783</v>
      </c>
      <c r="D21" s="77" t="s">
        <v>824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825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1" t="s">
        <v>9</v>
      </c>
      <c r="C29" s="91" t="s">
        <v>863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2" t="s">
        <v>850</v>
      </c>
    </row>
    <row r="3" spans="1:2">
      <c r="B3" s="44" t="s">
        <v>851</v>
      </c>
    </row>
    <row r="4" spans="1:2">
      <c r="B4" t="s">
        <v>852</v>
      </c>
    </row>
    <row r="5" spans="1:2">
      <c r="B5" t="s">
        <v>862</v>
      </c>
    </row>
    <row r="6" spans="1:2">
      <c r="B6" t="s">
        <v>853</v>
      </c>
    </row>
    <row r="7" spans="1:2">
      <c r="B7" t="s">
        <v>857</v>
      </c>
    </row>
    <row r="8" spans="1:2">
      <c r="B8" t="s">
        <v>858</v>
      </c>
    </row>
    <row r="9" spans="1:2">
      <c r="B9" t="s">
        <v>859</v>
      </c>
    </row>
    <row r="10" spans="1:2">
      <c r="B10" t="s">
        <v>860</v>
      </c>
    </row>
    <row r="11" spans="1:2">
      <c r="B11" t="s">
        <v>861</v>
      </c>
    </row>
    <row r="15" spans="1:2">
      <c r="B15" t="s">
        <v>854</v>
      </c>
    </row>
    <row r="16" spans="1:2">
      <c r="B16" t="s">
        <v>855</v>
      </c>
    </row>
    <row r="17" spans="2:2">
      <c r="B17" t="s">
        <v>856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806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4" t="s">
        <v>864</v>
      </c>
      <c r="C15" s="95" t="s">
        <v>867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1" t="s">
        <v>849</v>
      </c>
      <c r="C19" s="57" t="s">
        <v>802</v>
      </c>
      <c r="D19" s="45"/>
      <c r="E19" s="58" t="s">
        <v>803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821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822</v>
      </c>
      <c r="C22" s="77" t="s">
        <v>823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2026-06-07T11:48:05Z</dcterms:modified>
  <cp:category/>
  <cp:contentStatus/>
</cp:coreProperties>
</file>