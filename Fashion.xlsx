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F888859-6BBB-41FF-A41A-F3CF648066AE}" xr6:coauthVersionLast="47" xr6:coauthVersionMax="47" xr10:uidLastSave="{00000000-0000-0000-0000-000000000000}"/>
  <bookViews>
    <workbookView xWindow="225" yWindow="2295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F36" i="1"/>
  <c r="E36" i="1"/>
  <c r="M12" i="1" l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<sst xmlns="http://schemas.openxmlformats.org/spreadsheetml/2006/main" count="1390" uniqueCount="820">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</sst>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 applyFont="1"/>
    <xf numFmtId="0" fontId="1" fillId="0" borderId="0" xfId="0" applyFont="1"/>
    <xf numFmtId="0" fontId="1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17" fontId="1" fillId="0" borderId="0" xfId="0" applyNumberFormat="1" applyFont="1" applyAlignment="1">
      <alignment horizontal="right"/>
    </xf>
    <xf numFmtId="16" fontId="1" fillId="0" borderId="0" xfId="0" applyNumberFormat="1" applyFont="1"/>
    <xf numFmtId="9" fontId="1" fillId="0" borderId="0" xfId="1" applyFont="1"/>
    <xf numFmtId="168" fontId="1" fillId="0" borderId="0" xfId="0" applyNumberFormat="1" applyFont="1"/>
    <xf numFmtId="168" fontId="1" fillId="0" borderId="0" xfId="1" applyNumberFormat="1" applyFont="1"/>
    <xf numFmtId="164" fontId="1" fillId="0" borderId="0" xfId="1" applyNumberFormat="1" applyFont="1"/>
    <xf numFmtId="0" fontId="1" fillId="0" borderId="0" xfId="1" applyNumberFormat="1" applyFont="1" applyAlignment="1">
      <alignment horizontal="right"/>
    </xf>
    <xf numFmtId="0" fontId="11" fillId="0" borderId="0" xfId="2" applyFont="1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1" fillId="0" borderId="0" xfId="0" quotePrefix="1" applyFont="1" applyAlignment="1">
      <alignment horizontal="left"/>
    </xf>
    <xf numFmtId="0" fontId="12" fillId="0" borderId="0" xfId="0" applyFont="1"/>
    <xf numFmtId="2" fontId="1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46.8</v>
          </cell>
        </row>
        <row r="5">
          <cell r="J5">
            <v>145793.12908680001</v>
          </cell>
        </row>
        <row r="6">
          <cell r="J6">
            <v>10785</v>
          </cell>
        </row>
        <row r="7">
          <cell r="J7">
            <v>7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167.35</v>
          </cell>
        </row>
        <row r="4">
          <cell r="I4">
            <v>18988.883522699998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101.55</v>
          </cell>
        </row>
        <row r="4">
          <cell r="I4">
            <v>12799.768199999999</v>
          </cell>
        </row>
        <row r="5">
          <cell r="I5">
            <v>153.6</v>
          </cell>
        </row>
        <row r="6">
          <cell r="I6">
            <v>863.5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96.16</v>
          </cell>
        </row>
        <row r="4">
          <cell r="J4">
            <v>6538.271884159999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16460</v>
          </cell>
        </row>
        <row r="4">
          <cell r="I4">
            <v>30547.949400000001</v>
          </cell>
        </row>
        <row r="5">
          <cell r="I5">
            <v>1581</v>
          </cell>
        </row>
        <row r="6">
          <cell r="I6">
            <v>1047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12.38</v>
          </cell>
        </row>
        <row r="4">
          <cell r="I4">
            <v>637.03569158000005</v>
          </cell>
        </row>
        <row r="5">
          <cell r="I5">
            <v>140.911</v>
          </cell>
        </row>
        <row r="6">
          <cell r="I6">
            <v>621.75900000000001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14.08</v>
          </cell>
        </row>
        <row r="4">
          <cell r="J4">
            <v>1131.6316492799999</v>
          </cell>
        </row>
        <row r="5">
          <cell r="J5">
            <v>152.1</v>
          </cell>
        </row>
        <row r="6">
          <cell r="J6">
            <v>648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6" activePane="bottomRight" state="frozen"/>
      <selection pane="topRight" activeCell="C1" sqref="C1"/>
      <selection pane="bottomLeft" activeCell="A4" sqref="A4"/>
      <selection pane="bottomRight" activeCell="J6" sqref="J6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818</v>
      </c>
      <c r="N3" s="11" t="s">
        <v>819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1764167.7088790936</v>
      </c>
      <c r="G4" s="19">
        <f>+SUM(G6:G153)</f>
        <v>18467.373885200013</v>
      </c>
      <c r="H4" s="19">
        <f>SUM(H6:H153)</f>
        <v>1782635.0827642942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22911.268946481734</v>
      </c>
      <c r="G5" s="19">
        <f>AVERAGE(G6:G153)</f>
        <v>239.83602448311706</v>
      </c>
      <c r="H5" s="19">
        <f>AVERAGE(H6:H153)</f>
        <v>23151.104970964861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46.8</v>
      </c>
      <c r="F8" s="19">
        <f>+[3]Main!$J$5*FX!C3</f>
        <v>151624.85425027201</v>
      </c>
      <c r="G8" s="19">
        <f>+([3]Main!$J$7-[3]Main!$J$6)*FX!C3</f>
        <v>-11209.12</v>
      </c>
      <c r="H8" s="19">
        <f t="shared" ref="H8:H35" si="1">F8+G8</f>
        <v>140415.73425027201</v>
      </c>
      <c r="I8" s="27" t="s">
        <v>432</v>
      </c>
      <c r="J8" s="28">
        <v>45910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803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717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717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815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167.35</v>
      </c>
      <c r="F15" s="19">
        <f>+[10]Main!$I$4</f>
        <v>18988.883522699998</v>
      </c>
      <c r="G15" s="19">
        <f>+[10]Main!$I$6-[10]Main!$I$5</f>
        <v>-1155.7940000000001</v>
      </c>
      <c r="H15" s="19">
        <f>F15+G15</f>
        <v>17833.089522699996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716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134.9</v>
      </c>
      <c r="F20" s="19">
        <f>+[15]Main!$I$4*FX!C4</f>
        <v>20562.3544105</v>
      </c>
      <c r="G20" s="19">
        <f>+([15]Main!$I$6-[15]Main!$I$5)*FX!C4</f>
        <v>5614.2150000000001</v>
      </c>
      <c r="H20" s="19">
        <f t="shared" si="1"/>
        <v>26176.5694105</v>
      </c>
      <c r="I20" s="27" t="s">
        <v>149</v>
      </c>
      <c r="J20" s="28">
        <v>45925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716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101.55</v>
      </c>
      <c r="F27" s="19">
        <f>+[22]Main!$I$4*FX!C8</f>
        <v>15871.712567999999</v>
      </c>
      <c r="G27" s="19">
        <f>+([22]Main!$I$6-[22]Main!$I$5)*FX!C8</f>
        <v>880.27599999999995</v>
      </c>
      <c r="H27" s="19">
        <f>F27+G27</f>
        <v>16751.988568000001</v>
      </c>
      <c r="I27" s="27" t="s">
        <v>148</v>
      </c>
      <c r="J27" s="28">
        <v>45736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716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719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748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28">
        <v>45771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96.16</v>
      </c>
      <c r="F38" s="19">
        <f>+[33]Main!$J$4*FX!C3</f>
        <v>6799.8027595263993</v>
      </c>
      <c r="G38" s="19">
        <f>+([33]Main!$J$6-[33]Main!$J$5)*FX!C3</f>
        <v>-246.27304000000004</v>
      </c>
      <c r="H38" s="19">
        <f>F38+G38</f>
        <v>6553.5297195263993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16460</v>
      </c>
      <c r="F41" s="19">
        <f>+[36]Main!$I$4*FX!C11</f>
        <v>7636.9873500000003</v>
      </c>
      <c r="G41" s="19">
        <f>+([36]Main!$I$6-[36]Main!$I$5)*FX!C11</f>
        <v>-133.5</v>
      </c>
      <c r="H41" s="19">
        <f>+F41+G41</f>
        <v>7503.4873500000003</v>
      </c>
      <c r="I41" s="18" t="s">
        <v>337</v>
      </c>
      <c r="J41" s="3"/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47278</v>
      </c>
      <c r="F43" s="19">
        <f>+[38]Main!$H$4*FX!C12</f>
        <v>5800.6749262000003</v>
      </c>
      <c r="G43" s="19">
        <f>+([38]Main!$H$6-[38]Main!$H$5)*FX!C12</f>
        <v>-656.01822000000004</v>
      </c>
      <c r="H43" s="19">
        <f>+F43+G43</f>
        <v>5144.6567062000004</v>
      </c>
      <c r="I43" s="18" t="s">
        <v>334</v>
      </c>
      <c r="J43" s="3"/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70.400000000000006</v>
      </c>
      <c r="F47" s="19">
        <f>+[42]Main!$H$4*FX!C13</f>
        <v>5478.5955839999997</v>
      </c>
      <c r="G47" s="19">
        <f>+([42]Main!$H$6-[42]Main!$H$5)*FX!C13</f>
        <v>-142.83482999999998</v>
      </c>
      <c r="H47" s="19">
        <f>+F47+G47</f>
        <v>5335.7607539999999</v>
      </c>
      <c r="I47" s="18" t="s">
        <v>380</v>
      </c>
      <c r="J47" s="3"/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815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3141.6652800000002</v>
      </c>
      <c r="G51" s="19">
        <f>+([46]Main!$I$6-[46]Main!$I$5)*FX!C3</f>
        <v>1064.232</v>
      </c>
      <c r="H51" s="19">
        <f t="shared" si="3"/>
        <v>4205.8972800000001</v>
      </c>
      <c r="I51" s="18" t="s">
        <v>432</v>
      </c>
      <c r="J51" s="28">
        <v>45869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82.63</v>
      </c>
      <c r="F55" s="19">
        <f>+[50]Main!$J$4</f>
        <v>3972.2819055999998</v>
      </c>
      <c r="G55" s="19">
        <f>+([50]Main!$J$6-[50]Main!$J$5)</f>
        <v>2156.3000000000002</v>
      </c>
      <c r="H55" s="19">
        <f>F55+G55</f>
        <v>6128.5819056</v>
      </c>
      <c r="I55" s="18" t="s">
        <v>432</v>
      </c>
      <c r="J55" s="28">
        <v>45896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698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34.99</v>
      </c>
      <c r="F67" s="19">
        <f>+[62]Main!$I$4</f>
        <v>2750.9694340999999</v>
      </c>
      <c r="G67" s="19">
        <f>+[62]Main!$I$6-[62]Main!$I$5</f>
        <v>1257</v>
      </c>
      <c r="H67" s="19">
        <f>F67+G67</f>
        <v>4007.9694340999999</v>
      </c>
      <c r="I67" s="27" t="s">
        <v>337</v>
      </c>
      <c r="J67" s="28">
        <v>45722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37.49</v>
      </c>
      <c r="F68" s="19">
        <f>+[63]Main!$H$4</f>
        <v>2706.44148976</v>
      </c>
      <c r="G68" s="19">
        <f>+[63]Main!$H$6-[63]Main!$H$5</f>
        <v>-150.47799999999998</v>
      </c>
      <c r="H68" s="19">
        <f>+F68+G68</f>
        <v>2555.9634897599999</v>
      </c>
      <c r="I68" s="18" t="s">
        <v>337</v>
      </c>
      <c r="J68" s="3"/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17.25</v>
      </c>
      <c r="F69" s="19">
        <f>+[64]Main!$I$4</f>
        <v>2045.4005512499998</v>
      </c>
      <c r="G69" s="19">
        <f>+[64]Main!$I$6-[64]Main!$I$5</f>
        <v>1334</v>
      </c>
      <c r="H69" s="19">
        <f>+F69+G69</f>
        <v>3379.4005512499998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719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12.38</v>
      </c>
      <c r="F101" s="19">
        <f>+[75]Main!$I$4</f>
        <v>637.03569158000005</v>
      </c>
      <c r="G101" s="19">
        <f>+[75]Main!$I$6-[75]Main!$I$5</f>
        <v>480.84800000000001</v>
      </c>
      <c r="H101" s="19">
        <f>+F101+G101</f>
        <v>1117.88369158</v>
      </c>
      <c r="I101" s="18" t="s">
        <v>337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3" t="s">
        <v>246</v>
      </c>
      <c r="C125" s="4" t="s">
        <v>247</v>
      </c>
      <c r="D125" s="3" t="s">
        <v>21</v>
      </c>
      <c r="E125" s="26"/>
      <c r="F125" s="19"/>
      <c r="G125" s="19"/>
      <c r="H125" s="19"/>
      <c r="I125" s="18"/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479</v>
      </c>
      <c r="C154" s="4" t="s">
        <v>480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481</v>
      </c>
      <c r="C155" s="4" t="s">
        <v>482</v>
      </c>
      <c r="D155" s="3" t="s">
        <v>21</v>
      </c>
      <c r="E155" s="26">
        <f>+[79]Main!$J$2</f>
        <v>14.08</v>
      </c>
      <c r="F155" s="19">
        <f>+[79]Main!$J$4</f>
        <v>1131.6316492799999</v>
      </c>
      <c r="G155" s="19">
        <f>+[79]Main!$J$6-[79]Main!$J$5</f>
        <v>495.9</v>
      </c>
      <c r="H155" s="19">
        <f>+F155+G155</f>
        <v>1627.5316492799998</v>
      </c>
      <c r="I155" s="18" t="s">
        <v>338</v>
      </c>
      <c r="J155" s="3"/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484</v>
      </c>
      <c r="C156" s="4" t="s">
        <v>483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485</v>
      </c>
      <c r="C157" s="4" t="s">
        <v>486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487</v>
      </c>
      <c r="C158" s="4" t="s">
        <v>488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489</v>
      </c>
      <c r="C159" s="4" t="s">
        <v>490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491</v>
      </c>
      <c r="C160" s="4" t="s">
        <v>492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493</v>
      </c>
      <c r="C161" s="4" t="s">
        <v>494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495</v>
      </c>
      <c r="C162" s="4" t="s">
        <v>496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498</v>
      </c>
      <c r="C163" s="4" t="s">
        <v>497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499</v>
      </c>
      <c r="C164" s="4" t="s">
        <v>501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500</v>
      </c>
      <c r="C165" s="4" t="s">
        <v>502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503</v>
      </c>
      <c r="C166" s="4" t="s">
        <v>506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504</v>
      </c>
      <c r="C167" s="4" t="s">
        <v>505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507</v>
      </c>
      <c r="C168" s="4" t="s">
        <v>378</v>
      </c>
      <c r="D168" s="3" t="s">
        <v>508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509</v>
      </c>
      <c r="C169" s="4" t="s">
        <v>510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511</v>
      </c>
      <c r="C170" s="4" t="s">
        <v>512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513</v>
      </c>
      <c r="C171" s="4" t="s">
        <v>514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515</v>
      </c>
      <c r="C172" s="4" t="s">
        <v>518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516</v>
      </c>
      <c r="C173" s="4" t="s">
        <v>517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519</v>
      </c>
      <c r="C174" s="4" t="s">
        <v>520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521</v>
      </c>
      <c r="C175" s="4" t="s">
        <v>522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523</v>
      </c>
      <c r="C176" s="4" t="s">
        <v>524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525</v>
      </c>
      <c r="C177" s="4" t="s">
        <v>526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527</v>
      </c>
      <c r="C178" s="4" t="s">
        <v>529</v>
      </c>
      <c r="D178" s="3" t="s">
        <v>528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530</v>
      </c>
      <c r="C179" s="4" t="s">
        <v>531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532</v>
      </c>
      <c r="C180" s="4" t="s">
        <v>674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533</v>
      </c>
      <c r="C181" s="4" t="s">
        <v>675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690</v>
      </c>
      <c r="C6" s="47" t="s">
        <v>106</v>
      </c>
      <c r="D6" s="47" t="s">
        <v>544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691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692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693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694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544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695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481</v>
      </c>
      <c r="C19" s="47" t="s">
        <v>482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485</v>
      </c>
      <c r="C20" s="47" t="s">
        <v>486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696</v>
      </c>
      <c r="C21" s="59" t="s">
        <v>480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487</v>
      </c>
      <c r="C22" s="47" t="s">
        <v>488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700</v>
      </c>
      <c r="C23" s="47" t="s">
        <v>490</v>
      </c>
      <c r="D23" s="47" t="s">
        <v>21</v>
      </c>
      <c r="E23" s="47" t="s">
        <v>718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702</v>
      </c>
      <c r="C24" s="47" t="s">
        <v>703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704</v>
      </c>
      <c r="C25" s="47" t="s">
        <v>520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705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523</v>
      </c>
      <c r="C27" s="47" t="s">
        <v>524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706</v>
      </c>
      <c r="C28" s="47" t="s">
        <v>707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708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521</v>
      </c>
      <c r="C30" s="47" t="s">
        <v>522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709</v>
      </c>
      <c r="C31" s="47" t="s">
        <v>710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711</v>
      </c>
      <c r="C32" s="47" t="s">
        <v>526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527</v>
      </c>
      <c r="C33" s="47" t="s">
        <v>529</v>
      </c>
      <c r="D33" s="47" t="s">
        <v>528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530</v>
      </c>
      <c r="C34" s="47" t="s">
        <v>531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712</v>
      </c>
      <c r="C35" s="47" t="s">
        <v>715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713</v>
      </c>
      <c r="C36" s="47" t="s">
        <v>714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719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699</v>
      </c>
      <c r="C6" s="59" t="s">
        <v>701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678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541</v>
      </c>
      <c r="C31" s="59" t="s">
        <v>540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537</v>
      </c>
      <c r="C32" s="59" t="s">
        <v>538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536</v>
      </c>
      <c r="C33" s="59" t="s">
        <v>539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542</v>
      </c>
      <c r="C34" s="59" t="s">
        <v>543</v>
      </c>
      <c r="D34" s="47" t="s">
        <v>544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545</v>
      </c>
      <c r="C35" s="59" t="s">
        <v>546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547</v>
      </c>
      <c r="C36" s="59" t="s">
        <v>548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549</v>
      </c>
      <c r="C37" s="59" t="s">
        <v>550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551</v>
      </c>
      <c r="C38" s="59" t="s">
        <v>552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553</v>
      </c>
      <c r="C39" s="59" t="s">
        <v>554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555</v>
      </c>
      <c r="C40" s="59" t="s">
        <v>556</v>
      </c>
      <c r="D40" s="47" t="s">
        <v>544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557</v>
      </c>
      <c r="C41" s="59" t="s">
        <v>558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559</v>
      </c>
      <c r="C42" s="59" t="s">
        <v>560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534</v>
      </c>
      <c r="C43" s="59" t="s">
        <v>676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535</v>
      </c>
      <c r="C44" s="59" t="s">
        <v>677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561</v>
      </c>
      <c r="C45" s="47" t="s">
        <v>562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563</v>
      </c>
      <c r="C46" s="47" t="s">
        <v>564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565</v>
      </c>
      <c r="C47" s="47" t="s">
        <v>566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567</v>
      </c>
      <c r="C48" s="47" t="s">
        <v>568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569</v>
      </c>
      <c r="C50" s="47" t="s">
        <v>570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571</v>
      </c>
      <c r="C51" s="47" t="s">
        <v>572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573</v>
      </c>
      <c r="C52" s="47" t="s">
        <v>574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575</v>
      </c>
      <c r="C53" s="47" t="s">
        <v>576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577</v>
      </c>
      <c r="C54" s="47" t="s">
        <v>578</v>
      </c>
      <c r="D54" s="47" t="s">
        <v>580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8" sqref="B8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581</v>
      </c>
      <c r="C4" s="47" t="s">
        <v>582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583</v>
      </c>
      <c r="C5" s="47" t="s">
        <v>584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585</v>
      </c>
      <c r="C6" s="47" t="s">
        <v>586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587</v>
      </c>
      <c r="C7" s="47" t="s">
        <v>588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589</v>
      </c>
      <c r="C8" s="47" t="s">
        <v>590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591</v>
      </c>
      <c r="C9" s="47" t="s">
        <v>592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593</v>
      </c>
      <c r="C10" s="47" t="s">
        <v>594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595</v>
      </c>
      <c r="C11" s="47" t="s">
        <v>596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597</v>
      </c>
      <c r="C12" s="47" t="s">
        <v>598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599</v>
      </c>
      <c r="C13" s="47" t="s">
        <v>600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601</v>
      </c>
      <c r="C14" s="47" t="s">
        <v>602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603</v>
      </c>
      <c r="C15" s="47" t="s">
        <v>604</v>
      </c>
      <c r="D15" s="47" t="s">
        <v>544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605</v>
      </c>
      <c r="C16" s="47" t="s">
        <v>606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607</v>
      </c>
      <c r="C17" s="47" t="s">
        <v>608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609</v>
      </c>
      <c r="C18" s="47" t="s">
        <v>610</v>
      </c>
      <c r="D18" s="47" t="s">
        <v>670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611</v>
      </c>
      <c r="C19" s="47" t="s">
        <v>612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613</v>
      </c>
      <c r="C20" s="47" t="s">
        <v>614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615</v>
      </c>
      <c r="C21" s="47" t="s">
        <v>616</v>
      </c>
      <c r="D21" s="47" t="s">
        <v>671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618</v>
      </c>
      <c r="C23" s="47" t="s">
        <v>619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620</v>
      </c>
      <c r="C24" s="47" t="s">
        <v>621</v>
      </c>
      <c r="D24" s="47" t="s">
        <v>528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622</v>
      </c>
      <c r="C25" s="47" t="s">
        <v>623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624</v>
      </c>
      <c r="C26" s="47" t="s">
        <v>625</v>
      </c>
      <c r="D26" s="47" t="s">
        <v>672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626</v>
      </c>
      <c r="C27" s="47" t="s">
        <v>627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628</v>
      </c>
      <c r="C28" s="47" t="s">
        <v>629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630</v>
      </c>
      <c r="C29" s="47" t="s">
        <v>631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632</v>
      </c>
      <c r="C30" s="47" t="s">
        <v>633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634</v>
      </c>
      <c r="C31" s="47" t="s">
        <v>635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636</v>
      </c>
      <c r="C32" s="47" t="s">
        <v>637</v>
      </c>
      <c r="D32" s="47" t="s">
        <v>673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638</v>
      </c>
      <c r="C33" s="47" t="s">
        <v>639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640</v>
      </c>
      <c r="C34" s="47" t="s">
        <v>641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642</v>
      </c>
      <c r="C35" s="47" t="s">
        <v>643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644</v>
      </c>
      <c r="C36" s="47" t="s">
        <v>645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646</v>
      </c>
      <c r="C37" s="47" t="s">
        <v>647</v>
      </c>
      <c r="D37" s="47" t="s">
        <v>672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648</v>
      </c>
      <c r="C38" s="47" t="s">
        <v>649</v>
      </c>
      <c r="D38" s="47" t="s">
        <v>672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650</v>
      </c>
      <c r="C39" s="47" t="s">
        <v>651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652</v>
      </c>
      <c r="C40" s="47" t="s">
        <v>653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654</v>
      </c>
      <c r="C41" s="47" t="s">
        <v>655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656</v>
      </c>
      <c r="C42" s="47" t="s">
        <v>657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658</v>
      </c>
      <c r="C43" s="47" t="s">
        <v>659</v>
      </c>
      <c r="D43" s="47" t="s">
        <v>579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660</v>
      </c>
      <c r="C44" s="47" t="s">
        <v>661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662</v>
      </c>
      <c r="C45" s="47" t="s">
        <v>663</v>
      </c>
      <c r="D45" s="47" t="s">
        <v>672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664</v>
      </c>
      <c r="C46" s="47" t="s">
        <v>665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666</v>
      </c>
      <c r="C47" s="47" t="s">
        <v>667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668</v>
      </c>
      <c r="C48" s="47" t="s">
        <v>669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9" sqref="C9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467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468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47" t="s">
        <v>465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47" t="s">
        <v>466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469</v>
      </c>
      <c r="C10" s="47" t="s">
        <v>470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471</v>
      </c>
      <c r="C11" s="47" t="s">
        <v>472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473</v>
      </c>
      <c r="C12" s="47" t="s">
        <v>474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47"/>
      <c r="C13" s="47"/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A2" sqref="A2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734</v>
      </c>
      <c r="D2" s="76" t="s">
        <v>721</v>
      </c>
      <c r="E2" s="76" t="s">
        <v>722</v>
      </c>
      <c r="F2" s="77" t="s">
        <v>4</v>
      </c>
      <c r="G2" s="77" t="s">
        <v>806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723</v>
      </c>
      <c r="C3" s="46" t="s">
        <v>724</v>
      </c>
      <c r="D3" s="47" t="s">
        <v>732</v>
      </c>
      <c r="E3" s="78">
        <v>45757</v>
      </c>
      <c r="F3" s="79" t="s">
        <v>476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694</v>
      </c>
      <c r="C4" s="46" t="s">
        <v>694</v>
      </c>
      <c r="D4" s="47" t="s">
        <v>730</v>
      </c>
      <c r="E4" s="78">
        <v>45782</v>
      </c>
      <c r="F4" s="48" t="s">
        <v>731</v>
      </c>
      <c r="G4" s="80">
        <v>9420</v>
      </c>
      <c r="H4" s="47" t="s">
        <v>807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733</v>
      </c>
      <c r="E5" s="78">
        <v>45637</v>
      </c>
      <c r="F5" s="79" t="s">
        <v>476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735</v>
      </c>
      <c r="C6" s="47" t="s">
        <v>735</v>
      </c>
      <c r="D6" s="47" t="s">
        <v>736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682</v>
      </c>
      <c r="E7" s="78">
        <v>45889</v>
      </c>
      <c r="F7" s="47">
        <v>16.75</v>
      </c>
      <c r="G7" s="47" t="s">
        <v>805</v>
      </c>
      <c r="H7" s="47" t="s">
        <v>804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478</v>
      </c>
      <c r="D8" s="47" t="s">
        <v>811</v>
      </c>
      <c r="E8" s="78">
        <v>45322</v>
      </c>
      <c r="F8" s="47"/>
      <c r="G8" s="47">
        <v>500</v>
      </c>
      <c r="H8" s="47" t="s">
        <v>812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816</v>
      </c>
      <c r="C9" s="47" t="s">
        <v>817</v>
      </c>
      <c r="D9" s="47" t="s">
        <v>691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725</v>
      </c>
      <c r="D2" s="47" t="s">
        <v>726</v>
      </c>
      <c r="E2" s="47" t="s">
        <v>727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729</v>
      </c>
      <c r="C3" s="47" t="s">
        <v>728</v>
      </c>
      <c r="D3" s="47" t="s">
        <v>8</v>
      </c>
      <c r="E3" s="47" t="s">
        <v>738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737</v>
      </c>
      <c r="C4" s="47" t="s">
        <v>742</v>
      </c>
      <c r="D4" s="47" t="s">
        <v>8</v>
      </c>
      <c r="E4" s="47" t="s">
        <v>739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743</v>
      </c>
      <c r="C5" s="47" t="s">
        <v>740</v>
      </c>
      <c r="D5" s="47" t="s">
        <v>7</v>
      </c>
      <c r="E5" s="47" t="s">
        <v>741</v>
      </c>
      <c r="F5" s="47" t="s">
        <v>744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745</v>
      </c>
      <c r="C6" s="47" t="s">
        <v>746</v>
      </c>
      <c r="D6" s="47" t="s">
        <v>9</v>
      </c>
      <c r="E6" s="47" t="s">
        <v>747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749</v>
      </c>
      <c r="C7" s="47" t="s">
        <v>750</v>
      </c>
      <c r="D7" s="47" t="s">
        <v>99</v>
      </c>
      <c r="E7" s="47" t="s">
        <v>751</v>
      </c>
      <c r="F7" s="47" t="s">
        <v>762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752</v>
      </c>
      <c r="D8" s="47" t="s">
        <v>135</v>
      </c>
      <c r="E8" s="47" t="s">
        <v>753</v>
      </c>
      <c r="F8" s="47" t="s">
        <v>754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755</v>
      </c>
      <c r="C9" s="47" t="s">
        <v>756</v>
      </c>
      <c r="D9" s="47" t="s">
        <v>684</v>
      </c>
      <c r="E9" s="47" t="s">
        <v>754</v>
      </c>
      <c r="F9" s="47" t="s">
        <v>757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758</v>
      </c>
      <c r="C10" s="47" t="s">
        <v>759</v>
      </c>
      <c r="D10" s="47" t="s">
        <v>760</v>
      </c>
      <c r="E10" s="47" t="s">
        <v>754</v>
      </c>
      <c r="F10" s="47" t="s">
        <v>761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763</v>
      </c>
      <c r="C11" s="47" t="s">
        <v>764</v>
      </c>
      <c r="D11" s="47" t="s">
        <v>7</v>
      </c>
      <c r="E11" s="47" t="s">
        <v>768</v>
      </c>
      <c r="F11" s="47" t="s">
        <v>765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766</v>
      </c>
      <c r="C12" s="47" t="s">
        <v>767</v>
      </c>
      <c r="D12" s="47" t="s">
        <v>123</v>
      </c>
      <c r="E12" s="47" t="s">
        <v>769</v>
      </c>
      <c r="F12" s="47" t="s">
        <v>770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723</v>
      </c>
      <c r="C13" s="47" t="s">
        <v>771</v>
      </c>
      <c r="D13" s="47" t="s">
        <v>135</v>
      </c>
      <c r="E13" s="47" t="s">
        <v>772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773</v>
      </c>
      <c r="C14" s="47" t="s">
        <v>774</v>
      </c>
      <c r="D14" s="47" t="s">
        <v>679</v>
      </c>
      <c r="E14" s="47" t="s">
        <v>779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775</v>
      </c>
      <c r="C15" s="47" t="s">
        <v>776</v>
      </c>
      <c r="D15" s="47" t="s">
        <v>777</v>
      </c>
      <c r="E15" s="47" t="s">
        <v>778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780</v>
      </c>
      <c r="C16" s="47" t="s">
        <v>781</v>
      </c>
      <c r="D16" s="47" t="s">
        <v>782</v>
      </c>
      <c r="E16" s="47" t="s">
        <v>783</v>
      </c>
      <c r="F16" s="47" t="s">
        <v>784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785</v>
      </c>
      <c r="C17" s="47" t="s">
        <v>786</v>
      </c>
      <c r="D17" s="47" t="s">
        <v>787</v>
      </c>
      <c r="E17" s="47" t="s">
        <v>779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802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788</v>
      </c>
      <c r="C21" s="47" t="s">
        <v>789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790</v>
      </c>
      <c r="C22" s="47" t="s">
        <v>791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792</v>
      </c>
      <c r="C23" s="47" t="s">
        <v>793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794</v>
      </c>
      <c r="C24" s="47" t="s">
        <v>795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796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797</v>
      </c>
      <c r="C26" s="47" t="s">
        <v>798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799</v>
      </c>
      <c r="C27" s="47" t="s">
        <v>800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723</v>
      </c>
      <c r="C28" s="47" t="s">
        <v>801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813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720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475</v>
      </c>
      <c r="C5" s="48" t="s">
        <v>476</v>
      </c>
      <c r="D5" s="47" t="s">
        <v>124</v>
      </c>
      <c r="E5" s="60" t="s">
        <v>477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679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680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681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682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683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684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685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686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687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688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689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697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808</v>
      </c>
      <c r="C18" s="59" t="s">
        <v>809</v>
      </c>
      <c r="D18" s="47"/>
      <c r="E18" s="60" t="s">
        <v>810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2025-09-08T13:02:43Z</dcterms:modified>
  <cp:category/>
  <cp:contentStatus/>
</cp:coreProperties>
</file>