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EB3DFD3-8EBD-4553-933D-27B6B9826F0F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<sst xmlns="http://schemas.openxmlformats.org/spreadsheetml/2006/main" count="1423" uniqueCount="829">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</sst>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94">
    <xf numFmtId="0" fontId="0" fillId="0" borderId="0" xfId="0"/>
    <xf numFmtId="0" fontId="6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2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center"/>
    </xf>
    <xf numFmtId="0" fontId="8" fillId="2" borderId="2" xfId="1" applyNumberFormat="1" applyFont="1" applyFill="1" applyBorder="1" applyAlignment="1">
      <alignment horizontal="right"/>
    </xf>
    <xf numFmtId="0" fontId="11" fillId="2" borderId="2" xfId="0" applyFont="1" applyFill="1" applyBorder="1"/>
    <xf numFmtId="0" fontId="11" fillId="2" borderId="3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6" fontId="9" fillId="0" borderId="0" xfId="0" applyNumberFormat="1" applyFont="1"/>
    <xf numFmtId="9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0" borderId="0" xfId="1" applyNumberFormat="1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0" fontId="12" fillId="0" borderId="0" xfId="2" applyFont="1"/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7" fontId="9" fillId="0" borderId="0" xfId="0" applyNumberFormat="1" applyFont="1"/>
    <xf numFmtId="16" fontId="9" fillId="0" borderId="0" xfId="0" applyNumberFormat="1" applyFont="1" applyAlignment="1">
      <alignment horizontal="right"/>
    </xf>
    <xf numFmtId="0" fontId="12" fillId="0" borderId="0" xfId="2" applyFont="1" applyAlignment="1">
      <alignment horizontal="left"/>
    </xf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165" fontId="10" fillId="0" borderId="0" xfId="0" applyNumberFormat="1" applyFont="1"/>
    <xf numFmtId="0" fontId="10" fillId="0" borderId="0" xfId="0" applyFont="1" applyAlignment="1">
      <alignment horizontal="right"/>
    </xf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166" fontId="10" fillId="0" borderId="0" xfId="0" applyNumberFormat="1" applyFont="1"/>
    <xf numFmtId="0" fontId="10" fillId="0" borderId="0" xfId="1" applyNumberFormat="1" applyFont="1" applyAlignment="1">
      <alignment horizontal="right"/>
    </xf>
    <xf numFmtId="2" fontId="10" fillId="0" borderId="0" xfId="1" applyNumberFormat="1" applyFont="1"/>
    <xf numFmtId="0" fontId="13" fillId="0" borderId="0" xfId="2"/>
    <xf numFmtId="0" fontId="4" fillId="0" borderId="0" xfId="0" applyFont="1"/>
    <xf numFmtId="0" fontId="4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5" fontId="4" fillId="0" borderId="0" xfId="0" applyNumberFormat="1" applyFont="1"/>
    <xf numFmtId="17" fontId="4" fillId="0" borderId="0" xfId="0" applyNumberFormat="1" applyFont="1" applyAlignment="1">
      <alignment horizontal="right"/>
    </xf>
    <xf numFmtId="16" fontId="4" fillId="0" borderId="0" xfId="0" applyNumberFormat="1" applyFont="1"/>
    <xf numFmtId="9" fontId="4" fillId="0" borderId="0" xfId="1" applyFont="1"/>
    <xf numFmtId="168" fontId="4" fillId="0" borderId="0" xfId="0" applyNumberFormat="1" applyFont="1"/>
    <xf numFmtId="168" fontId="4" fillId="0" borderId="0" xfId="1" applyNumberFormat="1" applyFont="1"/>
    <xf numFmtId="164" fontId="4" fillId="0" borderId="0" xfId="1" applyNumberFormat="1" applyFont="1"/>
    <xf numFmtId="0" fontId="4" fillId="0" borderId="0" xfId="1" applyNumberFormat="1" applyFont="1" applyAlignment="1">
      <alignment horizontal="right"/>
    </xf>
    <xf numFmtId="0" fontId="13" fillId="0" borderId="0" xfId="2" applyAlignment="1">
      <alignment horizontal="left"/>
    </xf>
    <xf numFmtId="165" fontId="7" fillId="2" borderId="2" xfId="0" applyNumberFormat="1" applyFont="1" applyFill="1" applyBorder="1"/>
    <xf numFmtId="166" fontId="7" fillId="2" borderId="2" xfId="0" applyNumberFormat="1" applyFont="1" applyFill="1" applyBorder="1"/>
    <xf numFmtId="166" fontId="7" fillId="2" borderId="2" xfId="0" applyNumberFormat="1" applyFont="1" applyFill="1" applyBorder="1" applyAlignment="1">
      <alignment horizontal="right"/>
    </xf>
    <xf numFmtId="9" fontId="7" fillId="2" borderId="2" xfId="1" applyFont="1" applyFill="1" applyBorder="1"/>
    <xf numFmtId="0" fontId="4" fillId="0" borderId="0" xfId="0" quotePrefix="1" applyFont="1" applyAlignment="1">
      <alignment horizontal="left"/>
    </xf>
    <xf numFmtId="0" fontId="14" fillId="0" borderId="0" xfId="0" applyFont="1"/>
    <xf numFmtId="2" fontId="4" fillId="0" borderId="0" xfId="0" applyNumberFormat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2" fillId="0" borderId="0" xfId="0" applyFont="1"/>
    <xf numFmtId="2" fontId="8" fillId="2" borderId="2" xfId="1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166" fontId="9" fillId="0" borderId="4" xfId="0" applyNumberFormat="1" applyFont="1" applyBorder="1"/>
    <xf numFmtId="166" fontId="9" fillId="0" borderId="4" xfId="0" applyNumberFormat="1" applyFont="1" applyBorder="1" applyAlignment="1">
      <alignment horizontal="right"/>
    </xf>
    <xf numFmtId="9" fontId="9" fillId="0" borderId="4" xfId="1" applyFont="1" applyBorder="1"/>
    <xf numFmtId="168" fontId="9" fillId="0" borderId="4" xfId="0" applyNumberFormat="1" applyFont="1" applyBorder="1"/>
    <xf numFmtId="0" fontId="9" fillId="0" borderId="4" xfId="1" applyNumberFormat="1" applyFont="1" applyBorder="1" applyAlignment="1">
      <alignment horizontal="right"/>
    </xf>
    <xf numFmtId="0" fontId="10" fillId="0" borderId="4" xfId="0" applyFont="1" applyBorder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 refreshError="1"/>
      <sheetData sheetId="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23.45</v>
          </cell>
        </row>
        <row r="4">
          <cell r="I4">
            <v>3450.3546770000003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J24" sqref="J24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1886471.40002415</v>
      </c>
      <c r="G4" s="18">
        <f>SUM(G6:G153)</f>
        <v>4212.1372351999989</v>
      </c>
      <c r="H4" s="18">
        <f>SUM(H6:H153)</f>
        <v>1890683.5372593489</v>
      </c>
      <c r="I4" s="83" t="s">
        <v>422</v>
      </c>
      <c r="J4" s="16" t="s">
        <v>828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23903.241748193013</v>
      </c>
      <c r="G5" s="87">
        <f>AVERAGE(G6:G153)</f>
        <v>54.703080976623362</v>
      </c>
      <c r="H5" s="87">
        <f>AVERAGE(H6:H153)</f>
        <v>24554.331652718818</v>
      </c>
      <c r="I5" s="88" t="s">
        <v>422</v>
      </c>
      <c r="J5" s="84" t="s">
        <v>828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152.19999999999999</v>
      </c>
      <c r="F9" s="18">
        <f>+[4]Main!$I$5</f>
        <v>171377.19999999998</v>
      </c>
      <c r="G9" s="18">
        <f>+[4]Main!$I$7-[4]Main!$I$6</f>
        <v>-1771</v>
      </c>
      <c r="H9" s="18">
        <f>F9+G9</f>
        <v>169606.19999999998</v>
      </c>
      <c r="I9" s="26" t="s">
        <v>821</v>
      </c>
      <c r="J9" s="27">
        <v>46078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34.25</v>
      </c>
      <c r="F29" s="18">
        <f>+[24]Main!$J$4</f>
        <v>19049.829518499999</v>
      </c>
      <c r="G29" s="18">
        <f>+[24]Main!$J$6-[24]Main!$J$5</f>
        <v>698.10000000000014</v>
      </c>
      <c r="H29" s="18">
        <f t="shared" si="1"/>
        <v>19747.929518499997</v>
      </c>
      <c r="I29" s="17" t="s">
        <v>815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23.45</v>
      </c>
      <c r="F51" s="18">
        <f>+[46]Main!$I$4*FX!C3</f>
        <v>3588.3688640800005</v>
      </c>
      <c r="G51" s="18">
        <f>+([46]Main!$I$6-[46]Main!$I$5)*FX!C3</f>
        <v>1093.3520000000003</v>
      </c>
      <c r="H51" s="18">
        <f t="shared" si="3"/>
        <v>4681.7208640800009</v>
      </c>
      <c r="I51" s="17" t="s">
        <v>815</v>
      </c>
      <c r="J51" s="27">
        <v>46079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8" sqref="J8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809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2026-02-20T08:49:01Z</dcterms:modified>
  <cp:category/>
  <cp:contentStatus/>
</cp:coreProperties>
</file>