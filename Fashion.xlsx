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6D0FC7A-41E7-4BF8-8BF4-702D91913CDD}" xr6:coauthVersionLast="47" xr6:coauthVersionMax="47" xr10:uidLastSave="{00000000-0000-0000-0000-000000000000}"/>
  <bookViews>
    <workbookView xWindow="225" yWindow="3855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<sst xmlns="http://schemas.openxmlformats.org/spreadsheetml/2006/main" count="1399" uniqueCount="826">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</sst>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48290</v>
          </cell>
        </row>
        <row r="5">
          <cell r="J5">
            <v>14814725.010580001</v>
          </cell>
        </row>
        <row r="6">
          <cell r="J6">
            <v>1792940</v>
          </cell>
        </row>
        <row r="7">
          <cell r="J7">
            <v>315917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174" activePane="bottomRight" state="frozen"/>
      <selection pane="topRight" activeCell="C1" sqref="C1"/>
      <selection pane="bottomLeft" activeCell="A4" sqref="A4"/>
      <selection pane="bottomRight" activeCell="J189" sqref="J189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815</v>
      </c>
      <c r="N3" s="11" t="s">
        <v>816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1871378.8600852559</v>
      </c>
      <c r="G4" s="19">
        <f>+SUM(G6:G153)</f>
        <v>18988.59421520001</v>
      </c>
      <c r="H4" s="19">
        <f>SUM(H6:H153)</f>
        <v>1890367.4543004551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24303.621559548777</v>
      </c>
      <c r="G5" s="19">
        <f>AVERAGE(G6:G153)</f>
        <v>246.6051196779222</v>
      </c>
      <c r="H5" s="19">
        <f>AVERAGE(H6:H153)</f>
        <v>24550.226679226689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818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818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54.86</v>
      </c>
      <c r="F8" s="19">
        <f>+[3]Main!$J$5*FX!C3</f>
        <v>177781.43714215042</v>
      </c>
      <c r="G8" s="19">
        <f>+([3]Main!$J$7-[3]Main!$J$6)*FX!C3</f>
        <v>-11718.720000000001</v>
      </c>
      <c r="H8" s="19">
        <f t="shared" ref="H8:H35" si="1">F8+G8</f>
        <v>166062.71714215042</v>
      </c>
      <c r="I8" s="27" t="s">
        <v>149</v>
      </c>
      <c r="J8" s="28">
        <v>46092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152.19999999999999</v>
      </c>
      <c r="F9" s="19">
        <f>+[4]Main!$I$5</f>
        <v>171377.19999999998</v>
      </c>
      <c r="G9" s="19">
        <f>+[4]Main!$I$7-[4]Main!$I$6</f>
        <v>-1771</v>
      </c>
      <c r="H9" s="19">
        <f>F9+G9</f>
        <v>169606.19999999998</v>
      </c>
      <c r="I9" s="27" t="s">
        <v>824</v>
      </c>
      <c r="J9" s="28">
        <v>46078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32" t="s">
        <v>474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58.85</v>
      </c>
      <c r="F11" s="19">
        <f>+[6]Main!$I$5</f>
        <v>87068.574999999997</v>
      </c>
      <c r="G11" s="19">
        <f>+[6]Main!$I$7-[6]Main!$I$6</f>
        <v>-330</v>
      </c>
      <c r="H11" s="19">
        <f t="shared" si="1"/>
        <v>86738.574999999997</v>
      </c>
      <c r="I11" s="27" t="s">
        <v>800</v>
      </c>
      <c r="J11" s="28">
        <v>46100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48290</v>
      </c>
      <c r="F12" s="19">
        <f>+[7]Main!$J$5*FX!C5</f>
        <v>93332.767566654016</v>
      </c>
      <c r="G12" s="19">
        <f>+([7]Main!$J$7-[7]Main!$J$6)*FX!C5</f>
        <v>-9305.2448999999997</v>
      </c>
      <c r="H12" s="19">
        <f t="shared" si="1"/>
        <v>84027.522666654011</v>
      </c>
      <c r="I12" s="27" t="s">
        <v>714</v>
      </c>
      <c r="J12" s="28">
        <v>46030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187.97</v>
      </c>
      <c r="F13" s="19">
        <f>+[8]Main!$K$4</f>
        <v>75466.759510000004</v>
      </c>
      <c r="G13" s="19">
        <f>+[8]Main!$K$6-[8]Main!$K$5</f>
        <v>2776.4369999999999</v>
      </c>
      <c r="H13" s="19">
        <f t="shared" si="1"/>
        <v>78243.196510000009</v>
      </c>
      <c r="I13" s="27" t="s">
        <v>800</v>
      </c>
      <c r="J13" s="28">
        <v>46106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176.36</v>
      </c>
      <c r="F14" s="19">
        <f>+[9]Main!$H$5</f>
        <v>56659.177199999998</v>
      </c>
      <c r="G14" s="19">
        <f>+[9]Main!$H$7-[9]Main!$H$6</f>
        <v>-2544.201</v>
      </c>
      <c r="H14" s="19">
        <f t="shared" si="1"/>
        <v>54114.976199999997</v>
      </c>
      <c r="I14" s="27" t="s">
        <v>825</v>
      </c>
      <c r="J14" s="28">
        <v>46086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204.5</v>
      </c>
      <c r="F15" s="19">
        <f>+[10]Main!$I$4</f>
        <v>22942.8633845</v>
      </c>
      <c r="G15" s="19">
        <f>+[10]Main!$I$6-[10]Main!$I$5</f>
        <v>-1035.8620000000001</v>
      </c>
      <c r="H15" s="19">
        <f>F15+G15</f>
        <v>21907.001384499999</v>
      </c>
      <c r="I15" s="27" t="s">
        <v>818</v>
      </c>
      <c r="J15" s="28">
        <v>46108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157.55000000000001</v>
      </c>
      <c r="F16" s="19">
        <f>+[11]Main!$I$4*FX!C3</f>
        <v>29255.624511568003</v>
      </c>
      <c r="G16" s="19">
        <f>+([11]Main!$I$6-[11]Main!$I$5)*FX!C3</f>
        <v>1502.8</v>
      </c>
      <c r="H16" s="19">
        <f>F16+G16</f>
        <v>30758.424511568002</v>
      </c>
      <c r="I16" s="27" t="s">
        <v>818</v>
      </c>
      <c r="J16" s="28">
        <v>46090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818</v>
      </c>
      <c r="J17" s="28">
        <v>46063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812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818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818</v>
      </c>
      <c r="J21" s="28">
        <v>46084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/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818</v>
      </c>
      <c r="J23" s="28">
        <v>46072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252.2</v>
      </c>
      <c r="F24" s="19">
        <f>+[19]Main!$I$4</f>
        <v>15870.190913199998</v>
      </c>
      <c r="G24" s="19">
        <f>+[19]Main!$I$6-[19]Main!$I$5</f>
        <v>1451.345</v>
      </c>
      <c r="H24" s="19">
        <f>F24+G24</f>
        <v>17321.535913199998</v>
      </c>
      <c r="I24" s="27" t="s">
        <v>149</v>
      </c>
      <c r="J24" s="28">
        <v>46086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100.74</v>
      </c>
      <c r="F25" s="19">
        <f>+[20]Main!$J$4</f>
        <v>20616.416016480001</v>
      </c>
      <c r="G25" s="19">
        <f>+[20]Main!$J$6-[20]Main!$J$5</f>
        <v>1892.2</v>
      </c>
      <c r="H25" s="19">
        <f t="shared" si="1"/>
        <v>22508.616016480002</v>
      </c>
      <c r="I25" s="27" t="s">
        <v>716</v>
      </c>
      <c r="J25" s="28">
        <v>46058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3710</v>
      </c>
      <c r="F26" s="19">
        <f>+[21]Main!$I$4*FX!C5</f>
        <v>16719.951348639002</v>
      </c>
      <c r="G26" s="19">
        <f>+([21]Main!$I$6-[21]Main!$I$5)*FX!C5</f>
        <v>-560.68740000000003</v>
      </c>
      <c r="H26" s="19">
        <f>F26+G26</f>
        <v>16159.263948639002</v>
      </c>
      <c r="I26" s="18" t="s">
        <v>818</v>
      </c>
      <c r="J26" s="28">
        <v>46066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46028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42.48</v>
      </c>
      <c r="F28" s="19">
        <f>+[23]Main!$H$5*FX!C7</f>
        <v>11989.632432718079</v>
      </c>
      <c r="G28" s="19">
        <f>+([23]Main!$H$7-[23]Main!$H$6)*FX!C7</f>
        <v>-1014.272</v>
      </c>
      <c r="H28" s="19">
        <f>F28+G28</f>
        <v>10975.360432718078</v>
      </c>
      <c r="I28" s="27" t="s">
        <v>818</v>
      </c>
      <c r="J28" s="28">
        <v>46085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34.25</v>
      </c>
      <c r="F29" s="19">
        <f>+[24]Main!$J$4</f>
        <v>19049.829518499999</v>
      </c>
      <c r="G29" s="19">
        <f>+[24]Main!$J$6-[24]Main!$J$5</f>
        <v>698.10000000000014</v>
      </c>
      <c r="H29" s="19">
        <f t="shared" si="1"/>
        <v>19747.929518499997</v>
      </c>
      <c r="I29" s="18" t="s">
        <v>818</v>
      </c>
      <c r="J29" s="28">
        <v>46078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324.72000000000003</v>
      </c>
      <c r="F31" s="19">
        <f>+[26]Main!$H$4</f>
        <v>19691.234465760001</v>
      </c>
      <c r="G31" s="19">
        <f>+[26]Main!$H$6-[26]Main!$H$5</f>
        <v>-183.39999999999986</v>
      </c>
      <c r="H31" s="19">
        <f t="shared" si="1"/>
        <v>19507.834465759999</v>
      </c>
      <c r="I31" s="27" t="s">
        <v>812</v>
      </c>
      <c r="J31" s="28">
        <v>46058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23.02</v>
      </c>
      <c r="F33" s="19">
        <f>+[28]Main!$I$4*FX!C3</f>
        <v>6231.7902400000003</v>
      </c>
      <c r="G33" s="19">
        <f>+([28]Main!$I$6-[28]Main!$I$5)*FX!C3</f>
        <v>-709.38400000000001</v>
      </c>
      <c r="H33" s="19">
        <f>F33+G33</f>
        <v>5522.4062400000003</v>
      </c>
      <c r="I33" s="27" t="s">
        <v>818</v>
      </c>
      <c r="J33" s="28">
        <v>46093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15.1</v>
      </c>
      <c r="F34" s="19">
        <f>+[29]Main!$H$4</f>
        <v>5899.9438458000004</v>
      </c>
      <c r="G34" s="19">
        <f>+[29]Main!$H$6-[29]Main!$H$5</f>
        <v>3627.2110000000002</v>
      </c>
      <c r="H34" s="19">
        <f>+G34+F34</f>
        <v>9527.1548457999997</v>
      </c>
      <c r="I34" s="18" t="s">
        <v>800</v>
      </c>
      <c r="J34" s="28">
        <v>46050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36.1845</v>
      </c>
      <c r="F35" s="19">
        <f>+[30]Main!$I$5*FX!C3</f>
        <v>6920.7306306652799</v>
      </c>
      <c r="G35" s="19">
        <f>+([30]Main!$I$7-[30]Main!$I$6)*FX!C3</f>
        <v>853.08912000000009</v>
      </c>
      <c r="H35" s="19">
        <f t="shared" si="1"/>
        <v>7773.8197506652796</v>
      </c>
      <c r="I35" s="18" t="s">
        <v>422</v>
      </c>
      <c r="J35" s="28">
        <v>46072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745</v>
      </c>
      <c r="D36" s="3" t="s">
        <v>21</v>
      </c>
      <c r="E36" s="26">
        <f>+[31]Main!$J$2</f>
        <v>27.09</v>
      </c>
      <c r="F36" s="19">
        <f>+[31]Main!$J$4</f>
        <v>10075.3599366</v>
      </c>
      <c r="G36" s="19">
        <f>+([31]Main!$J$6-[31]Main!$J$5)</f>
        <v>-1026</v>
      </c>
      <c r="H36" s="19">
        <f>+G36+F36</f>
        <v>9049.3599365999999</v>
      </c>
      <c r="I36" s="18" t="s">
        <v>818</v>
      </c>
      <c r="J36" s="28">
        <v>46086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817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149</v>
      </c>
      <c r="J38" s="28">
        <v>46034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60</v>
      </c>
      <c r="F39" s="19">
        <f>+[34]Main!$I$4</f>
        <v>8953.7999999999993</v>
      </c>
      <c r="G39" s="19">
        <f>+[34]Main!$I$6-[34]Main!$I$5</f>
        <v>1641.587</v>
      </c>
      <c r="H39" s="19">
        <f>F39+G39</f>
        <v>10595.386999999999</v>
      </c>
      <c r="I39" s="18" t="s">
        <v>818</v>
      </c>
      <c r="J39" s="28">
        <v>46076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818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716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818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812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716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77.23</v>
      </c>
      <c r="F50" s="19">
        <f>+[45]Main!$J$4</f>
        <v>6928.0655860600009</v>
      </c>
      <c r="G50" s="19">
        <f>+[45]Main!$J$6-[45]Main!$J$5</f>
        <v>-611.73299999999995</v>
      </c>
      <c r="H50" s="19">
        <f>+F50+G50</f>
        <v>6316.3325860600007</v>
      </c>
      <c r="I50" s="18" t="s">
        <v>812</v>
      </c>
      <c r="J50" s="28">
        <v>46077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97.7</v>
      </c>
      <c r="F53" s="19">
        <f>+[48]Main!$I$4</f>
        <v>4576.4633999999996</v>
      </c>
      <c r="G53" s="19">
        <f>+[48]Main!$I$6-[48]Main!$I$5</f>
        <v>-631.03800000000001</v>
      </c>
      <c r="H53" s="19">
        <f>F53+G53</f>
        <v>3945.4253999999996</v>
      </c>
      <c r="I53" s="27" t="s">
        <v>818</v>
      </c>
      <c r="J53" s="28">
        <v>46085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56.66</v>
      </c>
      <c r="F54" s="19">
        <f>+[49]Main!$I$4</f>
        <v>3053.3446207199995</v>
      </c>
      <c r="G54" s="19">
        <f>+[49]Main!$I$6-[49]Main!$I$5</f>
        <v>-236.02699999999999</v>
      </c>
      <c r="H54" s="19">
        <f t="shared" si="3"/>
        <v>2817.3176207199995</v>
      </c>
      <c r="I54" s="18" t="s">
        <v>818</v>
      </c>
      <c r="J54" s="28">
        <v>46056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76.37</v>
      </c>
      <c r="F55" s="19">
        <f>+[50]Main!$J$4</f>
        <v>3497.9518935199999</v>
      </c>
      <c r="G55" s="19">
        <f>+([50]Main!$J$6-[50]Main!$J$5)</f>
        <v>2100.6</v>
      </c>
      <c r="H55" s="19">
        <f>F55+G55</f>
        <v>5598.5518935199998</v>
      </c>
      <c r="I55" s="18" t="s">
        <v>818</v>
      </c>
      <c r="J55" s="28">
        <v>46108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716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823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818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36.520000000000003</v>
      </c>
      <c r="F63" s="19">
        <f>+[57]Main!$J$4*FX!C3</f>
        <v>2673.8483200000005</v>
      </c>
      <c r="G63" s="19">
        <f>+([57]Main!$J$6-[57]Main!$J$5)*FX!C3</f>
        <v>201.76000000000002</v>
      </c>
      <c r="H63" s="19">
        <f>+F63+G63</f>
        <v>2875.6083200000007</v>
      </c>
      <c r="I63" s="18" t="s">
        <v>818</v>
      </c>
      <c r="J63" s="28">
        <v>46091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716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54.91</v>
      </c>
      <c r="F67" s="19">
        <f>+[61]Main!$I$4</f>
        <v>4407.5666168399994</v>
      </c>
      <c r="G67" s="19">
        <f>+[61]Main!$I$6-[61]Main!$I$5</f>
        <v>1102</v>
      </c>
      <c r="H67" s="19">
        <f>F67+G67</f>
        <v>5509.5666168399994</v>
      </c>
      <c r="I67" s="27" t="s">
        <v>818</v>
      </c>
      <c r="J67" s="28">
        <v>46085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716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2.4</v>
      </c>
      <c r="F123" s="19">
        <f>+[76]Main!$H$4</f>
        <v>252.04949999999997</v>
      </c>
      <c r="G123" s="19">
        <f>+[76]Main!$H$6-[76]Main!$H$5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715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716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820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819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821</v>
      </c>
      <c r="C13" s="81" t="s">
        <v>822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731</v>
      </c>
      <c r="D2" s="76" t="s">
        <v>718</v>
      </c>
      <c r="E2" s="76" t="s">
        <v>719</v>
      </c>
      <c r="F2" s="77" t="s">
        <v>4</v>
      </c>
      <c r="G2" s="77" t="s">
        <v>803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720</v>
      </c>
      <c r="C3" s="46" t="s">
        <v>721</v>
      </c>
      <c r="D3" s="47" t="s">
        <v>729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727</v>
      </c>
      <c r="E4" s="78">
        <v>45782</v>
      </c>
      <c r="F4" s="48" t="s">
        <v>728</v>
      </c>
      <c r="G4" s="80">
        <v>9420</v>
      </c>
      <c r="H4" s="47" t="s">
        <v>804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730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732</v>
      </c>
      <c r="C6" s="47" t="s">
        <v>732</v>
      </c>
      <c r="D6" s="47" t="s">
        <v>733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802</v>
      </c>
      <c r="H7" s="47" t="s">
        <v>801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808</v>
      </c>
      <c r="E8" s="78">
        <v>45322</v>
      </c>
      <c r="F8" s="47"/>
      <c r="G8" s="47">
        <v>500</v>
      </c>
      <c r="H8" s="47" t="s">
        <v>809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813</v>
      </c>
      <c r="C9" s="47" t="s">
        <v>814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722</v>
      </c>
      <c r="D2" s="47" t="s">
        <v>723</v>
      </c>
      <c r="E2" s="47" t="s">
        <v>724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726</v>
      </c>
      <c r="C3" s="47" t="s">
        <v>725</v>
      </c>
      <c r="D3" s="47" t="s">
        <v>8</v>
      </c>
      <c r="E3" s="47" t="s">
        <v>735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734</v>
      </c>
      <c r="C4" s="47" t="s">
        <v>739</v>
      </c>
      <c r="D4" s="47" t="s">
        <v>8</v>
      </c>
      <c r="E4" s="47" t="s">
        <v>736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740</v>
      </c>
      <c r="C5" s="47" t="s">
        <v>737</v>
      </c>
      <c r="D5" s="47" t="s">
        <v>7</v>
      </c>
      <c r="E5" s="47" t="s">
        <v>738</v>
      </c>
      <c r="F5" s="47" t="s">
        <v>741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742</v>
      </c>
      <c r="C6" s="47" t="s">
        <v>743</v>
      </c>
      <c r="D6" s="47" t="s">
        <v>9</v>
      </c>
      <c r="E6" s="47" t="s">
        <v>744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746</v>
      </c>
      <c r="C7" s="47" t="s">
        <v>747</v>
      </c>
      <c r="D7" s="47" t="s">
        <v>99</v>
      </c>
      <c r="E7" s="47" t="s">
        <v>748</v>
      </c>
      <c r="F7" s="47" t="s">
        <v>759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749</v>
      </c>
      <c r="D8" s="47" t="s">
        <v>135</v>
      </c>
      <c r="E8" s="47" t="s">
        <v>750</v>
      </c>
      <c r="F8" s="47" t="s">
        <v>751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752</v>
      </c>
      <c r="C9" s="47" t="s">
        <v>753</v>
      </c>
      <c r="D9" s="47" t="s">
        <v>682</v>
      </c>
      <c r="E9" s="47" t="s">
        <v>751</v>
      </c>
      <c r="F9" s="47" t="s">
        <v>754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755</v>
      </c>
      <c r="C10" s="47" t="s">
        <v>756</v>
      </c>
      <c r="D10" s="47" t="s">
        <v>757</v>
      </c>
      <c r="E10" s="47" t="s">
        <v>751</v>
      </c>
      <c r="F10" s="47" t="s">
        <v>758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760</v>
      </c>
      <c r="C11" s="47" t="s">
        <v>761</v>
      </c>
      <c r="D11" s="47" t="s">
        <v>7</v>
      </c>
      <c r="E11" s="47" t="s">
        <v>765</v>
      </c>
      <c r="F11" s="47" t="s">
        <v>762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763</v>
      </c>
      <c r="C12" s="47" t="s">
        <v>764</v>
      </c>
      <c r="D12" s="47" t="s">
        <v>123</v>
      </c>
      <c r="E12" s="47" t="s">
        <v>766</v>
      </c>
      <c r="F12" s="47" t="s">
        <v>767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720</v>
      </c>
      <c r="C13" s="47" t="s">
        <v>768</v>
      </c>
      <c r="D13" s="47" t="s">
        <v>135</v>
      </c>
      <c r="E13" s="47" t="s">
        <v>769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770</v>
      </c>
      <c r="C14" s="47" t="s">
        <v>771</v>
      </c>
      <c r="D14" s="47" t="s">
        <v>677</v>
      </c>
      <c r="E14" s="47" t="s">
        <v>776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772</v>
      </c>
      <c r="C15" s="47" t="s">
        <v>773</v>
      </c>
      <c r="D15" s="47" t="s">
        <v>774</v>
      </c>
      <c r="E15" s="47" t="s">
        <v>775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777</v>
      </c>
      <c r="C16" s="47" t="s">
        <v>778</v>
      </c>
      <c r="D16" s="47" t="s">
        <v>779</v>
      </c>
      <c r="E16" s="47" t="s">
        <v>780</v>
      </c>
      <c r="F16" s="47" t="s">
        <v>781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782</v>
      </c>
      <c r="C17" s="47" t="s">
        <v>783</v>
      </c>
      <c r="D17" s="47" t="s">
        <v>784</v>
      </c>
      <c r="E17" s="47" t="s">
        <v>776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799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785</v>
      </c>
      <c r="C21" s="47" t="s">
        <v>786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787</v>
      </c>
      <c r="C22" s="47" t="s">
        <v>788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789</v>
      </c>
      <c r="C23" s="47" t="s">
        <v>790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791</v>
      </c>
      <c r="C24" s="47" t="s">
        <v>792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793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794</v>
      </c>
      <c r="C26" s="47" t="s">
        <v>795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796</v>
      </c>
      <c r="C27" s="47" t="s">
        <v>797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720</v>
      </c>
      <c r="C28" s="47" t="s">
        <v>798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B10"/>
  <sheetViews>
    <sheetView zoomScale="200" zoomScaleNormal="200"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6" t="s">
        <v>459</v>
      </c>
    </row>
    <row r="9" spans="1:2">
      <c r="B9" t="s">
        <v>810</v>
      </c>
    </row>
    <row r="10" spans="1:2">
      <c r="B10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810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717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805</v>
      </c>
      <c r="C18" s="59" t="s">
        <v>806</v>
      </c>
      <c r="D18" s="47"/>
      <c r="E18" s="60" t="s">
        <v>807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2025-12-20T11:08:20Z</dcterms:modified>
  <cp:category/>
  <cp:contentStatus/>
</cp:coreProperties>
</file>