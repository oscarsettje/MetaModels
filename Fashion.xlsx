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295609A-5D33-4B7A-AE9D-A8D3ED684F34}" xr6:coauthVersionLast="47" xr6:coauthVersionMax="47" xr10:uidLastSave="{00000000-0000-0000-0000-000000000000}"/>
  <bookViews>
    <workbookView xWindow="-120" yWindow="-120" windowWidth="38640" windowHeight="2112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M18" i="1"/>
  <c r="K18" i="1"/>
  <c r="N12" i="1" l="1"/>
  <c r="K7" i="1" l="1"/>
  <c r="P19" i="1" l="1"/>
  <c r="K6" i="1" l="1"/>
  <c r="D5" i="1" l="1" a="1"/>
  <c r="D5" i="1" s="1"/>
  <c r="C4" i="1"/>
  <c r="D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22" i="1"/>
  <c r="F22" i="1"/>
  <c r="E22" i="1"/>
  <c r="G31" i="1" l="1"/>
  <c r="F31" i="1"/>
  <c r="E31" i="1"/>
  <c r="G26" i="1"/>
  <c r="F26" i="1"/>
  <c r="E26" i="1"/>
  <c r="G18" i="1" l="1"/>
  <c r="F18" i="1"/>
  <c r="E18" i="1"/>
  <c r="M17" i="1" l="1"/>
  <c r="G17" i="1"/>
  <c r="F17" i="1"/>
  <c r="E17" i="1"/>
  <c r="G25" i="1" l="1"/>
  <c r="F25" i="1"/>
  <c r="E25" i="1"/>
  <c r="G100" i="1"/>
  <c r="F100" i="1"/>
  <c r="E100" i="1"/>
  <c r="G90" i="1"/>
  <c r="F90" i="1"/>
  <c r="E90" i="1"/>
  <c r="H100" i="1" l="1"/>
  <c r="H25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9" i="1"/>
  <c r="E53" i="1"/>
  <c r="F53" i="1"/>
  <c r="G53" i="1"/>
  <c r="G91" i="1"/>
  <c r="F91" i="1"/>
  <c r="E91" i="1"/>
  <c r="E24" i="1"/>
  <c r="F24" i="1"/>
  <c r="G24" i="1"/>
  <c r="H62" i="1" l="1"/>
  <c r="H56" i="1"/>
  <c r="H53" i="1"/>
  <c r="H91" i="1"/>
  <c r="H24" i="1"/>
  <c r="G95" i="1"/>
  <c r="F95" i="1"/>
  <c r="E95" i="1"/>
  <c r="F30" i="1"/>
  <c r="G30" i="1"/>
  <c r="E30" i="1"/>
  <c r="G101" i="1"/>
  <c r="F101" i="1"/>
  <c r="E101" i="1"/>
  <c r="G70" i="1"/>
  <c r="G71" i="1"/>
  <c r="F71" i="1"/>
  <c r="E71" i="1"/>
  <c r="G33" i="1"/>
  <c r="F33" i="1"/>
  <c r="E33" i="1"/>
  <c r="G28" i="1"/>
  <c r="F28" i="1"/>
  <c r="E28" i="1"/>
  <c r="H95" i="1" l="1"/>
  <c r="H30" i="1"/>
  <c r="H101" i="1"/>
  <c r="H49" i="1"/>
  <c r="H71" i="1"/>
  <c r="H28" i="1"/>
  <c r="H33" i="1"/>
  <c r="K21" i="1"/>
  <c r="F29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3" i="1"/>
  <c r="F23" i="1"/>
  <c r="E23" i="1"/>
  <c r="G34" i="1"/>
  <c r="F34" i="1"/>
  <c r="E34" i="1"/>
  <c r="G35" i="1"/>
  <c r="F35" i="1"/>
  <c r="E35" i="1"/>
  <c r="G46" i="1"/>
  <c r="F46" i="1"/>
  <c r="E46" i="1"/>
  <c r="G20" i="1"/>
  <c r="F20" i="1"/>
  <c r="E20" i="1"/>
  <c r="G27" i="1"/>
  <c r="F27" i="1"/>
  <c r="E27" i="1"/>
  <c r="N6" i="1"/>
  <c r="M6" i="1"/>
  <c r="H68" i="1" l="1"/>
  <c r="H45" i="1"/>
  <c r="H65" i="1"/>
  <c r="H64" i="1"/>
  <c r="H66" i="1"/>
  <c r="H46" i="1"/>
  <c r="H50" i="1"/>
  <c r="H27" i="1"/>
  <c r="H42" i="1"/>
  <c r="H67" i="1"/>
  <c r="H47" i="1"/>
  <c r="H63" i="1"/>
  <c r="H97" i="1"/>
  <c r="H57" i="1"/>
  <c r="H31" i="1"/>
  <c r="H41" i="1"/>
  <c r="H43" i="1"/>
  <c r="H70" i="1"/>
  <c r="H52" i="1"/>
  <c r="H58" i="1"/>
  <c r="H59" i="1"/>
  <c r="H39" i="1"/>
  <c r="H54" i="1"/>
  <c r="H55" i="1"/>
  <c r="H48" i="1"/>
  <c r="H23" i="1"/>
  <c r="H51" i="1"/>
  <c r="H38" i="1"/>
  <c r="H32" i="1"/>
  <c r="H34" i="1"/>
  <c r="H35" i="1"/>
  <c r="H20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9" i="1" l="1"/>
  <c r="G21" i="1"/>
  <c r="F21" i="1"/>
  <c r="E21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9" i="1"/>
  <c r="H14" i="1"/>
  <c r="H37" i="1"/>
  <c r="H13" i="1"/>
  <c r="H12" i="1" l="1"/>
  <c r="H10" i="1" l="1"/>
  <c r="H9" i="1"/>
  <c r="H21" i="1" l="1"/>
  <c r="H6" i="1" l="1"/>
  <c r="S22" i="1"/>
  <c r="S7" i="1"/>
  <c r="N8" i="1" l="1"/>
  <c r="M8" i="1"/>
  <c r="K8" i="1"/>
  <c r="H8" i="1"/>
  <c r="H18" i="1"/>
  <c r="L4" i="1" l="1"/>
  <c r="K4" i="1"/>
  <c r="N7" i="1"/>
  <c r="M7" i="1"/>
  <c r="H22" i="1"/>
  <c r="H26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<sst xmlns="http://schemas.openxmlformats.org/spreadsheetml/2006/main" count="1559" uniqueCount="898">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</sst>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/>
    <xf numFmtId="0" fontId="22" fillId="0" borderId="0" xfId="0" applyFont="1"/>
    <xf numFmtId="0" fontId="8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5" fillId="0" borderId="0" xfId="0" applyFont="1"/>
    <xf numFmtId="14" fontId="5" fillId="0" borderId="0" xfId="0" applyNumberFormat="1" applyFont="1"/>
    <xf numFmtId="3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3" fontId="5" fillId="0" borderId="0" xfId="0" applyNumberFormat="1" applyFont="1"/>
    <xf numFmtId="0" fontId="5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right"/>
    </xf>
    <xf numFmtId="16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1553</v>
          </cell>
        </row>
        <row r="4">
          <cell r="K4">
            <v>162743.90016699999</v>
          </cell>
        </row>
        <row r="5">
          <cell r="K5">
            <v>12310</v>
          </cell>
        </row>
        <row r="6">
          <cell r="K6">
            <v>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205.28</v>
          </cell>
        </row>
        <row r="4">
          <cell r="K4">
            <v>82146.807482079996</v>
          </cell>
        </row>
        <row r="5">
          <cell r="K5">
            <v>289.01799999999997</v>
          </cell>
        </row>
        <row r="6">
          <cell r="K6">
            <v>2428.0729999999999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159.1</v>
          </cell>
        </row>
        <row r="4">
          <cell r="I4">
            <v>28044.802332200001</v>
          </cell>
        </row>
        <row r="5">
          <cell r="I5">
            <v>1159</v>
          </cell>
        </row>
        <row r="6">
          <cell r="I6">
            <v>3049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103.91</v>
          </cell>
        </row>
        <row r="4">
          <cell r="M4">
            <v>14174.802327570002</v>
          </cell>
        </row>
        <row r="5">
          <cell r="M5">
            <v>1602.5889999999999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389.9</v>
          </cell>
        </row>
        <row r="4">
          <cell r="H4">
            <v>23231.114986099998</v>
          </cell>
        </row>
        <row r="5">
          <cell r="H5">
            <v>1941.6</v>
          </cell>
        </row>
        <row r="6">
          <cell r="H6">
            <v>1308.0999999999999</v>
          </cell>
        </row>
      </sheetData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43.26</v>
          </cell>
        </row>
        <row r="5">
          <cell r="H5">
            <v>13283.367148799998</v>
          </cell>
        </row>
        <row r="6">
          <cell r="H6">
            <v>1020.558</v>
          </cell>
        </row>
        <row r="7">
          <cell r="H7">
            <v>1719.8150000000001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2992.7</v>
          </cell>
        </row>
        <row r="4">
          <cell r="I4">
            <v>1063867.3245347</v>
          </cell>
        </row>
        <row r="5">
          <cell r="I5">
            <v>262002</v>
          </cell>
        </row>
        <row r="6">
          <cell r="I6">
            <v>499890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358.03</v>
          </cell>
        </row>
        <row r="4">
          <cell r="I4">
            <v>22535.198014179998</v>
          </cell>
        </row>
        <row r="5">
          <cell r="I5">
            <v>747.35500000000002</v>
          </cell>
        </row>
        <row r="6">
          <cell r="I6">
            <v>1917.3630000000001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30.85</v>
          </cell>
        </row>
        <row r="5">
          <cell r="H5">
            <v>7784.7614990425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25.27</v>
          </cell>
        </row>
        <row r="4">
          <cell r="I4">
            <v>6292.23</v>
          </cell>
        </row>
        <row r="5">
          <cell r="I5">
            <v>1397.8</v>
          </cell>
        </row>
        <row r="6">
          <cell r="I6">
            <v>939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37.94</v>
          </cell>
        </row>
        <row r="4">
          <cell r="J4">
            <v>2618.4733759799997</v>
          </cell>
        </row>
        <row r="5">
          <cell r="J5">
            <v>231</v>
          </cell>
        </row>
        <row r="6">
          <cell r="J6">
            <v>179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5.53</v>
          </cell>
        </row>
        <row r="4">
          <cell r="I4">
            <v>1932.9868362000002</v>
          </cell>
        </row>
        <row r="5">
          <cell r="I5">
            <v>395.98099999999999</v>
          </cell>
        </row>
        <row r="6">
          <cell r="I6">
            <v>591.15800000000002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12.17</v>
          </cell>
        </row>
        <row r="4">
          <cell r="J4">
            <v>1184.3104429100001</v>
          </cell>
        </row>
        <row r="5">
          <cell r="J5">
            <v>206.9</v>
          </cell>
        </row>
        <row r="6">
          <cell r="J6">
            <v>436.3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165.3</v>
          </cell>
        </row>
        <row r="4">
          <cell r="I4">
            <v>75875.820202800009</v>
          </cell>
        </row>
        <row r="5">
          <cell r="I5">
            <v>1931</v>
          </cell>
        </row>
        <row r="6">
          <cell r="I6">
            <v>11409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75" sqref="J75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1779153.5618220663</v>
      </c>
      <c r="G4" s="17">
        <f>SUM(G6:G153)</f>
        <v>13460.508883800001</v>
      </c>
      <c r="H4" s="17">
        <f>SUM(H6:H153)</f>
        <v>1792614.0707058655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22542.042749538155</v>
      </c>
      <c r="G5" s="83">
        <f>AVERAGE(G6:G153)</f>
        <v>174.8118036857143</v>
      </c>
      <c r="H5" s="83">
        <f>AVERAGE(H6:H153)</f>
        <v>23280.702216959293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806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1553</v>
      </c>
      <c r="F7" s="17">
        <f>+[2]Main!$K$4*FX!C3</f>
        <v>169253.65617367998</v>
      </c>
      <c r="G7" s="17">
        <f>+([2]Main!$K$6-[2]Main!$K$5)*FX!C3</f>
        <v>-12797.2</v>
      </c>
      <c r="H7" s="17">
        <f>F7+G7</f>
        <v>156456.45617367997</v>
      </c>
      <c r="I7" s="25" t="s">
        <v>806</v>
      </c>
      <c r="J7" s="26">
        <v>46318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2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873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205.28</v>
      </c>
      <c r="F13" s="17">
        <f>+[8]Main!$K$4</f>
        <v>82146.807482079996</v>
      </c>
      <c r="G13" s="17">
        <f>+[8]Main!$K$6-[8]Main!$K$5</f>
        <v>2139.0549999999998</v>
      </c>
      <c r="H13" s="17">
        <f t="shared" si="1"/>
        <v>84285.862482079989</v>
      </c>
      <c r="I13" s="25" t="s">
        <v>826</v>
      </c>
      <c r="J13" s="26">
        <v>46288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874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110.86</v>
      </c>
      <c r="F15" s="17">
        <f>+[10]Main!$I$4</f>
        <v>12021.43191302</v>
      </c>
      <c r="G15" s="17">
        <f>+[10]Main!$I$6-[10]Main!$I$5</f>
        <v>-1514.729</v>
      </c>
      <c r="H15" s="17">
        <f>F15+G15</f>
        <v>10506.702913020001</v>
      </c>
      <c r="I15" s="25" t="s">
        <v>827</v>
      </c>
      <c r="J15" s="26">
        <v>46268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159.1</v>
      </c>
      <c r="F16" s="17">
        <f>+[11]Main!$I$4*FX!C3</f>
        <v>29166.594425488001</v>
      </c>
      <c r="G16" s="17">
        <f>+([11]Main!$I$6-[11]Main!$I$5)*FX!C3</f>
        <v>1965.6000000000001</v>
      </c>
      <c r="H16" s="17">
        <f>F16+G16</f>
        <v>31132.194425488</v>
      </c>
      <c r="I16" s="25" t="s">
        <v>827</v>
      </c>
      <c r="J16" s="26">
        <v>46324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250.5</v>
      </c>
      <c r="F17" s="17">
        <f>+[12]Main!$H$4*FX!C3</f>
        <v>31944.883201920002</v>
      </c>
      <c r="G17" s="17">
        <f>+([12]Main!$H$6-[12]Main!$H$5)*FX!C3</f>
        <v>3456.96</v>
      </c>
      <c r="H17" s="17">
        <f t="shared" si="1"/>
        <v>35401.843201920005</v>
      </c>
      <c r="I17" s="25" t="s">
        <v>806</v>
      </c>
      <c r="J17" s="26">
        <v>46316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26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103.91</v>
      </c>
      <c r="F19" s="17">
        <f>+[14]Main!$M$4</f>
        <v>14174.802327570002</v>
      </c>
      <c r="G19" s="17">
        <f>+[14]Main!$M$6-[14]Main!$M$5</f>
        <v>-1602.5889999999999</v>
      </c>
      <c r="H19" s="17">
        <f>F19+G19</f>
        <v>12572.213327570002</v>
      </c>
      <c r="I19" s="25" t="s">
        <v>874</v>
      </c>
      <c r="J19" s="26">
        <v>46317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310</v>
      </c>
      <c r="C20" s="3" t="s">
        <v>311</v>
      </c>
      <c r="D20" s="2" t="s">
        <v>21</v>
      </c>
      <c r="E20" s="24">
        <f>+[15]Main!$J$2</f>
        <v>134.28</v>
      </c>
      <c r="F20" s="17">
        <f>+[15]Main!$J$4</f>
        <v>27130.56419592</v>
      </c>
      <c r="G20" s="17">
        <f>+[15]Main!$J$6-[15]Main!$J$5</f>
        <v>1330.5779</v>
      </c>
      <c r="H20" s="17">
        <f>F20+G20</f>
        <v>28461.14209592</v>
      </c>
      <c r="I20" s="25" t="s">
        <v>818</v>
      </c>
      <c r="J20" s="26">
        <v>46247</v>
      </c>
      <c r="K20" s="24"/>
      <c r="L20" s="21"/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2000</v>
      </c>
      <c r="AE20" s="28" t="s">
        <v>401</v>
      </c>
      <c r="AF20" s="2"/>
    </row>
    <row r="21" spans="1:32">
      <c r="A21" s="15">
        <f t="shared" si="2"/>
        <v>16</v>
      </c>
      <c r="B21" s="23" t="s">
        <v>108</v>
      </c>
      <c r="C21" s="3" t="s">
        <v>110</v>
      </c>
      <c r="D21" s="3" t="s">
        <v>109</v>
      </c>
      <c r="E21" s="24">
        <f>+[16]Main!$I$2</f>
        <v>166.25</v>
      </c>
      <c r="F21" s="17">
        <f>+[16]Main!$I$4*FX!C4</f>
        <v>25232.110793750002</v>
      </c>
      <c r="G21" s="17">
        <f>+([16]Main!$I$6-[16]Main!$I$5)*FX!C4</f>
        <v>187.91</v>
      </c>
      <c r="H21" s="17">
        <f t="shared" si="1"/>
        <v>25420.020793750002</v>
      </c>
      <c r="I21" s="25" t="s">
        <v>806</v>
      </c>
      <c r="J21" s="26">
        <v>46289</v>
      </c>
      <c r="K21" s="17">
        <f>234478*FX!C4</f>
        <v>22275.41</v>
      </c>
      <c r="L21" s="21">
        <v>-0.01</v>
      </c>
      <c r="M21" s="17"/>
      <c r="N21" s="24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1947</v>
      </c>
      <c r="AE21" s="28" t="s">
        <v>116</v>
      </c>
      <c r="AF21" s="2"/>
    </row>
    <row r="22" spans="1:32">
      <c r="A22" s="15">
        <f t="shared" si="2"/>
        <v>17</v>
      </c>
      <c r="B22" s="23" t="s">
        <v>25</v>
      </c>
      <c r="C22" s="3" t="s">
        <v>451</v>
      </c>
      <c r="D22" s="2" t="s">
        <v>21</v>
      </c>
      <c r="E22" s="24">
        <f>+[17]Main!$H$2</f>
        <v>389.9</v>
      </c>
      <c r="F22" s="17">
        <f>+[17]Main!$H$4</f>
        <v>23231.114986099998</v>
      </c>
      <c r="G22" s="17">
        <f>+[17]Main!$H$6-[17]Main!$H$5</f>
        <v>-633.5</v>
      </c>
      <c r="H22" s="17">
        <f>F22+G22</f>
        <v>22597.614986099998</v>
      </c>
      <c r="I22" s="25" t="s">
        <v>874</v>
      </c>
      <c r="J22" s="26">
        <v>46331</v>
      </c>
      <c r="K22" s="17">
        <v>6631.4</v>
      </c>
      <c r="L22" s="21">
        <v>2.9000000000000001E-2</v>
      </c>
      <c r="M22" s="17">
        <v>756.4</v>
      </c>
      <c r="N22" s="17">
        <v>646.29999999999995</v>
      </c>
      <c r="O22" s="21">
        <v>0.64</v>
      </c>
      <c r="P22" s="21">
        <v>0.11</v>
      </c>
      <c r="Q22" s="22">
        <v>17.3</v>
      </c>
      <c r="R22" s="22"/>
      <c r="S22" s="22">
        <f>-11.2/100</f>
        <v>-0.11199999999999999</v>
      </c>
      <c r="T22" s="22"/>
      <c r="U22" s="22">
        <v>3.52</v>
      </c>
      <c r="V22" s="22">
        <v>1.51</v>
      </c>
      <c r="W22" s="27">
        <v>10.3</v>
      </c>
      <c r="X22" s="22">
        <v>0.75</v>
      </c>
      <c r="Y22" s="28">
        <v>0.21</v>
      </c>
      <c r="Z22" s="28">
        <v>0.14000000000000001</v>
      </c>
      <c r="AA22" s="28">
        <v>0.1</v>
      </c>
      <c r="AB22" s="17"/>
      <c r="AC22" s="17"/>
      <c r="AD22" s="5">
        <v>1967</v>
      </c>
      <c r="AE22" s="28" t="s">
        <v>97</v>
      </c>
      <c r="AF22" s="2"/>
    </row>
    <row r="23" spans="1:32">
      <c r="A23" s="15">
        <f t="shared" si="2"/>
        <v>18</v>
      </c>
      <c r="B23" s="23" t="s">
        <v>30</v>
      </c>
      <c r="C23" s="3" t="s">
        <v>382</v>
      </c>
      <c r="D23" s="2" t="s">
        <v>124</v>
      </c>
      <c r="E23" s="24">
        <f>+[18]Main!$I$2</f>
        <v>4496</v>
      </c>
      <c r="F23" s="17">
        <f>+[18]Main!$I$4*FX!C5</f>
        <v>20073.934380225597</v>
      </c>
      <c r="G23" s="17">
        <f>+([18]Main!$I$6-[18]Main!$I$5)*FX!C5</f>
        <v>-279.65070000000003</v>
      </c>
      <c r="H23" s="17">
        <f>F23+G23</f>
        <v>19794.283680225599</v>
      </c>
      <c r="I23" s="16" t="s">
        <v>827</v>
      </c>
      <c r="J23" s="26">
        <v>46247</v>
      </c>
      <c r="K23" s="17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1949</v>
      </c>
      <c r="AE23" s="28" t="s">
        <v>402</v>
      </c>
      <c r="AF23" s="2"/>
    </row>
    <row r="24" spans="1:32">
      <c r="A24" s="15">
        <f t="shared" si="2"/>
        <v>19</v>
      </c>
      <c r="B24" s="23" t="s">
        <v>135</v>
      </c>
      <c r="C24" s="3" t="s">
        <v>136</v>
      </c>
      <c r="D24" s="3" t="s">
        <v>165</v>
      </c>
      <c r="E24" s="24">
        <f>+[19]Main!$H$2</f>
        <v>43.26</v>
      </c>
      <c r="F24" s="17">
        <f>+[19]Main!$H$5*FX!C3</f>
        <v>13814.701834751999</v>
      </c>
      <c r="G24" s="17">
        <f>(+[19]Main!$H$7-[19]Main!$H$6)*FX!C3</f>
        <v>727.22728000000006</v>
      </c>
      <c r="H24" s="17">
        <f t="shared" si="1"/>
        <v>14541.929114751998</v>
      </c>
      <c r="I24" s="25" t="s">
        <v>806</v>
      </c>
      <c r="J24" s="26">
        <v>46317</v>
      </c>
      <c r="K24" s="24"/>
      <c r="L24" s="21"/>
      <c r="M24" s="17"/>
      <c r="N24" s="17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1913</v>
      </c>
      <c r="AE24" s="28" t="s">
        <v>114</v>
      </c>
      <c r="AF24" s="2"/>
    </row>
    <row r="25" spans="1:32">
      <c r="A25" s="15">
        <f t="shared" si="2"/>
        <v>20</v>
      </c>
      <c r="B25" s="23" t="s">
        <v>440</v>
      </c>
      <c r="C25" s="3" t="s">
        <v>441</v>
      </c>
      <c r="D25" s="2" t="s">
        <v>185</v>
      </c>
      <c r="E25" s="24">
        <f>+[20]Main!$I$2</f>
        <v>2992.7</v>
      </c>
      <c r="F25" s="17">
        <f>+[20]Main!$I$4*FX!C12</f>
        <v>11702.540569881699</v>
      </c>
      <c r="G25" s="17">
        <f>+([20]Main!$I$6-[20]Main!$I$5)*FX!C12</f>
        <v>2616.768</v>
      </c>
      <c r="H25" s="17">
        <f>+F25+G25</f>
        <v>14319.308569881699</v>
      </c>
      <c r="I25" s="16" t="s">
        <v>828</v>
      </c>
      <c r="J25" s="26"/>
      <c r="K25" s="24"/>
      <c r="L25" s="21"/>
      <c r="M25" s="24"/>
      <c r="N25" s="17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/>
      <c r="AE25" s="28"/>
      <c r="AF25" s="2"/>
    </row>
    <row r="26" spans="1:32">
      <c r="A26" s="15">
        <f t="shared" si="2"/>
        <v>21</v>
      </c>
      <c r="B26" s="23" t="s">
        <v>18</v>
      </c>
      <c r="C26" s="3" t="s">
        <v>448</v>
      </c>
      <c r="D26" s="2" t="s">
        <v>165</v>
      </c>
      <c r="E26" s="24">
        <f>+[21]Main!$H$2</f>
        <v>47.32</v>
      </c>
      <c r="F26" s="17">
        <f>+[21]Main!$H$4*FX!C3</f>
        <v>13313.188044374401</v>
      </c>
      <c r="G26" s="17">
        <f>+([21]Main!$H$6-[21]Main!$H$5)*FX!C3</f>
        <v>-376.31984</v>
      </c>
      <c r="H26" s="17">
        <f t="shared" si="1"/>
        <v>12936.868204374401</v>
      </c>
      <c r="I26" s="25" t="s">
        <v>806</v>
      </c>
      <c r="J26" s="26">
        <v>46316</v>
      </c>
      <c r="K26" s="24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1952</v>
      </c>
      <c r="AE26" s="28" t="s">
        <v>400</v>
      </c>
      <c r="AF26" s="2"/>
    </row>
    <row r="27" spans="1:32">
      <c r="A27" s="15">
        <f t="shared" si="2"/>
        <v>22</v>
      </c>
      <c r="B27" s="31" t="s">
        <v>306</v>
      </c>
      <c r="C27" s="3" t="s">
        <v>309</v>
      </c>
      <c r="D27" s="2" t="s">
        <v>21</v>
      </c>
      <c r="E27" s="24">
        <f>+[22]Main!$I$2</f>
        <v>358.03</v>
      </c>
      <c r="F27" s="17">
        <f>+[22]Main!$I$4</f>
        <v>22535.198014179998</v>
      </c>
      <c r="G27" s="17">
        <f>+[22]Main!$I$6-[22]Main!$I$5</f>
        <v>1170.008</v>
      </c>
      <c r="H27" s="17">
        <f>F27+G27</f>
        <v>23705.206014179999</v>
      </c>
      <c r="I27" s="25" t="s">
        <v>827</v>
      </c>
      <c r="J27" s="26">
        <v>46261</v>
      </c>
      <c r="K27" s="24"/>
      <c r="L27" s="21"/>
      <c r="M27" s="17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1972</v>
      </c>
      <c r="AE27" s="28" t="s">
        <v>118</v>
      </c>
      <c r="AF27" s="2"/>
    </row>
    <row r="28" spans="1:32">
      <c r="A28" s="15">
        <f t="shared" si="2"/>
        <v>23</v>
      </c>
      <c r="B28" s="31" t="s">
        <v>307</v>
      </c>
      <c r="C28" s="3" t="s">
        <v>308</v>
      </c>
      <c r="D28" s="2" t="s">
        <v>219</v>
      </c>
      <c r="E28" s="24">
        <f>+[23]Main!$I$2</f>
        <v>127.35</v>
      </c>
      <c r="F28" s="17">
        <f>+[23]Main!$I$4*FX!C8</f>
        <v>18491.7294</v>
      </c>
      <c r="G28" s="17">
        <f>+([23]Main!$I$6-[23]Main!$I$5)*FX!C8</f>
        <v>421.84800000000007</v>
      </c>
      <c r="H28" s="17">
        <f>F28+G28</f>
        <v>18913.577400000002</v>
      </c>
      <c r="I28" s="25" t="s">
        <v>149</v>
      </c>
      <c r="J28" s="26">
        <v>46107</v>
      </c>
      <c r="K28" s="24"/>
      <c r="L28" s="21"/>
      <c r="M28" s="24"/>
      <c r="N28" s="24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1864</v>
      </c>
      <c r="AE28" s="28" t="s">
        <v>118</v>
      </c>
      <c r="AF28" s="2"/>
    </row>
    <row r="29" spans="1:32">
      <c r="A29" s="15">
        <f t="shared" si="2"/>
        <v>24</v>
      </c>
      <c r="B29" s="23" t="s">
        <v>24</v>
      </c>
      <c r="C29" s="3" t="s">
        <v>23</v>
      </c>
      <c r="D29" s="2" t="s">
        <v>166</v>
      </c>
      <c r="E29" s="24">
        <f>+[24]Main!$H$2</f>
        <v>30.85</v>
      </c>
      <c r="F29" s="17">
        <f>+[24]Main!$H$5*FX!C7</f>
        <v>8718.9328789276005</v>
      </c>
      <c r="G29" s="17">
        <f>+([24]Main!$H$7-[24]Main!$H$6)*FX!C7</f>
        <v>-1077.8880000000001</v>
      </c>
      <c r="H29" s="17">
        <f>F29+G29</f>
        <v>7641.0448789276006</v>
      </c>
      <c r="I29" s="25" t="s">
        <v>806</v>
      </c>
      <c r="J29" s="26">
        <v>46337</v>
      </c>
      <c r="K29" s="24"/>
      <c r="L29" s="21"/>
      <c r="M29" s="17"/>
      <c r="N29" s="17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2010</v>
      </c>
      <c r="AE29" s="28" t="s">
        <v>115</v>
      </c>
      <c r="AF29" s="2"/>
    </row>
    <row r="30" spans="1:32">
      <c r="A30" s="15">
        <f t="shared" si="2"/>
        <v>25</v>
      </c>
      <c r="B30" s="23" t="s">
        <v>418</v>
      </c>
      <c r="C30" s="3" t="s">
        <v>419</v>
      </c>
      <c r="D30" s="2" t="s">
        <v>214</v>
      </c>
      <c r="E30" s="24">
        <f>+[25]Main!$J$2</f>
        <v>35.26</v>
      </c>
      <c r="F30" s="17">
        <f>+[25]Main!$J$4</f>
        <v>19918.456120539999</v>
      </c>
      <c r="G30" s="17">
        <f>+[25]Main!$J$6-[25]Main!$J$5</f>
        <v>-538.80000000000007</v>
      </c>
      <c r="H30" s="17">
        <f t="shared" si="1"/>
        <v>19379.656120539999</v>
      </c>
      <c r="I30" s="16" t="s">
        <v>827</v>
      </c>
      <c r="J30" s="26">
        <v>46252</v>
      </c>
      <c r="K30" s="24"/>
      <c r="L30" s="21"/>
      <c r="M30" s="24"/>
      <c r="N30" s="24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1950</v>
      </c>
      <c r="AE30" s="28" t="s">
        <v>430</v>
      </c>
      <c r="AF30" s="2"/>
    </row>
    <row r="31" spans="1:32">
      <c r="A31" s="15">
        <f t="shared" si="2"/>
        <v>26</v>
      </c>
      <c r="B31" s="23" t="s">
        <v>22</v>
      </c>
      <c r="C31" s="3" t="s">
        <v>449</v>
      </c>
      <c r="D31" s="2" t="s">
        <v>454</v>
      </c>
      <c r="E31" s="24">
        <f>+[26]Main!$J$2</f>
        <v>47.12</v>
      </c>
      <c r="F31" s="17">
        <f>+[26]Main!$J$5*FX!C9</f>
        <v>8726.4826075060482</v>
      </c>
      <c r="G31" s="17">
        <f>+([26]Main!$J$7-[26]Main!$J$6)*FX!C9</f>
        <v>-1503.0597399999999</v>
      </c>
      <c r="H31" s="17">
        <f t="shared" si="1"/>
        <v>7223.4228675060485</v>
      </c>
      <c r="I31" s="25" t="s">
        <v>149</v>
      </c>
      <c r="J31" s="26">
        <v>46260</v>
      </c>
      <c r="K31" s="24"/>
      <c r="L31" s="21"/>
      <c r="M31" s="17"/>
      <c r="N31" s="17"/>
      <c r="O31" s="21"/>
      <c r="P31" s="21"/>
      <c r="Q31" s="22"/>
      <c r="R31" s="22"/>
      <c r="S31" s="22"/>
      <c r="T31" s="22"/>
      <c r="U31" s="22"/>
      <c r="V31" s="22"/>
      <c r="W31" s="27"/>
      <c r="X31" s="22"/>
      <c r="Y31" s="28"/>
      <c r="Z31" s="28"/>
      <c r="AA31" s="28"/>
      <c r="AB31" s="17"/>
      <c r="AC31" s="17"/>
      <c r="AD31" s="5">
        <v>1991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2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25.27</v>
      </c>
      <c r="F33" s="17">
        <f>+[28]Main!$I$4*FX!C3</f>
        <v>6543.9191999999994</v>
      </c>
      <c r="G33" s="17">
        <f>+([28]Main!$I$6-[28]Main!$I$5)*FX!C3</f>
        <v>-477.15199999999999</v>
      </c>
      <c r="H33" s="17">
        <f>F33+G33</f>
        <v>6066.7671999999993</v>
      </c>
      <c r="I33" s="25" t="s">
        <v>806</v>
      </c>
      <c r="J33" s="26">
        <v>46329</v>
      </c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26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87.92</v>
      </c>
      <c r="F38" s="17">
        <f>+[33]Main!$J$4*FX!C3</f>
        <v>6217.1241536768002</v>
      </c>
      <c r="G38" s="17">
        <f>+([33]Main!$J$6-[33]Main!$J$5)*FX!C3</f>
        <v>227.71215999999995</v>
      </c>
      <c r="H38" s="17">
        <f>F38+G38</f>
        <v>6444.8363136768003</v>
      </c>
      <c r="I38" s="16" t="s">
        <v>806</v>
      </c>
      <c r="J38" s="26">
        <v>46310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6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121.86</v>
      </c>
      <c r="F44" s="17">
        <f>+[39]Main!$H$4</f>
        <v>5842.5868395000007</v>
      </c>
      <c r="G44" s="17">
        <f>+[39]Main!$H$6-[39]Main!$H$5</f>
        <v>1137.3819999999998</v>
      </c>
      <c r="H44" s="17">
        <f>F44+G44</f>
        <v>6979.9688395000003</v>
      </c>
      <c r="I44" s="16" t="s">
        <v>806</v>
      </c>
      <c r="J44" s="26">
        <v>46324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6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874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6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6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37.94</v>
      </c>
      <c r="F63" s="17">
        <f>+[57]Main!$J$4*FX!C3</f>
        <v>2723.2123110191997</v>
      </c>
      <c r="G63" s="17">
        <f>+([57]Main!$J$6-[57]Main!$J$5)*FX!C3</f>
        <v>-54.08</v>
      </c>
      <c r="H63" s="17">
        <f>+F63+G63</f>
        <v>2669.1323110191997</v>
      </c>
      <c r="I63" s="16" t="s">
        <v>806</v>
      </c>
      <c r="J63" s="26">
        <v>46329</v>
      </c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5.53</v>
      </c>
      <c r="F64" s="17">
        <f>+[58]Main!$I$4</f>
        <v>1932.9868362000002</v>
      </c>
      <c r="G64" s="17">
        <f>+[58]Main!$I$6-[58]Main!$I$5</f>
        <v>195.17700000000002</v>
      </c>
      <c r="H64" s="17">
        <f>+F64+G64</f>
        <v>2128.1638362000003</v>
      </c>
      <c r="I64" s="16" t="s">
        <v>874</v>
      </c>
      <c r="J64" s="26">
        <v>46331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6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897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si="2"/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6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ref="A73:A136" si="5">+A72+1</f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6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6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6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6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6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6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6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6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6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6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6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6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6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6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6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6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6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6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6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6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6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6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6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6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12.17</v>
      </c>
      <c r="F97" s="17">
        <f>+[72]Main!$J$4*FX!C13</f>
        <v>817.17420560790003</v>
      </c>
      <c r="G97" s="17">
        <f>+([72]Main!$J$6-[72]Main!$J$5)*FX!C13</f>
        <v>158.286</v>
      </c>
      <c r="H97" s="17">
        <f>+F97+G97</f>
        <v>975.46020560789998</v>
      </c>
      <c r="I97" s="16" t="s">
        <v>873</v>
      </c>
      <c r="J97" s="26">
        <v>46331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6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6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6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6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6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6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6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6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6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6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6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6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6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6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6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6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6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6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6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6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6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6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6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6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6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6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6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6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6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6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6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6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6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6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6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6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6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6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si="5"/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6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ref="A137:A181" si="6">+A136+1</f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6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6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6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6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6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6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6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6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6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6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6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6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6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6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6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6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6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6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6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6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6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6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6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6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6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6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6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6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6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6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6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6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6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6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6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6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6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6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6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6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6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6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6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6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conditionalFormatting sqref="J1:J1048576">
    <cfRule type="containsBlanks" priority="1" stopIfTrue="1">
      <formula>LEN(TRIM(J1))=0</formula>
    </cfRule>
  </conditionalFormatting>
  <conditionalFormatting sqref="J6:J181">
    <cfRule type="cellIs" dxfId="0" priority="2" operator="lessThan">
      <formula>TODAY()</formula>
    </cfRule>
  </conditionalFormatting>
  <hyperlinks>
    <hyperlink ref="B22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1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6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9" r:id="rId22" xr:uid="{A5F3C5DD-C50A-461E-A802-901C30FC4AED}"/>
    <hyperlink ref="B31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7" r:id="rId27" xr:uid="{2DD5D1C5-CFA9-4E46-8DE3-9BB27A9D2F4F}"/>
    <hyperlink ref="B20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3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8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30" r:id="rId63" xr:uid="{D9574424-1E4D-4274-B909-7AF308B1F5D0}"/>
    <hyperlink ref="B95" r:id="rId64" xr:uid="{3CB2341C-EF0A-41F5-A91F-BAD5318AEFE8}"/>
    <hyperlink ref="B24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5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2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5" sqref="J5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165.3</v>
      </c>
      <c r="F4" s="56">
        <f>+[81]Main!$I$4*FX!C3</f>
        <v>78910.853010912018</v>
      </c>
      <c r="G4" s="56">
        <f>+([81]Main!$I$6-[81]Main!$I$5)*FX!C3</f>
        <v>9857.1200000000008</v>
      </c>
      <c r="H4" s="56">
        <f>+F4+G4</f>
        <v>88767.973010912014</v>
      </c>
      <c r="I4" s="105" t="s">
        <v>806</v>
      </c>
      <c r="J4" s="60">
        <v>46315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4" t="s">
        <v>873</v>
      </c>
      <c r="J5" s="103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4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1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89" t="s">
        <v>8</v>
      </c>
      <c r="C4" s="89" t="s">
        <v>102</v>
      </c>
      <c r="D4" s="89" t="s">
        <v>20</v>
      </c>
      <c r="E4" s="45"/>
      <c r="F4" s="45"/>
      <c r="G4" s="45"/>
      <c r="H4" s="45"/>
      <c r="I4" s="45"/>
      <c r="J4" s="45"/>
      <c r="K4" s="89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89" t="s">
        <v>9</v>
      </c>
      <c r="C5" s="89" t="s">
        <v>830</v>
      </c>
      <c r="D5" s="89" t="s">
        <v>20</v>
      </c>
      <c r="E5" s="45"/>
      <c r="F5" s="45"/>
      <c r="G5" s="45"/>
      <c r="H5" s="45"/>
      <c r="I5" s="45"/>
      <c r="J5" s="45"/>
      <c r="K5" s="89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89" t="s">
        <v>829</v>
      </c>
      <c r="C6" s="89" t="s">
        <v>139</v>
      </c>
      <c r="D6" s="89" t="s">
        <v>20</v>
      </c>
      <c r="E6" s="45"/>
      <c r="F6" s="45"/>
      <c r="G6" s="45"/>
      <c r="H6" s="45"/>
      <c r="I6" s="45"/>
      <c r="J6" s="45"/>
      <c r="K6" s="89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89" t="s">
        <v>83</v>
      </c>
      <c r="C7" s="89" t="s">
        <v>84</v>
      </c>
      <c r="D7" s="89" t="s">
        <v>85</v>
      </c>
      <c r="E7" s="45"/>
      <c r="F7" s="45"/>
      <c r="G7" s="45"/>
      <c r="H7" s="45"/>
      <c r="I7" s="45"/>
      <c r="J7" s="45"/>
      <c r="K7" s="89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89" t="s">
        <v>98</v>
      </c>
      <c r="C8" s="89" t="s">
        <v>101</v>
      </c>
      <c r="D8" s="89" t="s">
        <v>20</v>
      </c>
      <c r="E8" s="45"/>
      <c r="F8" s="45"/>
      <c r="G8" s="45"/>
      <c r="H8" s="45"/>
      <c r="I8" s="45"/>
      <c r="J8" s="45"/>
      <c r="K8" s="89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89" t="s">
        <v>140</v>
      </c>
      <c r="C9" s="89" t="s">
        <v>141</v>
      </c>
      <c r="D9" s="89" t="s">
        <v>185</v>
      </c>
      <c r="E9" s="45"/>
      <c r="F9" s="45"/>
      <c r="G9" s="45"/>
      <c r="H9" s="45"/>
      <c r="I9" s="45"/>
      <c r="J9" s="45"/>
      <c r="K9" s="89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89" t="s">
        <v>7</v>
      </c>
      <c r="C10" s="89" t="s">
        <v>446</v>
      </c>
      <c r="D10" s="89" t="s">
        <v>20</v>
      </c>
      <c r="E10" s="45"/>
      <c r="F10" s="45"/>
      <c r="G10" s="45"/>
      <c r="H10" s="45"/>
      <c r="I10" s="45"/>
      <c r="J10" s="45"/>
      <c r="K10" s="89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89" t="s">
        <v>18</v>
      </c>
      <c r="C11" s="89" t="s">
        <v>448</v>
      </c>
      <c r="D11" s="89" t="s">
        <v>165</v>
      </c>
      <c r="E11" s="45"/>
      <c r="F11" s="45"/>
      <c r="G11" s="45"/>
      <c r="H11" s="45"/>
      <c r="I11" s="45"/>
      <c r="J11" s="45"/>
      <c r="K11" s="89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89" t="s">
        <v>339</v>
      </c>
      <c r="C12" s="89" t="s">
        <v>340</v>
      </c>
      <c r="D12" s="89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89" t="s">
        <v>135</v>
      </c>
      <c r="C13" s="89" t="s">
        <v>136</v>
      </c>
      <c r="D13" s="89" t="s">
        <v>165</v>
      </c>
      <c r="E13" s="45"/>
      <c r="F13" s="45"/>
      <c r="G13" s="45"/>
      <c r="H13" s="45"/>
      <c r="I13" s="45"/>
      <c r="J13" s="45"/>
      <c r="K13" s="89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89" t="s">
        <v>387</v>
      </c>
      <c r="C14" s="89" t="s">
        <v>386</v>
      </c>
      <c r="D14" s="89" t="s">
        <v>165</v>
      </c>
      <c r="E14" s="45"/>
      <c r="F14" s="45"/>
      <c r="G14" s="45"/>
      <c r="H14" s="45"/>
      <c r="I14" s="45"/>
      <c r="J14" s="45"/>
      <c r="K14" s="89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89" t="s">
        <v>831</v>
      </c>
      <c r="C15" s="89" t="s">
        <v>832</v>
      </c>
      <c r="D15" s="89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89" t="s">
        <v>833</v>
      </c>
      <c r="C16" s="89" t="s">
        <v>455</v>
      </c>
      <c r="D16" s="89" t="s">
        <v>219</v>
      </c>
      <c r="E16" s="45"/>
      <c r="F16" s="45"/>
      <c r="G16" s="45"/>
      <c r="H16" s="45"/>
      <c r="I16" s="45"/>
      <c r="J16" s="45"/>
      <c r="K16" s="89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89" t="s">
        <v>834</v>
      </c>
      <c r="C17" s="89" t="s">
        <v>349</v>
      </c>
      <c r="D17" s="89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89" t="s">
        <v>835</v>
      </c>
      <c r="C18" s="89" t="s">
        <v>46</v>
      </c>
      <c r="D18" s="89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89" t="s">
        <v>342</v>
      </c>
      <c r="C19" s="89" t="s">
        <v>341</v>
      </c>
      <c r="D19" s="89" t="s">
        <v>21</v>
      </c>
      <c r="E19" s="45"/>
      <c r="F19" s="45"/>
      <c r="G19" s="45"/>
      <c r="H19" s="45"/>
      <c r="I19" s="45"/>
      <c r="J19" s="45"/>
      <c r="K19" s="89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89" t="s">
        <v>836</v>
      </c>
      <c r="C20" s="89" t="s">
        <v>837</v>
      </c>
      <c r="D20" s="89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89" t="s">
        <v>350</v>
      </c>
      <c r="C21" s="89" t="s">
        <v>351</v>
      </c>
      <c r="D21" s="89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89" t="s">
        <v>532</v>
      </c>
      <c r="C22" s="89" t="s">
        <v>839</v>
      </c>
      <c r="D22" s="89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89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89" t="s">
        <v>840</v>
      </c>
      <c r="C24" s="89" t="s">
        <v>357</v>
      </c>
      <c r="D24" s="89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89" t="s">
        <v>370</v>
      </c>
      <c r="C25" s="89" t="s">
        <v>378</v>
      </c>
      <c r="D25" s="89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89" t="s">
        <v>847</v>
      </c>
      <c r="C26" s="89" t="s">
        <v>699</v>
      </c>
      <c r="D26" s="89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1" t="s">
        <v>875</v>
      </c>
      <c r="C14" s="101" t="s">
        <v>876</v>
      </c>
    </row>
    <row r="15" spans="2:11">
      <c r="B15" s="101" t="s">
        <v>877</v>
      </c>
      <c r="C15" s="101" t="s">
        <v>878</v>
      </c>
    </row>
    <row r="16" spans="2:11">
      <c r="B16" s="101" t="s">
        <v>879</v>
      </c>
      <c r="C16" s="101" t="s">
        <v>880</v>
      </c>
    </row>
    <row r="17" spans="2:3">
      <c r="B17" s="101" t="s">
        <v>881</v>
      </c>
      <c r="C17" s="101" t="s">
        <v>882</v>
      </c>
    </row>
    <row r="18" spans="2:3">
      <c r="B18" s="101" t="s">
        <v>116</v>
      </c>
      <c r="C18" s="101" t="s">
        <v>883</v>
      </c>
    </row>
    <row r="19" spans="2:3">
      <c r="B19" s="101" t="s">
        <v>884</v>
      </c>
      <c r="C19" s="101" t="s">
        <v>885</v>
      </c>
    </row>
    <row r="20" spans="2:3">
      <c r="B20" s="101" t="s">
        <v>886</v>
      </c>
      <c r="C20" s="101" t="s">
        <v>887</v>
      </c>
    </row>
    <row r="21" spans="2:3">
      <c r="B21" s="101" t="s">
        <v>888</v>
      </c>
      <c r="C21" s="101" t="s">
        <v>889</v>
      </c>
    </row>
    <row r="22" spans="2:3">
      <c r="B22" s="101" t="s">
        <v>890</v>
      </c>
      <c r="C22" s="101" t="s">
        <v>891</v>
      </c>
    </row>
    <row r="23" spans="2:3">
      <c r="B23" s="101" t="s">
        <v>892</v>
      </c>
      <c r="C23" s="101" t="s">
        <v>893</v>
      </c>
    </row>
    <row r="24" spans="2:3">
      <c r="B24" s="101" t="s">
        <v>894</v>
      </c>
      <c r="C24" s="101" t="s">
        <v>895</v>
      </c>
    </row>
    <row r="26" spans="2:3">
      <c r="B26" s="44" t="s">
        <v>896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5" bestFit="1" customWidth="1"/>
    <col min="2" max="3" width="19.85546875" style="95" customWidth="1"/>
    <col min="4" max="4" width="15.28515625" style="95" bestFit="1" customWidth="1"/>
    <col min="5" max="5" width="11.28515625" style="95" bestFit="1" customWidth="1"/>
    <col min="6" max="7" width="9.28515625" style="95" bestFit="1" customWidth="1"/>
    <col min="8" max="16384" width="9.140625" style="95"/>
  </cols>
  <sheetData>
    <row r="1" spans="1:8">
      <c r="A1" s="44" t="s">
        <v>459</v>
      </c>
    </row>
    <row r="2" spans="1:8">
      <c r="B2" s="74" t="s">
        <v>2</v>
      </c>
      <c r="C2" s="74" t="s">
        <v>871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5" t="s">
        <v>719</v>
      </c>
      <c r="C3" s="44" t="s">
        <v>720</v>
      </c>
      <c r="D3" s="95" t="s">
        <v>728</v>
      </c>
      <c r="E3" s="96">
        <v>45757</v>
      </c>
      <c r="F3" s="97" t="s">
        <v>474</v>
      </c>
      <c r="G3" s="97">
        <v>1250</v>
      </c>
    </row>
    <row r="4" spans="1:8">
      <c r="B4" s="95" t="s">
        <v>692</v>
      </c>
      <c r="C4" s="44" t="s">
        <v>692</v>
      </c>
      <c r="D4" s="95" t="s">
        <v>726</v>
      </c>
      <c r="E4" s="96">
        <v>45782</v>
      </c>
      <c r="F4" s="98" t="s">
        <v>727</v>
      </c>
      <c r="G4" s="99">
        <v>9420</v>
      </c>
      <c r="H4" s="95" t="s">
        <v>800</v>
      </c>
    </row>
    <row r="5" spans="1:8">
      <c r="B5" s="95" t="s">
        <v>128</v>
      </c>
      <c r="C5" s="95" t="s">
        <v>128</v>
      </c>
      <c r="D5" s="95" t="s">
        <v>729</v>
      </c>
      <c r="E5" s="96">
        <v>45637</v>
      </c>
      <c r="F5" s="97" t="s">
        <v>474</v>
      </c>
      <c r="G5" s="99">
        <v>1100</v>
      </c>
    </row>
    <row r="6" spans="1:8">
      <c r="B6" s="95" t="s">
        <v>730</v>
      </c>
      <c r="C6" s="95" t="s">
        <v>730</v>
      </c>
      <c r="D6" s="95" t="s">
        <v>731</v>
      </c>
    </row>
    <row r="7" spans="1:8">
      <c r="B7" s="95" t="s">
        <v>191</v>
      </c>
      <c r="C7" s="44" t="s">
        <v>191</v>
      </c>
      <c r="D7" s="95" t="s">
        <v>680</v>
      </c>
      <c r="E7" s="96">
        <v>45889</v>
      </c>
      <c r="F7" s="95">
        <v>16.75</v>
      </c>
      <c r="G7" s="95" t="s">
        <v>798</v>
      </c>
      <c r="H7" s="95" t="s">
        <v>797</v>
      </c>
    </row>
    <row r="8" spans="1:8">
      <c r="B8" s="95" t="s">
        <v>420</v>
      </c>
      <c r="C8" s="100" t="s">
        <v>476</v>
      </c>
      <c r="D8" s="95" t="s">
        <v>803</v>
      </c>
      <c r="E8" s="96">
        <v>45322</v>
      </c>
      <c r="G8" s="95">
        <v>500</v>
      </c>
      <c r="H8" s="95" t="s">
        <v>804</v>
      </c>
    </row>
    <row r="9" spans="1:8">
      <c r="B9" s="95" t="s">
        <v>807</v>
      </c>
      <c r="C9" s="95" t="s">
        <v>808</v>
      </c>
      <c r="D9" s="95" t="s">
        <v>689</v>
      </c>
      <c r="E9" s="96">
        <v>45808</v>
      </c>
      <c r="G9" s="95">
        <v>290</v>
      </c>
    </row>
    <row r="10" spans="1:8">
      <c r="B10" s="95" t="s">
        <v>865</v>
      </c>
      <c r="C10" s="95" t="s">
        <v>865</v>
      </c>
      <c r="D10" s="95" t="s">
        <v>864</v>
      </c>
      <c r="E10" s="96">
        <v>46112</v>
      </c>
      <c r="F10" s="98" t="s">
        <v>474</v>
      </c>
      <c r="G10" s="95">
        <v>39</v>
      </c>
    </row>
    <row r="11" spans="1:8">
      <c r="B11" s="95" t="s">
        <v>867</v>
      </c>
      <c r="C11" s="95" t="s">
        <v>8</v>
      </c>
      <c r="D11" s="95" t="s">
        <v>868</v>
      </c>
      <c r="E11" s="96">
        <v>46156</v>
      </c>
      <c r="F11" s="98" t="s">
        <v>474</v>
      </c>
      <c r="G11" s="95">
        <v>850</v>
      </c>
    </row>
    <row r="12" spans="1:8">
      <c r="B12" s="95" t="s">
        <v>870</v>
      </c>
      <c r="C12" s="95" t="s">
        <v>872</v>
      </c>
      <c r="D12" s="95" t="s">
        <v>869</v>
      </c>
      <c r="E12" s="96">
        <v>46160</v>
      </c>
      <c r="F12" s="98" t="s">
        <v>474</v>
      </c>
      <c r="G12" s="95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89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89" t="s">
        <v>9</v>
      </c>
      <c r="C29" s="89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0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2" t="s">
        <v>863</v>
      </c>
      <c r="C15" s="93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89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2026-08-12T15:15:41Z</dcterms:modified>
  <cp:category/>
  <cp:contentStatus/>
</cp:coreProperties>
</file>