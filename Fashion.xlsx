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AC7431F-C1A0-4796-90A1-44AC4FF39944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F36" i="1"/>
  <c r="E36" i="1"/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<sst xmlns="http://schemas.openxmlformats.org/spreadsheetml/2006/main" count="1390" uniqueCount="820">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</sst>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101.55</v>
          </cell>
        </row>
        <row r="4">
          <cell r="I4">
            <v>12799.768199999999</v>
          </cell>
        </row>
        <row r="5">
          <cell r="I5">
            <v>153.6</v>
          </cell>
        </row>
        <row r="6">
          <cell r="I6">
            <v>863.5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96.16</v>
          </cell>
        </row>
        <row r="4">
          <cell r="J4">
            <v>6538.271884159999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8" sqref="J8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1759853.443716676</v>
      </c>
      <c r="G4" s="19">
        <f>+SUM(G6:G153)</f>
        <v>19264.013885200009</v>
      </c>
      <c r="H4" s="19">
        <f>SUM(H6:H153)</f>
        <v>1779117.4576018767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22855.239528787999</v>
      </c>
      <c r="G5" s="19">
        <f>AVERAGE(G6:G153)</f>
        <v>250.18199850909102</v>
      </c>
      <c r="H5" s="19">
        <f>AVERAGE(H6:H153)</f>
        <v>23105.421527297101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167.35</v>
      </c>
      <c r="F15" s="19">
        <f>+[10]Main!$I$4</f>
        <v>18988.883522699998</v>
      </c>
      <c r="G15" s="19">
        <f>+[10]Main!$I$6-[10]Main!$I$5</f>
        <v>-1155.7940000000001</v>
      </c>
      <c r="H15" s="19">
        <f>F15+G15</f>
        <v>17833.089522699996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101.55</v>
      </c>
      <c r="F27" s="19">
        <f>+[22]Main!$I$4*FX!C8</f>
        <v>15871.712567999999</v>
      </c>
      <c r="G27" s="19">
        <f>+([22]Main!$I$6-[22]Main!$I$5)*FX!C8</f>
        <v>880.27599999999995</v>
      </c>
      <c r="H27" s="19">
        <f>F27+G27</f>
        <v>16751.988568000001</v>
      </c>
      <c r="I27" s="27" t="s">
        <v>148</v>
      </c>
      <c r="J27" s="28">
        <v>45736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28">
        <v>45771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96.16</v>
      </c>
      <c r="F38" s="19">
        <f>+[33]Main!$J$4*FX!C3</f>
        <v>6799.8027595263993</v>
      </c>
      <c r="G38" s="19">
        <f>+([33]Main!$J$6-[33]Main!$J$5)*FX!C3</f>
        <v>-246.27304000000004</v>
      </c>
      <c r="H38" s="19">
        <f>F38+G38</f>
        <v>6553.5297195263993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16460</v>
      </c>
      <c r="F41" s="19">
        <f>+[36]Main!$I$4*FX!C11</f>
        <v>7636.9873500000003</v>
      </c>
      <c r="G41" s="19">
        <f>+([36]Main!$I$6-[36]Main!$I$5)*FX!C11</f>
        <v>-133.5</v>
      </c>
      <c r="H41" s="19">
        <f>+F41+G41</f>
        <v>7503.4873500000003</v>
      </c>
      <c r="I41" s="18" t="s">
        <v>337</v>
      </c>
      <c r="J41" s="3"/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12.38</v>
      </c>
      <c r="F101" s="19">
        <f>+[75]Main!$I$4</f>
        <v>637.03569158000005</v>
      </c>
      <c r="G101" s="19">
        <f>+[75]Main!$I$6-[75]Main!$I$5</f>
        <v>480.84800000000001</v>
      </c>
      <c r="H101" s="19">
        <f>+F101+G101</f>
        <v>1117.88369158</v>
      </c>
      <c r="I101" s="18" t="s">
        <v>337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14.08</v>
      </c>
      <c r="F155" s="19">
        <f>+[79]Main!$J$4</f>
        <v>1131.6316492799999</v>
      </c>
      <c r="G155" s="19">
        <f>+[79]Main!$J$6-[79]Main!$J$5</f>
        <v>495.9</v>
      </c>
      <c r="H155" s="19">
        <f>+F155+G155</f>
        <v>1627.5316492799998</v>
      </c>
      <c r="I155" s="18" t="s">
        <v>338</v>
      </c>
      <c r="J155" s="3"/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B5" sqref="B5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2025-09-12T11:42:25Z</dcterms:modified>
  <cp:category/>
  <cp:contentStatus/>
</cp:coreProperties>
</file>