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12A100C5-FBB5-47A3-8935-BB5110C298CF}" xr6:coauthVersionLast="47" xr6:coauthVersionMax="47" xr10:uidLastSave="{00000000-0000-0000-0000-000000000000}"/>
  <bookViews>
    <workbookView xWindow="-120" yWindow="-120" windowWidth="38640" windowHeight="2106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Market" sheetId="11" r:id="rId11"/>
    <sheet name="Private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<sst xmlns="http://schemas.openxmlformats.org/spreadsheetml/2006/main" count="1395" uniqueCount="825">
  <si>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</si>
  <si>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</si>
  <si>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</si>
  <si>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</si>
  <si>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</si>
  <si>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</si>
  <si>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</si>
  <si>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</si>
  <si>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</si>
  <si>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</si>
  <si>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</si>
  <si>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</si>
  <si>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</si>
  <si>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</si>
  <si>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</si>
  <si>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</si>
  <si>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</si>
  <si>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</si>
  <si>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</si>
  <si>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</si>
  <si>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</si>
  <si>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</si>
  <si>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</si>
  <si>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</si>
  <si>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</si>
  <si>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</si>
  <si>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</si>
  <si>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</si>
  <si>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</si>
  <si>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</si>
  <si>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</si>
  <si>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</si>
  <si>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</si>
  <si>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</si>
  <si>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</si>
  <si>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</si>
  <si>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</si>
  <si>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</si>
  <si>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</si>
  <si>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</si>
  <si>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</si>
  <si>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</si>
  <si>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</si>
  <si>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</si>
  <si>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</si>
  <si>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</si>
  <si>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</si>
  <si>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</si>
  <si>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</si>
  <si>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</si>
  <si>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</si>
  <si>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</si>
  <si>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</si>
  <si>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</si>
  <si>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</si>
  <si>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</si>
  <si>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</si>
  <si>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</si>
  <si>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</si>
  <si>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</si>
  <si>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</si>
  <si>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</si>
  <si>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</si>
  <si>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</si>
  <si>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</si>
  <si>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</si>
  <si>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</si>
  <si>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</si>
  <si>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</si>
  <si>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</si>
  <si>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</si>
  <si>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</si>
  <si>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</si>
  <si>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</si>
  <si>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</si>
  <si>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</si>
  <si>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</si>
  <si>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</si>
  <si>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</si>
  <si>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</si>
  <si>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</si>
  <si>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</si>
  <si>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</si>
  <si>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</si>
  <si>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</si>
  <si>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</si>
  <si>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</si>
  <si>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</si>
  <si>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</si>
  <si>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</si>
  <si>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</si>
  <si>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</si>
  <si>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</si>
  <si>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</si>
  <si>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</si>
  <si>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</si>
  <si>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</si>
  <si>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</si>
  <si>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</si>
  <si>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</si>
  <si>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</si>
  <si>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</si>
  <si>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</si>
  <si>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</si>
  <si>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</si>
  <si>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</si>
  <si>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</si>
  <si>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</si>
  <si>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</si>
  <si>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</si>
  <si>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</si>
  <si>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</si>
  <si>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</si>
  <si>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</si>
  <si>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</si>
  <si>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</si>
  <si>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</si>
  <si>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</si>
  <si>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</si>
  <si>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</si>
  <si>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</si>
  <si>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</si>
  <si>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</si>
  <si>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</si>
  <si>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</si>
  <si>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</si>
  <si>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</si>
  <si>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</si>
  <si>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</si>
  <si>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</si>
  <si>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</si>
  <si>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</si>
  <si>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</si>
  <si>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</si>
  <si>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</si>
  <si>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</si>
  <si>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</si>
  <si>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</si>
  <si>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</si>
  <si>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</si>
  <si>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</si>
  <si>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</si>
  <si>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</si>
  <si>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</si>
  <si>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</si>
  <si>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</si>
  <si>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</si>
  <si>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</si>
  <si>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</si>
  <si>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</si>
  <si>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</si>
  <si>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</si>
  <si>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</si>
  <si>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</si>
  <si>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</si>
  <si>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</si>
  <si>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</si>
  <si>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</si>
  <si>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</si>
  <si>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</si>
  <si>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</si>
  <si>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</si>
  <si>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</si>
  <si>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</si>
  <si>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</si>
  <si>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</si>
  <si>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</si>
  <si>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</si>
  <si>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</si>
  <si>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</si>
  <si>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</si>
  <si>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</si>
  <si>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</si>
  <si>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</si>
  <si>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</si>
  <si>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</si>
  <si>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</si>
  <si>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</si>
  <si>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</si>
  <si>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</si>
  <si>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</si>
  <si>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</si>
  <si>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</si>
  <si>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</si>
  <si>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</si>
  <si>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</si>
  <si>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</si>
  <si>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</si>
  <si>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</si>
  <si>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</si>
  <si>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</si>
  <si>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</si>
  <si>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</si>
  <si>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</si>
  <si>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</si>
  <si>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</si>
  <si>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</si>
  <si>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</si>
  <si>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</si>
  <si>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</si>
  <si>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</si>
  <si>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</si>
  <si>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</si>
  <si>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</si>
  <si>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</si>
  <si>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</si>
  <si>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</si>
  <si>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</si>
  <si>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</si>
  <si>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</si>
  <si>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</si>
  <si>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</si>
  <si>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</si>
  <si>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</si>
  <si>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</si>
  <si>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</si>
  <si>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</si>
  <si>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</si>
  <si>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</si>
  <si>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</si>
  <si>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</si>
  <si>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</si>
  <si>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</si>
  <si>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</si>
  <si>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</si>
  <si>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</si>
  <si>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</si>
  <si>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</si>
  <si>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</si>
  <si>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</si>
  <si>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</si>
  <si>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</si>
  <si>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</si>
  <si>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</si>
  <si>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</si>
  <si>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</si>
  <si>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</si>
  <si>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</si>
  <si>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</si>
  <si>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</si>
  <si>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</si>
  <si>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</si>
  <si>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</si>
  <si>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</si>
  <si>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</si>
  <si>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</si>
  <si>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</si>
  <si>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</si>
  <si>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</si>
  <si>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</si>
  <si>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</si>
  <si>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</si>
  <si>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</si>
  <si>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</si>
  <si>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</si>
  <si>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</si>
  <si>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</si>
  <si>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</si>
  <si>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</si>
  <si>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</si>
  <si>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</si>
  <si>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</si>
  <si>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</si>
  <si>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</si>
  <si>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</si>
  <si>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</si>
  <si>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</si>
  <si>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</si>
  <si>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</si>
  <si>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</si>
  <si>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</si>
  <si>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</si>
  <si>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</si>
  <si>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</si>
  <si>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</si>
  <si>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</si>
  <si>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</si>
  <si>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</si>
  <si>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</si>
  <si>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</si>
  <si>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</si>
  <si>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</si>
  <si>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</si>
  <si>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</si>
  <si>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</si>
  <si>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</si>
  <si>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</si>
  <si>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</si>
  <si>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</si>
  <si>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</si>
  <si>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</si>
  <si>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</si>
  <si>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</si>
  <si>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</si>
  <si>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</si>
  <si>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</si>
  <si>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</si>
  <si>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</si>
  <si>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</si>
  <si>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</si>
  <si>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</si>
  <si>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</si>
  <si>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</si>
  <si>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</si>
  <si>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</si>
  <si>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</si>
  <si>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</si>
  <si>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</si>
  <si>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</si>
  <si>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</si>
  <si>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</si>
  <si>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</si>
  <si>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</si>
  <si>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</si>
  <si>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</si>
  <si>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</si>
  <si>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</si>
  <si>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</si>
  <si>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</si>
  <si>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</si>
  <si>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</si>
  <si>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</si>
  <si>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</si>
  <si>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</si>
  <si>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</si>
  <si>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</si>
  <si>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</si>
  <si>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</si>
  <si>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</si>
  <si>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</si>
  <si>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</si>
  <si>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</si>
  <si>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</si>
  <si>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</si>
  <si>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</si>
  <si>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</si>
  <si>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</si>
  <si>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</si>
  <si>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</si>
  <si>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</si>
  <si>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</si>
  <si>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</si>
  <si>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</si>
  <si>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</si>
  <si>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</si>
  <si>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</si>
  <si>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</si>
  <si>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</si>
  <si>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</si>
  <si>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</si>
  <si>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</si>
  <si>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</si>
  <si>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</si>
  <si>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</si>
  <si>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</si>
  <si>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</si>
  <si>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</si>
  <si>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</si>
  <si>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</si>
  <si>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</si>
  <si>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</si>
  <si>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</si>
  <si>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</si>
  <si>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</si>
  <si>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</si>
  <si>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</si>
  <si>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</si>
  <si>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</si>
  <si>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</si>
  <si>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</si>
  <si>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</si>
  <si>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</si>
  <si>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</si>
  <si>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</si>
  <si>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</si>
  <si>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</si>
  <si>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</si>
  <si>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</si>
  <si>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</si>
  <si>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</si>
  <si>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</si>
  <si>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</si>
  <si>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</si>
  <si>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</si>
  <si>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</si>
  <si>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</si>
  <si>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</si>
  <si>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</si>
  <si>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</si>
  <si>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</si>
  <si>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</si>
  <si>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</si>
  <si>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</si>
  <si>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</si>
  <si>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</si>
  <si>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</si>
  <si>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</si>
  <si>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</si>
  <si>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</si>
  <si>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</si>
  <si>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</si>
  <si>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</si>
  <si>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</si>
  <si>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</si>
  <si>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</si>
  <si>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</si>
  <si>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</si>
  <si>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</si>
  <si>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</si>
  <si>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</si>
  <si>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</si>
  <si>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</si>
  <si>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</si>
  <si>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</si>
  <si>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</si>
  <si>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</si>
  <si>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</si>
  <si>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</si>
  <si>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</si>
  <si>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</si>
  <si>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</si>
  <si>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</si>
  <si>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</si>
  <si>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</si>
  <si>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</si>
  <si>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</si>
  <si>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</si>
  <si>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</si>
  <si>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</si>
  <si>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</si>
  <si>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</si>
  <si>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</si>
  <si>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</si>
  <si>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</si>
  <si>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</si>
  <si>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</si>
  <si>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</si>
  <si>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</si>
  <si>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</si>
  <si>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</si>
  <si>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</si>
  <si>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</si>
  <si>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</si>
  <si>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</si>
  <si>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</si>
  <si>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</si>
  <si>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</si>
  <si>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</si>
  <si>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</si>
  <si>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</si>
  <si>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</si>
  <si>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</si>
  <si>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</si>
  <si>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</si>
  <si>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</si>
  <si>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</si>
  <si>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</si>
  <si>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</si>
  <si>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</si>
  <si>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</si>
  <si>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</si>
  <si>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</si>
  <si>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</si>
  <si>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</si>
  <si>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</si>
  <si>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</si>
  <si>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</si>
  <si>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</si>
  <si>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</si>
  <si>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</si>
  <si>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</si>
  <si>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</si>
  <si>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</si>
  <si>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</si>
  <si>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</si>
  <si>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</si>
  <si>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</si>
  <si>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</si>
  <si>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</si>
  <si>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</si>
  <si>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</si>
  <si>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</si>
  <si>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</si>
  <si>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</si>
  <si>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</si>
  <si>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</si>
  <si>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</si>
  <si>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</si>
  <si>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</si>
  <si>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</si>
  <si>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</si>
  <si>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</si>
  <si>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</si>
  <si>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</si>
  <si>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</si>
  <si>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</si>
  <si>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</si>
  <si>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</si>
  <si>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</si>
  <si>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</si>
  <si>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</si>
  <si>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</si>
  <si>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</si>
  <si>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</si>
  <si>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</si>
  <si>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</si>
  <si>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</si>
  <si>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</si>
  <si>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</si>
  <si>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</si>
  <si>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</si>
  <si>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</si>
  <si>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</si>
  <si>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</si>
  <si>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</si>
  <si>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</si>
  <si>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</si>
  <si>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</si>
  <si>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</si>
  <si>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</si>
  <si>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</si>
  <si>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</si>
  <si>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</si>
  <si>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</si>
  <si>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</si>
  <si>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</si>
  <si>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</si>
  <si>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</si>
  <si>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</si>
  <si>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</si>
  <si>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</si>
  <si>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</si>
  <si>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</si>
  <si>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</si>
  <si>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</si>
  <si>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</si>
  <si>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</si>
  <si>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</si>
  <si>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</si>
  <si>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</si>
  <si>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</si>
  <si>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</si>
  <si>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</si>
  <si>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</si>
  <si>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</si>
  <si>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</si>
  <si>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</si>
  <si>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</si>
  <si>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</si>
  <si>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</si>
  <si>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</si>
  <si>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</si>
  <si>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</si>
  <si>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</si>
  <si>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</si>
  <si>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</si>
  <si>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</si>
  <si>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</si>
  <si>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</si>
  <si>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</si>
  <si>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</si>
  <si>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</si>
  <si>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</si>
  <si>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</si>
  <si>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</si>
  <si>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</si>
  <si>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</si>
  <si>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</si>
  <si>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</si>
  <si>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</si>
  <si>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</si>
  <si>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</si>
  <si>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</si>
  <si>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</si>
  <si>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</si>
  <si>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</si>
  <si>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</si>
  <si>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</si>
  <si>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</si>
  <si>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</si>
  <si>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</si>
  <si>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</si>
  <si>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</si>
  <si>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</si>
  <si>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</si>
  <si>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</si>
  <si>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</si>
  <si>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</si>
  <si>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</si>
  <si>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</si>
  <si>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</si>
  <si>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</si>
  <si>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</si>
  <si>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</si>
  <si>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</si>
  <si>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</si>
  <si>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</si>
  <si>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</si>
  <si>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</si>
  <si>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</si>
  <si>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</si>
  <si>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</si>
  <si>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</si>
  <si>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</si>
  <si>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</si>
  <si>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</si>
  <si>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</si>
  <si>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</si>
  <si>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</si>
  <si>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</si>
  <si>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</si>
  <si>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</si>
  <si>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</si>
  <si>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</si>
  <si>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</si>
  <si>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</si>
  <si>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</si>
  <si>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</si>
  <si>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</si>
  <si>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</si>
  <si>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</si>
  <si>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</si>
  <si>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</si>
  <si>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</si>
  <si>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</si>
  <si>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</si>
  <si>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</si>
  <si>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</si>
  <si>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</si>
  <si>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</si>
  <si>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</si>
  <si>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</si>
  <si>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</si>
  <si>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</si>
  <si>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</si>
  <si>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</si>
  <si>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</si>
  <si>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</si>
  <si>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</si>
  <si>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</si>
  <si>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</si>
  <si>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</si>
  <si>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</si>
  <si>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</si>
  <si>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</si>
  <si>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</si>
  <si>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</si>
  <si>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</si>
  <si>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</si>
  <si>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</si>
  <si>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</si>
  <si>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</si>
  <si>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</si>
  <si>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</si>
  <si>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</si>
  <si>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</si>
  <si>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</si>
  <si>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</si>
  <si>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</si>
  <si>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</si>
  <si>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</si>
  <si>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</si>
  <si>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</si>
  <si>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</si>
  <si>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</si>
  <si>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</si>
  <si>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</si>
  <si>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</si>
  <si>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</si>
  <si>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</si>
  <si>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</si>
  <si>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</si>
  <si>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</si>
  <si>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</si>
  <si>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</si>
  <si>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</si>
  <si>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</si>
  <si>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</si>
  <si>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</si>
  <si>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</si>
  <si>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</si>
  <si>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</si>
  <si>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</si>
  <si>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</si>
  <si>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</si>
  <si>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</si>
  <si>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</si>
  <si>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</si>
  <si>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</si>
  <si>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</si>
  <si>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</si>
  <si>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</si>
  <si>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</si>
  <si>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</si>
  <si>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</si>
  <si>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</si>
  <si>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</si>
  <si>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</si>
  <si>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</si>
  <si>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</si>
  <si>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</si>
  <si>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</si>
  <si>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</si>
  <si>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</si>
  <si>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</si>
  <si>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</si>
  <si>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</si>
  <si>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</si>
  <si>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</si>
  <si>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</si>
  <si>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</si>
  <si>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</si>
  <si>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</si>
  <si>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</si>
  <si>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Q126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</si>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</sst>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82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2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8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9" fillId="2" borderId="2" xfId="0" applyFont="1" applyFill="1" applyBorder="1"/>
    <xf numFmtId="0" fontId="9" fillId="2" borderId="3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66" fontId="7" fillId="0" borderId="0" xfId="0" applyNumberFormat="1" applyFont="1"/>
    <xf numFmtId="9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8" fontId="7" fillId="0" borderId="0" xfId="1" applyNumberFormat="1" applyFont="1" applyAlignment="1">
      <alignment horizontal="right"/>
    </xf>
    <xf numFmtId="9" fontId="7" fillId="0" borderId="0" xfId="1" applyFont="1"/>
    <xf numFmtId="168" fontId="7" fillId="0" borderId="0" xfId="0" applyNumberFormat="1" applyFont="1"/>
    <xf numFmtId="0" fontId="10" fillId="0" borderId="0" xfId="2" applyFont="1"/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167" fontId="7" fillId="0" borderId="0" xfId="0" applyNumberFormat="1" applyFont="1"/>
    <xf numFmtId="16" fontId="7" fillId="0" borderId="0" xfId="0" applyNumberFormat="1" applyFont="1" applyAlignment="1">
      <alignment horizontal="right"/>
    </xf>
    <xf numFmtId="0" fontId="10" fillId="0" borderId="0" xfId="2" applyFont="1" applyAlignment="1">
      <alignment horizontal="left"/>
    </xf>
    <xf numFmtId="0" fontId="7" fillId="0" borderId="0" xfId="0" quotePrefix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6" fontId="8" fillId="0" borderId="0" xfId="0" applyNumberFormat="1" applyFont="1"/>
    <xf numFmtId="0" fontId="8" fillId="0" borderId="0" xfId="1" applyNumberFormat="1" applyFont="1" applyAlignment="1">
      <alignment horizontal="right"/>
    </xf>
    <xf numFmtId="2" fontId="8" fillId="0" borderId="0" xfId="1" applyNumberFormat="1" applyFont="1"/>
    <xf numFmtId="0" fontId="11" fillId="0" borderId="0" xfId="2"/>
    <xf numFmtId="0" fontId="2" fillId="0" borderId="0" xfId="0" applyFont="1"/>
    <xf numFmtId="0" fontId="2" fillId="0" borderId="0" xfId="0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2" fontId="5" fillId="2" borderId="2" xfId="1" applyNumberFormat="1" applyFont="1" applyFill="1" applyBorder="1" applyAlignment="1">
      <alignment horizontal="right"/>
    </xf>
    <xf numFmtId="0" fontId="5" fillId="2" borderId="2" xfId="1" applyNumberFormat="1" applyFont="1" applyFill="1" applyBorder="1" applyAlignment="1">
      <alignment horizontal="right"/>
    </xf>
    <xf numFmtId="0" fontId="5" fillId="2" borderId="3" xfId="0" applyFont="1" applyFill="1" applyBorder="1"/>
    <xf numFmtId="0" fontId="2" fillId="0" borderId="0" xfId="0" applyFont="1" applyAlignment="1">
      <alignment horizontal="center"/>
    </xf>
    <xf numFmtId="166" fontId="2" fillId="0" borderId="0" xfId="0" applyNumberFormat="1" applyFont="1"/>
    <xf numFmtId="0" fontId="2" fillId="0" borderId="0" xfId="0" applyFont="1" applyAlignment="1">
      <alignment horizontal="left"/>
    </xf>
    <xf numFmtId="165" fontId="2" fillId="0" borderId="0" xfId="0" applyNumberFormat="1" applyFont="1"/>
    <xf numFmtId="17" fontId="2" fillId="0" borderId="0" xfId="0" applyNumberFormat="1" applyFont="1" applyAlignment="1">
      <alignment horizontal="right"/>
    </xf>
    <xf numFmtId="16" fontId="2" fillId="0" borderId="0" xfId="0" applyNumberFormat="1" applyFont="1"/>
    <xf numFmtId="9" fontId="2" fillId="0" borderId="0" xfId="1" applyFont="1"/>
    <xf numFmtId="168" fontId="2" fillId="0" borderId="0" xfId="0" applyNumberFormat="1" applyFont="1"/>
    <xf numFmtId="168" fontId="2" fillId="0" borderId="0" xfId="1" applyNumberFormat="1" applyFont="1"/>
    <xf numFmtId="164" fontId="2" fillId="0" borderId="0" xfId="1" applyNumberFormat="1" applyFont="1"/>
    <xf numFmtId="0" fontId="2" fillId="0" borderId="0" xfId="1" applyNumberFormat="1" applyFont="1" applyAlignment="1">
      <alignment horizontal="right"/>
    </xf>
    <xf numFmtId="0" fontId="11" fillId="0" borderId="0" xfId="2" applyAlignment="1">
      <alignment horizontal="left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166" fontId="5" fillId="2" borderId="2" xfId="0" applyNumberFormat="1" applyFont="1" applyFill="1" applyBorder="1" applyAlignment="1">
      <alignment horizontal="right"/>
    </xf>
    <xf numFmtId="9" fontId="5" fillId="2" borderId="2" xfId="1" applyFont="1" applyFill="1" applyBorder="1"/>
    <xf numFmtId="0" fontId="2" fillId="0" borderId="0" xfId="0" quotePrefix="1" applyFont="1" applyAlignment="1">
      <alignment horizontal="left"/>
    </xf>
    <xf numFmtId="0" fontId="12" fillId="0" borderId="0" xfId="0" applyFont="1"/>
    <xf numFmtId="2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14" fontId="2" fillId="0" borderId="0" xfId="0" applyNumberFormat="1" applyFont="1"/>
    <xf numFmtId="3" fontId="2" fillId="0" borderId="0" xfId="0" applyNumberFormat="1" applyFont="1" applyAlignment="1">
      <alignment horizontal="right"/>
    </xf>
    <xf numFmtId="3" fontId="2" fillId="0" borderId="0" xfId="0" applyNumberFormat="1" applyFont="1"/>
    <xf numFmtId="0" fontId="1" fillId="0" borderId="0" xfId="0" applyFont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externalLink" Target="externalLinks/externalLink56.xml"/><Relationship Id="rId84" Type="http://schemas.openxmlformats.org/officeDocument/2006/relationships/externalLink" Target="externalLinks/externalLink72.xml"/><Relationship Id="rId89" Type="http://schemas.openxmlformats.org/officeDocument/2006/relationships/externalLink" Target="externalLinks/externalLink77.xml"/><Relationship Id="rId16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74" Type="http://schemas.openxmlformats.org/officeDocument/2006/relationships/externalLink" Target="externalLinks/externalLink62.xml"/><Relationship Id="rId79" Type="http://schemas.openxmlformats.org/officeDocument/2006/relationships/externalLink" Target="externalLinks/externalLink6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8.xml"/><Relationship Id="rId95" Type="http://schemas.openxmlformats.org/officeDocument/2006/relationships/externalLink" Target="externalLinks/externalLink83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64" Type="http://schemas.openxmlformats.org/officeDocument/2006/relationships/externalLink" Target="externalLinks/externalLink52.xml"/><Relationship Id="rId69" Type="http://schemas.openxmlformats.org/officeDocument/2006/relationships/externalLink" Target="externalLinks/externalLink57.xml"/><Relationship Id="rId80" Type="http://schemas.openxmlformats.org/officeDocument/2006/relationships/externalLink" Target="externalLinks/externalLink68.xml"/><Relationship Id="rId85" Type="http://schemas.openxmlformats.org/officeDocument/2006/relationships/externalLink" Target="externalLinks/externalLink7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externalLink" Target="externalLinks/externalLink58.xml"/><Relationship Id="rId75" Type="http://schemas.openxmlformats.org/officeDocument/2006/relationships/externalLink" Target="externalLinks/externalLink63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91" Type="http://schemas.openxmlformats.org/officeDocument/2006/relationships/externalLink" Target="externalLinks/externalLink79.xml"/><Relationship Id="rId96" Type="http://schemas.openxmlformats.org/officeDocument/2006/relationships/externalLink" Target="externalLinks/externalLink8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81" Type="http://schemas.openxmlformats.org/officeDocument/2006/relationships/externalLink" Target="externalLinks/externalLink69.xml"/><Relationship Id="rId86" Type="http://schemas.openxmlformats.org/officeDocument/2006/relationships/externalLink" Target="externalLinks/externalLink74.xml"/><Relationship Id="rId94" Type="http://schemas.openxmlformats.org/officeDocument/2006/relationships/externalLink" Target="externalLinks/externalLink82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605.70000000000005</v>
          </cell>
        </row>
        <row r="6">
          <cell r="I6">
            <v>301904.66341620003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2186</v>
          </cell>
        </row>
        <row r="4">
          <cell r="K4">
            <v>229171.86980599997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45.46</v>
          </cell>
        </row>
        <row r="5">
          <cell r="J5">
            <v>141644.79719985998</v>
          </cell>
        </row>
        <row r="6">
          <cell r="J6">
            <v>10013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139.75</v>
          </cell>
        </row>
        <row r="5">
          <cell r="I5">
            <v>157638</v>
          </cell>
        </row>
        <row r="6">
          <cell r="I6">
            <v>4639</v>
          </cell>
        </row>
        <row r="7">
          <cell r="I7">
            <v>2867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71.94</v>
          </cell>
        </row>
        <row r="5">
          <cell r="I5">
            <v>106226.60399999999</v>
          </cell>
        </row>
        <row r="6">
          <cell r="I6">
            <v>8575</v>
          </cell>
        </row>
        <row r="7">
          <cell r="I7">
            <v>7996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48290</v>
          </cell>
        </row>
        <row r="5">
          <cell r="J5">
            <v>14814725.010580001</v>
          </cell>
        </row>
        <row r="6">
          <cell r="J6">
            <v>1792940</v>
          </cell>
        </row>
        <row r="7">
          <cell r="J7">
            <v>315917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216.5</v>
          </cell>
        </row>
        <row r="4">
          <cell r="K4">
            <v>87244.720979000005</v>
          </cell>
        </row>
        <row r="5">
          <cell r="K5">
            <v>263.97300000000001</v>
          </cell>
        </row>
        <row r="6">
          <cell r="K6">
            <v>2424.9989999999998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H3">
            <v>148.38</v>
          </cell>
        </row>
        <row r="5">
          <cell r="H5">
            <v>48530.723905979998</v>
          </cell>
        </row>
        <row r="6">
          <cell r="H6">
            <v>3847.0160000000001</v>
          </cell>
        </row>
        <row r="7">
          <cell r="H7">
            <v>1516.34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174.02</v>
          </cell>
        </row>
        <row r="4">
          <cell r="I4">
            <v>19745.715629639999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166.9</v>
          </cell>
        </row>
        <row r="4">
          <cell r="I4">
            <v>29799.842119599998</v>
          </cell>
        </row>
        <row r="5">
          <cell r="I5">
            <v>1529</v>
          </cell>
        </row>
        <row r="6">
          <cell r="I6">
            <v>3100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331.65</v>
          </cell>
        </row>
        <row r="4">
          <cell r="H4">
            <v>40660.140425849997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87.2</v>
          </cell>
        </row>
        <row r="4">
          <cell r="M4">
            <v>13030.808300000001</v>
          </cell>
        </row>
        <row r="5">
          <cell r="M5">
            <v>1414.479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171.25</v>
          </cell>
        </row>
        <row r="4">
          <cell r="I4">
            <v>274654.17499999999</v>
          </cell>
        </row>
        <row r="5">
          <cell r="I5">
            <v>20363</v>
          </cell>
        </row>
        <row r="6">
          <cell r="I6">
            <v>75377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279.45999999999998</v>
          </cell>
        </row>
        <row r="4">
          <cell r="I4">
            <v>17630.198003599999</v>
          </cell>
        </row>
        <row r="5">
          <cell r="I5">
            <v>371.09199999999998</v>
          </cell>
        </row>
        <row r="6">
          <cell r="I6">
            <v>1651.8770000000002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99.39</v>
          </cell>
        </row>
        <row r="4">
          <cell r="J4">
            <v>20685.40738692</v>
          </cell>
        </row>
        <row r="5">
          <cell r="J5">
            <v>1119.5999999999999</v>
          </cell>
        </row>
        <row r="6">
          <cell r="J6">
            <v>2394.6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4245</v>
          </cell>
        </row>
        <row r="4">
          <cell r="I4">
            <v>3117877.0918199997</v>
          </cell>
        </row>
        <row r="5">
          <cell r="I5">
            <v>124662</v>
          </cell>
        </row>
        <row r="6">
          <cell r="I6">
            <v>60000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49.4</v>
          </cell>
        </row>
        <row r="5">
          <cell r="H5">
            <v>12305.073552849997</v>
          </cell>
        </row>
        <row r="6">
          <cell r="H6">
            <v>898.4</v>
          </cell>
        </row>
        <row r="7">
          <cell r="H7">
            <v>53.5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36.65</v>
          </cell>
        </row>
        <row r="4">
          <cell r="J4">
            <v>20355.443827949999</v>
          </cell>
        </row>
        <row r="5">
          <cell r="J5">
            <v>303.39999999999998</v>
          </cell>
        </row>
        <row r="6">
          <cell r="J6">
            <v>934.7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298.52</v>
          </cell>
        </row>
        <row r="4">
          <cell r="H4">
            <v>18082.634662639997</v>
          </cell>
        </row>
        <row r="5">
          <cell r="H5">
            <v>2276.7999999999997</v>
          </cell>
        </row>
        <row r="6">
          <cell r="H6">
            <v>1867.4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23.72</v>
          </cell>
        </row>
        <row r="4">
          <cell r="I4">
            <v>6174.3159999999998</v>
          </cell>
        </row>
        <row r="5">
          <cell r="I5">
            <v>2183</v>
          </cell>
        </row>
        <row r="6">
          <cell r="I6">
            <v>1092.2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13.17</v>
          </cell>
        </row>
        <row r="4">
          <cell r="H4">
            <v>5144.4193313400001</v>
          </cell>
        </row>
        <row r="5">
          <cell r="H5">
            <v>642.38599999999997</v>
          </cell>
        </row>
        <row r="6">
          <cell r="H6">
            <v>4539.91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22.05</v>
          </cell>
        </row>
        <row r="4">
          <cell r="J4">
            <v>8181.5913333000008</v>
          </cell>
        </row>
        <row r="5">
          <cell r="J5">
            <v>2432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76.81</v>
          </cell>
        </row>
        <row r="4">
          <cell r="I4">
            <v>11580.02922</v>
          </cell>
        </row>
        <row r="5">
          <cell r="I5">
            <v>86.016000000000005</v>
          </cell>
        </row>
        <row r="6">
          <cell r="I6">
            <v>1856.34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22.77</v>
          </cell>
        </row>
        <row r="4">
          <cell r="I4">
            <v>8899.1889901200011</v>
          </cell>
        </row>
        <row r="5">
          <cell r="I5">
            <v>707.5</v>
          </cell>
        </row>
        <row r="6">
          <cell r="I6">
            <v>1042.8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81.19</v>
          </cell>
        </row>
        <row r="4">
          <cell r="H4">
            <v>4215.0321918300006</v>
          </cell>
        </row>
        <row r="5">
          <cell r="H5">
            <v>153.97</v>
          </cell>
        </row>
        <row r="6">
          <cell r="H6">
            <v>1318.498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70.83</v>
          </cell>
        </row>
        <row r="4">
          <cell r="J4">
            <v>6351.1455543299999</v>
          </cell>
        </row>
        <row r="5">
          <cell r="J5">
            <v>622.83500000000004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3001.5878640000001</v>
          </cell>
        </row>
        <row r="5">
          <cell r="I5">
            <v>292.60000000000002</v>
          </cell>
        </row>
        <row r="6">
          <cell r="I6">
            <v>1343.9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96.69</v>
          </cell>
        </row>
        <row r="4">
          <cell r="I4">
            <v>4597.6094999999996</v>
          </cell>
        </row>
        <row r="5">
          <cell r="I5">
            <v>603.52499999999998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52.35</v>
          </cell>
        </row>
        <row r="4">
          <cell r="I4">
            <v>2867.2130074500001</v>
          </cell>
        </row>
        <row r="5">
          <cell r="I5">
            <v>578.30700000000002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88.25</v>
          </cell>
        </row>
        <row r="4">
          <cell r="J4">
            <v>4246.5707615000001</v>
          </cell>
        </row>
        <row r="5">
          <cell r="J5">
            <v>248.8</v>
          </cell>
        </row>
        <row r="6">
          <cell r="J6">
            <v>2256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41.48</v>
          </cell>
        </row>
        <row r="4">
          <cell r="J4">
            <v>2920.192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26.13</v>
          </cell>
        </row>
        <row r="4">
          <cell r="I4">
            <v>2094.6979930499997</v>
          </cell>
        </row>
        <row r="5">
          <cell r="I5">
            <v>188</v>
          </cell>
        </row>
        <row r="6">
          <cell r="I6">
            <v>1052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2.4</v>
          </cell>
        </row>
        <row r="4">
          <cell r="H4">
            <v>252.04949999999997</v>
          </cell>
        </row>
        <row r="5">
          <cell r="H5">
            <v>23.693000000000001</v>
          </cell>
        </row>
        <row r="6">
          <cell r="H6">
            <v>284.517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29.25</v>
          </cell>
        </row>
        <row r="4">
          <cell r="J4">
            <v>2376.6897667500002</v>
          </cell>
        </row>
        <row r="5">
          <cell r="J5">
            <v>141</v>
          </cell>
        </row>
        <row r="6">
          <cell r="J6">
            <v>698.5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45" sqref="J45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816</v>
      </c>
      <c r="N3" s="11" t="s">
        <v>817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1854268.2672868653</v>
      </c>
      <c r="G4" s="19">
        <f>+SUM(G6:G153)</f>
        <v>18300.05993520001</v>
      </c>
      <c r="H4" s="19">
        <f>SUM(H6:H153)</f>
        <v>1872568.3272220658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24081.406068660588</v>
      </c>
      <c r="G5" s="19">
        <f>AVERAGE(G6:G153)</f>
        <v>237.66311604155857</v>
      </c>
      <c r="H5" s="19">
        <f>AVERAGE(H6:H153)</f>
        <v>24319.069184702152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605.70000000000005</v>
      </c>
      <c r="F6" s="19">
        <f>+[1]Main!$I$6*FX!C3</f>
        <v>313980.84995284805</v>
      </c>
      <c r="G6" s="19">
        <f>(+[1]Main!$I$8-[1]Main!$I$7)*FX!C3</f>
        <v>14773.2</v>
      </c>
      <c r="H6" s="19">
        <f>F6+G6</f>
        <v>328754.04995284806</v>
      </c>
      <c r="I6" s="27" t="s">
        <v>819</v>
      </c>
      <c r="J6" s="28">
        <v>46080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2186</v>
      </c>
      <c r="F7" s="19">
        <f>+[2]Main!$K$4*FX!C3</f>
        <v>238338.74459823998</v>
      </c>
      <c r="G7" s="19">
        <f>+([2]Main!$K$6-[2]Main!$K$5)*FX!C3</f>
        <v>-10700.56</v>
      </c>
      <c r="H7" s="19">
        <f>F7+G7</f>
        <v>227638.18459823998</v>
      </c>
      <c r="I7" s="27" t="s">
        <v>819</v>
      </c>
      <c r="J7" s="28">
        <v>46034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45.46</v>
      </c>
      <c r="F8" s="19">
        <f>+[3]Main!$J$5*FX!C3</f>
        <v>147310.58908785437</v>
      </c>
      <c r="G8" s="19">
        <f>+([3]Main!$J$7-[3]Main!$J$6)*FX!C3</f>
        <v>-10412.48</v>
      </c>
      <c r="H8" s="19">
        <f t="shared" ref="H8:H35" si="1">F8+G8</f>
        <v>136898.10908785436</v>
      </c>
      <c r="I8" s="27" t="s">
        <v>149</v>
      </c>
      <c r="J8" s="28">
        <v>45994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139.75</v>
      </c>
      <c r="F9" s="19">
        <f>+[4]Main!$I$5</f>
        <v>157638</v>
      </c>
      <c r="G9" s="19">
        <f>+[4]Main!$I$7-[4]Main!$I$6</f>
        <v>-1772</v>
      </c>
      <c r="H9" s="19">
        <f>F9+G9</f>
        <v>155866</v>
      </c>
      <c r="I9" s="27" t="s">
        <v>801</v>
      </c>
      <c r="J9" s="28">
        <v>45980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28">
        <v>45500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71.94</v>
      </c>
      <c r="F11" s="19">
        <f>+[6]Main!$I$5</f>
        <v>106226.60399999999</v>
      </c>
      <c r="G11" s="19">
        <f>+[6]Main!$I$7-[6]Main!$I$6</f>
        <v>-579</v>
      </c>
      <c r="H11" s="19">
        <f t="shared" si="1"/>
        <v>105647.60399999999</v>
      </c>
      <c r="I11" s="27" t="s">
        <v>717</v>
      </c>
      <c r="J11" s="28">
        <v>46009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48290</v>
      </c>
      <c r="F12" s="19">
        <f>+[7]Main!$J$5*FX!C5</f>
        <v>93332.767566654016</v>
      </c>
      <c r="G12" s="19">
        <f>+([7]Main!$J$7-[7]Main!$J$6)*FX!C5</f>
        <v>-9305.2448999999997</v>
      </c>
      <c r="H12" s="19">
        <f t="shared" si="1"/>
        <v>84027.522666654011</v>
      </c>
      <c r="I12" s="27" t="s">
        <v>715</v>
      </c>
      <c r="J12" s="28">
        <v>46030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216.5</v>
      </c>
      <c r="F13" s="19">
        <f>+[8]Main!$K$4</f>
        <v>87244.720979000005</v>
      </c>
      <c r="G13" s="19">
        <f>+[8]Main!$K$6-[8]Main!$K$5</f>
        <v>2161.0259999999998</v>
      </c>
      <c r="H13" s="19">
        <f t="shared" si="1"/>
        <v>89405.746979000003</v>
      </c>
      <c r="I13" s="27" t="s">
        <v>715</v>
      </c>
      <c r="J13" s="28">
        <v>45924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148.38</v>
      </c>
      <c r="F14" s="19">
        <f>+[9]Main!$H$5</f>
        <v>48530.723905979998</v>
      </c>
      <c r="G14" s="19">
        <f>+[9]Main!$H$7-[9]Main!$H$6</f>
        <v>-2330.6760000000004</v>
      </c>
      <c r="H14" s="19">
        <f t="shared" si="1"/>
        <v>46200.047905979998</v>
      </c>
      <c r="I14" s="27" t="s">
        <v>813</v>
      </c>
      <c r="J14" s="28">
        <v>45981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174.02</v>
      </c>
      <c r="F15" s="19">
        <f>+[10]Main!$I$4</f>
        <v>19745.715629639999</v>
      </c>
      <c r="G15" s="19">
        <f>+[10]Main!$I$6-[10]Main!$I$5</f>
        <v>-1155.7940000000001</v>
      </c>
      <c r="H15" s="19">
        <f>F15+G15</f>
        <v>18589.921629639997</v>
      </c>
      <c r="I15" s="27" t="s">
        <v>149</v>
      </c>
      <c r="J15" s="28">
        <v>45995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166.9</v>
      </c>
      <c r="F16" s="19">
        <f>+[11]Main!$I$4*FX!C3</f>
        <v>30991.835804383998</v>
      </c>
      <c r="G16" s="19">
        <f>+([11]Main!$I$6-[11]Main!$I$5)*FX!C3</f>
        <v>1633.8400000000001</v>
      </c>
      <c r="H16" s="19">
        <f>F16+G16</f>
        <v>32625.675804383998</v>
      </c>
      <c r="I16" s="27" t="s">
        <v>338</v>
      </c>
      <c r="J16" s="28">
        <v>45959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331.65</v>
      </c>
      <c r="F17" s="19">
        <f>+[12]Main!$H$4*FX!C3</f>
        <v>42286.546042884002</v>
      </c>
      <c r="G17" s="19">
        <f>+([12]Main!$H$6-[12]Main!$H$5)*FX!C3</f>
        <v>9883.1200000000008</v>
      </c>
      <c r="H17" s="19">
        <f t="shared" si="1"/>
        <v>52169.666042884004</v>
      </c>
      <c r="I17" s="27" t="s">
        <v>819</v>
      </c>
      <c r="J17" s="28">
        <v>45952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87.2</v>
      </c>
      <c r="F19" s="19">
        <f>+[14]Main!$M$4</f>
        <v>13030.808300000001</v>
      </c>
      <c r="G19" s="19">
        <f>+[14]Main!$M$6-[14]Main!$M$5</f>
        <v>-1414.479</v>
      </c>
      <c r="H19" s="19">
        <f>F19+G19</f>
        <v>11616.329300000001</v>
      </c>
      <c r="I19" s="27" t="s">
        <v>813</v>
      </c>
      <c r="J19" s="28">
        <v>46051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171.25</v>
      </c>
      <c r="F20" s="19">
        <f>+[15]Main!$I$4*FX!C4</f>
        <v>26092.146624999998</v>
      </c>
      <c r="G20" s="19">
        <f>+([15]Main!$I$6-[15]Main!$I$5)*FX!C4</f>
        <v>5226.33</v>
      </c>
      <c r="H20" s="19">
        <f t="shared" si="1"/>
        <v>31318.476624999996</v>
      </c>
      <c r="I20" s="27" t="s">
        <v>819</v>
      </c>
      <c r="J20" s="28">
        <v>46051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149</v>
      </c>
      <c r="J21" s="28">
        <v>45953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>
        <v>45772</v>
      </c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149</v>
      </c>
      <c r="J23" s="28">
        <v>45958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279.45999999999998</v>
      </c>
      <c r="F24" s="19">
        <f>+[19]Main!$I$4</f>
        <v>17630.198003599999</v>
      </c>
      <c r="G24" s="19">
        <f>+[19]Main!$I$6-[19]Main!$I$5</f>
        <v>1280.7850000000003</v>
      </c>
      <c r="H24" s="19">
        <f>F24+G24</f>
        <v>18910.983003599998</v>
      </c>
      <c r="I24" s="27" t="s">
        <v>714</v>
      </c>
      <c r="J24" s="28">
        <v>45897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99.39</v>
      </c>
      <c r="F25" s="19">
        <f>+[20]Main!$J$4</f>
        <v>20685.40738692</v>
      </c>
      <c r="G25" s="19">
        <f>+[20]Main!$J$6-[20]Main!$J$5</f>
        <v>1275</v>
      </c>
      <c r="H25" s="19">
        <f t="shared" si="1"/>
        <v>21960.40738692</v>
      </c>
      <c r="I25" s="27" t="s">
        <v>422</v>
      </c>
      <c r="J25" s="28">
        <v>45967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4245</v>
      </c>
      <c r="F26" s="19">
        <f>+[21]Main!$I$4*FX!C5</f>
        <v>19642.625678466</v>
      </c>
      <c r="G26" s="19">
        <f>+([21]Main!$I$6-[21]Main!$I$5)*FX!C5</f>
        <v>-407.37060000000002</v>
      </c>
      <c r="H26" s="19">
        <f>F26+G26</f>
        <v>19235.255078466002</v>
      </c>
      <c r="I26" s="18" t="s">
        <v>149</v>
      </c>
      <c r="J26" s="28">
        <v>45968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118.8</v>
      </c>
      <c r="F27" s="19">
        <f>+[22]Main!$I$4*FX!C8</f>
        <v>17250.235199999999</v>
      </c>
      <c r="G27" s="19">
        <f>+([22]Main!$I$6-[22]Main!$I$5)*FX!C8</f>
        <v>421.84800000000007</v>
      </c>
      <c r="H27" s="19">
        <f>F27+G27</f>
        <v>17672.083200000001</v>
      </c>
      <c r="I27" s="27" t="s">
        <v>149</v>
      </c>
      <c r="J27" s="28">
        <v>45959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49.4</v>
      </c>
      <c r="F28" s="19">
        <f>+[23]Main!$H$5*FX!C7</f>
        <v>13781.682379191998</v>
      </c>
      <c r="G28" s="19">
        <f>+([23]Main!$H$7-[23]Main!$H$6)*FX!C7</f>
        <v>-946.28800000000001</v>
      </c>
      <c r="H28" s="19">
        <f>F28+G28</f>
        <v>12835.394379191997</v>
      </c>
      <c r="I28" s="27" t="s">
        <v>149</v>
      </c>
      <c r="J28" s="28">
        <v>45972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36.65</v>
      </c>
      <c r="F29" s="19">
        <f>+[24]Main!$J$4</f>
        <v>20355.443827949999</v>
      </c>
      <c r="G29" s="19">
        <f>+[24]Main!$J$6-[24]Main!$J$5</f>
        <v>631.30000000000007</v>
      </c>
      <c r="H29" s="19">
        <f t="shared" si="1"/>
        <v>20986.743827949998</v>
      </c>
      <c r="I29" s="18" t="s">
        <v>149</v>
      </c>
      <c r="J29" s="28">
        <v>45979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298.52</v>
      </c>
      <c r="F31" s="19">
        <f>+[26]Main!$H$4</f>
        <v>18082.634662639997</v>
      </c>
      <c r="G31" s="19">
        <f>+[26]Main!$H$6-[26]Main!$H$5</f>
        <v>-409.39999999999964</v>
      </c>
      <c r="H31" s="19">
        <f t="shared" si="1"/>
        <v>17673.234662639996</v>
      </c>
      <c r="I31" s="27" t="s">
        <v>714</v>
      </c>
      <c r="J31" s="28">
        <v>45916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23.72</v>
      </c>
      <c r="F33" s="19">
        <f>+[28]Main!$I$4*FX!C3</f>
        <v>6421.2886399999998</v>
      </c>
      <c r="G33" s="19">
        <f>+([28]Main!$I$6-[28]Main!$I$5)*FX!C3</f>
        <v>-1134.432</v>
      </c>
      <c r="H33" s="19">
        <f>F33+G33</f>
        <v>5286.85664</v>
      </c>
      <c r="I33" s="27" t="s">
        <v>149</v>
      </c>
      <c r="J33" s="28">
        <v>45967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13.17</v>
      </c>
      <c r="F34" s="19">
        <f>+[29]Main!$H$4</f>
        <v>5144.4193313400001</v>
      </c>
      <c r="G34" s="19">
        <f>+[29]Main!$H$6-[29]Main!$H$5</f>
        <v>3897.5239999999999</v>
      </c>
      <c r="H34" s="19">
        <f>+G34+F34</f>
        <v>9041.9433313400004</v>
      </c>
      <c r="I34" s="18" t="s">
        <v>717</v>
      </c>
      <c r="J34" s="28">
        <v>45957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42.33</v>
      </c>
      <c r="F35" s="19">
        <f>+[30]Main!$I$5*FX!C3</f>
        <v>8209.4173687343991</v>
      </c>
      <c r="G35" s="19">
        <f>+([30]Main!$I$7-[30]Main!$I$6)*FX!C3</f>
        <v>956.61903999999981</v>
      </c>
      <c r="H35" s="19">
        <f t="shared" si="1"/>
        <v>9166.0364087343987</v>
      </c>
      <c r="I35" s="18" t="s">
        <v>149</v>
      </c>
      <c r="J35" s="28">
        <v>46009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746</v>
      </c>
      <c r="D36" s="3" t="s">
        <v>21</v>
      </c>
      <c r="E36" s="26">
        <f>+[31]Main!$J$2</f>
        <v>22.05</v>
      </c>
      <c r="F36" s="19">
        <f>+[31]Main!$J$4</f>
        <v>8181.5913333000008</v>
      </c>
      <c r="G36" s="19">
        <f>+([31]Main!$J$6-[31]Main!$J$5)</f>
        <v>-941</v>
      </c>
      <c r="H36" s="19">
        <f>+G36+F36</f>
        <v>7240.5913333000008</v>
      </c>
      <c r="I36" s="18" t="s">
        <v>149</v>
      </c>
      <c r="J36" s="28">
        <v>45980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32" t="s">
        <v>818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93</v>
      </c>
      <c r="F38" s="19">
        <f>+[33]Main!$J$4*FX!C3</f>
        <v>6576.348342719999</v>
      </c>
      <c r="G38" s="19">
        <f>+([33]Main!$J$6-[33]Main!$J$5)*FX!C3</f>
        <v>-246.27304000000004</v>
      </c>
      <c r="H38" s="19">
        <f>F38+G38</f>
        <v>6330.0753027199989</v>
      </c>
      <c r="I38" s="18" t="s">
        <v>338</v>
      </c>
      <c r="J38" s="28">
        <v>45897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76.81</v>
      </c>
      <c r="F39" s="19">
        <f>+[34]Main!$I$4</f>
        <v>11580.02922</v>
      </c>
      <c r="G39" s="19">
        <f>+[34]Main!$I$6-[34]Main!$I$5</f>
        <v>1770.3239999999998</v>
      </c>
      <c r="H39" s="19">
        <f>F39+G39</f>
        <v>13350.353220000001</v>
      </c>
      <c r="I39" s="18" t="s">
        <v>149</v>
      </c>
      <c r="J39" s="28">
        <v>45960</v>
      </c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22.77</v>
      </c>
      <c r="F40" s="19">
        <f>+[35]Main!$I$4</f>
        <v>8899.1889901200011</v>
      </c>
      <c r="G40" s="19">
        <f>+[35]Main!$I$6-[35]Main!$I$5</f>
        <v>335.29999999999995</v>
      </c>
      <c r="H40" s="19">
        <f>F40+G40</f>
        <v>9234.4889901200004</v>
      </c>
      <c r="I40" s="18" t="s">
        <v>819</v>
      </c>
      <c r="J40" s="28">
        <v>46050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17550</v>
      </c>
      <c r="F41" s="19">
        <f>+[36]Main!$I$4*FX!C11</f>
        <v>8142.7173750000002</v>
      </c>
      <c r="G41" s="19">
        <f>+([36]Main!$I$6-[36]Main!$I$5)*FX!C11</f>
        <v>171.25</v>
      </c>
      <c r="H41" s="19">
        <f>+F41+G41</f>
        <v>8313.9673750000002</v>
      </c>
      <c r="I41" s="18" t="s">
        <v>149</v>
      </c>
      <c r="J41" s="28">
        <v>46002</v>
      </c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41240</v>
      </c>
      <c r="F43" s="19">
        <f>+[38]Main!$H$4*FX!C12</f>
        <v>5059.9509140399996</v>
      </c>
      <c r="G43" s="19">
        <f>+([38]Main!$H$6-[38]Main!$H$5)*FX!C12</f>
        <v>79.99563000000002</v>
      </c>
      <c r="H43" s="19">
        <f>+F43+G43</f>
        <v>5139.9465440399999</v>
      </c>
      <c r="I43" s="18" t="s">
        <v>717</v>
      </c>
      <c r="J43" s="28">
        <v>45975</v>
      </c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81.19</v>
      </c>
      <c r="F44" s="19">
        <f>+[39]Main!$H$4</f>
        <v>4215.0321918300006</v>
      </c>
      <c r="G44" s="19">
        <f>+[39]Main!$H$6-[39]Main!$H$5</f>
        <v>1164.528</v>
      </c>
      <c r="H44" s="19">
        <f>F44+G44</f>
        <v>5379.5601918300008</v>
      </c>
      <c r="I44" s="18" t="s">
        <v>819</v>
      </c>
      <c r="J44" s="28">
        <v>46065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0.93779999999999997</v>
      </c>
      <c r="F46" s="19">
        <f>+[41]Main!$I$4*FX!C8</f>
        <v>5962.0447439999998</v>
      </c>
      <c r="G46" s="19">
        <f>+([41]Main!$I$6-[41]Main!$I$5)*FX!C8</f>
        <v>155</v>
      </c>
      <c r="H46" s="19">
        <f>F46+G46</f>
        <v>6117.0447439999998</v>
      </c>
      <c r="I46" s="27" t="s">
        <v>813</v>
      </c>
      <c r="J46" s="28">
        <v>45981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86.42</v>
      </c>
      <c r="F47" s="19">
        <f>+[42]Main!$H$4*FX!C13</f>
        <v>6825.0480185999995</v>
      </c>
      <c r="G47" s="19">
        <f>+([42]Main!$H$6-[42]Main!$H$5)*FX!C13</f>
        <v>-201.90158999999997</v>
      </c>
      <c r="H47" s="19">
        <f>+F47+G47</f>
        <v>6623.1464285999991</v>
      </c>
      <c r="I47" s="18" t="s">
        <v>717</v>
      </c>
      <c r="J47" s="28">
        <v>45939</v>
      </c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70.83</v>
      </c>
      <c r="F50" s="19">
        <f>+[45]Main!$J$4</f>
        <v>6351.1455543299999</v>
      </c>
      <c r="G50" s="19">
        <f>+[45]Main!$J$6-[45]Main!$J$5</f>
        <v>-622.83500000000004</v>
      </c>
      <c r="H50" s="19">
        <f>+F50+G50</f>
        <v>5728.3105543299998</v>
      </c>
      <c r="I50" s="18" t="s">
        <v>813</v>
      </c>
      <c r="J50" s="28">
        <v>45986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3121.65137856</v>
      </c>
      <c r="G51" s="19">
        <f>+([46]Main!$I$6-[46]Main!$I$5)*FX!C3</f>
        <v>1093.3520000000003</v>
      </c>
      <c r="H51" s="19">
        <f t="shared" si="3"/>
        <v>4215.0033785600008</v>
      </c>
      <c r="I51" s="18" t="s">
        <v>149</v>
      </c>
      <c r="J51" s="28">
        <v>45960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96.69</v>
      </c>
      <c r="F53" s="19">
        <f>+[48]Main!$I$4</f>
        <v>4597.6094999999996</v>
      </c>
      <c r="G53" s="19">
        <f>+[48]Main!$I$6-[48]Main!$I$5</f>
        <v>-603.52499999999998</v>
      </c>
      <c r="H53" s="19">
        <f>F53+G53</f>
        <v>3994.0844999999995</v>
      </c>
      <c r="I53" s="27" t="s">
        <v>149</v>
      </c>
      <c r="J53" s="28">
        <v>45986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52.35</v>
      </c>
      <c r="F54" s="19">
        <f>+[49]Main!$I$4</f>
        <v>2867.2130074500001</v>
      </c>
      <c r="G54" s="19">
        <f>+[49]Main!$I$6-[49]Main!$I$5</f>
        <v>-578.30700000000002</v>
      </c>
      <c r="H54" s="19">
        <f t="shared" si="3"/>
        <v>2288.9060074500003</v>
      </c>
      <c r="I54" s="18" t="s">
        <v>149</v>
      </c>
      <c r="J54" s="28">
        <v>45959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88.25</v>
      </c>
      <c r="F55" s="19">
        <f>+[50]Main!$J$4</f>
        <v>4246.5707615000001</v>
      </c>
      <c r="G55" s="19">
        <f>+([50]Main!$J$6-[50]Main!$J$5)</f>
        <v>2007.2</v>
      </c>
      <c r="H55" s="19">
        <f>F55+G55</f>
        <v>6253.7707614999999</v>
      </c>
      <c r="I55" s="18" t="s">
        <v>149</v>
      </c>
      <c r="J55" s="28">
        <v>45995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165.1</v>
      </c>
      <c r="F58" s="19">
        <f>+[53]Main!$I$4</f>
        <v>5044.7333572999996</v>
      </c>
      <c r="G58" s="19">
        <f>+[53]Main!$I$6-[53]Main!$I$5</f>
        <v>-95.319000000000003</v>
      </c>
      <c r="H58" s="19">
        <f t="shared" si="3"/>
        <v>4949.4143572999992</v>
      </c>
      <c r="I58" s="18" t="s">
        <v>717</v>
      </c>
      <c r="J58" s="28">
        <v>45957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78.680000000000007</v>
      </c>
      <c r="F59" s="19">
        <f>+[54]Main!$I$4</f>
        <v>4372.5807311200006</v>
      </c>
      <c r="G59" s="19">
        <f>+[54]Main!$I$6-[54]Main!$I$5</f>
        <v>1259.028</v>
      </c>
      <c r="H59" s="19">
        <f t="shared" si="3"/>
        <v>5631.6087311200008</v>
      </c>
      <c r="I59" s="18" t="s">
        <v>149</v>
      </c>
      <c r="J59" s="28">
        <v>45960</v>
      </c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 t="s">
        <v>824</v>
      </c>
      <c r="F60" s="19"/>
      <c r="G60" s="19"/>
      <c r="H60" s="19"/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+[55]Main!$J$2</f>
        <v>132.5</v>
      </c>
      <c r="F61" s="19">
        <f>+[55]Main!$J$4*FX!C15</f>
        <v>3925.244925</v>
      </c>
      <c r="G61" s="19">
        <f>+([55]Main!$J$6-[55]Main!$J$5)*FX!C15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+[56]Main!$J$2</f>
        <v>161.28</v>
      </c>
      <c r="F62" s="19">
        <f>+[56]Main!$J$4</f>
        <v>2990.6024601600002</v>
      </c>
      <c r="G62" s="19">
        <f>+[56]Main!$J$6-[56]Main!$J$5</f>
        <v>-211.91</v>
      </c>
      <c r="H62" s="19">
        <f>+F62+G62</f>
        <v>2778.6924601600003</v>
      </c>
      <c r="I62" s="18" t="s">
        <v>819</v>
      </c>
      <c r="J62" s="28">
        <v>45952</v>
      </c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696</v>
      </c>
      <c r="D63" s="3" t="s">
        <v>82</v>
      </c>
      <c r="E63" s="26">
        <f>+[57]Main!$J$2</f>
        <v>41.48</v>
      </c>
      <c r="F63" s="19">
        <f>+[57]Main!$J$4*FX!C3</f>
        <v>3036.9996799999999</v>
      </c>
      <c r="G63" s="19">
        <f>+([57]Main!$J$6-[57]Main!$J$5)*FX!C3</f>
        <v>201.76000000000002</v>
      </c>
      <c r="H63" s="19">
        <f>+F63+G63</f>
        <v>3238.7596800000001</v>
      </c>
      <c r="I63" s="18" t="s">
        <v>149</v>
      </c>
      <c r="J63" s="28">
        <v>45965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+[58]Main!$I$2</f>
        <v>5.0599999999999996</v>
      </c>
      <c r="F64" s="19">
        <f>+[58]Main!$I$4</f>
        <v>2169.8306218600001</v>
      </c>
      <c r="G64" s="19">
        <f>+[58]Main!$I$6-[58]Main!$I$5</f>
        <v>78.228999999999928</v>
      </c>
      <c r="H64" s="19">
        <f>+F64+G64</f>
        <v>2248.0596218599999</v>
      </c>
      <c r="I64" s="18" t="s">
        <v>717</v>
      </c>
      <c r="J64" s="28">
        <v>45967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+[59]Main!$I$2</f>
        <v>14.35</v>
      </c>
      <c r="F65" s="19">
        <f>+[59]Main!$I$4</f>
        <v>2756.6605860499999</v>
      </c>
      <c r="G65" s="19">
        <f>+[59]Main!$I$6-[59]Main!$I$5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+[60]Main!$I$2</f>
        <v>263.45</v>
      </c>
      <c r="F66" s="19">
        <f>+[60]Main!$I$4*FX!C12</f>
        <v>2976.4027894628493</v>
      </c>
      <c r="G66" s="19">
        <f>+([60]Main!$I$6-[60]Main!$I$5)*FX!C12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+[61]Main!$I$2</f>
        <v>26.13</v>
      </c>
      <c r="F67" s="19">
        <f>+[61]Main!$I$4</f>
        <v>2094.6979930499997</v>
      </c>
      <c r="G67" s="19">
        <f>+[61]Main!$I$6-[61]Main!$I$5</f>
        <v>864</v>
      </c>
      <c r="H67" s="19">
        <f>F67+G67</f>
        <v>2958.6979930499997</v>
      </c>
      <c r="I67" s="27" t="s">
        <v>149</v>
      </c>
      <c r="J67" s="28">
        <v>45996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+[62]Main!$H$2</f>
        <v>33.92</v>
      </c>
      <c r="F68" s="19">
        <f>+[62]Main!$H$4</f>
        <v>2464.3691366400003</v>
      </c>
      <c r="G68" s="19">
        <f>+[62]Main!$H$6-[62]Main!$H$5</f>
        <v>182.17599999999999</v>
      </c>
      <c r="H68" s="19">
        <f>+F68+G68</f>
        <v>2646.5451366400002</v>
      </c>
      <c r="I68" s="18" t="s">
        <v>149</v>
      </c>
      <c r="J68" s="28">
        <v>45967</v>
      </c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+[63]Main!$I$2</f>
        <v>19.670000000000002</v>
      </c>
      <c r="F69" s="19">
        <f>+[63]Main!$I$4</f>
        <v>2341.6752811900001</v>
      </c>
      <c r="G69" s="19">
        <f>+[63]Main!$I$6-[63]Main!$I$5</f>
        <v>1542</v>
      </c>
      <c r="H69" s="19">
        <f>+F69+G69</f>
        <v>3883.6752811900001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+[64]Main!$J$2</f>
        <v>9.6300000000000008</v>
      </c>
      <c r="F70" s="19">
        <f>+[64]Main!$J$4*FX!C3</f>
        <v>2534.083861608</v>
      </c>
      <c r="G70" s="19">
        <f>+([64]Main!$J$6-[64]Main!$J$5)*FX!C3</f>
        <v>122.12512000000007</v>
      </c>
      <c r="H70" s="19">
        <f>+F70+G70</f>
        <v>2656.2089816080002</v>
      </c>
      <c r="I70" s="18" t="s">
        <v>149</v>
      </c>
      <c r="J70" s="28">
        <v>45953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+[65]Main!$J$2</f>
        <v>828.4</v>
      </c>
      <c r="F71" s="19">
        <f>+[65]Main!$J$4*FX!C12</f>
        <v>2214.6636811287999</v>
      </c>
      <c r="G71" s="19">
        <f>+([65]Main!$J$6-[65]Main!$J$5)*FX!C12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+[66]Main!$I$2</f>
        <v>5.82</v>
      </c>
      <c r="F83" s="19">
        <f>+[66]Main!$I$4</f>
        <v>2055.0937514400002</v>
      </c>
      <c r="G83" s="19">
        <f>+[66]Main!$I$6-[66]Main!$I$5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+[67]Main!$H$2</f>
        <v>41.42</v>
      </c>
      <c r="F89" s="19">
        <f>+[67]Main!$H$4</f>
        <v>1491.5652650000002</v>
      </c>
      <c r="G89" s="19">
        <f>+[67]Main!$H$6-[67]Main!$H$5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+[68]Main!$I$2</f>
        <v>38.119999999999997</v>
      </c>
      <c r="F90" s="19">
        <f>+[68]Main!$I$4</f>
        <v>1935.4971035199997</v>
      </c>
      <c r="G90" s="19">
        <f>+[68]Main!$I$6-[68]Main!$I$5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+[69]Main!$I$2</f>
        <v>24.73</v>
      </c>
      <c r="F91" s="19">
        <f>+[69]Main!$I$4</f>
        <v>1761.5194085300002</v>
      </c>
      <c r="G91" s="19">
        <f>+[69]Main!$I$6-[69]Main!$I$5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+[70]Main!$I$2</f>
        <v>27.07</v>
      </c>
      <c r="F95" s="19">
        <f>+[70]Main!$I$4</f>
        <v>1188.01315849</v>
      </c>
      <c r="G95" s="19">
        <f>+[70]Main!$I$6-[70]Main!$I$5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+[71]Main!$I$2</f>
        <v>59.85</v>
      </c>
      <c r="F96" s="19">
        <f>+[71]Main!$I$4</f>
        <v>939.70682505000002</v>
      </c>
      <c r="G96" s="19">
        <f>+[71]Main!$I$6-[71]Main!$I$5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+[72]Main!$J$2</f>
        <v>15.34</v>
      </c>
      <c r="F97" s="19">
        <f>+[72]Main!$J$4*FX!C13</f>
        <v>1025.7928231121998</v>
      </c>
      <c r="G97" s="19">
        <f>+([72]Main!$J$6-[72]Main!$J$5)*FX!C13</f>
        <v>152.28300000000002</v>
      </c>
      <c r="H97" s="19">
        <f>+F97+G97</f>
        <v>1178.0758231121999</v>
      </c>
      <c r="I97" s="18" t="s">
        <v>717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+[73]Main!$I$2</f>
        <v>4.53</v>
      </c>
      <c r="F100" s="19">
        <f>+[73]Main!$I$4</f>
        <v>736.21656488999997</v>
      </c>
      <c r="G100" s="19">
        <f>+[73]Main!$I$6-[73]Main!$I$5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+[74]Main!$I$2</f>
        <v>16.75</v>
      </c>
      <c r="F101" s="19">
        <f>+[74]Main!$I$4</f>
        <v>872.38125524999998</v>
      </c>
      <c r="G101" s="19">
        <f>+[74]Main!$I$6-[74]Main!$I$5</f>
        <v>434.077</v>
      </c>
      <c r="H101" s="19">
        <f>+F101+G101</f>
        <v>1306.4582552500001</v>
      </c>
      <c r="I101" s="18" t="s">
        <v>149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+'[75]Main '!$F$2</f>
        <v>4.3620000000000001</v>
      </c>
      <c r="F116" s="19">
        <f>+'[75]Main '!$F$4*FX!C8</f>
        <v>644.11734022080009</v>
      </c>
      <c r="G116" s="19">
        <f>+('[75]Main '!$F$6-'[75]Main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+[76]Main!$H$2</f>
        <v>2.4</v>
      </c>
      <c r="F123" s="19">
        <f>+[76]Main!$H$4</f>
        <v>252.04949999999997</v>
      </c>
      <c r="G123" s="19">
        <f>+[76]Main!$H$6-[76]Main!$H$5</f>
        <v>260.82400000000001</v>
      </c>
      <c r="H123" s="19">
        <f>+F123+G123</f>
        <v>512.87349999999992</v>
      </c>
      <c r="I123" s="18" t="s">
        <v>148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46" t="s">
        <v>246</v>
      </c>
      <c r="C125" s="4" t="s">
        <v>247</v>
      </c>
      <c r="D125" s="3" t="s">
        <v>21</v>
      </c>
      <c r="E125" s="26">
        <f>+[77]Main!$I$2</f>
        <v>17.79</v>
      </c>
      <c r="F125" s="19">
        <f>+[77]Main!$I$4</f>
        <v>270.90115659000003</v>
      </c>
      <c r="G125" s="19">
        <f>+[77]Main!$I$6-[77]Main!$I$5</f>
        <v>24.493000000000002</v>
      </c>
      <c r="H125" s="19">
        <f>+F125+G125</f>
        <v>295.39415659000002</v>
      </c>
      <c r="I125" s="18" t="s">
        <v>149</v>
      </c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477</v>
      </c>
      <c r="C154" s="4" t="s">
        <v>478</v>
      </c>
      <c r="D154" s="3" t="s">
        <v>124</v>
      </c>
      <c r="E154" s="26">
        <f>+[78]Main!$I$2</f>
        <v>2540</v>
      </c>
      <c r="F154" s="19">
        <f>+[78]Main!$I$4*FX!C5</f>
        <v>409.27593709799999</v>
      </c>
      <c r="G154" s="19">
        <f>+([78]Main!$I$6-[78]Main!$I$5)*FX!C5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479</v>
      </c>
      <c r="C155" s="4" t="s">
        <v>480</v>
      </c>
      <c r="D155" s="3" t="s">
        <v>21</v>
      </c>
      <c r="E155" s="26">
        <f>+[79]Main!$J$2</f>
        <v>29.25</v>
      </c>
      <c r="F155" s="19">
        <f>+[79]Main!$J$4</f>
        <v>2376.6897667500002</v>
      </c>
      <c r="G155" s="19">
        <f>+[79]Main!$J$6-[79]Main!$J$5</f>
        <v>557.5</v>
      </c>
      <c r="H155" s="19">
        <f>+F155+G155</f>
        <v>2934.1897667500002</v>
      </c>
      <c r="I155" s="18" t="s">
        <v>149</v>
      </c>
      <c r="J155" s="28">
        <v>45967</v>
      </c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482</v>
      </c>
      <c r="C156" s="4" t="s">
        <v>481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483</v>
      </c>
      <c r="C157" s="4" t="s">
        <v>484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485</v>
      </c>
      <c r="C158" s="4" t="s">
        <v>486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487</v>
      </c>
      <c r="C159" s="4" t="s">
        <v>488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489</v>
      </c>
      <c r="C160" s="4" t="s">
        <v>490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491</v>
      </c>
      <c r="C161" s="4" t="s">
        <v>492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493</v>
      </c>
      <c r="C162" s="4" t="s">
        <v>494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496</v>
      </c>
      <c r="C163" s="4" t="s">
        <v>495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497</v>
      </c>
      <c r="C164" s="4" t="s">
        <v>499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498</v>
      </c>
      <c r="C165" s="4" t="s">
        <v>500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501</v>
      </c>
      <c r="C166" s="4" t="s">
        <v>504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502</v>
      </c>
      <c r="C167" s="4" t="s">
        <v>503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505</v>
      </c>
      <c r="C168" s="4" t="s">
        <v>378</v>
      </c>
      <c r="D168" s="3" t="s">
        <v>506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507</v>
      </c>
      <c r="C169" s="4" t="s">
        <v>508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509</v>
      </c>
      <c r="C170" s="4" t="s">
        <v>510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511</v>
      </c>
      <c r="C171" s="4" t="s">
        <v>512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513</v>
      </c>
      <c r="C172" s="4" t="s">
        <v>516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514</v>
      </c>
      <c r="C173" s="4" t="s">
        <v>515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517</v>
      </c>
      <c r="C174" s="4" t="s">
        <v>518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519</v>
      </c>
      <c r="C175" s="4" t="s">
        <v>520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521</v>
      </c>
      <c r="C176" s="4" t="s">
        <v>522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523</v>
      </c>
      <c r="C177" s="4" t="s">
        <v>524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525</v>
      </c>
      <c r="C178" s="4" t="s">
        <v>527</v>
      </c>
      <c r="D178" s="3" t="s">
        <v>526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528</v>
      </c>
      <c r="C179" s="4" t="s">
        <v>529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530</v>
      </c>
      <c r="C180" s="4" t="s">
        <v>672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531</v>
      </c>
      <c r="C181" s="4" t="s">
        <v>673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688</v>
      </c>
      <c r="C6" s="47" t="s">
        <v>106</v>
      </c>
      <c r="D6" s="47" t="s">
        <v>542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689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690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691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692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542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693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479</v>
      </c>
      <c r="C19" s="47" t="s">
        <v>480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483</v>
      </c>
      <c r="C20" s="47" t="s">
        <v>484</v>
      </c>
      <c r="D20" s="47" t="s">
        <v>21</v>
      </c>
      <c r="E20" s="47">
        <f>+[80]Main!$J$2</f>
        <v>180.8</v>
      </c>
      <c r="F20" s="58">
        <f>+[80]Main!$J$4</f>
        <v>14437.908028799999</v>
      </c>
      <c r="G20" s="58">
        <f>+[80]Main!$J$6-[80]Main!$J$5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694</v>
      </c>
      <c r="C21" s="59" t="s">
        <v>478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485</v>
      </c>
      <c r="C22" s="47" t="s">
        <v>486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698</v>
      </c>
      <c r="C23" s="47" t="s">
        <v>488</v>
      </c>
      <c r="D23" s="47" t="s">
        <v>21</v>
      </c>
      <c r="E23" s="47" t="s">
        <v>716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700</v>
      </c>
      <c r="C24" s="47" t="s">
        <v>701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702</v>
      </c>
      <c r="C25" s="47" t="s">
        <v>518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703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521</v>
      </c>
      <c r="C27" s="47" t="s">
        <v>522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704</v>
      </c>
      <c r="C28" s="47" t="s">
        <v>705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706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519</v>
      </c>
      <c r="C30" s="47" t="s">
        <v>520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707</v>
      </c>
      <c r="C31" s="47" t="s">
        <v>708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709</v>
      </c>
      <c r="C32" s="47" t="s">
        <v>524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525</v>
      </c>
      <c r="C33" s="47" t="s">
        <v>527</v>
      </c>
      <c r="D33" s="47" t="s">
        <v>526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528</v>
      </c>
      <c r="C34" s="47" t="s">
        <v>529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710</v>
      </c>
      <c r="C35" s="47" t="s">
        <v>713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711</v>
      </c>
      <c r="C36" s="47" t="s">
        <v>712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C12" sqref="C12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+[81]Main!$I$2</f>
        <v>257.3</v>
      </c>
      <c r="F4" s="58">
        <f>+[81]Main!$I$4*FX!C3</f>
        <v>121467.16982951201</v>
      </c>
      <c r="G4" s="58">
        <f>+([81]Main!$I$6-[81]Main!$I$5)*FX!C3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+[82]Main!$J$2</f>
        <v>149.9</v>
      </c>
      <c r="F5" s="58">
        <f>+[82]Main!$J$5*FX!C7</f>
        <v>104409.88297600002</v>
      </c>
      <c r="G5" s="58">
        <f>+([82]Main!$J$7-[82]Main!$J$6)*FX!C7</f>
        <v>-8980.1600000000017</v>
      </c>
      <c r="H5" s="58">
        <f t="shared" ref="H5:H6" si="0">+F5+G5</f>
        <v>95429.722976000019</v>
      </c>
      <c r="I5" s="48" t="s">
        <v>717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697</v>
      </c>
      <c r="C6" s="59" t="s">
        <v>699</v>
      </c>
      <c r="D6" s="47" t="s">
        <v>21</v>
      </c>
      <c r="E6" s="60">
        <f>+[83]Main!$K$2</f>
        <v>63.49</v>
      </c>
      <c r="F6" s="58">
        <f>+[83]Main!$K$4</f>
        <v>22840.653210200002</v>
      </c>
      <c r="G6" s="58">
        <f>+([83]Main!$K$6-[83]Main!$K$5)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+[84]Main!$I$3</f>
        <v>140.1</v>
      </c>
      <c r="F7" s="58">
        <f>+[84]Main!$I$5*FX!C7</f>
        <v>8097.3307833600002</v>
      </c>
      <c r="G7" s="58">
        <f>+([84]Main!$I$7-[84]Main!$I$6)*FX!C7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676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539</v>
      </c>
      <c r="C31" s="59" t="s">
        <v>538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535</v>
      </c>
      <c r="C32" s="59" t="s">
        <v>536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534</v>
      </c>
      <c r="C33" s="59" t="s">
        <v>537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540</v>
      </c>
      <c r="C34" s="59" t="s">
        <v>541</v>
      </c>
      <c r="D34" s="47" t="s">
        <v>542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543</v>
      </c>
      <c r="C35" s="59" t="s">
        <v>544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545</v>
      </c>
      <c r="C36" s="59" t="s">
        <v>546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547</v>
      </c>
      <c r="C37" s="59" t="s">
        <v>548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549</v>
      </c>
      <c r="C38" s="59" t="s">
        <v>550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551</v>
      </c>
      <c r="C39" s="59" t="s">
        <v>552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553</v>
      </c>
      <c r="C40" s="59" t="s">
        <v>554</v>
      </c>
      <c r="D40" s="47" t="s">
        <v>542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555</v>
      </c>
      <c r="C41" s="59" t="s">
        <v>556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557</v>
      </c>
      <c r="C42" s="59" t="s">
        <v>558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532</v>
      </c>
      <c r="C43" s="59" t="s">
        <v>674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533</v>
      </c>
      <c r="C44" s="59" t="s">
        <v>675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559</v>
      </c>
      <c r="C45" s="47" t="s">
        <v>560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561</v>
      </c>
      <c r="C46" s="47" t="s">
        <v>562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563</v>
      </c>
      <c r="C47" s="47" t="s">
        <v>564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565</v>
      </c>
      <c r="C48" s="47" t="s">
        <v>566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567</v>
      </c>
      <c r="C50" s="47" t="s">
        <v>568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569</v>
      </c>
      <c r="C51" s="47" t="s">
        <v>570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571</v>
      </c>
      <c r="C52" s="47" t="s">
        <v>572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573</v>
      </c>
      <c r="C53" s="47" t="s">
        <v>574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575</v>
      </c>
      <c r="C54" s="47" t="s">
        <v>576</v>
      </c>
      <c r="D54" s="47" t="s">
        <v>578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579</v>
      </c>
      <c r="C4" s="47" t="s">
        <v>580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581</v>
      </c>
      <c r="C5" s="47" t="s">
        <v>582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583</v>
      </c>
      <c r="C6" s="47" t="s">
        <v>584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585</v>
      </c>
      <c r="C7" s="47" t="s">
        <v>586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587</v>
      </c>
      <c r="C8" s="47" t="s">
        <v>588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589</v>
      </c>
      <c r="C9" s="47" t="s">
        <v>590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591</v>
      </c>
      <c r="C10" s="47" t="s">
        <v>592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593</v>
      </c>
      <c r="C11" s="47" t="s">
        <v>594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595</v>
      </c>
      <c r="C12" s="47" t="s">
        <v>596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597</v>
      </c>
      <c r="C13" s="47" t="s">
        <v>598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599</v>
      </c>
      <c r="C14" s="47" t="s">
        <v>600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601</v>
      </c>
      <c r="C15" s="47" t="s">
        <v>602</v>
      </c>
      <c r="D15" s="47" t="s">
        <v>542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603</v>
      </c>
      <c r="C16" s="47" t="s">
        <v>604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605</v>
      </c>
      <c r="C17" s="47" t="s">
        <v>606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607</v>
      </c>
      <c r="C18" s="47" t="s">
        <v>608</v>
      </c>
      <c r="D18" s="47" t="s">
        <v>668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609</v>
      </c>
      <c r="C19" s="47" t="s">
        <v>610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611</v>
      </c>
      <c r="C20" s="47" t="s">
        <v>612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613</v>
      </c>
      <c r="C21" s="47" t="s">
        <v>614</v>
      </c>
      <c r="D21" s="47" t="s">
        <v>669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615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616</v>
      </c>
      <c r="C23" s="47" t="s">
        <v>617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618</v>
      </c>
      <c r="C24" s="47" t="s">
        <v>619</v>
      </c>
      <c r="D24" s="47" t="s">
        <v>526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620</v>
      </c>
      <c r="C25" s="47" t="s">
        <v>621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622</v>
      </c>
      <c r="C26" s="47" t="s">
        <v>623</v>
      </c>
      <c r="D26" s="47" t="s">
        <v>670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624</v>
      </c>
      <c r="C27" s="47" t="s">
        <v>625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626</v>
      </c>
      <c r="C28" s="47" t="s">
        <v>627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628</v>
      </c>
      <c r="C29" s="47" t="s">
        <v>629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630</v>
      </c>
      <c r="C30" s="47" t="s">
        <v>631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632</v>
      </c>
      <c r="C31" s="47" t="s">
        <v>633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634</v>
      </c>
      <c r="C32" s="47" t="s">
        <v>635</v>
      </c>
      <c r="D32" s="47" t="s">
        <v>671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636</v>
      </c>
      <c r="C33" s="47" t="s">
        <v>637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638</v>
      </c>
      <c r="C34" s="47" t="s">
        <v>639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640</v>
      </c>
      <c r="C35" s="47" t="s">
        <v>641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642</v>
      </c>
      <c r="C36" s="47" t="s">
        <v>643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644</v>
      </c>
      <c r="C37" s="47" t="s">
        <v>645</v>
      </c>
      <c r="D37" s="47" t="s">
        <v>670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646</v>
      </c>
      <c r="C38" s="47" t="s">
        <v>647</v>
      </c>
      <c r="D38" s="47" t="s">
        <v>670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648</v>
      </c>
      <c r="C39" s="47" t="s">
        <v>649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650</v>
      </c>
      <c r="C40" s="47" t="s">
        <v>651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652</v>
      </c>
      <c r="C41" s="47" t="s">
        <v>653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654</v>
      </c>
      <c r="C42" s="47" t="s">
        <v>655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656</v>
      </c>
      <c r="C43" s="47" t="s">
        <v>657</v>
      </c>
      <c r="D43" s="47" t="s">
        <v>577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658</v>
      </c>
      <c r="C44" s="47" t="s">
        <v>659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660</v>
      </c>
      <c r="C45" s="47" t="s">
        <v>661</v>
      </c>
      <c r="D45" s="47" t="s">
        <v>670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662</v>
      </c>
      <c r="C46" s="47" t="s">
        <v>663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664</v>
      </c>
      <c r="C47" s="47" t="s">
        <v>665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666</v>
      </c>
      <c r="C48" s="47" t="s">
        <v>667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465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466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81" t="s">
        <v>821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81" t="s">
        <v>820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467</v>
      </c>
      <c r="C10" s="47" t="s">
        <v>468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469</v>
      </c>
      <c r="C11" s="47" t="s">
        <v>470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471</v>
      </c>
      <c r="C12" s="47" t="s">
        <v>472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81" t="s">
        <v>822</v>
      </c>
      <c r="C13" s="81" t="s">
        <v>823</v>
      </c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732</v>
      </c>
      <c r="D2" s="76" t="s">
        <v>719</v>
      </c>
      <c r="E2" s="76" t="s">
        <v>720</v>
      </c>
      <c r="F2" s="77" t="s">
        <v>4</v>
      </c>
      <c r="G2" s="77" t="s">
        <v>804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721</v>
      </c>
      <c r="C3" s="46" t="s">
        <v>722</v>
      </c>
      <c r="D3" s="47" t="s">
        <v>730</v>
      </c>
      <c r="E3" s="78">
        <v>45757</v>
      </c>
      <c r="F3" s="79" t="s">
        <v>474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692</v>
      </c>
      <c r="C4" s="46" t="s">
        <v>692</v>
      </c>
      <c r="D4" s="47" t="s">
        <v>728</v>
      </c>
      <c r="E4" s="78">
        <v>45782</v>
      </c>
      <c r="F4" s="48" t="s">
        <v>729</v>
      </c>
      <c r="G4" s="80">
        <v>9420</v>
      </c>
      <c r="H4" s="47" t="s">
        <v>805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731</v>
      </c>
      <c r="E5" s="78">
        <v>45637</v>
      </c>
      <c r="F5" s="79" t="s">
        <v>474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733</v>
      </c>
      <c r="C6" s="47" t="s">
        <v>733</v>
      </c>
      <c r="D6" s="47" t="s">
        <v>734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680</v>
      </c>
      <c r="E7" s="78">
        <v>45889</v>
      </c>
      <c r="F7" s="47">
        <v>16.75</v>
      </c>
      <c r="G7" s="47" t="s">
        <v>803</v>
      </c>
      <c r="H7" s="47" t="s">
        <v>802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476</v>
      </c>
      <c r="D8" s="47" t="s">
        <v>809</v>
      </c>
      <c r="E8" s="78">
        <v>45322</v>
      </c>
      <c r="F8" s="47"/>
      <c r="G8" s="47">
        <v>500</v>
      </c>
      <c r="H8" s="47" t="s">
        <v>810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814</v>
      </c>
      <c r="C9" s="47" t="s">
        <v>815</v>
      </c>
      <c r="D9" s="47" t="s">
        <v>689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723</v>
      </c>
      <c r="D2" s="47" t="s">
        <v>724</v>
      </c>
      <c r="E2" s="47" t="s">
        <v>725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727</v>
      </c>
      <c r="C3" s="47" t="s">
        <v>726</v>
      </c>
      <c r="D3" s="47" t="s">
        <v>8</v>
      </c>
      <c r="E3" s="47" t="s">
        <v>736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735</v>
      </c>
      <c r="C4" s="47" t="s">
        <v>740</v>
      </c>
      <c r="D4" s="47" t="s">
        <v>8</v>
      </c>
      <c r="E4" s="47" t="s">
        <v>737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741</v>
      </c>
      <c r="C5" s="47" t="s">
        <v>738</v>
      </c>
      <c r="D5" s="47" t="s">
        <v>7</v>
      </c>
      <c r="E5" s="47" t="s">
        <v>739</v>
      </c>
      <c r="F5" s="47" t="s">
        <v>742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743</v>
      </c>
      <c r="C6" s="47" t="s">
        <v>744</v>
      </c>
      <c r="D6" s="47" t="s">
        <v>9</v>
      </c>
      <c r="E6" s="47" t="s">
        <v>745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747</v>
      </c>
      <c r="C7" s="47" t="s">
        <v>748</v>
      </c>
      <c r="D7" s="47" t="s">
        <v>99</v>
      </c>
      <c r="E7" s="47" t="s">
        <v>749</v>
      </c>
      <c r="F7" s="47" t="s">
        <v>760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750</v>
      </c>
      <c r="D8" s="47" t="s">
        <v>135</v>
      </c>
      <c r="E8" s="47" t="s">
        <v>751</v>
      </c>
      <c r="F8" s="47" t="s">
        <v>752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753</v>
      </c>
      <c r="C9" s="47" t="s">
        <v>754</v>
      </c>
      <c r="D9" s="47" t="s">
        <v>682</v>
      </c>
      <c r="E9" s="47" t="s">
        <v>752</v>
      </c>
      <c r="F9" s="47" t="s">
        <v>755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756</v>
      </c>
      <c r="C10" s="47" t="s">
        <v>757</v>
      </c>
      <c r="D10" s="47" t="s">
        <v>758</v>
      </c>
      <c r="E10" s="47" t="s">
        <v>752</v>
      </c>
      <c r="F10" s="47" t="s">
        <v>759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761</v>
      </c>
      <c r="C11" s="47" t="s">
        <v>762</v>
      </c>
      <c r="D11" s="47" t="s">
        <v>7</v>
      </c>
      <c r="E11" s="47" t="s">
        <v>766</v>
      </c>
      <c r="F11" s="47" t="s">
        <v>763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764</v>
      </c>
      <c r="C12" s="47" t="s">
        <v>765</v>
      </c>
      <c r="D12" s="47" t="s">
        <v>123</v>
      </c>
      <c r="E12" s="47" t="s">
        <v>767</v>
      </c>
      <c r="F12" s="47" t="s">
        <v>768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721</v>
      </c>
      <c r="C13" s="47" t="s">
        <v>769</v>
      </c>
      <c r="D13" s="47" t="s">
        <v>135</v>
      </c>
      <c r="E13" s="47" t="s">
        <v>770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771</v>
      </c>
      <c r="C14" s="47" t="s">
        <v>772</v>
      </c>
      <c r="D14" s="47" t="s">
        <v>677</v>
      </c>
      <c r="E14" s="47" t="s">
        <v>777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773</v>
      </c>
      <c r="C15" s="47" t="s">
        <v>774</v>
      </c>
      <c r="D15" s="47" t="s">
        <v>775</v>
      </c>
      <c r="E15" s="47" t="s">
        <v>776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778</v>
      </c>
      <c r="C16" s="47" t="s">
        <v>779</v>
      </c>
      <c r="D16" s="47" t="s">
        <v>780</v>
      </c>
      <c r="E16" s="47" t="s">
        <v>781</v>
      </c>
      <c r="F16" s="47" t="s">
        <v>782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783</v>
      </c>
      <c r="C17" s="47" t="s">
        <v>784</v>
      </c>
      <c r="D17" s="47" t="s">
        <v>785</v>
      </c>
      <c r="E17" s="47" t="s">
        <v>777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800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 t="s">
        <v>786</v>
      </c>
      <c r="C21" s="47" t="s">
        <v>787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788</v>
      </c>
      <c r="C22" s="47" t="s">
        <v>789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790</v>
      </c>
      <c r="C23" s="47" t="s">
        <v>791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792</v>
      </c>
      <c r="C24" s="47" t="s">
        <v>793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794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795</v>
      </c>
      <c r="C26" s="47" t="s">
        <v>796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797</v>
      </c>
      <c r="C27" s="47" t="s">
        <v>798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721</v>
      </c>
      <c r="C28" s="47" t="s">
        <v>799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29" sqref="B2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811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718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473</v>
      </c>
      <c r="C5" s="48" t="s">
        <v>474</v>
      </c>
      <c r="D5" s="47" t="s">
        <v>124</v>
      </c>
      <c r="E5" s="60" t="s">
        <v>475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677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678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679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680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681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682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683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684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685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686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687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695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B18" s="47" t="s">
        <v>806</v>
      </c>
      <c r="C18" s="59" t="s">
        <v>807</v>
      </c>
      <c r="D18" s="47"/>
      <c r="E18" s="60" t="s">
        <v>808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47"/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47"/>
      <c r="C21" s="59"/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2025-10-31T16:08:48Z</dcterms:modified>
  <cp:category/>
  <cp:contentStatus/>
</cp:coreProperties>
</file>