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3EFA1BF-E16A-41B7-B8AB-B21FFE03884D}" xr6:coauthVersionLast="47" xr6:coauthVersionMax="47" xr10:uidLastSave="{00000000-0000-0000-0000-000000000000}"/>
  <bookViews>
    <workbookView xWindow="225" yWindow="351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<sst xmlns="http://schemas.openxmlformats.org/spreadsheetml/2006/main" count="1395" uniqueCount="825">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</sst>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82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/>
    <xf numFmtId="0" fontId="2" fillId="0" borderId="0" xfId="0" applyFont="1"/>
    <xf numFmtId="0" fontId="2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0" fontId="2" fillId="0" borderId="0" xfId="0" applyFont="1" applyAlignment="1">
      <alignment horizontal="left"/>
    </xf>
    <xf numFmtId="165" fontId="2" fillId="0" borderId="0" xfId="0" applyNumberFormat="1" applyFont="1"/>
    <xf numFmtId="17" fontId="2" fillId="0" borderId="0" xfId="0" applyNumberFormat="1" applyFont="1" applyAlignment="1">
      <alignment horizontal="right"/>
    </xf>
    <xf numFmtId="16" fontId="2" fillId="0" borderId="0" xfId="0" applyNumberFormat="1" applyFont="1"/>
    <xf numFmtId="9" fontId="2" fillId="0" borderId="0" xfId="1" applyFont="1"/>
    <xf numFmtId="168" fontId="2" fillId="0" borderId="0" xfId="0" applyNumberFormat="1" applyFont="1"/>
    <xf numFmtId="168" fontId="2" fillId="0" borderId="0" xfId="1" applyNumberFormat="1" applyFont="1"/>
    <xf numFmtId="164" fontId="2" fillId="0" borderId="0" xfId="1" applyNumberFormat="1" applyFont="1"/>
    <xf numFmtId="0" fontId="2" fillId="0" borderId="0" xfId="1" applyNumberFormat="1" applyFont="1" applyAlignment="1">
      <alignment horizontal="right"/>
    </xf>
    <xf numFmtId="0" fontId="11" fillId="0" borderId="0" xfId="2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2" fillId="0" borderId="0" xfId="0" quotePrefix="1" applyFont="1" applyAlignment="1">
      <alignment horizontal="left"/>
    </xf>
    <xf numFmtId="0" fontId="12" fillId="0" borderId="0" xfId="0" applyFont="1"/>
    <xf numFmtId="2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71.94</v>
          </cell>
        </row>
        <row r="5">
          <cell r="I5">
            <v>106226.60399999999</v>
          </cell>
        </row>
        <row r="6">
          <cell r="I6">
            <v>8575</v>
          </cell>
        </row>
        <row r="7">
          <cell r="I7">
            <v>7996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178.72</v>
          </cell>
        </row>
        <row r="4">
          <cell r="I4">
            <v>20279.01561504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52.35</v>
          </cell>
        </row>
        <row r="4">
          <cell r="I4">
            <v>2867.2130074500001</v>
          </cell>
        </row>
        <row r="5">
          <cell r="I5">
            <v>578.30700000000002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88.25</v>
          </cell>
        </row>
        <row r="4">
          <cell r="J4">
            <v>4246.5707615000001</v>
          </cell>
        </row>
        <row r="5">
          <cell r="J5">
            <v>248.8</v>
          </cell>
        </row>
        <row r="6">
          <cell r="J6">
            <v>2256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26.13</v>
          </cell>
        </row>
        <row r="4">
          <cell r="I4">
            <v>2094.6979930499997</v>
          </cell>
        </row>
        <row r="5">
          <cell r="I5">
            <v>188</v>
          </cell>
        </row>
        <row r="6">
          <cell r="I6">
            <v>1052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98" sqref="J98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816</v>
      </c>
      <c r="N3" s="11" t="s">
        <v>817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1768685.36494219</v>
      </c>
      <c r="G4" s="19">
        <f>+SUM(G6:G153)</f>
        <v>19172.817975200011</v>
      </c>
      <c r="H4" s="19">
        <f>SUM(H6:H153)</f>
        <v>1787858.1829173903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22969.939804444028</v>
      </c>
      <c r="G5" s="19">
        <f>AVERAGE(G6:G153)</f>
        <v>248.99763604155856</v>
      </c>
      <c r="H5" s="19">
        <f>AVERAGE(H6:H153)</f>
        <v>23218.937440485588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801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71.94</v>
      </c>
      <c r="F11" s="19">
        <f>+[6]Main!$I$5</f>
        <v>106226.60399999999</v>
      </c>
      <c r="G11" s="19">
        <f>+[6]Main!$I$7-[6]Main!$I$6</f>
        <v>-579</v>
      </c>
      <c r="H11" s="19">
        <f t="shared" si="1"/>
        <v>105647.60399999999</v>
      </c>
      <c r="I11" s="27" t="s">
        <v>717</v>
      </c>
      <c r="J11" s="28">
        <v>46009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715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813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178.72</v>
      </c>
      <c r="F15" s="19">
        <f>+[10]Main!$I$4</f>
        <v>20279.01561504</v>
      </c>
      <c r="G15" s="19">
        <f>+[10]Main!$I$6-[10]Main!$I$5</f>
        <v>-1155.7940000000001</v>
      </c>
      <c r="H15" s="19">
        <f>F15+G15</f>
        <v>19123.221615039998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714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819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714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714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717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746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818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93</v>
      </c>
      <c r="F38" s="19">
        <f>+[33]Main!$J$4*FX!C3</f>
        <v>6576.348342719999</v>
      </c>
      <c r="G38" s="19">
        <f>+([33]Main!$J$6-[33]Main!$J$5)*FX!C3</f>
        <v>-246.27304000000004</v>
      </c>
      <c r="H38" s="19">
        <f>F38+G38</f>
        <v>6330.0753027199989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17550</v>
      </c>
      <c r="F41" s="19">
        <f>+[36]Main!$I$4*FX!C11</f>
        <v>8142.7173750000002</v>
      </c>
      <c r="G41" s="19">
        <f>+([36]Main!$I$6-[36]Main!$I$5)*FX!C11</f>
        <v>171.25</v>
      </c>
      <c r="H41" s="19">
        <f>+F41+G41</f>
        <v>8313.9673750000002</v>
      </c>
      <c r="I41" s="18" t="s">
        <v>149</v>
      </c>
      <c r="J41" s="28">
        <v>46002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717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0.93779999999999997</v>
      </c>
      <c r="F46" s="19">
        <f>+[41]Main!$I$4*FX!C8</f>
        <v>5962.0447439999998</v>
      </c>
      <c r="G46" s="19">
        <f>+([41]Main!$I$6-[41]Main!$I$5)*FX!C8</f>
        <v>155</v>
      </c>
      <c r="H46" s="19">
        <f>F46+G46</f>
        <v>6117.0447439999998</v>
      </c>
      <c r="I46" s="27" t="s">
        <v>813</v>
      </c>
      <c r="J46" s="28">
        <v>45981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717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813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52.35</v>
      </c>
      <c r="F54" s="19">
        <f>+[49]Main!$I$4</f>
        <v>2867.2130074500001</v>
      </c>
      <c r="G54" s="19">
        <f>+[49]Main!$I$6-[49]Main!$I$5</f>
        <v>-578.30700000000002</v>
      </c>
      <c r="H54" s="19">
        <f t="shared" si="3"/>
        <v>2288.9060074500003</v>
      </c>
      <c r="I54" s="18" t="s">
        <v>149</v>
      </c>
      <c r="J54" s="28">
        <v>45959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88.25</v>
      </c>
      <c r="F55" s="19">
        <f>+[50]Main!$J$4</f>
        <v>4246.5707615000001</v>
      </c>
      <c r="G55" s="19">
        <f>+([50]Main!$J$6-[50]Main!$J$5)</f>
        <v>2007.2</v>
      </c>
      <c r="H55" s="19">
        <f>F55+G55</f>
        <v>6253.7707614999999</v>
      </c>
      <c r="I55" s="18" t="s">
        <v>149</v>
      </c>
      <c r="J55" s="28">
        <v>45995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165.1</v>
      </c>
      <c r="F58" s="19">
        <f>+[53]Main!$I$4</f>
        <v>5044.7333572999996</v>
      </c>
      <c r="G58" s="19">
        <f>+[53]Main!$I$6-[53]Main!$I$5</f>
        <v>-95.319000000000003</v>
      </c>
      <c r="H58" s="19">
        <f t="shared" si="3"/>
        <v>4949.4143572999992</v>
      </c>
      <c r="I58" s="18" t="s">
        <v>717</v>
      </c>
      <c r="J58" s="28">
        <v>45957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78.680000000000007</v>
      </c>
      <c r="F59" s="19">
        <f>+[54]Main!$I$4</f>
        <v>4372.5807311200006</v>
      </c>
      <c r="G59" s="19">
        <f>+[54]Main!$I$6-[54]Main!$I$5</f>
        <v>1259.028</v>
      </c>
      <c r="H59" s="19">
        <f t="shared" si="3"/>
        <v>5631.6087311200008</v>
      </c>
      <c r="I59" s="18" t="s">
        <v>149</v>
      </c>
      <c r="J59" s="28">
        <v>45960</v>
      </c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 t="s">
        <v>824</v>
      </c>
      <c r="F60" s="19"/>
      <c r="G60" s="19"/>
      <c r="H60" s="19"/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+[55]Main!$J$2</f>
        <v>132.5</v>
      </c>
      <c r="F61" s="19">
        <f>+[55]Main!$J$4*FX!C15</f>
        <v>3925.244925</v>
      </c>
      <c r="G61" s="19">
        <f>+([55]Main!$J$6-[55]Main!$J$5)*FX!C15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+[56]Main!$J$2</f>
        <v>208.43</v>
      </c>
      <c r="F62" s="19">
        <f>+[56]Main!$J$4</f>
        <v>3869.6348861900005</v>
      </c>
      <c r="G62" s="19">
        <f>+[56]Main!$J$6-[56]Main!$J$5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+[57]Main!$J$2</f>
        <v>41.48</v>
      </c>
      <c r="F63" s="19">
        <f>+[57]Main!$J$4*FX!C3</f>
        <v>3036.9996799999999</v>
      </c>
      <c r="G63" s="19">
        <f>+([57]Main!$J$6-[57]Main!$J$5)*FX!C3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+[58]Main!$I$2</f>
        <v>5.0599999999999996</v>
      </c>
      <c r="F64" s="19">
        <f>+[58]Main!$I$4</f>
        <v>2169.8306218600001</v>
      </c>
      <c r="G64" s="19">
        <f>+[58]Main!$I$6-[58]Main!$I$5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+[59]Main!$I$2</f>
        <v>14.35</v>
      </c>
      <c r="F65" s="19">
        <f>+[59]Main!$I$4</f>
        <v>2756.6605860499999</v>
      </c>
      <c r="G65" s="19">
        <f>+[59]Main!$I$6-[59]Main!$I$5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+[60]Main!$I$2</f>
        <v>263.45</v>
      </c>
      <c r="F66" s="19">
        <f>+[60]Main!$I$4*FX!C12</f>
        <v>2976.4027894628493</v>
      </c>
      <c r="G66" s="19">
        <f>+([60]Main!$I$6-[60]Main!$I$5)*FX!C12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+[61]Main!$I$2</f>
        <v>26.13</v>
      </c>
      <c r="F67" s="19">
        <f>+[61]Main!$I$4</f>
        <v>2094.6979930499997</v>
      </c>
      <c r="G67" s="19">
        <f>+[61]Main!$I$6-[61]Main!$I$5</f>
        <v>864</v>
      </c>
      <c r="H67" s="19">
        <f>F67+G67</f>
        <v>2958.6979930499997</v>
      </c>
      <c r="I67" s="27" t="s">
        <v>149</v>
      </c>
      <c r="J67" s="28">
        <v>45996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+[62]Main!$H$2</f>
        <v>33.92</v>
      </c>
      <c r="F68" s="19">
        <f>+[62]Main!$H$4</f>
        <v>2464.3691366400003</v>
      </c>
      <c r="G68" s="19">
        <f>+[62]Main!$H$6-[62]Main!$H$5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+[63]Main!$I$2</f>
        <v>19.670000000000002</v>
      </c>
      <c r="F69" s="19">
        <f>+[63]Main!$I$4</f>
        <v>2341.6752811900001</v>
      </c>
      <c r="G69" s="19">
        <f>+[63]Main!$I$6-[63]Main!$I$5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+[64]Main!$J$2</f>
        <v>9.08</v>
      </c>
      <c r="F70" s="19">
        <f>+[64]Main!$J$4*FX!C3</f>
        <v>2366.7544664192001</v>
      </c>
      <c r="G70" s="19">
        <f>+([64]Main!$J$6-[64]Main!$J$5)*FX!C3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+[65]Main!$J$2</f>
        <v>828.4</v>
      </c>
      <c r="F71" s="19">
        <f>+[65]Main!$J$4*FX!C12</f>
        <v>2214.6636811287999</v>
      </c>
      <c r="G71" s="19">
        <f>+([65]Main!$J$6-[65]Main!$J$5)*FX!C12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+[66]Main!$I$2</f>
        <v>5.82</v>
      </c>
      <c r="F83" s="19">
        <f>+[66]Main!$I$4</f>
        <v>2055.0937514400002</v>
      </c>
      <c r="G83" s="19">
        <f>+[66]Main!$I$6-[66]Main!$I$5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+[67]Main!$H$2</f>
        <v>41.42</v>
      </c>
      <c r="F89" s="19">
        <f>+[67]Main!$H$4</f>
        <v>1491.5652650000002</v>
      </c>
      <c r="G89" s="19">
        <f>+[67]Main!$H$6-[67]Main!$H$5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+[68]Main!$I$2</f>
        <v>38.119999999999997</v>
      </c>
      <c r="F90" s="19">
        <f>+[68]Main!$I$4</f>
        <v>1935.4971035199997</v>
      </c>
      <c r="G90" s="19">
        <f>+[68]Main!$I$6-[68]Main!$I$5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+[69]Main!$I$2</f>
        <v>24.73</v>
      </c>
      <c r="F91" s="19">
        <f>+[69]Main!$I$4</f>
        <v>1761.5194085300002</v>
      </c>
      <c r="G91" s="19">
        <f>+[69]Main!$I$6-[69]Main!$I$5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+[70]Main!$I$2</f>
        <v>27.07</v>
      </c>
      <c r="F95" s="19">
        <f>+[70]Main!$I$4</f>
        <v>1188.01315849</v>
      </c>
      <c r="G95" s="19">
        <f>+[70]Main!$I$6-[70]Main!$I$5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+[71]Main!$I$2</f>
        <v>59.85</v>
      </c>
      <c r="F96" s="19">
        <f>+[71]Main!$I$4</f>
        <v>939.70682505000002</v>
      </c>
      <c r="G96" s="19">
        <f>+[71]Main!$I$6-[71]Main!$I$5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+[72]Main!$J$2</f>
        <v>15.34</v>
      </c>
      <c r="F97" s="19">
        <f>+[72]Main!$J$4*FX!C13</f>
        <v>1025.7928231121998</v>
      </c>
      <c r="G97" s="19">
        <f>+([72]Main!$J$6-[72]Main!$J$5)*FX!C13</f>
        <v>152.28300000000002</v>
      </c>
      <c r="H97" s="19">
        <f>+F97+G97</f>
        <v>1178.0758231121999</v>
      </c>
      <c r="I97" s="18" t="s">
        <v>717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+[73]Main!$I$2</f>
        <v>4.53</v>
      </c>
      <c r="F100" s="19">
        <f>+[73]Main!$I$4</f>
        <v>736.21656488999997</v>
      </c>
      <c r="G100" s="19">
        <f>+[73]Main!$I$6-[73]Main!$I$5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+[74]Main!$I$2</f>
        <v>16.75</v>
      </c>
      <c r="F101" s="19">
        <f>+[74]Main!$I$4</f>
        <v>872.38125524999998</v>
      </c>
      <c r="G101" s="19">
        <f>+[74]Main!$I$6-[74]Main!$I$5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+'[75]Main '!$F$2</f>
        <v>4.3620000000000001</v>
      </c>
      <c r="F116" s="19">
        <f>+'[75]Main '!$F$4*FX!C8</f>
        <v>644.11734022080009</v>
      </c>
      <c r="G116" s="19">
        <f>+('[75]Main '!$F$6-'[75]Main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+[76]Main!$H$2</f>
        <v>2.4</v>
      </c>
      <c r="F123" s="19">
        <f>+[76]Main!$H$4</f>
        <v>252.04949999999997</v>
      </c>
      <c r="G123" s="19">
        <f>+[76]Main!$H$6-[76]Main!$H$5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+[77]Main!$I$2</f>
        <v>17.79</v>
      </c>
      <c r="F125" s="19">
        <f>+[77]Main!$I$4</f>
        <v>270.90115659000003</v>
      </c>
      <c r="G125" s="19">
        <f>+[77]Main!$I$6-[77]Main!$I$5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+[79]Main!$J$2</f>
        <v>29.25</v>
      </c>
      <c r="F155" s="19">
        <f>+[79]Main!$J$4</f>
        <v>2376.6897667500002</v>
      </c>
      <c r="G155" s="19">
        <f>+[79]Main!$J$6-[79]Main!$J$5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716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717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821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820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822</v>
      </c>
      <c r="C13" s="81" t="s">
        <v>823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732</v>
      </c>
      <c r="D2" s="76" t="s">
        <v>719</v>
      </c>
      <c r="E2" s="76" t="s">
        <v>720</v>
      </c>
      <c r="F2" s="77" t="s">
        <v>4</v>
      </c>
      <c r="G2" s="77" t="s">
        <v>804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721</v>
      </c>
      <c r="C3" s="46" t="s">
        <v>722</v>
      </c>
      <c r="D3" s="47" t="s">
        <v>730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728</v>
      </c>
      <c r="E4" s="78">
        <v>45782</v>
      </c>
      <c r="F4" s="48" t="s">
        <v>729</v>
      </c>
      <c r="G4" s="80">
        <v>9420</v>
      </c>
      <c r="H4" s="47" t="s">
        <v>805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731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733</v>
      </c>
      <c r="C6" s="47" t="s">
        <v>733</v>
      </c>
      <c r="D6" s="47" t="s">
        <v>734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803</v>
      </c>
      <c r="H7" s="47" t="s">
        <v>802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809</v>
      </c>
      <c r="E8" s="78">
        <v>45322</v>
      </c>
      <c r="F8" s="47"/>
      <c r="G8" s="47">
        <v>500</v>
      </c>
      <c r="H8" s="47" t="s">
        <v>810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814</v>
      </c>
      <c r="C9" s="47" t="s">
        <v>815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723</v>
      </c>
      <c r="D2" s="47" t="s">
        <v>724</v>
      </c>
      <c r="E2" s="47" t="s">
        <v>725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727</v>
      </c>
      <c r="C3" s="47" t="s">
        <v>726</v>
      </c>
      <c r="D3" s="47" t="s">
        <v>8</v>
      </c>
      <c r="E3" s="47" t="s">
        <v>736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735</v>
      </c>
      <c r="C4" s="47" t="s">
        <v>740</v>
      </c>
      <c r="D4" s="47" t="s">
        <v>8</v>
      </c>
      <c r="E4" s="47" t="s">
        <v>737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741</v>
      </c>
      <c r="C5" s="47" t="s">
        <v>738</v>
      </c>
      <c r="D5" s="47" t="s">
        <v>7</v>
      </c>
      <c r="E5" s="47" t="s">
        <v>739</v>
      </c>
      <c r="F5" s="47" t="s">
        <v>742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743</v>
      </c>
      <c r="C6" s="47" t="s">
        <v>744</v>
      </c>
      <c r="D6" s="47" t="s">
        <v>9</v>
      </c>
      <c r="E6" s="47" t="s">
        <v>745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747</v>
      </c>
      <c r="C7" s="47" t="s">
        <v>748</v>
      </c>
      <c r="D7" s="47" t="s">
        <v>99</v>
      </c>
      <c r="E7" s="47" t="s">
        <v>749</v>
      </c>
      <c r="F7" s="47" t="s">
        <v>760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750</v>
      </c>
      <c r="D8" s="47" t="s">
        <v>135</v>
      </c>
      <c r="E8" s="47" t="s">
        <v>751</v>
      </c>
      <c r="F8" s="47" t="s">
        <v>752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753</v>
      </c>
      <c r="C9" s="47" t="s">
        <v>754</v>
      </c>
      <c r="D9" s="47" t="s">
        <v>682</v>
      </c>
      <c r="E9" s="47" t="s">
        <v>752</v>
      </c>
      <c r="F9" s="47" t="s">
        <v>755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756</v>
      </c>
      <c r="C10" s="47" t="s">
        <v>757</v>
      </c>
      <c r="D10" s="47" t="s">
        <v>758</v>
      </c>
      <c r="E10" s="47" t="s">
        <v>752</v>
      </c>
      <c r="F10" s="47" t="s">
        <v>759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761</v>
      </c>
      <c r="C11" s="47" t="s">
        <v>762</v>
      </c>
      <c r="D11" s="47" t="s">
        <v>7</v>
      </c>
      <c r="E11" s="47" t="s">
        <v>766</v>
      </c>
      <c r="F11" s="47" t="s">
        <v>763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764</v>
      </c>
      <c r="C12" s="47" t="s">
        <v>765</v>
      </c>
      <c r="D12" s="47" t="s">
        <v>123</v>
      </c>
      <c r="E12" s="47" t="s">
        <v>767</v>
      </c>
      <c r="F12" s="47" t="s">
        <v>768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721</v>
      </c>
      <c r="C13" s="47" t="s">
        <v>769</v>
      </c>
      <c r="D13" s="47" t="s">
        <v>135</v>
      </c>
      <c r="E13" s="47" t="s">
        <v>770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771</v>
      </c>
      <c r="C14" s="47" t="s">
        <v>772</v>
      </c>
      <c r="D14" s="47" t="s">
        <v>677</v>
      </c>
      <c r="E14" s="47" t="s">
        <v>777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773</v>
      </c>
      <c r="C15" s="47" t="s">
        <v>774</v>
      </c>
      <c r="D15" s="47" t="s">
        <v>775</v>
      </c>
      <c r="E15" s="47" t="s">
        <v>776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778</v>
      </c>
      <c r="C16" s="47" t="s">
        <v>779</v>
      </c>
      <c r="D16" s="47" t="s">
        <v>780</v>
      </c>
      <c r="E16" s="47" t="s">
        <v>781</v>
      </c>
      <c r="F16" s="47" t="s">
        <v>782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783</v>
      </c>
      <c r="C17" s="47" t="s">
        <v>784</v>
      </c>
      <c r="D17" s="47" t="s">
        <v>785</v>
      </c>
      <c r="E17" s="47" t="s">
        <v>777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800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786</v>
      </c>
      <c r="C21" s="47" t="s">
        <v>787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788</v>
      </c>
      <c r="C22" s="47" t="s">
        <v>789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790</v>
      </c>
      <c r="C23" s="47" t="s">
        <v>791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792</v>
      </c>
      <c r="C24" s="47" t="s">
        <v>793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794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795</v>
      </c>
      <c r="C26" s="47" t="s">
        <v>796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797</v>
      </c>
      <c r="C27" s="47" t="s">
        <v>798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721</v>
      </c>
      <c r="C28" s="47" t="s">
        <v>799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811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718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806</v>
      </c>
      <c r="C18" s="59" t="s">
        <v>807</v>
      </c>
      <c r="D18" s="47"/>
      <c r="E18" s="60" t="s">
        <v>808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2025-10-01T16:39:16Z</dcterms:modified>
  <cp:category/>
  <cp:contentStatus/>
</cp:coreProperties>
</file>