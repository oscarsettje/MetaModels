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3E1C8501-266A-46D8-9217-25FB55321DE2}" xr6:coauthVersionLast="47" xr6:coauthVersionMax="47" xr10:uidLastSave="{00000000-0000-0000-0000-000000000000}"/>
  <bookViews>
    <workbookView xWindow="-120" yWindow="-120" windowWidth="38640" windowHeight="2106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Market" sheetId="11" r:id="rId11"/>
    <sheet name="Private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" l="1"/>
  <c r="F36" i="1"/>
  <c r="E36" i="1"/>
  <c r="M12" i="1" l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60" i="1"/>
  <c r="F60" i="1"/>
  <c r="E60" i="1"/>
  <c r="G100" i="1"/>
  <c r="F100" i="1"/>
  <c r="E100" i="1"/>
  <c r="G90" i="1"/>
  <c r="F90" i="1"/>
  <c r="E90" i="1"/>
  <c r="H60" i="1" l="1"/>
  <c r="H100" i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<sst xmlns="http://schemas.openxmlformats.org/spreadsheetml/2006/main" count="1390" uniqueCount="820">
  <si>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</si>
  <si>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</si>
  <si>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</si>
  <si>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</si>
  <si>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</si>
  <si>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</si>
  <si>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</si>
  <si>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</si>
  <si>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</si>
  <si>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</si>
  <si>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</si>
  <si>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</si>
  <si>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</si>
  <si>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</si>
  <si>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</si>
  <si>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</si>
  <si>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</si>
  <si>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</si>
  <si>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</si>
  <si>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</si>
  <si>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</si>
  <si>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</si>
  <si>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</si>
  <si>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</si>
  <si>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</si>
  <si>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</si>
  <si>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</si>
  <si>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</si>
  <si>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</si>
  <si>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</si>
  <si>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</si>
  <si>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</si>
  <si>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</si>
  <si>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</si>
  <si>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</si>
  <si>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</si>
  <si>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</si>
  <si>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</si>
  <si>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</si>
  <si>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</si>
  <si>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</si>
  <si>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</si>
  <si>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</si>
  <si>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</si>
  <si>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</si>
  <si>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</si>
  <si>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</si>
  <si>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</si>
  <si>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</si>
  <si>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</si>
  <si>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</si>
  <si>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</si>
  <si>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</si>
  <si>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</si>
  <si>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</si>
  <si>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</si>
  <si>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</si>
  <si>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</si>
  <si>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</si>
  <si>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</si>
  <si>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</si>
  <si>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</si>
  <si>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</si>
  <si>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</si>
  <si>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</si>
  <si>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</si>
  <si>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</si>
  <si>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</si>
  <si>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</si>
  <si>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</si>
  <si>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</si>
  <si>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</si>
  <si>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</si>
  <si>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</si>
  <si>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</si>
  <si>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</si>
  <si>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</si>
  <si>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</si>
  <si>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</si>
  <si>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</si>
  <si>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</si>
  <si>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</si>
  <si>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</si>
  <si>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</si>
  <si>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</si>
  <si>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</si>
  <si>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</si>
  <si>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</si>
  <si>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</si>
  <si>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</si>
  <si>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</si>
  <si>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</si>
  <si>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</si>
  <si>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</si>
  <si>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</si>
  <si>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</si>
  <si>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</si>
  <si>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</si>
  <si>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</si>
  <si>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</si>
  <si>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</si>
  <si>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</si>
  <si>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</si>
  <si>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</si>
  <si>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</si>
  <si>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</si>
  <si>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</si>
  <si>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</si>
  <si>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</si>
  <si>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</si>
  <si>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</si>
  <si>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</si>
  <si>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</si>
  <si>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</si>
  <si>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</si>
  <si>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</si>
  <si>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</si>
  <si>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</si>
  <si>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</si>
  <si>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</si>
  <si>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</si>
  <si>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</si>
  <si>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</si>
  <si>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</si>
  <si>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</si>
  <si>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</si>
  <si>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</si>
  <si>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</si>
  <si>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</si>
  <si>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</si>
  <si>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</si>
  <si>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</si>
  <si>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</si>
  <si>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</si>
  <si>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</si>
  <si>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</si>
  <si>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</si>
  <si>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</si>
  <si>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</si>
  <si>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</si>
  <si>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</si>
  <si>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</si>
  <si>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</si>
  <si>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</si>
  <si>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</si>
  <si>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</si>
  <si>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</si>
  <si>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</si>
  <si>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</si>
  <si>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</si>
  <si>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</si>
  <si>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</si>
  <si>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</si>
  <si>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</si>
  <si>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</si>
  <si>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</si>
  <si>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</si>
  <si>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</si>
  <si>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</si>
  <si>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</si>
  <si>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</si>
  <si>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</si>
  <si>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</si>
  <si>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</si>
  <si>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</si>
  <si>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</si>
  <si>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</si>
  <si>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</si>
  <si>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</si>
  <si>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</si>
  <si>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</si>
  <si>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</si>
  <si>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</si>
  <si>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</si>
  <si>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</si>
  <si>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</si>
  <si>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</si>
  <si>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</si>
  <si>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</si>
  <si>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</si>
  <si>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</si>
  <si>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</si>
  <si>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</si>
  <si>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</si>
  <si>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</si>
  <si>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</si>
  <si>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</si>
  <si>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</si>
  <si>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</si>
  <si>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</si>
  <si>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</si>
  <si>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</si>
  <si>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</si>
  <si>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</si>
  <si>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</si>
  <si>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</si>
  <si>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</si>
  <si>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</si>
  <si>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</si>
  <si>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</si>
  <si>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</si>
  <si>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</si>
  <si>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</si>
  <si>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</si>
  <si>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</si>
  <si>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</si>
  <si>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</si>
  <si>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</si>
  <si>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</si>
  <si>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</si>
  <si>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</si>
  <si>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</si>
  <si>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</si>
  <si>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</si>
  <si>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</si>
  <si>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</si>
  <si>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</si>
  <si>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</si>
  <si>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</si>
  <si>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</si>
  <si>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</si>
  <si>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</si>
  <si>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</si>
  <si>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</si>
  <si>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</si>
  <si>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</si>
  <si>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</si>
  <si>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</si>
  <si>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</si>
  <si>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</si>
  <si>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</si>
  <si>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</si>
  <si>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</si>
  <si>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</si>
  <si>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</si>
  <si>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</si>
  <si>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</si>
  <si>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</si>
  <si>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</si>
  <si>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</si>
  <si>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</si>
  <si>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</si>
  <si>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</si>
  <si>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</si>
  <si>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</si>
  <si>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</si>
  <si>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</si>
  <si>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</si>
  <si>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</si>
  <si>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</si>
  <si>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</si>
  <si>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</si>
  <si>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</si>
  <si>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</si>
  <si>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</si>
  <si>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</si>
  <si>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</si>
  <si>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</si>
  <si>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</si>
  <si>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</si>
  <si>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</si>
  <si>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</si>
  <si>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</si>
  <si>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</si>
  <si>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</si>
  <si>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</si>
  <si>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</si>
  <si>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</si>
  <si>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</si>
  <si>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</si>
  <si>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</si>
  <si>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</si>
  <si>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</si>
  <si>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</si>
  <si>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</si>
  <si>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</si>
  <si>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</si>
  <si>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</si>
  <si>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</si>
  <si>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</si>
  <si>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</si>
  <si>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</si>
  <si>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</si>
  <si>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</si>
  <si>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</si>
  <si>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</si>
  <si>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</si>
  <si>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</si>
  <si>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</si>
  <si>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</si>
  <si>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</si>
  <si>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</si>
  <si>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</si>
  <si>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</si>
  <si>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</si>
  <si>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</si>
  <si>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</si>
  <si>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</si>
  <si>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</si>
  <si>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</si>
  <si>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</si>
  <si>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</si>
  <si>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</si>
  <si>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</si>
  <si>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</si>
  <si>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</si>
  <si>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</si>
  <si>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</si>
  <si>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</si>
  <si>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</si>
  <si>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</si>
  <si>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</si>
  <si>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</si>
  <si>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</si>
  <si>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</si>
  <si>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</si>
  <si>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</si>
  <si>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</si>
  <si>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</si>
  <si>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</si>
  <si>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</si>
  <si>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</si>
  <si>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</si>
  <si>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</si>
  <si>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</si>
  <si>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</si>
  <si>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</si>
  <si>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</si>
  <si>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</si>
  <si>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</si>
  <si>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</si>
  <si>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</si>
  <si>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</si>
  <si>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</si>
  <si>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</si>
  <si>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</si>
  <si>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</si>
  <si>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</si>
  <si>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</si>
  <si>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</si>
  <si>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</si>
  <si>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</si>
  <si>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</si>
  <si>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</si>
  <si>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</si>
  <si>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</si>
  <si>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</si>
  <si>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</si>
  <si>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</si>
  <si>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</si>
  <si>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</si>
  <si>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</si>
  <si>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</si>
  <si>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</si>
  <si>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</si>
  <si>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</si>
  <si>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</si>
  <si>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</si>
  <si>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</si>
  <si>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</si>
  <si>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</si>
  <si>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</si>
  <si>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</si>
  <si>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</si>
  <si>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</si>
  <si>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</si>
  <si>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</si>
  <si>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</si>
  <si>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</si>
  <si>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</si>
  <si>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</si>
  <si>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</si>
  <si>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</si>
  <si>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</si>
  <si>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</si>
  <si>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</si>
  <si>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</si>
  <si>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</si>
  <si>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</si>
  <si>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</si>
  <si>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</si>
  <si>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</si>
  <si>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</si>
  <si>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</si>
  <si>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</si>
  <si>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</si>
  <si>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</si>
  <si>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</si>
  <si>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</si>
  <si>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</si>
  <si>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</si>
  <si>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</si>
  <si>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</si>
  <si>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</si>
  <si>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</si>
  <si>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</si>
  <si>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</si>
  <si>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</si>
  <si>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</si>
  <si>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</si>
  <si>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</si>
  <si>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</si>
  <si>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</si>
  <si>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</si>
  <si>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</si>
  <si>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</si>
  <si>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</si>
  <si>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</si>
  <si>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</si>
  <si>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</si>
  <si>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</si>
  <si>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</si>
  <si>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</si>
  <si>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</si>
  <si>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</si>
  <si>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</si>
  <si>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</si>
  <si>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</si>
  <si>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</si>
  <si>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</si>
  <si>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</si>
  <si>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</si>
  <si>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</si>
  <si>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</si>
  <si>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</si>
  <si>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</si>
  <si>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</si>
  <si>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</si>
  <si>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</si>
  <si>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</si>
  <si>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</si>
  <si>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</si>
  <si>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</si>
  <si>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</si>
  <si>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</si>
  <si>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</si>
  <si>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</si>
  <si>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</si>
  <si>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</si>
  <si>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</si>
  <si>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</si>
  <si>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</si>
  <si>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</si>
  <si>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</si>
  <si>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</si>
  <si>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</si>
  <si>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</si>
  <si>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</si>
  <si>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</si>
  <si>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</si>
  <si>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</si>
  <si>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</si>
  <si>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</si>
  <si>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</si>
  <si>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</si>
  <si>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</si>
  <si>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</si>
  <si>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</si>
  <si>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</si>
  <si>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</si>
  <si>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</si>
  <si>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</si>
  <si>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</si>
  <si>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</si>
  <si>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</si>
  <si>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Mai/Juni</t>
  </si>
  <si>
    <t>November/Dezember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</si>
  <si>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</si>
  <si>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</si>
  <si>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</si>
  <si>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</si>
  <si>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</si>
  <si>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</si>
  <si>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</si>
  <si>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</si>
  <si>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</si>
  <si>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</si>
  <si>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</si>
  <si>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</si>
  <si>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</si>
  <si>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</si>
  <si>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</si>
  <si>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</si>
  <si>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</si>
  <si>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</si>
  <si>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</si>
  <si>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</si>
  <si>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</si>
  <si>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</si>
  <si>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</si>
  <si>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</si>
  <si>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</si>
  <si>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</si>
  <si>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</si>
  <si>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</si>
  <si>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</si>
  <si>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</si>
  <si>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</si>
  <si>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</si>
  <si>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</si>
  <si>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</si>
  <si>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</si>
  <si>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</si>
  <si>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</si>
  <si>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</si>
  <si>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</si>
  <si>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</si>
  <si>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</si>
  <si>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</si>
  <si>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</si>
  <si>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</si>
  <si>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</si>
  <si>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</si>
  <si>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</si>
  <si>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</si>
  <si>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</si>
  <si>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</si>
  <si>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</si>
  <si>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</si>
  <si>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</si>
  <si>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</si>
  <si>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</si>
  <si>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</si>
  <si>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</si>
  <si>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</si>
  <si>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</si>
  <si>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</si>
  <si>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</si>
  <si>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</si>
  <si>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</si>
  <si>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</si>
  <si>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</si>
  <si>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</si>
  <si>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</si>
  <si>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</si>
  <si>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</si>
  <si>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</si>
  <si>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</si>
  <si>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</si>
  <si>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</si>
  <si>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</si>
  <si>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</si>
  <si>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</si>
  <si>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</si>
  <si>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</si>
  <si>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</si>
  <si>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</si>
  <si>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</si>
  <si>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</si>
  <si>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</si>
  <si>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</si>
  <si>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</si>
  <si>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</si>
  <si>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</si>
  <si>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</si>
  <si>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</si>
  <si>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</si>
  <si>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</si>
  <si>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</si>
  <si>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</si>
  <si>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</si>
  <si>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</si>
  <si>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</si>
  <si>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</si>
  <si>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</si>
  <si>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</si>
  <si>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</si>
  <si>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</si>
  <si>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</si>
  <si>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</si>
  <si>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</si>
  <si>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</si>
  <si>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</si>
  <si>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</si>
  <si>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</si>
  <si>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</si>
  <si>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</si>
  <si>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</si>
  <si>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</si>
  <si>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</si>
  <si>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</si>
  <si>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</si>
  <si>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</si>
  <si>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</si>
  <si>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</si>
  <si>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</si>
  <si>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</si>
  <si>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</si>
  <si>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</si>
  <si>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</si>
  <si>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</si>
  <si>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</si>
  <si>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</si>
  <si>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</si>
  <si>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</si>
  <si>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</si>
  <si>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</si>
  <si>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</si>
  <si>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</si>
  <si>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</si>
  <si>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</si>
  <si>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</si>
  <si>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</si>
  <si>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</si>
  <si>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</si>
  <si>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</si>
  <si>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</si>
  <si>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</si>
  <si>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</si>
  <si>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</si>
  <si>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</si>
  <si>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</si>
  <si>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</si>
  <si>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</si>
  <si>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</si>
  <si>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</si>
  <si>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</si>
  <si>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</si>
  <si>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</si>
  <si>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</si>
  <si>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</si>
  <si>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</si>
  <si>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</si>
  <si>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</si>
  <si>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</si>
  <si>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</si>
  <si>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</si>
  <si>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</si>
  <si>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</si>
  <si>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</si>
  <si>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</si>
  <si>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</si>
  <si>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</si>
  <si>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</si>
  <si>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</si>
  <si>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</si>
  <si>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</si>
  <si>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</si>
  <si>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</si>
  <si>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</si>
  <si>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</si>
  <si>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</si>
  <si>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</si>
  <si>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</si>
  <si>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</si>
  <si>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</si>
  <si>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</si>
  <si>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</si>
  <si>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</si>
  <si>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</si>
  <si>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</si>
  <si>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</si>
  <si>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</si>
  <si>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</si>
  <si>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</si>
  <si>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</si>
  <si>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</si>
  <si>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</si>
  <si>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</si>
  <si>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</si>
  <si>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</si>
  <si>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</si>
  <si>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</si>
  <si>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</si>
  <si>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</si>
  <si>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</si>
  <si>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</si>
  <si>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</si>
  <si>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</si>
  <si>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</si>
  <si>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</si>
  <si>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</si>
  <si>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</si>
  <si>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</si>
  <si>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</si>
  <si>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</si>
  <si>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</si>
  <si>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</si>
  <si>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</si>
  <si>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</si>
  <si>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</si>
  <si>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</si>
  <si>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</si>
  <si>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</si>
  <si>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</si>
  <si>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</si>
  <si>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</si>
  <si>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</si>
  <si>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</si>
  <si>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</si>
  <si>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</si>
  <si>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</si>
  <si>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</si>
  <si>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</si>
  <si>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</si>
  <si>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</si>
  <si>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</si>
  <si>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</si>
  <si>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</si>
  <si>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</si>
  <si>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</si>
  <si>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</si>
  <si>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</si>
  <si>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</si>
  <si>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</si>
  <si>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</si>
  <si>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</si>
  <si>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</si>
  <si>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</si>
  <si>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</si>
  <si>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</si>
  <si>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</si>
  <si>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</si>
  <si>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</si>
  <si>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</si>
  <si>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</si>
  <si>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Q126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</si>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</sst>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81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2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8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9" fillId="2" borderId="2" xfId="0" applyFont="1" applyFill="1" applyBorder="1"/>
    <xf numFmtId="0" fontId="9" fillId="2" borderId="3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66" fontId="7" fillId="0" borderId="0" xfId="0" applyNumberFormat="1" applyFont="1"/>
    <xf numFmtId="9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8" fontId="7" fillId="0" borderId="0" xfId="1" applyNumberFormat="1" applyFont="1" applyAlignment="1">
      <alignment horizontal="right"/>
    </xf>
    <xf numFmtId="9" fontId="7" fillId="0" borderId="0" xfId="1" applyFont="1"/>
    <xf numFmtId="168" fontId="7" fillId="0" borderId="0" xfId="0" applyNumberFormat="1" applyFont="1"/>
    <xf numFmtId="0" fontId="10" fillId="0" borderId="0" xfId="2" applyFont="1"/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167" fontId="7" fillId="0" borderId="0" xfId="0" applyNumberFormat="1" applyFont="1"/>
    <xf numFmtId="16" fontId="7" fillId="0" borderId="0" xfId="0" applyNumberFormat="1" applyFont="1" applyAlignment="1">
      <alignment horizontal="right"/>
    </xf>
    <xf numFmtId="0" fontId="10" fillId="0" borderId="0" xfId="2" applyFont="1" applyAlignment="1">
      <alignment horizontal="left"/>
    </xf>
    <xf numFmtId="0" fontId="7" fillId="0" borderId="0" xfId="0" quotePrefix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6" fontId="8" fillId="0" borderId="0" xfId="0" applyNumberFormat="1" applyFont="1"/>
    <xf numFmtId="0" fontId="8" fillId="0" borderId="0" xfId="1" applyNumberFormat="1" applyFont="1" applyAlignment="1">
      <alignment horizontal="right"/>
    </xf>
    <xf numFmtId="2" fontId="8" fillId="0" borderId="0" xfId="1" applyNumberFormat="1" applyFont="1"/>
    <xf numFmtId="0" fontId="11" fillId="0" borderId="0" xfId="2" applyFont="1"/>
    <xf numFmtId="0" fontId="1" fillId="0" borderId="0" xfId="0" applyFont="1"/>
    <xf numFmtId="0" fontId="1" fillId="0" borderId="0" xfId="0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2" fontId="5" fillId="2" borderId="2" xfId="1" applyNumberFormat="1" applyFont="1" applyFill="1" applyBorder="1" applyAlignment="1">
      <alignment horizontal="right"/>
    </xf>
    <xf numFmtId="0" fontId="5" fillId="2" borderId="2" xfId="1" applyNumberFormat="1" applyFont="1" applyFill="1" applyBorder="1" applyAlignment="1">
      <alignment horizontal="right"/>
    </xf>
    <xf numFmtId="0" fontId="5" fillId="2" borderId="3" xfId="0" applyFont="1" applyFill="1" applyBorder="1"/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1" fillId="0" borderId="0" xfId="0" applyFont="1" applyAlignment="1">
      <alignment horizontal="left"/>
    </xf>
    <xf numFmtId="165" fontId="1" fillId="0" borderId="0" xfId="0" applyNumberFormat="1" applyFont="1"/>
    <xf numFmtId="17" fontId="1" fillId="0" borderId="0" xfId="0" applyNumberFormat="1" applyFont="1" applyAlignment="1">
      <alignment horizontal="right"/>
    </xf>
    <xf numFmtId="16" fontId="1" fillId="0" borderId="0" xfId="0" applyNumberFormat="1" applyFont="1"/>
    <xf numFmtId="9" fontId="1" fillId="0" borderId="0" xfId="1" applyFont="1"/>
    <xf numFmtId="168" fontId="1" fillId="0" borderId="0" xfId="0" applyNumberFormat="1" applyFont="1"/>
    <xf numFmtId="168" fontId="1" fillId="0" borderId="0" xfId="1" applyNumberFormat="1" applyFont="1"/>
    <xf numFmtId="164" fontId="1" fillId="0" borderId="0" xfId="1" applyNumberFormat="1" applyFont="1"/>
    <xf numFmtId="0" fontId="1" fillId="0" borderId="0" xfId="1" applyNumberFormat="1" applyFont="1" applyAlignment="1">
      <alignment horizontal="right"/>
    </xf>
    <xf numFmtId="0" fontId="11" fillId="0" borderId="0" xfId="2" applyFont="1" applyAlignment="1">
      <alignment horizontal="left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166" fontId="5" fillId="2" borderId="2" xfId="0" applyNumberFormat="1" applyFont="1" applyFill="1" applyBorder="1" applyAlignment="1">
      <alignment horizontal="right"/>
    </xf>
    <xf numFmtId="9" fontId="5" fillId="2" borderId="2" xfId="1" applyFont="1" applyFill="1" applyBorder="1"/>
    <xf numFmtId="0" fontId="1" fillId="0" borderId="0" xfId="0" quotePrefix="1" applyFont="1" applyAlignment="1">
      <alignment horizontal="left"/>
    </xf>
    <xf numFmtId="0" fontId="12" fillId="0" borderId="0" xfId="0" applyFont="1"/>
    <xf numFmtId="2" fontId="1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14" fontId="1" fillId="0" borderId="0" xfId="0" applyNumberFormat="1" applyFont="1"/>
    <xf numFmtId="3" fontId="1" fillId="0" borderId="0" xfId="0" applyNumberFormat="1" applyFont="1" applyAlignment="1">
      <alignment horizontal="right"/>
    </xf>
    <xf numFmtId="3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externalLink" Target="externalLinks/externalLink56.xml"/><Relationship Id="rId84" Type="http://schemas.openxmlformats.org/officeDocument/2006/relationships/externalLink" Target="externalLinks/externalLink72.xml"/><Relationship Id="rId89" Type="http://schemas.openxmlformats.org/officeDocument/2006/relationships/externalLink" Target="externalLinks/externalLink77.xml"/><Relationship Id="rId16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74" Type="http://schemas.openxmlformats.org/officeDocument/2006/relationships/externalLink" Target="externalLinks/externalLink62.xml"/><Relationship Id="rId79" Type="http://schemas.openxmlformats.org/officeDocument/2006/relationships/externalLink" Target="externalLinks/externalLink6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8.xml"/><Relationship Id="rId95" Type="http://schemas.openxmlformats.org/officeDocument/2006/relationships/externalLink" Target="externalLinks/externalLink83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64" Type="http://schemas.openxmlformats.org/officeDocument/2006/relationships/externalLink" Target="externalLinks/externalLink52.xml"/><Relationship Id="rId69" Type="http://schemas.openxmlformats.org/officeDocument/2006/relationships/externalLink" Target="externalLinks/externalLink57.xml"/><Relationship Id="rId80" Type="http://schemas.openxmlformats.org/officeDocument/2006/relationships/externalLink" Target="externalLinks/externalLink68.xml"/><Relationship Id="rId85" Type="http://schemas.openxmlformats.org/officeDocument/2006/relationships/externalLink" Target="externalLinks/externalLink7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externalLink" Target="externalLinks/externalLink58.xml"/><Relationship Id="rId75" Type="http://schemas.openxmlformats.org/officeDocument/2006/relationships/externalLink" Target="externalLinks/externalLink63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91" Type="http://schemas.openxmlformats.org/officeDocument/2006/relationships/externalLink" Target="externalLinks/externalLink79.xml"/><Relationship Id="rId96" Type="http://schemas.openxmlformats.org/officeDocument/2006/relationships/externalLink" Target="externalLinks/externalLink8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81" Type="http://schemas.openxmlformats.org/officeDocument/2006/relationships/externalLink" Target="externalLinks/externalLink69.xml"/><Relationship Id="rId86" Type="http://schemas.openxmlformats.org/officeDocument/2006/relationships/externalLink" Target="externalLinks/externalLink74.xml"/><Relationship Id="rId94" Type="http://schemas.openxmlformats.org/officeDocument/2006/relationships/externalLink" Target="externalLinks/externalLink82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WN.xlsx" TargetMode="External"/><Relationship Id="rId1" Type="http://schemas.openxmlformats.org/officeDocument/2006/relationships/externalLinkPath" Target="/1.Finance/Anaylsen/Models/JWN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513</v>
          </cell>
        </row>
        <row r="6">
          <cell r="I6">
            <v>255699.34345799999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2020</v>
          </cell>
        </row>
        <row r="4">
          <cell r="K4">
            <v>211769.06542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45.46</v>
          </cell>
        </row>
        <row r="5">
          <cell r="J5">
            <v>141644.79719985998</v>
          </cell>
        </row>
        <row r="6">
          <cell r="J6">
            <v>10013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139.75</v>
          </cell>
        </row>
        <row r="5">
          <cell r="I5">
            <v>157638</v>
          </cell>
        </row>
        <row r="6">
          <cell r="I6">
            <v>4639</v>
          </cell>
        </row>
        <row r="7">
          <cell r="I7">
            <v>2867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69.3</v>
          </cell>
        </row>
        <row r="5">
          <cell r="I5">
            <v>102335.31</v>
          </cell>
        </row>
        <row r="6">
          <cell r="I6">
            <v>9151</v>
          </cell>
        </row>
        <row r="7">
          <cell r="I7">
            <v>7961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43500</v>
          </cell>
        </row>
        <row r="5">
          <cell r="J5">
            <v>13344857.920500001</v>
          </cell>
        </row>
        <row r="6">
          <cell r="J6">
            <v>1628202</v>
          </cell>
        </row>
        <row r="7">
          <cell r="J7">
            <v>330069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216.5</v>
          </cell>
        </row>
        <row r="4">
          <cell r="K4">
            <v>87244.720979000005</v>
          </cell>
        </row>
        <row r="5">
          <cell r="K5">
            <v>263.97300000000001</v>
          </cell>
        </row>
        <row r="6">
          <cell r="K6">
            <v>2424.9989999999998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H3">
            <v>148.38</v>
          </cell>
        </row>
        <row r="5">
          <cell r="H5">
            <v>48530.723905979998</v>
          </cell>
        </row>
        <row r="6">
          <cell r="H6">
            <v>3847.0160000000001</v>
          </cell>
        </row>
        <row r="7">
          <cell r="H7">
            <v>1516.34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167.35</v>
          </cell>
        </row>
        <row r="4">
          <cell r="I4">
            <v>18988.883522699998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166.9</v>
          </cell>
        </row>
        <row r="4">
          <cell r="I4">
            <v>29799.842119599998</v>
          </cell>
        </row>
        <row r="5">
          <cell r="I5">
            <v>1529</v>
          </cell>
        </row>
        <row r="6">
          <cell r="I6">
            <v>3100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216.1</v>
          </cell>
        </row>
        <row r="4">
          <cell r="H4">
            <v>26493.762538899999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119</v>
          </cell>
        </row>
        <row r="4">
          <cell r="M4">
            <v>17782.869125000001</v>
          </cell>
        </row>
        <row r="5">
          <cell r="M5">
            <v>1720.4159999999999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134.9</v>
          </cell>
        </row>
        <row r="4">
          <cell r="I4">
            <v>216445.83590000001</v>
          </cell>
        </row>
        <row r="5">
          <cell r="I5">
            <v>16262</v>
          </cell>
        </row>
        <row r="6">
          <cell r="I6">
            <v>75359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279.45999999999998</v>
          </cell>
        </row>
        <row r="4">
          <cell r="I4">
            <v>17630.198003599999</v>
          </cell>
        </row>
        <row r="5">
          <cell r="I5">
            <v>371.09199999999998</v>
          </cell>
        </row>
        <row r="6">
          <cell r="I6">
            <v>1651.8770000000002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99.39</v>
          </cell>
        </row>
        <row r="4">
          <cell r="J4">
            <v>20685.40738692</v>
          </cell>
        </row>
        <row r="5">
          <cell r="J5">
            <v>1119.5999999999999</v>
          </cell>
        </row>
        <row r="6">
          <cell r="J6">
            <v>2394.6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4245</v>
          </cell>
        </row>
        <row r="4">
          <cell r="I4">
            <v>3117877.0918199997</v>
          </cell>
        </row>
        <row r="5">
          <cell r="I5">
            <v>124662</v>
          </cell>
        </row>
        <row r="6">
          <cell r="I6">
            <v>60000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49.4</v>
          </cell>
        </row>
        <row r="5">
          <cell r="H5">
            <v>12305.073552849997</v>
          </cell>
        </row>
        <row r="6">
          <cell r="H6">
            <v>898.4</v>
          </cell>
        </row>
        <row r="7">
          <cell r="H7">
            <v>53.5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36.65</v>
          </cell>
        </row>
        <row r="4">
          <cell r="J4">
            <v>20355.443827949999</v>
          </cell>
        </row>
        <row r="5">
          <cell r="J5">
            <v>303.39999999999998</v>
          </cell>
        </row>
        <row r="6">
          <cell r="J6">
            <v>934.7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298.52</v>
          </cell>
        </row>
        <row r="4">
          <cell r="H4">
            <v>18082.634662639997</v>
          </cell>
        </row>
        <row r="5">
          <cell r="H5">
            <v>2276.7999999999997</v>
          </cell>
        </row>
        <row r="6">
          <cell r="H6">
            <v>1867.4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23.72</v>
          </cell>
        </row>
        <row r="4">
          <cell r="I4">
            <v>6174.3159999999998</v>
          </cell>
        </row>
        <row r="5">
          <cell r="I5">
            <v>2183</v>
          </cell>
        </row>
        <row r="6">
          <cell r="I6">
            <v>1092.2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13.17</v>
          </cell>
        </row>
        <row r="4">
          <cell r="H4">
            <v>5144.4193313400001</v>
          </cell>
        </row>
        <row r="5">
          <cell r="H5">
            <v>642.38599999999997</v>
          </cell>
        </row>
        <row r="6">
          <cell r="H6">
            <v>4539.91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22.05</v>
          </cell>
        </row>
        <row r="4">
          <cell r="J4">
            <v>8181.5913333000008</v>
          </cell>
        </row>
        <row r="5">
          <cell r="J5">
            <v>2432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96.16</v>
          </cell>
        </row>
        <row r="4">
          <cell r="J4">
            <v>6538.271884159999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76.81</v>
          </cell>
        </row>
        <row r="4">
          <cell r="I4">
            <v>11580.02922</v>
          </cell>
        </row>
        <row r="5">
          <cell r="I5">
            <v>86.016000000000005</v>
          </cell>
        </row>
        <row r="6">
          <cell r="I6">
            <v>1856.34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21.82</v>
          </cell>
        </row>
        <row r="4">
          <cell r="I4">
            <v>8633.1799026200006</v>
          </cell>
        </row>
        <row r="5">
          <cell r="I5">
            <v>736.7</v>
          </cell>
        </row>
        <row r="6">
          <cell r="I6">
            <v>1033.7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16460</v>
          </cell>
        </row>
        <row r="4">
          <cell r="I4">
            <v>30547.949400000001</v>
          </cell>
        </row>
        <row r="5">
          <cell r="I5">
            <v>1581</v>
          </cell>
        </row>
        <row r="6">
          <cell r="I6">
            <v>1047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47278</v>
          </cell>
        </row>
        <row r="4">
          <cell r="H4">
            <v>527334.08420000004</v>
          </cell>
        </row>
        <row r="5">
          <cell r="H5">
            <v>59638.020000000004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55.783000000000001</v>
          </cell>
        </row>
        <row r="4">
          <cell r="H4">
            <v>3046.7200813140003</v>
          </cell>
        </row>
        <row r="5">
          <cell r="H5">
            <v>200.61099999999999</v>
          </cell>
        </row>
        <row r="6">
          <cell r="H6">
            <v>1379.1120000000001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0.86919999999999997</v>
          </cell>
        </row>
        <row r="4">
          <cell r="I4">
            <v>4483.3335999999999</v>
          </cell>
        </row>
        <row r="5">
          <cell r="I5">
            <v>731</v>
          </cell>
        </row>
        <row r="6">
          <cell r="I6">
            <v>679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70.400000000000006</v>
          </cell>
        </row>
        <row r="4">
          <cell r="H4">
            <v>7939.9936000000007</v>
          </cell>
        </row>
        <row r="5">
          <cell r="H5">
            <v>207.00700000000001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70.83</v>
          </cell>
        </row>
        <row r="4">
          <cell r="J4">
            <v>6351.1455543299999</v>
          </cell>
        </row>
        <row r="5">
          <cell r="J5">
            <v>622.83500000000004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3020.8319999999999</v>
          </cell>
        </row>
        <row r="5">
          <cell r="I5">
            <v>283.89999999999998</v>
          </cell>
        </row>
        <row r="6">
          <cell r="I6">
            <v>1307.1999999999998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96.69</v>
          </cell>
        </row>
        <row r="4">
          <cell r="I4">
            <v>4597.6094999999996</v>
          </cell>
        </row>
        <row r="5">
          <cell r="I5">
            <v>603.52499999999998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82.85</v>
          </cell>
        </row>
        <row r="4">
          <cell r="I4">
            <v>4693.9495999999999</v>
          </cell>
        </row>
        <row r="5">
          <cell r="I5">
            <v>815.47700000000009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82.63</v>
          </cell>
        </row>
        <row r="4">
          <cell r="J4">
            <v>3972.2819055999998</v>
          </cell>
        </row>
        <row r="5">
          <cell r="J5">
            <v>191</v>
          </cell>
        </row>
        <row r="6">
          <cell r="J6">
            <v>2347.3000000000002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137.26</v>
          </cell>
        </row>
        <row r="4">
          <cell r="I4">
            <v>4194.5283399999998</v>
          </cell>
        </row>
        <row r="5">
          <cell r="I5">
            <v>152.91399999999999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74.06</v>
          </cell>
        </row>
        <row r="4">
          <cell r="I4">
            <v>4097.4471148800003</v>
          </cell>
        </row>
        <row r="5">
          <cell r="I5">
            <v>344.06599999999997</v>
          </cell>
        </row>
        <row r="6">
          <cell r="I6">
            <v>740.31500000000005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24.29</v>
          </cell>
        </row>
        <row r="4">
          <cell r="I4">
            <v>4005.5894754400001</v>
          </cell>
        </row>
        <row r="5">
          <cell r="I5">
            <v>397</v>
          </cell>
        </row>
        <row r="6">
          <cell r="I6">
            <v>2617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208.43</v>
          </cell>
        </row>
        <row r="4">
          <cell r="J4">
            <v>3869.6348861900005</v>
          </cell>
        </row>
        <row r="5">
          <cell r="J5">
            <v>180.98000000000002</v>
          </cell>
        </row>
        <row r="6">
          <cell r="J6">
            <v>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41.48</v>
          </cell>
        </row>
        <row r="4">
          <cell r="J4">
            <v>2920.192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34.99</v>
          </cell>
        </row>
        <row r="4">
          <cell r="I4">
            <v>2750.9694340999999</v>
          </cell>
        </row>
        <row r="5">
          <cell r="I5">
            <v>161</v>
          </cell>
        </row>
        <row r="6">
          <cell r="I6">
            <v>1418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37.49</v>
          </cell>
        </row>
        <row r="4">
          <cell r="H4">
            <v>2706.44148976</v>
          </cell>
        </row>
        <row r="5">
          <cell r="H5">
            <v>150.47799999999998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17.25</v>
          </cell>
        </row>
        <row r="4">
          <cell r="I4">
            <v>2045.4005512499998</v>
          </cell>
        </row>
        <row r="5">
          <cell r="I5">
            <v>166</v>
          </cell>
        </row>
        <row r="6">
          <cell r="I6">
            <v>1500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9.08</v>
          </cell>
        </row>
        <row r="4">
          <cell r="J4">
            <v>2275.7254484800001</v>
          </cell>
        </row>
        <row r="5">
          <cell r="J5">
            <v>225.316</v>
          </cell>
        </row>
        <row r="6">
          <cell r="J6">
            <v>386.09500000000003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12.38</v>
          </cell>
        </row>
        <row r="4">
          <cell r="I4">
            <v>637.03569158000005</v>
          </cell>
        </row>
        <row r="5">
          <cell r="I5">
            <v>140.911</v>
          </cell>
        </row>
        <row r="6">
          <cell r="I6">
            <v>621.75900000000001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2.4</v>
          </cell>
        </row>
        <row r="4">
          <cell r="H4">
            <v>252.04949999999997</v>
          </cell>
        </row>
        <row r="5">
          <cell r="H5">
            <v>23.693000000000001</v>
          </cell>
        </row>
        <row r="6">
          <cell r="H6">
            <v>284.517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14.08</v>
          </cell>
        </row>
        <row r="4">
          <cell r="J4">
            <v>1131.6316492799999</v>
          </cell>
        </row>
        <row r="5">
          <cell r="J5">
            <v>152.1</v>
          </cell>
        </row>
        <row r="6">
          <cell r="J6">
            <v>648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24" Type="http://schemas.openxmlformats.org/officeDocument/2006/relationships/hyperlink" Target="..\Models\CPRI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66" Type="http://schemas.openxmlformats.org/officeDocument/2006/relationships/hyperlink" Target="..\Models\RVLV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printerSettings" Target="../printerSettings/printerSettings1.bin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30" sqref="I30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818</v>
      </c>
      <c r="N3" s="11" t="s">
        <v>819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1761231.966348676</v>
      </c>
      <c r="G4" s="19">
        <f>+SUM(G6:G153)</f>
        <v>18805.585885200013</v>
      </c>
      <c r="H4" s="19">
        <f>SUM(H6:H153)</f>
        <v>1780037.5522338767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22873.142420112676</v>
      </c>
      <c r="G5" s="19">
        <f>AVERAGE(G6:G153)</f>
        <v>244.22838811948068</v>
      </c>
      <c r="H5" s="19">
        <f>AVERAGE(H6:H153)</f>
        <v>23117.370808232165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513</v>
      </c>
      <c r="F6" s="19">
        <f>+[1]Main!$I$6*FX!C3</f>
        <v>265927.31719631999</v>
      </c>
      <c r="G6" s="19">
        <f>(+[1]Main!$I$8-[1]Main!$I$7)*FX!C3</f>
        <v>14773.2</v>
      </c>
      <c r="H6" s="19">
        <f>F6+G6</f>
        <v>280700.51719632</v>
      </c>
      <c r="I6" s="27" t="s">
        <v>149</v>
      </c>
      <c r="J6" s="28">
        <v>45944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2020</v>
      </c>
      <c r="F7" s="19">
        <f>+[2]Main!$K$4*FX!C3</f>
        <v>220239.8280368</v>
      </c>
      <c r="G7" s="19">
        <f>+([2]Main!$K$6-[2]Main!$K$5)*FX!C3</f>
        <v>-10700.56</v>
      </c>
      <c r="H7" s="19">
        <f>F7+G7</f>
        <v>209539.2680368</v>
      </c>
      <c r="I7" s="27" t="s">
        <v>149</v>
      </c>
      <c r="J7" s="28">
        <v>45953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45.46</v>
      </c>
      <c r="F8" s="19">
        <f>+[3]Main!$J$5*FX!C3</f>
        <v>147310.58908785437</v>
      </c>
      <c r="G8" s="19">
        <f>+([3]Main!$J$7-[3]Main!$J$6)*FX!C3</f>
        <v>-10412.48</v>
      </c>
      <c r="H8" s="19">
        <f t="shared" ref="H8:H35" si="1">F8+G8</f>
        <v>136898.10908785436</v>
      </c>
      <c r="I8" s="27" t="s">
        <v>149</v>
      </c>
      <c r="J8" s="28">
        <v>45994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139.75</v>
      </c>
      <c r="F9" s="19">
        <f>+[4]Main!$I$5</f>
        <v>157638</v>
      </c>
      <c r="G9" s="19">
        <f>+[4]Main!$I$7-[4]Main!$I$6</f>
        <v>-1772</v>
      </c>
      <c r="H9" s="19">
        <f>F9+G9</f>
        <v>155866</v>
      </c>
      <c r="I9" s="27" t="s">
        <v>803</v>
      </c>
      <c r="J9" s="28">
        <v>45980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28">
        <v>45500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69.3</v>
      </c>
      <c r="F11" s="19">
        <f>+[6]Main!$I$5</f>
        <v>102335.31</v>
      </c>
      <c r="G11" s="19">
        <f>+[6]Main!$I$7-[6]Main!$I$6</f>
        <v>-1190</v>
      </c>
      <c r="H11" s="19">
        <f t="shared" si="1"/>
        <v>101145.31</v>
      </c>
      <c r="I11" s="27" t="s">
        <v>717</v>
      </c>
      <c r="J11" s="28">
        <v>45930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43500</v>
      </c>
      <c r="F12" s="19">
        <f>+[7]Main!$J$5*FX!C5</f>
        <v>84072.604899149999</v>
      </c>
      <c r="G12" s="19">
        <f>+([7]Main!$J$7-[7]Main!$J$6)*FX!C5</f>
        <v>-8178.2379000000001</v>
      </c>
      <c r="H12" s="19">
        <f t="shared" si="1"/>
        <v>75894.366999149992</v>
      </c>
      <c r="I12" s="27" t="s">
        <v>380</v>
      </c>
      <c r="J12" s="28">
        <v>45939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216.5</v>
      </c>
      <c r="F13" s="19">
        <f>+[8]Main!$K$4</f>
        <v>87244.720979000005</v>
      </c>
      <c r="G13" s="19">
        <f>+[8]Main!$K$6-[8]Main!$K$5</f>
        <v>2161.0259999999998</v>
      </c>
      <c r="H13" s="19">
        <f t="shared" si="1"/>
        <v>89405.746979000003</v>
      </c>
      <c r="I13" s="27" t="s">
        <v>717</v>
      </c>
      <c r="J13" s="28">
        <v>45924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148.38</v>
      </c>
      <c r="F14" s="19">
        <f>+[9]Main!$H$5</f>
        <v>48530.723905979998</v>
      </c>
      <c r="G14" s="19">
        <f>+[9]Main!$H$7-[9]Main!$H$6</f>
        <v>-2330.6760000000004</v>
      </c>
      <c r="H14" s="19">
        <f t="shared" si="1"/>
        <v>46200.047905979998</v>
      </c>
      <c r="I14" s="27" t="s">
        <v>815</v>
      </c>
      <c r="J14" s="28">
        <v>45981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167.35</v>
      </c>
      <c r="F15" s="19">
        <f>+[10]Main!$I$4</f>
        <v>18988.883522699998</v>
      </c>
      <c r="G15" s="19">
        <f>+[10]Main!$I$6-[10]Main!$I$5</f>
        <v>-1155.7940000000001</v>
      </c>
      <c r="H15" s="19">
        <f>F15+G15</f>
        <v>17833.089522699996</v>
      </c>
      <c r="I15" s="27" t="s">
        <v>149</v>
      </c>
      <c r="J15" s="28">
        <v>45995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166.9</v>
      </c>
      <c r="F16" s="19">
        <f>+[11]Main!$I$4*FX!C3</f>
        <v>30991.835804383998</v>
      </c>
      <c r="G16" s="19">
        <f>+([11]Main!$I$6-[11]Main!$I$5)*FX!C3</f>
        <v>1633.8400000000001</v>
      </c>
      <c r="H16" s="19">
        <f>F16+G16</f>
        <v>32625.675804383998</v>
      </c>
      <c r="I16" s="27" t="s">
        <v>338</v>
      </c>
      <c r="J16" s="28">
        <v>45959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216.1</v>
      </c>
      <c r="F17" s="19">
        <f>+[12]Main!$H$4*FX!C3</f>
        <v>27553.513040456</v>
      </c>
      <c r="G17" s="19">
        <f>+([12]Main!$H$6-[12]Main!$H$5)*FX!C3</f>
        <v>9883.1200000000008</v>
      </c>
      <c r="H17" s="19">
        <f t="shared" si="1"/>
        <v>37436.633040455999</v>
      </c>
      <c r="I17" s="27" t="s">
        <v>149</v>
      </c>
      <c r="J17" s="28">
        <v>45952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119</v>
      </c>
      <c r="F19" s="19">
        <f>+[14]Main!$M$4</f>
        <v>17782.869125000001</v>
      </c>
      <c r="G19" s="19">
        <f>+[14]Main!$M$6-[14]Main!$M$5</f>
        <v>-1720.4159999999999</v>
      </c>
      <c r="H19" s="19">
        <f>F19+G19</f>
        <v>16062.453125000002</v>
      </c>
      <c r="I19" s="27" t="s">
        <v>716</v>
      </c>
      <c r="J19" s="28">
        <v>45953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134.9</v>
      </c>
      <c r="F20" s="19">
        <f>+[15]Main!$I$4*FX!C4</f>
        <v>20562.3544105</v>
      </c>
      <c r="G20" s="19">
        <f>+([15]Main!$I$6-[15]Main!$I$5)*FX!C4</f>
        <v>5614.2150000000001</v>
      </c>
      <c r="H20" s="19">
        <f t="shared" si="1"/>
        <v>26176.5694105</v>
      </c>
      <c r="I20" s="27" t="s">
        <v>149</v>
      </c>
      <c r="J20" s="28">
        <v>45925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149</v>
      </c>
      <c r="J21" s="28">
        <v>45953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>
        <v>45772</v>
      </c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149</v>
      </c>
      <c r="J23" s="28">
        <v>45958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279.45999999999998</v>
      </c>
      <c r="F24" s="19">
        <f>+[19]Main!$I$4</f>
        <v>17630.198003599999</v>
      </c>
      <c r="G24" s="19">
        <f>+[19]Main!$I$6-[19]Main!$I$5</f>
        <v>1280.7850000000003</v>
      </c>
      <c r="H24" s="19">
        <f>F24+G24</f>
        <v>18910.983003599998</v>
      </c>
      <c r="I24" s="27" t="s">
        <v>716</v>
      </c>
      <c r="J24" s="28">
        <v>45897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99.39</v>
      </c>
      <c r="F25" s="19">
        <f>+[20]Main!$J$4</f>
        <v>20685.40738692</v>
      </c>
      <c r="G25" s="19">
        <f>+[20]Main!$J$6-[20]Main!$J$5</f>
        <v>1275</v>
      </c>
      <c r="H25" s="19">
        <f t="shared" si="1"/>
        <v>21960.40738692</v>
      </c>
      <c r="I25" s="27" t="s">
        <v>422</v>
      </c>
      <c r="J25" s="28">
        <v>45967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4245</v>
      </c>
      <c r="F26" s="19">
        <f>+[21]Main!$I$4*FX!C5</f>
        <v>19642.625678466</v>
      </c>
      <c r="G26" s="19">
        <f>+([21]Main!$I$6-[21]Main!$I$5)*FX!C5</f>
        <v>-407.37060000000002</v>
      </c>
      <c r="H26" s="19">
        <f>F26+G26</f>
        <v>19235.255078466002</v>
      </c>
      <c r="I26" s="18" t="s">
        <v>149</v>
      </c>
      <c r="J26" s="28">
        <v>45968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118.8</v>
      </c>
      <c r="F27" s="19">
        <f>+[22]Main!$I$4*FX!C8</f>
        <v>17250.235199999999</v>
      </c>
      <c r="G27" s="19">
        <f>+([22]Main!$I$6-[22]Main!$I$5)*FX!C8</f>
        <v>421.84800000000007</v>
      </c>
      <c r="H27" s="19">
        <f>F27+G27</f>
        <v>17672.083200000001</v>
      </c>
      <c r="I27" s="27" t="s">
        <v>149</v>
      </c>
      <c r="J27" s="28">
        <v>45959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49.4</v>
      </c>
      <c r="F28" s="19">
        <f>+[23]Main!$H$5*FX!C7</f>
        <v>13781.682379191998</v>
      </c>
      <c r="G28" s="19">
        <f>+([23]Main!$H$7-[23]Main!$H$6)*FX!C7</f>
        <v>-946.28800000000001</v>
      </c>
      <c r="H28" s="19">
        <f>F28+G28</f>
        <v>12835.394379191997</v>
      </c>
      <c r="I28" s="27" t="s">
        <v>149</v>
      </c>
      <c r="J28" s="28">
        <v>45972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36.65</v>
      </c>
      <c r="F29" s="19">
        <f>+[24]Main!$J$4</f>
        <v>20355.443827949999</v>
      </c>
      <c r="G29" s="19">
        <f>+[24]Main!$J$6-[24]Main!$J$5</f>
        <v>631.30000000000007</v>
      </c>
      <c r="H29" s="19">
        <f t="shared" si="1"/>
        <v>20986.743827949998</v>
      </c>
      <c r="I29" s="18" t="s">
        <v>149</v>
      </c>
      <c r="J29" s="28">
        <v>45979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298.52</v>
      </c>
      <c r="F31" s="19">
        <f>+[26]Main!$H$4</f>
        <v>18082.634662639997</v>
      </c>
      <c r="G31" s="19">
        <f>+[26]Main!$H$6-[26]Main!$H$5</f>
        <v>-409.39999999999964</v>
      </c>
      <c r="H31" s="19">
        <f t="shared" si="1"/>
        <v>17673.234662639996</v>
      </c>
      <c r="I31" s="27" t="s">
        <v>716</v>
      </c>
      <c r="J31" s="28">
        <v>45916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23.72</v>
      </c>
      <c r="F33" s="19">
        <f>+[28]Main!$I$4*FX!C3</f>
        <v>6421.2886399999998</v>
      </c>
      <c r="G33" s="19">
        <f>+([28]Main!$I$6-[28]Main!$I$5)*FX!C3</f>
        <v>-1134.432</v>
      </c>
      <c r="H33" s="19">
        <f>F33+G33</f>
        <v>5286.85664</v>
      </c>
      <c r="I33" s="27" t="s">
        <v>149</v>
      </c>
      <c r="J33" s="28">
        <v>45967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13.17</v>
      </c>
      <c r="F34" s="19">
        <f>+[29]Main!$H$4</f>
        <v>5144.4193313400001</v>
      </c>
      <c r="G34" s="19">
        <f>+[29]Main!$H$6-[29]Main!$H$5</f>
        <v>3897.5239999999999</v>
      </c>
      <c r="H34" s="19">
        <f>+G34+F34</f>
        <v>9041.9433313400004</v>
      </c>
      <c r="I34" s="18" t="s">
        <v>719</v>
      </c>
      <c r="J34" s="28">
        <v>45957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42.33</v>
      </c>
      <c r="F35" s="19">
        <f>+[30]Main!$I$5*FX!C3</f>
        <v>8209.4173687343991</v>
      </c>
      <c r="G35" s="19">
        <f>+([30]Main!$I$7-[30]Main!$I$6)*FX!C3</f>
        <v>956.61903999999981</v>
      </c>
      <c r="H35" s="19">
        <f t="shared" si="1"/>
        <v>9166.0364087343987</v>
      </c>
      <c r="I35" s="18" t="s">
        <v>149</v>
      </c>
      <c r="J35" s="28">
        <v>46009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748</v>
      </c>
      <c r="D36" s="3" t="s">
        <v>21</v>
      </c>
      <c r="E36" s="26">
        <f>+[31]Main!$J$2</f>
        <v>22.05</v>
      </c>
      <c r="F36" s="19">
        <f>+[31]Main!$J$4</f>
        <v>8181.5913333000008</v>
      </c>
      <c r="G36" s="19">
        <f>+([31]Main!$J$6-[31]Main!$J$5)</f>
        <v>-941</v>
      </c>
      <c r="H36" s="19">
        <f>+G36+F36</f>
        <v>7240.5913333000008</v>
      </c>
      <c r="I36" s="18" t="s">
        <v>149</v>
      </c>
      <c r="J36" s="28">
        <v>45980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28">
        <v>45771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96.16</v>
      </c>
      <c r="F38" s="19">
        <f>+[33]Main!$J$4*FX!C3</f>
        <v>6799.8027595263993</v>
      </c>
      <c r="G38" s="19">
        <f>+([33]Main!$J$6-[33]Main!$J$5)*FX!C3</f>
        <v>-246.27304000000004</v>
      </c>
      <c r="H38" s="19">
        <f>F38+G38</f>
        <v>6553.5297195263993</v>
      </c>
      <c r="I38" s="18" t="s">
        <v>338</v>
      </c>
      <c r="J38" s="28">
        <v>45897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76.81</v>
      </c>
      <c r="F39" s="19">
        <f>+[34]Main!$I$4</f>
        <v>11580.02922</v>
      </c>
      <c r="G39" s="19">
        <f>+[34]Main!$I$6-[34]Main!$I$5</f>
        <v>1770.3239999999998</v>
      </c>
      <c r="H39" s="19">
        <f>F39+G39</f>
        <v>13350.353220000001</v>
      </c>
      <c r="I39" s="18" t="s">
        <v>149</v>
      </c>
      <c r="J39" s="28">
        <v>45960</v>
      </c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21.82</v>
      </c>
      <c r="F40" s="19">
        <f>+[35]Main!$I$4</f>
        <v>8633.1799026200006</v>
      </c>
      <c r="G40" s="19">
        <f>+[35]Main!$I$6-[35]Main!$I$5</f>
        <v>297</v>
      </c>
      <c r="H40" s="19">
        <f>F40+G40</f>
        <v>8930.1799026200006</v>
      </c>
      <c r="I40" s="18" t="s">
        <v>149</v>
      </c>
      <c r="J40" s="28">
        <v>45931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16460</v>
      </c>
      <c r="F41" s="19">
        <f>+[36]Main!$I$4*FX!C11</f>
        <v>7636.9873500000003</v>
      </c>
      <c r="G41" s="19">
        <f>+([36]Main!$I$6-[36]Main!$I$5)*FX!C11</f>
        <v>-133.5</v>
      </c>
      <c r="H41" s="19">
        <f>+F41+G41</f>
        <v>7503.4873500000003</v>
      </c>
      <c r="I41" s="18" t="s">
        <v>337</v>
      </c>
      <c r="J41" s="3"/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47278</v>
      </c>
      <c r="F43" s="19">
        <f>+[38]Main!$H$4*FX!C12</f>
        <v>5800.6749262000003</v>
      </c>
      <c r="G43" s="19">
        <f>+([38]Main!$H$6-[38]Main!$H$5)*FX!C12</f>
        <v>-656.01822000000004</v>
      </c>
      <c r="H43" s="19">
        <f>+F43+G43</f>
        <v>5144.6567062000004</v>
      </c>
      <c r="I43" s="18" t="s">
        <v>334</v>
      </c>
      <c r="J43" s="3"/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55.783000000000001</v>
      </c>
      <c r="F44" s="19">
        <f>+[39]Main!$H$4</f>
        <v>3046.7200813140003</v>
      </c>
      <c r="G44" s="19">
        <f>+[39]Main!$H$6-[39]Main!$H$5</f>
        <v>1178.5010000000002</v>
      </c>
      <c r="H44" s="19">
        <f>F44+G44</f>
        <v>4225.2210813140009</v>
      </c>
      <c r="I44" s="18" t="s">
        <v>149</v>
      </c>
      <c r="J44" s="28">
        <v>45958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0.86919999999999997</v>
      </c>
      <c r="F46" s="19">
        <f>+[41]Main!$I$4*FX!C8</f>
        <v>5559.3336639999998</v>
      </c>
      <c r="G46" s="19">
        <f>+([41]Main!$I$6-[41]Main!$I$5)*FX!C8</f>
        <v>-64.48</v>
      </c>
      <c r="H46" s="19">
        <f>F46+G46</f>
        <v>5494.8536640000002</v>
      </c>
      <c r="I46" s="27" t="s">
        <v>422</v>
      </c>
      <c r="J46" s="28">
        <v>45896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70.400000000000006</v>
      </c>
      <c r="F47" s="19">
        <f>+[42]Main!$H$4*FX!C13</f>
        <v>5478.5955839999997</v>
      </c>
      <c r="G47" s="19">
        <f>+([42]Main!$H$6-[42]Main!$H$5)*FX!C13</f>
        <v>-142.83482999999998</v>
      </c>
      <c r="H47" s="19">
        <f>+F47+G47</f>
        <v>5335.7607539999999</v>
      </c>
      <c r="I47" s="18" t="s">
        <v>380</v>
      </c>
      <c r="J47" s="3"/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70.83</v>
      </c>
      <c r="F50" s="19">
        <f>+[45]Main!$J$4</f>
        <v>6351.1455543299999</v>
      </c>
      <c r="G50" s="19">
        <f>+[45]Main!$J$6-[45]Main!$J$5</f>
        <v>-622.83500000000004</v>
      </c>
      <c r="H50" s="19">
        <f>+F50+G50</f>
        <v>5728.3105543299998</v>
      </c>
      <c r="I50" s="18" t="s">
        <v>815</v>
      </c>
      <c r="J50" s="28">
        <v>45986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3141.6652800000002</v>
      </c>
      <c r="G51" s="19">
        <f>+([46]Main!$I$6-[46]Main!$I$5)*FX!C3</f>
        <v>1064.232</v>
      </c>
      <c r="H51" s="19">
        <f t="shared" si="3"/>
        <v>4205.8972800000001</v>
      </c>
      <c r="I51" s="18" t="s">
        <v>432</v>
      </c>
      <c r="J51" s="28">
        <v>45869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96.69</v>
      </c>
      <c r="F53" s="19">
        <f>+[48]Main!$I$4</f>
        <v>4597.6094999999996</v>
      </c>
      <c r="G53" s="19">
        <f>+[48]Main!$I$6-[48]Main!$I$5</f>
        <v>-603.52499999999998</v>
      </c>
      <c r="H53" s="19">
        <f>F53+G53</f>
        <v>3994.0844999999995</v>
      </c>
      <c r="I53" s="27" t="s">
        <v>149</v>
      </c>
      <c r="J53" s="28">
        <v>45986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82.85</v>
      </c>
      <c r="F54" s="19">
        <f>+[49]Main!$I$4</f>
        <v>4693.9495999999999</v>
      </c>
      <c r="G54" s="19">
        <f>+[49]Main!$I$6-[49]Main!$I$5</f>
        <v>-815.47700000000009</v>
      </c>
      <c r="H54" s="19">
        <f t="shared" si="3"/>
        <v>3878.4726000000001</v>
      </c>
      <c r="I54" s="18" t="s">
        <v>338</v>
      </c>
      <c r="J54" s="28">
        <v>45771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82.63</v>
      </c>
      <c r="F55" s="19">
        <f>+[50]Main!$J$4</f>
        <v>3972.2819055999998</v>
      </c>
      <c r="G55" s="19">
        <f>+([50]Main!$J$6-[50]Main!$J$5)</f>
        <v>2156.3000000000002</v>
      </c>
      <c r="H55" s="19">
        <f>F55+G55</f>
        <v>6128.5819056</v>
      </c>
      <c r="I55" s="18" t="s">
        <v>432</v>
      </c>
      <c r="J55" s="28">
        <v>45896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137.26</v>
      </c>
      <c r="F58" s="19">
        <f>+[53]Main!$I$4</f>
        <v>4194.5283399999998</v>
      </c>
      <c r="G58" s="19">
        <f>+[53]Main!$I$6-[53]Main!$I$5</f>
        <v>-152.91399999999999</v>
      </c>
      <c r="H58" s="19">
        <f t="shared" si="3"/>
        <v>4041.6143400000001</v>
      </c>
      <c r="I58" s="18" t="s">
        <v>380</v>
      </c>
      <c r="J58" s="28">
        <v>45791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74.06</v>
      </c>
      <c r="F59" s="19">
        <f>+[54]Main!$I$4</f>
        <v>4097.4471148800003</v>
      </c>
      <c r="G59" s="19">
        <f>+[54]Main!$I$6-[54]Main!$I$5</f>
        <v>396.24900000000008</v>
      </c>
      <c r="H59" s="19">
        <f t="shared" si="3"/>
        <v>4493.6961148800001</v>
      </c>
      <c r="I59" s="18" t="s">
        <v>338</v>
      </c>
      <c r="J59" s="28"/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>
        <f>+[55]Main!$I$2</f>
        <v>24.29</v>
      </c>
      <c r="F60" s="19">
        <f>+[55]Main!$I$4</f>
        <v>4005.5894754400001</v>
      </c>
      <c r="G60" s="19">
        <f>+[55]Main!$I$6-[55]Main!$I$5</f>
        <v>2220</v>
      </c>
      <c r="H60" s="19">
        <f>+F60+G60</f>
        <v>6225.5894754399997</v>
      </c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+[56]Main!$J$2</f>
        <v>132.5</v>
      </c>
      <c r="F61" s="19">
        <f>+[56]Main!$J$4*FX!C15</f>
        <v>3925.244925</v>
      </c>
      <c r="G61" s="19">
        <f>+([56]Main!$J$6-[56]Main!$J$5)*FX!C15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+[57]Main!$J$2</f>
        <v>208.43</v>
      </c>
      <c r="F62" s="19">
        <f>+[57]Main!$J$4</f>
        <v>3869.6348861900005</v>
      </c>
      <c r="G62" s="19">
        <f>+[57]Main!$J$6-[57]Main!$J$5</f>
        <v>-180.98000000000002</v>
      </c>
      <c r="H62" s="19">
        <f>+F62+G62</f>
        <v>3688.6548861900005</v>
      </c>
      <c r="I62" s="18" t="s">
        <v>432</v>
      </c>
      <c r="J62" s="3"/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698</v>
      </c>
      <c r="D63" s="3" t="s">
        <v>82</v>
      </c>
      <c r="E63" s="26">
        <f>+[58]Main!$J$2</f>
        <v>41.48</v>
      </c>
      <c r="F63" s="19">
        <f>+[58]Main!$J$4*FX!C3</f>
        <v>3036.9996799999999</v>
      </c>
      <c r="G63" s="19">
        <f>+([58]Main!$J$6-[58]Main!$J$5)*FX!C3</f>
        <v>201.76000000000002</v>
      </c>
      <c r="H63" s="19">
        <f>+F63+G63</f>
        <v>3238.7596800000001</v>
      </c>
      <c r="I63" s="18" t="s">
        <v>149</v>
      </c>
      <c r="J63" s="28">
        <v>45965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+[59]Main!$I$2</f>
        <v>5.0599999999999996</v>
      </c>
      <c r="F64" s="19">
        <f>+[59]Main!$I$4</f>
        <v>2169.8306218600001</v>
      </c>
      <c r="G64" s="19">
        <f>+[59]Main!$I$6-[59]Main!$I$5</f>
        <v>78.228999999999928</v>
      </c>
      <c r="H64" s="19">
        <f>+F64+G64</f>
        <v>2248.0596218599999</v>
      </c>
      <c r="I64" s="18" t="s">
        <v>334</v>
      </c>
      <c r="J64" s="28">
        <v>45789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+[60]Main!$I$2</f>
        <v>14.35</v>
      </c>
      <c r="F65" s="19">
        <f>+[60]Main!$I$4</f>
        <v>2756.6605860499999</v>
      </c>
      <c r="G65" s="19">
        <f>+[60]Main!$I$6-[60]Main!$I$5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+[61]Main!$I$2</f>
        <v>263.45</v>
      </c>
      <c r="F66" s="19">
        <f>+[61]Main!$I$4*FX!C12</f>
        <v>2976.4027894628493</v>
      </c>
      <c r="G66" s="19">
        <f>+([61]Main!$I$6-[61]Main!$I$5)*FX!C12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+[62]Main!$I$2</f>
        <v>34.99</v>
      </c>
      <c r="F67" s="19">
        <f>+[62]Main!$I$4</f>
        <v>2750.9694340999999</v>
      </c>
      <c r="G67" s="19">
        <f>+[62]Main!$I$6-[62]Main!$I$5</f>
        <v>1257</v>
      </c>
      <c r="H67" s="19">
        <f>F67+G67</f>
        <v>4007.9694340999999</v>
      </c>
      <c r="I67" s="27" t="s">
        <v>337</v>
      </c>
      <c r="J67" s="28">
        <v>45722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+[63]Main!$H$2</f>
        <v>37.49</v>
      </c>
      <c r="F68" s="19">
        <f>+[63]Main!$H$4</f>
        <v>2706.44148976</v>
      </c>
      <c r="G68" s="19">
        <f>+[63]Main!$H$6-[63]Main!$H$5</f>
        <v>-150.47799999999998</v>
      </c>
      <c r="H68" s="19">
        <f>+F68+G68</f>
        <v>2555.9634897599999</v>
      </c>
      <c r="I68" s="18" t="s">
        <v>337</v>
      </c>
      <c r="J68" s="3"/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+[64]Main!$I$2</f>
        <v>17.25</v>
      </c>
      <c r="F69" s="19">
        <f>+[64]Main!$I$4</f>
        <v>2045.4005512499998</v>
      </c>
      <c r="G69" s="19">
        <f>+[64]Main!$I$6-[64]Main!$I$5</f>
        <v>1334</v>
      </c>
      <c r="H69" s="19">
        <f>+F69+G69</f>
        <v>3379.4005512499998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+[65]Main!$J$2</f>
        <v>9.08</v>
      </c>
      <c r="F70" s="19">
        <f>+[65]Main!$J$4*FX!C3</f>
        <v>2366.7544664192001</v>
      </c>
      <c r="G70" s="19">
        <f>+([65]Main!$J$6-[65]Main!$J$5)*FX!C3</f>
        <v>167.21016000000003</v>
      </c>
      <c r="H70" s="19">
        <f>+F70+G70</f>
        <v>2533.9646264192002</v>
      </c>
      <c r="I70" s="18" t="s">
        <v>148</v>
      </c>
      <c r="J70" s="28">
        <v>45743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+[66]Main!$J$2</f>
        <v>828.4</v>
      </c>
      <c r="F71" s="19">
        <f>+[66]Main!$J$4*FX!C12</f>
        <v>2214.6636811287999</v>
      </c>
      <c r="G71" s="19">
        <f>+([66]Main!$J$6-[66]Main!$J$5)*FX!C12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+[67]Main!$I$2</f>
        <v>5.82</v>
      </c>
      <c r="F83" s="19">
        <f>+[67]Main!$I$4</f>
        <v>2055.0937514400002</v>
      </c>
      <c r="G83" s="19">
        <f>+[67]Main!$I$6-[67]Main!$I$5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+[68]Main!$H$2</f>
        <v>41.42</v>
      </c>
      <c r="F89" s="19">
        <f>+[68]Main!$H$4</f>
        <v>1491.5652650000002</v>
      </c>
      <c r="G89" s="19">
        <f>+[68]Main!$H$6-[68]Main!$H$5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+[69]Main!$I$2</f>
        <v>38.119999999999997</v>
      </c>
      <c r="F90" s="19">
        <f>+[69]Main!$I$4</f>
        <v>1935.4971035199997</v>
      </c>
      <c r="G90" s="19">
        <f>+[69]Main!$I$6-[69]Main!$I$5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+[70]Main!$I$2</f>
        <v>24.73</v>
      </c>
      <c r="F91" s="19">
        <f>+[70]Main!$I$4</f>
        <v>1761.5194085300002</v>
      </c>
      <c r="G91" s="19">
        <f>+[70]Main!$I$6-[70]Main!$I$5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+[71]Main!$I$2</f>
        <v>27.07</v>
      </c>
      <c r="F95" s="19">
        <f>+[71]Main!$I$4</f>
        <v>1188.01315849</v>
      </c>
      <c r="G95" s="19">
        <f>+[71]Main!$I$6-[71]Main!$I$5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+[72]Main!$I$2</f>
        <v>59.85</v>
      </c>
      <c r="F96" s="19">
        <f>+[72]Main!$I$4</f>
        <v>939.70682505000002</v>
      </c>
      <c r="G96" s="19">
        <f>+[72]Main!$I$6-[72]Main!$I$5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+[73]Main!$J$2</f>
        <v>15.34</v>
      </c>
      <c r="F97" s="19">
        <f>+[73]Main!$J$4*FX!C13</f>
        <v>1025.7928231121998</v>
      </c>
      <c r="G97" s="19">
        <f>+([73]Main!$J$6-[73]Main!$J$5)*FX!C13</f>
        <v>152.28300000000002</v>
      </c>
      <c r="H97" s="19">
        <f>+F97+G97</f>
        <v>1178.0758231121999</v>
      </c>
      <c r="I97" s="18" t="s">
        <v>719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+[74]Main!$I$2</f>
        <v>4.53</v>
      </c>
      <c r="F100" s="19">
        <f>+[74]Main!$I$4</f>
        <v>736.21656488999997</v>
      </c>
      <c r="G100" s="19">
        <f>+[74]Main!$I$6-[74]Main!$I$5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+[75]Main!$I$2</f>
        <v>12.38</v>
      </c>
      <c r="F101" s="19">
        <f>+[75]Main!$I$4</f>
        <v>637.03569158000005</v>
      </c>
      <c r="G101" s="19">
        <f>+[75]Main!$I$6-[75]Main!$I$5</f>
        <v>480.84800000000001</v>
      </c>
      <c r="H101" s="19">
        <f>+F101+G101</f>
        <v>1117.88369158</v>
      </c>
      <c r="I101" s="18" t="s">
        <v>337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+'[76]Main '!$F$2</f>
        <v>4.3620000000000001</v>
      </c>
      <c r="F116" s="19">
        <f>+'[76]Main '!$F$4*FX!C8</f>
        <v>644.11734022080009</v>
      </c>
      <c r="G116" s="19">
        <f>+('[76]Main '!$F$6-'[76]Main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+[77]Main!$H$2</f>
        <v>2.4</v>
      </c>
      <c r="F123" s="19">
        <f>+[77]Main!$H$4</f>
        <v>252.04949999999997</v>
      </c>
      <c r="G123" s="19">
        <f>+[77]Main!$H$6-[77]Main!$H$5</f>
        <v>260.82400000000001</v>
      </c>
      <c r="H123" s="19">
        <f>+F123+G123</f>
        <v>512.87349999999992</v>
      </c>
      <c r="I123" s="18" t="s">
        <v>148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3" t="s">
        <v>246</v>
      </c>
      <c r="C125" s="4" t="s">
        <v>247</v>
      </c>
      <c r="D125" s="3" t="s">
        <v>21</v>
      </c>
      <c r="E125" s="26"/>
      <c r="F125" s="19"/>
      <c r="G125" s="19"/>
      <c r="H125" s="19"/>
      <c r="I125" s="18"/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479</v>
      </c>
      <c r="C154" s="4" t="s">
        <v>480</v>
      </c>
      <c r="D154" s="3" t="s">
        <v>124</v>
      </c>
      <c r="E154" s="26">
        <f>+[78]Main!$I$2</f>
        <v>2540</v>
      </c>
      <c r="F154" s="19">
        <f>+[78]Main!$I$4*FX!C5</f>
        <v>409.27593709799999</v>
      </c>
      <c r="G154" s="19">
        <f>+([78]Main!$I$6-[78]Main!$I$5)*FX!C5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481</v>
      </c>
      <c r="C155" s="4" t="s">
        <v>482</v>
      </c>
      <c r="D155" s="3" t="s">
        <v>21</v>
      </c>
      <c r="E155" s="26">
        <f>+[79]Main!$J$2</f>
        <v>14.08</v>
      </c>
      <c r="F155" s="19">
        <f>+[79]Main!$J$4</f>
        <v>1131.6316492799999</v>
      </c>
      <c r="G155" s="19">
        <f>+[79]Main!$J$6-[79]Main!$J$5</f>
        <v>495.9</v>
      </c>
      <c r="H155" s="19">
        <f>+F155+G155</f>
        <v>1627.5316492799998</v>
      </c>
      <c r="I155" s="18" t="s">
        <v>338</v>
      </c>
      <c r="J155" s="3"/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484</v>
      </c>
      <c r="C156" s="4" t="s">
        <v>483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485</v>
      </c>
      <c r="C157" s="4" t="s">
        <v>486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487</v>
      </c>
      <c r="C158" s="4" t="s">
        <v>488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489</v>
      </c>
      <c r="C159" s="4" t="s">
        <v>490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491</v>
      </c>
      <c r="C160" s="4" t="s">
        <v>492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493</v>
      </c>
      <c r="C161" s="4" t="s">
        <v>494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495</v>
      </c>
      <c r="C162" s="4" t="s">
        <v>496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498</v>
      </c>
      <c r="C163" s="4" t="s">
        <v>497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499</v>
      </c>
      <c r="C164" s="4" t="s">
        <v>501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500</v>
      </c>
      <c r="C165" s="4" t="s">
        <v>502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503</v>
      </c>
      <c r="C166" s="4" t="s">
        <v>506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504</v>
      </c>
      <c r="C167" s="4" t="s">
        <v>505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507</v>
      </c>
      <c r="C168" s="4" t="s">
        <v>378</v>
      </c>
      <c r="D168" s="3" t="s">
        <v>508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509</v>
      </c>
      <c r="C169" s="4" t="s">
        <v>510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511</v>
      </c>
      <c r="C170" s="4" t="s">
        <v>512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513</v>
      </c>
      <c r="C171" s="4" t="s">
        <v>514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515</v>
      </c>
      <c r="C172" s="4" t="s">
        <v>518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516</v>
      </c>
      <c r="C173" s="4" t="s">
        <v>517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519</v>
      </c>
      <c r="C174" s="4" t="s">
        <v>520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521</v>
      </c>
      <c r="C175" s="4" t="s">
        <v>522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523</v>
      </c>
      <c r="C176" s="4" t="s">
        <v>524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525</v>
      </c>
      <c r="C177" s="4" t="s">
        <v>526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527</v>
      </c>
      <c r="C178" s="4" t="s">
        <v>529</v>
      </c>
      <c r="D178" s="3" t="s">
        <v>528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530</v>
      </c>
      <c r="C179" s="4" t="s">
        <v>531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532</v>
      </c>
      <c r="C180" s="4" t="s">
        <v>674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533</v>
      </c>
      <c r="C181" s="4" t="s">
        <v>675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</hyperlinks>
  <pageMargins left="0.7" right="0.7" top="0.75" bottom="0.75" header="0.3" footer="0.3"/>
  <pageSetup orientation="portrait" r:id="rId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690</v>
      </c>
      <c r="C6" s="47" t="s">
        <v>106</v>
      </c>
      <c r="D6" s="47" t="s">
        <v>544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691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692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693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694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544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695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481</v>
      </c>
      <c r="C19" s="47" t="s">
        <v>482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485</v>
      </c>
      <c r="C20" s="47" t="s">
        <v>486</v>
      </c>
      <c r="D20" s="47" t="s">
        <v>21</v>
      </c>
      <c r="E20" s="47">
        <f>+[80]Main!$J$2</f>
        <v>180.8</v>
      </c>
      <c r="F20" s="58">
        <f>+[80]Main!$J$4</f>
        <v>14437.908028799999</v>
      </c>
      <c r="G20" s="58">
        <f>+[80]Main!$J$6-[80]Main!$J$5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696</v>
      </c>
      <c r="C21" s="59" t="s">
        <v>480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487</v>
      </c>
      <c r="C22" s="47" t="s">
        <v>488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700</v>
      </c>
      <c r="C23" s="47" t="s">
        <v>490</v>
      </c>
      <c r="D23" s="47" t="s">
        <v>21</v>
      </c>
      <c r="E23" s="47" t="s">
        <v>718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702</v>
      </c>
      <c r="C24" s="47" t="s">
        <v>703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704</v>
      </c>
      <c r="C25" s="47" t="s">
        <v>520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705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523</v>
      </c>
      <c r="C27" s="47" t="s">
        <v>524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706</v>
      </c>
      <c r="C28" s="47" t="s">
        <v>707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708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521</v>
      </c>
      <c r="C30" s="47" t="s">
        <v>522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709</v>
      </c>
      <c r="C31" s="47" t="s">
        <v>710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711</v>
      </c>
      <c r="C32" s="47" t="s">
        <v>526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527</v>
      </c>
      <c r="C33" s="47" t="s">
        <v>529</v>
      </c>
      <c r="D33" s="47" t="s">
        <v>528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530</v>
      </c>
      <c r="C34" s="47" t="s">
        <v>531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712</v>
      </c>
      <c r="C35" s="47" t="s">
        <v>715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713</v>
      </c>
      <c r="C36" s="47" t="s">
        <v>714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C12" sqref="C12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+[81]Main!$I$2</f>
        <v>257.3</v>
      </c>
      <c r="F4" s="58">
        <f>+[81]Main!$I$4*FX!C3</f>
        <v>121467.16982951201</v>
      </c>
      <c r="G4" s="58">
        <f>+([81]Main!$I$6-[81]Main!$I$5)*FX!C3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+[82]Main!$J$2</f>
        <v>149.9</v>
      </c>
      <c r="F5" s="58">
        <f>+[82]Main!$J$5*FX!C7</f>
        <v>104409.88297600002</v>
      </c>
      <c r="G5" s="58">
        <f>+([82]Main!$J$7-[82]Main!$J$6)*FX!C7</f>
        <v>-8980.1600000000017</v>
      </c>
      <c r="H5" s="58">
        <f t="shared" ref="H5:H6" si="0">+F5+G5</f>
        <v>95429.722976000019</v>
      </c>
      <c r="I5" s="48" t="s">
        <v>719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699</v>
      </c>
      <c r="C6" s="59" t="s">
        <v>701</v>
      </c>
      <c r="D6" s="47" t="s">
        <v>21</v>
      </c>
      <c r="E6" s="60">
        <f>+[83]Main!$K$2</f>
        <v>63.49</v>
      </c>
      <c r="F6" s="58">
        <f>+[83]Main!$K$4</f>
        <v>22840.653210200002</v>
      </c>
      <c r="G6" s="58">
        <f>+([83]Main!$K$6-[83]Main!$K$5)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+[84]Main!$I$3</f>
        <v>140.1</v>
      </c>
      <c r="F7" s="58">
        <f>+[84]Main!$I$5*FX!C7</f>
        <v>8097.3307833600002</v>
      </c>
      <c r="G7" s="58">
        <f>+([84]Main!$I$7-[84]Main!$I$6)*FX!C7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678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541</v>
      </c>
      <c r="C31" s="59" t="s">
        <v>540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537</v>
      </c>
      <c r="C32" s="59" t="s">
        <v>538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536</v>
      </c>
      <c r="C33" s="59" t="s">
        <v>539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542</v>
      </c>
      <c r="C34" s="59" t="s">
        <v>543</v>
      </c>
      <c r="D34" s="47" t="s">
        <v>544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545</v>
      </c>
      <c r="C35" s="59" t="s">
        <v>546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547</v>
      </c>
      <c r="C36" s="59" t="s">
        <v>548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549</v>
      </c>
      <c r="C37" s="59" t="s">
        <v>550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551</v>
      </c>
      <c r="C38" s="59" t="s">
        <v>552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553</v>
      </c>
      <c r="C39" s="59" t="s">
        <v>554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555</v>
      </c>
      <c r="C40" s="59" t="s">
        <v>556</v>
      </c>
      <c r="D40" s="47" t="s">
        <v>544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557</v>
      </c>
      <c r="C41" s="59" t="s">
        <v>558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559</v>
      </c>
      <c r="C42" s="59" t="s">
        <v>560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534</v>
      </c>
      <c r="C43" s="59" t="s">
        <v>676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535</v>
      </c>
      <c r="C44" s="59" t="s">
        <v>677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561</v>
      </c>
      <c r="C45" s="47" t="s">
        <v>562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563</v>
      </c>
      <c r="C46" s="47" t="s">
        <v>564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565</v>
      </c>
      <c r="C47" s="47" t="s">
        <v>566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567</v>
      </c>
      <c r="C48" s="47" t="s">
        <v>568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569</v>
      </c>
      <c r="C50" s="47" t="s">
        <v>570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571</v>
      </c>
      <c r="C51" s="47" t="s">
        <v>572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573</v>
      </c>
      <c r="C52" s="47" t="s">
        <v>574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575</v>
      </c>
      <c r="C53" s="47" t="s">
        <v>576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577</v>
      </c>
      <c r="C54" s="47" t="s">
        <v>578</v>
      </c>
      <c r="D54" s="47" t="s">
        <v>580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581</v>
      </c>
      <c r="C4" s="47" t="s">
        <v>582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583</v>
      </c>
      <c r="C5" s="47" t="s">
        <v>584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585</v>
      </c>
      <c r="C6" s="47" t="s">
        <v>586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587</v>
      </c>
      <c r="C7" s="47" t="s">
        <v>588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589</v>
      </c>
      <c r="C8" s="47" t="s">
        <v>590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591</v>
      </c>
      <c r="C9" s="47" t="s">
        <v>592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593</v>
      </c>
      <c r="C10" s="47" t="s">
        <v>594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595</v>
      </c>
      <c r="C11" s="47" t="s">
        <v>596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597</v>
      </c>
      <c r="C12" s="47" t="s">
        <v>598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599</v>
      </c>
      <c r="C13" s="47" t="s">
        <v>600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601</v>
      </c>
      <c r="C14" s="47" t="s">
        <v>602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603</v>
      </c>
      <c r="C15" s="47" t="s">
        <v>604</v>
      </c>
      <c r="D15" s="47" t="s">
        <v>544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605</v>
      </c>
      <c r="C16" s="47" t="s">
        <v>606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607</v>
      </c>
      <c r="C17" s="47" t="s">
        <v>608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609</v>
      </c>
      <c r="C18" s="47" t="s">
        <v>610</v>
      </c>
      <c r="D18" s="47" t="s">
        <v>670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611</v>
      </c>
      <c r="C19" s="47" t="s">
        <v>612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613</v>
      </c>
      <c r="C20" s="47" t="s">
        <v>614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615</v>
      </c>
      <c r="C21" s="47" t="s">
        <v>616</v>
      </c>
      <c r="D21" s="47" t="s">
        <v>671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617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618</v>
      </c>
      <c r="C23" s="47" t="s">
        <v>619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620</v>
      </c>
      <c r="C24" s="47" t="s">
        <v>621</v>
      </c>
      <c r="D24" s="47" t="s">
        <v>528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622</v>
      </c>
      <c r="C25" s="47" t="s">
        <v>623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624</v>
      </c>
      <c r="C26" s="47" t="s">
        <v>625</v>
      </c>
      <c r="D26" s="47" t="s">
        <v>672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626</v>
      </c>
      <c r="C27" s="47" t="s">
        <v>627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628</v>
      </c>
      <c r="C28" s="47" t="s">
        <v>629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630</v>
      </c>
      <c r="C29" s="47" t="s">
        <v>631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632</v>
      </c>
      <c r="C30" s="47" t="s">
        <v>633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634</v>
      </c>
      <c r="C31" s="47" t="s">
        <v>635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636</v>
      </c>
      <c r="C32" s="47" t="s">
        <v>637</v>
      </c>
      <c r="D32" s="47" t="s">
        <v>673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638</v>
      </c>
      <c r="C33" s="47" t="s">
        <v>639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640</v>
      </c>
      <c r="C34" s="47" t="s">
        <v>641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642</v>
      </c>
      <c r="C35" s="47" t="s">
        <v>643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644</v>
      </c>
      <c r="C36" s="47" t="s">
        <v>645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646</v>
      </c>
      <c r="C37" s="47" t="s">
        <v>647</v>
      </c>
      <c r="D37" s="47" t="s">
        <v>672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648</v>
      </c>
      <c r="C38" s="47" t="s">
        <v>649</v>
      </c>
      <c r="D38" s="47" t="s">
        <v>672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650</v>
      </c>
      <c r="C39" s="47" t="s">
        <v>651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652</v>
      </c>
      <c r="C40" s="47" t="s">
        <v>653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654</v>
      </c>
      <c r="C41" s="47" t="s">
        <v>655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656</v>
      </c>
      <c r="C42" s="47" t="s">
        <v>657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658</v>
      </c>
      <c r="C43" s="47" t="s">
        <v>659</v>
      </c>
      <c r="D43" s="47" t="s">
        <v>579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660</v>
      </c>
      <c r="C44" s="47" t="s">
        <v>661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662</v>
      </c>
      <c r="C45" s="47" t="s">
        <v>663</v>
      </c>
      <c r="D45" s="47" t="s">
        <v>672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664</v>
      </c>
      <c r="C46" s="47" t="s">
        <v>665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666</v>
      </c>
      <c r="C47" s="47" t="s">
        <v>667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668</v>
      </c>
      <c r="C48" s="47" t="s">
        <v>669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B5" sqref="B5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467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468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47" t="s">
        <v>465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47" t="s">
        <v>466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469</v>
      </c>
      <c r="C10" s="47" t="s">
        <v>470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471</v>
      </c>
      <c r="C11" s="47" t="s">
        <v>472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473</v>
      </c>
      <c r="C12" s="47" t="s">
        <v>474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47"/>
      <c r="C13" s="47"/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734</v>
      </c>
      <c r="D2" s="76" t="s">
        <v>721</v>
      </c>
      <c r="E2" s="76" t="s">
        <v>722</v>
      </c>
      <c r="F2" s="77" t="s">
        <v>4</v>
      </c>
      <c r="G2" s="77" t="s">
        <v>806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723</v>
      </c>
      <c r="C3" s="46" t="s">
        <v>724</v>
      </c>
      <c r="D3" s="47" t="s">
        <v>732</v>
      </c>
      <c r="E3" s="78">
        <v>45757</v>
      </c>
      <c r="F3" s="79" t="s">
        <v>476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694</v>
      </c>
      <c r="C4" s="46" t="s">
        <v>694</v>
      </c>
      <c r="D4" s="47" t="s">
        <v>730</v>
      </c>
      <c r="E4" s="78">
        <v>45782</v>
      </c>
      <c r="F4" s="48" t="s">
        <v>731</v>
      </c>
      <c r="G4" s="80">
        <v>9420</v>
      </c>
      <c r="H4" s="47" t="s">
        <v>807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733</v>
      </c>
      <c r="E5" s="78">
        <v>45637</v>
      </c>
      <c r="F5" s="79" t="s">
        <v>476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735</v>
      </c>
      <c r="C6" s="47" t="s">
        <v>735</v>
      </c>
      <c r="D6" s="47" t="s">
        <v>736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682</v>
      </c>
      <c r="E7" s="78">
        <v>45889</v>
      </c>
      <c r="F7" s="47">
        <v>16.75</v>
      </c>
      <c r="G7" s="47" t="s">
        <v>805</v>
      </c>
      <c r="H7" s="47" t="s">
        <v>804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478</v>
      </c>
      <c r="D8" s="47" t="s">
        <v>811</v>
      </c>
      <c r="E8" s="78">
        <v>45322</v>
      </c>
      <c r="F8" s="47"/>
      <c r="G8" s="47">
        <v>500</v>
      </c>
      <c r="H8" s="47" t="s">
        <v>812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816</v>
      </c>
      <c r="C9" s="47" t="s">
        <v>817</v>
      </c>
      <c r="D9" s="47" t="s">
        <v>691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725</v>
      </c>
      <c r="D2" s="47" t="s">
        <v>726</v>
      </c>
      <c r="E2" s="47" t="s">
        <v>727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729</v>
      </c>
      <c r="C3" s="47" t="s">
        <v>728</v>
      </c>
      <c r="D3" s="47" t="s">
        <v>8</v>
      </c>
      <c r="E3" s="47" t="s">
        <v>738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737</v>
      </c>
      <c r="C4" s="47" t="s">
        <v>742</v>
      </c>
      <c r="D4" s="47" t="s">
        <v>8</v>
      </c>
      <c r="E4" s="47" t="s">
        <v>739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743</v>
      </c>
      <c r="C5" s="47" t="s">
        <v>740</v>
      </c>
      <c r="D5" s="47" t="s">
        <v>7</v>
      </c>
      <c r="E5" s="47" t="s">
        <v>741</v>
      </c>
      <c r="F5" s="47" t="s">
        <v>744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745</v>
      </c>
      <c r="C6" s="47" t="s">
        <v>746</v>
      </c>
      <c r="D6" s="47" t="s">
        <v>9</v>
      </c>
      <c r="E6" s="47" t="s">
        <v>747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749</v>
      </c>
      <c r="C7" s="47" t="s">
        <v>750</v>
      </c>
      <c r="D7" s="47" t="s">
        <v>99</v>
      </c>
      <c r="E7" s="47" t="s">
        <v>751</v>
      </c>
      <c r="F7" s="47" t="s">
        <v>762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752</v>
      </c>
      <c r="D8" s="47" t="s">
        <v>135</v>
      </c>
      <c r="E8" s="47" t="s">
        <v>753</v>
      </c>
      <c r="F8" s="47" t="s">
        <v>754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755</v>
      </c>
      <c r="C9" s="47" t="s">
        <v>756</v>
      </c>
      <c r="D9" s="47" t="s">
        <v>684</v>
      </c>
      <c r="E9" s="47" t="s">
        <v>754</v>
      </c>
      <c r="F9" s="47" t="s">
        <v>757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758</v>
      </c>
      <c r="C10" s="47" t="s">
        <v>759</v>
      </c>
      <c r="D10" s="47" t="s">
        <v>760</v>
      </c>
      <c r="E10" s="47" t="s">
        <v>754</v>
      </c>
      <c r="F10" s="47" t="s">
        <v>761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763</v>
      </c>
      <c r="C11" s="47" t="s">
        <v>764</v>
      </c>
      <c r="D11" s="47" t="s">
        <v>7</v>
      </c>
      <c r="E11" s="47" t="s">
        <v>768</v>
      </c>
      <c r="F11" s="47" t="s">
        <v>765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766</v>
      </c>
      <c r="C12" s="47" t="s">
        <v>767</v>
      </c>
      <c r="D12" s="47" t="s">
        <v>123</v>
      </c>
      <c r="E12" s="47" t="s">
        <v>769</v>
      </c>
      <c r="F12" s="47" t="s">
        <v>770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723</v>
      </c>
      <c r="C13" s="47" t="s">
        <v>771</v>
      </c>
      <c r="D13" s="47" t="s">
        <v>135</v>
      </c>
      <c r="E13" s="47" t="s">
        <v>772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773</v>
      </c>
      <c r="C14" s="47" t="s">
        <v>774</v>
      </c>
      <c r="D14" s="47" t="s">
        <v>679</v>
      </c>
      <c r="E14" s="47" t="s">
        <v>779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775</v>
      </c>
      <c r="C15" s="47" t="s">
        <v>776</v>
      </c>
      <c r="D15" s="47" t="s">
        <v>777</v>
      </c>
      <c r="E15" s="47" t="s">
        <v>778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780</v>
      </c>
      <c r="C16" s="47" t="s">
        <v>781</v>
      </c>
      <c r="D16" s="47" t="s">
        <v>782</v>
      </c>
      <c r="E16" s="47" t="s">
        <v>783</v>
      </c>
      <c r="F16" s="47" t="s">
        <v>784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785</v>
      </c>
      <c r="C17" s="47" t="s">
        <v>786</v>
      </c>
      <c r="D17" s="47" t="s">
        <v>787</v>
      </c>
      <c r="E17" s="47" t="s">
        <v>779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802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 t="s">
        <v>788</v>
      </c>
      <c r="C21" s="47" t="s">
        <v>789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790</v>
      </c>
      <c r="C22" s="47" t="s">
        <v>791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792</v>
      </c>
      <c r="C23" s="47" t="s">
        <v>793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794</v>
      </c>
      <c r="C24" s="47" t="s">
        <v>795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796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797</v>
      </c>
      <c r="C26" s="47" t="s">
        <v>798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799</v>
      </c>
      <c r="C27" s="47" t="s">
        <v>800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723</v>
      </c>
      <c r="C28" s="47" t="s">
        <v>801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29" sqref="B2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813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720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475</v>
      </c>
      <c r="C5" s="48" t="s">
        <v>476</v>
      </c>
      <c r="D5" s="47" t="s">
        <v>124</v>
      </c>
      <c r="E5" s="60" t="s">
        <v>477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679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680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681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682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683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684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685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686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687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688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689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697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B18" s="47" t="s">
        <v>808</v>
      </c>
      <c r="C18" s="59" t="s">
        <v>809</v>
      </c>
      <c r="D18" s="47"/>
      <c r="E18" s="60" t="s">
        <v>810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47"/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47"/>
      <c r="C21" s="59"/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2025-09-19T12:59:17Z</dcterms:modified>
  <cp:category/>
  <cp:contentStatus/>
</cp:coreProperties>
</file>