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65494675-DFBB-4F1E-979B-91CD29C54AE9}" xr6:coauthVersionLast="47" xr6:coauthVersionMax="47" xr10:uidLastSave="{00000000-0000-0000-0000-000000000000}"/>
  <bookViews>
    <workbookView xWindow="225" yWindow="273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Shoes" sheetId="13" r:id="rId11"/>
    <sheet name="Market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<sst xmlns="http://schemas.openxmlformats.org/spreadsheetml/2006/main" count="1423" uniqueCount="832">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</sst>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5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94">
    <xf numFmtId="0" fontId="0" fillId="0" borderId="0" xfId="0"/>
    <xf numFmtId="0" fontId="6" fillId="0" borderId="0" xfId="0" applyFont="1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left"/>
    </xf>
    <xf numFmtId="2" fontId="9" fillId="0" borderId="0" xfId="1" applyNumberFormat="1" applyFont="1"/>
    <xf numFmtId="0" fontId="9" fillId="0" borderId="0" xfId="1" applyNumberFormat="1" applyFont="1" applyAlignment="1">
      <alignment horizontal="right"/>
    </xf>
    <xf numFmtId="0" fontId="10" fillId="0" borderId="0" xfId="0" applyFont="1"/>
    <xf numFmtId="0" fontId="8" fillId="2" borderId="1" xfId="0" applyFont="1" applyFill="1" applyBorder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left"/>
    </xf>
    <xf numFmtId="0" fontId="8" fillId="2" borderId="2" xfId="0" applyFont="1" applyFill="1" applyBorder="1" applyAlignment="1">
      <alignment horizontal="right"/>
    </xf>
    <xf numFmtId="0" fontId="8" fillId="2" borderId="2" xfId="0" applyFont="1" applyFill="1" applyBorder="1" applyAlignment="1">
      <alignment horizontal="center"/>
    </xf>
    <xf numFmtId="0" fontId="8" fillId="2" borderId="2" xfId="1" applyNumberFormat="1" applyFont="1" applyFill="1" applyBorder="1" applyAlignment="1">
      <alignment horizontal="right"/>
    </xf>
    <xf numFmtId="0" fontId="11" fillId="2" borderId="2" xfId="0" applyFont="1" applyFill="1" applyBorder="1"/>
    <xf numFmtId="0" fontId="11" fillId="2" borderId="3" xfId="0" applyFont="1" applyFill="1" applyBorder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166" fontId="9" fillId="0" borderId="0" xfId="0" applyNumberFormat="1" applyFont="1"/>
    <xf numFmtId="9" fontId="9" fillId="0" borderId="0" xfId="0" applyNumberFormat="1" applyFont="1" applyAlignment="1">
      <alignment horizontal="right"/>
    </xf>
    <xf numFmtId="168" fontId="9" fillId="0" borderId="0" xfId="0" applyNumberFormat="1" applyFont="1" applyAlignment="1">
      <alignment horizontal="right"/>
    </xf>
    <xf numFmtId="168" fontId="9" fillId="0" borderId="0" xfId="1" applyNumberFormat="1" applyFont="1" applyAlignment="1">
      <alignment horizontal="right"/>
    </xf>
    <xf numFmtId="9" fontId="9" fillId="0" borderId="0" xfId="1" applyFont="1"/>
    <xf numFmtId="168" fontId="9" fillId="0" borderId="0" xfId="0" applyNumberFormat="1" applyFont="1"/>
    <xf numFmtId="0" fontId="12" fillId="0" borderId="0" xfId="2" applyFont="1"/>
    <xf numFmtId="165" fontId="9" fillId="0" borderId="0" xfId="0" applyNumberFormat="1" applyFont="1"/>
    <xf numFmtId="17" fontId="9" fillId="0" borderId="0" xfId="0" applyNumberFormat="1" applyFont="1" applyAlignment="1">
      <alignment horizontal="right"/>
    </xf>
    <xf numFmtId="16" fontId="9" fillId="0" borderId="0" xfId="0" applyNumberFormat="1" applyFont="1"/>
    <xf numFmtId="168" fontId="9" fillId="0" borderId="0" xfId="1" applyNumberFormat="1" applyFont="1"/>
    <xf numFmtId="164" fontId="9" fillId="0" borderId="0" xfId="1" applyNumberFormat="1" applyFont="1"/>
    <xf numFmtId="167" fontId="9" fillId="0" borderId="0" xfId="0" applyNumberFormat="1" applyFont="1"/>
    <xf numFmtId="16" fontId="9" fillId="0" borderId="0" xfId="0" applyNumberFormat="1" applyFont="1" applyAlignment="1">
      <alignment horizontal="right"/>
    </xf>
    <xf numFmtId="0" fontId="12" fillId="0" borderId="0" xfId="2" applyFont="1" applyAlignment="1">
      <alignment horizontal="left"/>
    </xf>
    <xf numFmtId="0" fontId="9" fillId="0" borderId="0" xfId="0" quotePrefix="1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165" fontId="10" fillId="0" borderId="0" xfId="0" applyNumberFormat="1" applyFont="1"/>
    <xf numFmtId="0" fontId="10" fillId="0" borderId="0" xfId="0" applyFont="1" applyAlignment="1">
      <alignment horizontal="right"/>
    </xf>
    <xf numFmtId="9" fontId="10" fillId="0" borderId="0" xfId="1" applyFont="1"/>
    <xf numFmtId="168" fontId="10" fillId="0" borderId="0" xfId="0" applyNumberFormat="1" applyFont="1"/>
    <xf numFmtId="168" fontId="10" fillId="0" borderId="0" xfId="1" applyNumberFormat="1" applyFont="1"/>
    <xf numFmtId="164" fontId="10" fillId="0" borderId="0" xfId="1" applyNumberFormat="1" applyFont="1"/>
    <xf numFmtId="166" fontId="10" fillId="0" borderId="0" xfId="0" applyNumberFormat="1" applyFont="1"/>
    <xf numFmtId="0" fontId="10" fillId="0" borderId="0" xfId="1" applyNumberFormat="1" applyFont="1" applyAlignment="1">
      <alignment horizontal="right"/>
    </xf>
    <xf numFmtId="2" fontId="10" fillId="0" borderId="0" xfId="1" applyNumberFormat="1" applyFont="1"/>
    <xf numFmtId="0" fontId="13" fillId="0" borderId="0" xfId="2"/>
    <xf numFmtId="0" fontId="4" fillId="0" borderId="0" xfId="0" applyFont="1"/>
    <xf numFmtId="0" fontId="4" fillId="0" borderId="0" xfId="0" applyFont="1" applyAlignment="1">
      <alignment horizontal="right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center"/>
    </xf>
    <xf numFmtId="2" fontId="7" fillId="2" borderId="2" xfId="1" applyNumberFormat="1" applyFont="1" applyFill="1" applyBorder="1" applyAlignment="1">
      <alignment horizontal="right"/>
    </xf>
    <xf numFmtId="0" fontId="7" fillId="2" borderId="2" xfId="1" applyNumberFormat="1" applyFont="1" applyFill="1" applyBorder="1" applyAlignment="1">
      <alignment horizontal="right"/>
    </xf>
    <xf numFmtId="0" fontId="7" fillId="2" borderId="3" xfId="0" applyFont="1" applyFill="1" applyBorder="1"/>
    <xf numFmtId="0" fontId="4" fillId="0" borderId="0" xfId="0" applyFont="1" applyAlignment="1">
      <alignment horizontal="center"/>
    </xf>
    <xf numFmtId="166" fontId="4" fillId="0" borderId="0" xfId="0" applyNumberFormat="1" applyFont="1"/>
    <xf numFmtId="0" fontId="4" fillId="0" borderId="0" xfId="0" applyFont="1" applyAlignment="1">
      <alignment horizontal="left"/>
    </xf>
    <xf numFmtId="165" fontId="4" fillId="0" borderId="0" xfId="0" applyNumberFormat="1" applyFont="1"/>
    <xf numFmtId="17" fontId="4" fillId="0" borderId="0" xfId="0" applyNumberFormat="1" applyFont="1" applyAlignment="1">
      <alignment horizontal="right"/>
    </xf>
    <xf numFmtId="16" fontId="4" fillId="0" borderId="0" xfId="0" applyNumberFormat="1" applyFont="1"/>
    <xf numFmtId="9" fontId="4" fillId="0" borderId="0" xfId="1" applyFont="1"/>
    <xf numFmtId="168" fontId="4" fillId="0" borderId="0" xfId="0" applyNumberFormat="1" applyFont="1"/>
    <xf numFmtId="168" fontId="4" fillId="0" borderId="0" xfId="1" applyNumberFormat="1" applyFont="1"/>
    <xf numFmtId="164" fontId="4" fillId="0" borderId="0" xfId="1" applyNumberFormat="1" applyFont="1"/>
    <xf numFmtId="0" fontId="4" fillId="0" borderId="0" xfId="1" applyNumberFormat="1" applyFont="1" applyAlignment="1">
      <alignment horizontal="right"/>
    </xf>
    <xf numFmtId="0" fontId="13" fillId="0" borderId="0" xfId="2" applyAlignment="1">
      <alignment horizontal="left"/>
    </xf>
    <xf numFmtId="165" fontId="7" fillId="2" borderId="2" xfId="0" applyNumberFormat="1" applyFont="1" applyFill="1" applyBorder="1"/>
    <xf numFmtId="166" fontId="7" fillId="2" borderId="2" xfId="0" applyNumberFormat="1" applyFont="1" applyFill="1" applyBorder="1"/>
    <xf numFmtId="166" fontId="7" fillId="2" borderId="2" xfId="0" applyNumberFormat="1" applyFont="1" applyFill="1" applyBorder="1" applyAlignment="1">
      <alignment horizontal="right"/>
    </xf>
    <xf numFmtId="9" fontId="7" fillId="2" borderId="2" xfId="1" applyFont="1" applyFill="1" applyBorder="1"/>
    <xf numFmtId="0" fontId="4" fillId="0" borderId="0" xfId="0" quotePrefix="1" applyFont="1" applyAlignment="1">
      <alignment horizontal="left"/>
    </xf>
    <xf numFmtId="0" fontId="14" fillId="0" borderId="0" xfId="0" applyFont="1"/>
    <xf numFmtId="2" fontId="4" fillId="0" borderId="0" xfId="0" applyNumberFormat="1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right"/>
    </xf>
    <xf numFmtId="14" fontId="4" fillId="0" borderId="0" xfId="0" applyNumberFormat="1" applyFont="1"/>
    <xf numFmtId="3" fontId="4" fillId="0" borderId="0" xfId="0" applyNumberFormat="1" applyFont="1" applyAlignment="1">
      <alignment horizontal="right"/>
    </xf>
    <xf numFmtId="3" fontId="4" fillId="0" borderId="0" xfId="0" applyNumberFormat="1" applyFont="1"/>
    <xf numFmtId="0" fontId="3" fillId="0" borderId="0" xfId="0" applyFont="1"/>
    <xf numFmtId="0" fontId="2" fillId="0" borderId="0" xfId="0" applyFont="1"/>
    <xf numFmtId="2" fontId="8" fillId="2" borderId="2" xfId="1" applyNumberFormat="1" applyFont="1" applyFill="1" applyBorder="1" applyAlignment="1">
      <alignment horizontal="left"/>
    </xf>
    <xf numFmtId="166" fontId="9" fillId="0" borderId="0" xfId="0" applyNumberFormat="1" applyFont="1" applyAlignment="1">
      <alignment horizontal="right"/>
    </xf>
    <xf numFmtId="0" fontId="9" fillId="0" borderId="4" xfId="0" applyFont="1" applyBorder="1" applyAlignment="1">
      <alignment horizontal="center"/>
    </xf>
    <xf numFmtId="0" fontId="8" fillId="0" borderId="4" xfId="0" applyFont="1" applyBorder="1"/>
    <xf numFmtId="0" fontId="9" fillId="0" borderId="4" xfId="0" applyFont="1" applyBorder="1"/>
    <xf numFmtId="166" fontId="9" fillId="0" borderId="4" xfId="0" applyNumberFormat="1" applyFont="1" applyBorder="1"/>
    <xf numFmtId="166" fontId="9" fillId="0" borderId="4" xfId="0" applyNumberFormat="1" applyFont="1" applyBorder="1" applyAlignment="1">
      <alignment horizontal="right"/>
    </xf>
    <xf numFmtId="9" fontId="9" fillId="0" borderId="4" xfId="1" applyFont="1" applyBorder="1"/>
    <xf numFmtId="168" fontId="9" fillId="0" borderId="4" xfId="0" applyNumberFormat="1" applyFont="1" applyBorder="1"/>
    <xf numFmtId="0" fontId="9" fillId="0" borderId="4" xfId="1" applyNumberFormat="1" applyFont="1" applyBorder="1" applyAlignment="1">
      <alignment horizontal="right"/>
    </xf>
    <xf numFmtId="0" fontId="10" fillId="0" borderId="4" xfId="0" applyFont="1" applyBorder="1"/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CO.xlsx" TargetMode="External"/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549</v>
          </cell>
        </row>
        <row r="6">
          <cell r="I6">
            <v>273230.13006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2146</v>
          </cell>
        </row>
        <row r="4">
          <cell r="K4">
            <v>226551.95815200001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54.86</v>
          </cell>
        </row>
        <row r="5">
          <cell r="J5">
            <v>170943.68955976001</v>
          </cell>
        </row>
        <row r="6">
          <cell r="J6">
            <v>11269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159.05000000000001</v>
          </cell>
        </row>
        <row r="5">
          <cell r="I5">
            <v>179090.30000000002</v>
          </cell>
        </row>
        <row r="6">
          <cell r="I6">
            <v>6230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141.80000000000001</v>
          </cell>
        </row>
        <row r="4">
          <cell r="I4">
            <v>25319.697396000003</v>
          </cell>
        </row>
        <row r="5">
          <cell r="I5">
            <v>1617</v>
          </cell>
        </row>
        <row r="6">
          <cell r="I6">
            <v>2641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284.8</v>
          </cell>
        </row>
        <row r="4">
          <cell r="H4">
            <v>34917.850457599998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185.55</v>
          </cell>
        </row>
        <row r="4">
          <cell r="I4">
            <v>297628.32315000001</v>
          </cell>
        </row>
        <row r="5">
          <cell r="I5">
            <v>20908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40.880000000000003</v>
          </cell>
        </row>
        <row r="5">
          <cell r="H5">
            <v>12552.5670144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55.15</v>
          </cell>
        </row>
        <row r="4">
          <cell r="H4">
            <v>14919.336445949999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154.69999999999999</v>
          </cell>
        </row>
        <row r="4">
          <cell r="J4">
            <v>31321.2152981</v>
          </cell>
        </row>
        <row r="5">
          <cell r="J5">
            <v>1077.7</v>
          </cell>
        </row>
        <row r="6">
          <cell r="J6">
            <v>2396.4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4396</v>
          </cell>
        </row>
        <row r="4">
          <cell r="I4">
            <v>3141807.6866959999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41.04</v>
          </cell>
        </row>
        <row r="5">
          <cell r="H5">
            <v>10356.130046052</v>
          </cell>
        </row>
        <row r="6">
          <cell r="H6">
            <v>1019.9</v>
          </cell>
        </row>
        <row r="7">
          <cell r="H7">
            <v>59.5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40.49</v>
          </cell>
        </row>
        <row r="4">
          <cell r="J4">
            <v>22544.952903140002</v>
          </cell>
        </row>
        <row r="5">
          <cell r="J5">
            <v>652.29999999999995</v>
          </cell>
        </row>
        <row r="6">
          <cell r="J6">
            <v>935.09999999999991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23.02</v>
          </cell>
        </row>
        <row r="4">
          <cell r="I4">
            <v>5992.1059999999998</v>
          </cell>
        </row>
        <row r="5">
          <cell r="I5">
            <v>1437</v>
          </cell>
        </row>
        <row r="6">
          <cell r="I6">
            <v>754.9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33.710999999999999</v>
          </cell>
        </row>
        <row r="5">
          <cell r="I5">
            <v>6199.6570538160004</v>
          </cell>
        </row>
        <row r="6">
          <cell r="I6">
            <v>229.227</v>
          </cell>
        </row>
        <row r="7">
          <cell r="I7">
            <v>1140.2079999999999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25.5</v>
          </cell>
        </row>
        <row r="4">
          <cell r="J4">
            <v>9484.0043700000006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21.96</v>
          </cell>
        </row>
        <row r="4">
          <cell r="I4">
            <v>8574.6616225199996</v>
          </cell>
        </row>
        <row r="5">
          <cell r="I5">
            <v>848.8</v>
          </cell>
        </row>
        <row r="6">
          <cell r="I6">
            <v>1039.2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99.2</v>
          </cell>
        </row>
        <row r="4">
          <cell r="H4">
            <v>5094.5152000000007</v>
          </cell>
        </row>
        <row r="5">
          <cell r="H5">
            <v>130.35400000000001</v>
          </cell>
        </row>
        <row r="6">
          <cell r="H6">
            <v>1230.885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65.5</v>
          </cell>
        </row>
        <row r="4">
          <cell r="J4">
            <v>5874.7799535000004</v>
          </cell>
        </row>
        <row r="5">
          <cell r="J5">
            <v>695.93000000000006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24.05</v>
          </cell>
        </row>
        <row r="4">
          <cell r="I4">
            <v>3545.2105000000001</v>
          </cell>
        </row>
        <row r="5">
          <cell r="I5">
            <v>290</v>
          </cell>
        </row>
        <row r="6">
          <cell r="I6">
            <v>572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95.69</v>
          </cell>
        </row>
        <row r="4">
          <cell r="I4">
            <v>4527.9551099999999</v>
          </cell>
        </row>
        <row r="5">
          <cell r="I5">
            <v>784.57600000000002</v>
          </cell>
        </row>
        <row r="6">
          <cell r="I6">
            <v>0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36.520000000000003</v>
          </cell>
        </row>
        <row r="4">
          <cell r="J4">
            <v>2571.0080000000003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</v>
          </cell>
        </row>
        <row r="4">
          <cell r="J4">
            <v>1638</v>
          </cell>
        </row>
        <row r="5">
          <cell r="J5">
            <v>206.3</v>
          </cell>
        </row>
        <row r="6">
          <cell r="J6">
            <v>621.70000000000005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233</v>
          </cell>
        </row>
        <row r="4">
          <cell r="I4">
            <v>106951.39810799999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111.2</v>
          </cell>
        </row>
        <row r="4">
          <cell r="K4">
            <v>40224.047181599999</v>
          </cell>
        </row>
        <row r="5">
          <cell r="K5">
            <v>3082</v>
          </cell>
        </row>
        <row r="6">
          <cell r="K6">
            <v>7322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194.55</v>
          </cell>
        </row>
        <row r="5">
          <cell r="I5">
            <v>10039.612674000002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39" activePane="bottomRight" state="frozen"/>
      <selection pane="topRight" activeCell="C1" sqref="C1"/>
      <selection pane="bottomLeft" activeCell="A4" sqref="A4"/>
      <selection pane="bottomRight" activeCell="J54" sqref="J54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812</v>
      </c>
      <c r="N3" s="11" t="s">
        <v>813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828</v>
      </c>
      <c r="F4" s="18">
        <f>SUM(F6:F153)</f>
        <v>1892387.5462258414</v>
      </c>
      <c r="G4" s="18">
        <f>SUM(G6:G153)</f>
        <v>1622.2899151999964</v>
      </c>
      <c r="H4" s="18">
        <f>SUM(H6:H153)</f>
        <v>1894009.8361410401</v>
      </c>
      <c r="I4" s="83" t="s">
        <v>422</v>
      </c>
      <c r="J4" s="16" t="s">
        <v>828</v>
      </c>
      <c r="K4" s="18">
        <f>SUM(K6:K153)</f>
        <v>492429.91060000006</v>
      </c>
      <c r="L4" s="19">
        <f>SUMPRODUCT(L6:L182,K6:K182)/SUM(K6:K1820)</f>
        <v>3.9002440539402931E-2</v>
      </c>
      <c r="M4" s="18">
        <f>SUM(M6:M85)</f>
        <v>86102.331999999995</v>
      </c>
      <c r="N4" s="18">
        <f>SUM(N6:N85)</f>
        <v>51484.742999999995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828</v>
      </c>
      <c r="D5" s="86" t="str" cm="1">
        <f t="array" ref="D5">_xlfn.LET(_xlpm.rng,D6:D182,INDEX(_xlpm.rng,MATCH(MAX(COUNTIF(_xlpm.rng,_xlpm.rng)),COUNTIF(_xlpm.rng,_xlpm.rng),0)))</f>
        <v>US</v>
      </c>
      <c r="E5" s="84" t="s">
        <v>828</v>
      </c>
      <c r="F5" s="87">
        <f>+AVERAGE(F6:F181)</f>
        <v>23980.187622315691</v>
      </c>
      <c r="G5" s="87">
        <f>AVERAGE(G6:G153)</f>
        <v>21.068700197402549</v>
      </c>
      <c r="H5" s="87">
        <f>AVERAGE(H6:H153)</f>
        <v>24597.530339494027</v>
      </c>
      <c r="I5" s="88" t="s">
        <v>422</v>
      </c>
      <c r="J5" s="84" t="s">
        <v>828</v>
      </c>
      <c r="K5" s="87">
        <f>AVERAGE(K6:K153)</f>
        <v>25917.363715789477</v>
      </c>
      <c r="L5" s="89">
        <f>AVERAGE(L6:L182)</f>
        <v>5.8894736842105264E-2</v>
      </c>
      <c r="M5" s="87">
        <f t="shared" ref="M5:AA5" si="0">AVERAGE(M6:M85)</f>
        <v>4783.4628888888883</v>
      </c>
      <c r="N5" s="87">
        <f t="shared" si="0"/>
        <v>3028.5142941176468</v>
      </c>
      <c r="O5" s="89">
        <f t="shared" si="0"/>
        <v>0.54647058823529415</v>
      </c>
      <c r="P5" s="89">
        <f t="shared" si="0"/>
        <v>0.16238104755529126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549</v>
      </c>
      <c r="F6" s="18">
        <f>+[1]Main!$I$6*FX!C3</f>
        <v>284159.33526239998</v>
      </c>
      <c r="G6" s="18">
        <f>(+[1]Main!$I$8-[1]Main!$I$7)*FX!C3</f>
        <v>12010.960000000001</v>
      </c>
      <c r="H6" s="18">
        <f>F6+G6</f>
        <v>296170.2952624</v>
      </c>
      <c r="I6" s="26" t="s">
        <v>422</v>
      </c>
      <c r="J6" s="27">
        <v>46080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2146</v>
      </c>
      <c r="F7" s="18">
        <f>+[2]Main!$K$4*FX!C3</f>
        <v>235614.03647808</v>
      </c>
      <c r="G7" s="18">
        <f>+([2]Main!$K$6-[2]Main!$K$5)*FX!C3</f>
        <v>-12693.2</v>
      </c>
      <c r="H7" s="18">
        <f>F7+G7</f>
        <v>222920.83647807999</v>
      </c>
      <c r="I7" s="26" t="s">
        <v>338</v>
      </c>
      <c r="J7" s="27">
        <v>46127</v>
      </c>
      <c r="K7" s="18">
        <f>16002*FX!C3</f>
        <v>16642.080000000002</v>
      </c>
      <c r="L7" s="22">
        <v>0.05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54.86</v>
      </c>
      <c r="F8" s="18">
        <f>+[3]Main!$J$5*FX!C3</f>
        <v>177781.43714215042</v>
      </c>
      <c r="G8" s="18">
        <f>+([3]Main!$J$7-[3]Main!$J$6)*FX!C3</f>
        <v>-11718.720000000001</v>
      </c>
      <c r="H8" s="18">
        <f t="shared" ref="H8:H35" si="1">F8+G8</f>
        <v>166062.71714215042</v>
      </c>
      <c r="I8" s="26" t="s">
        <v>149</v>
      </c>
      <c r="J8" s="27">
        <v>46092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159.05000000000001</v>
      </c>
      <c r="F9" s="18">
        <f>+[4]Main!$I$5</f>
        <v>179090.30000000002</v>
      </c>
      <c r="G9" s="18">
        <f>+[4]Main!$I$7-[4]Main!$I$6</f>
        <v>-3361</v>
      </c>
      <c r="H9" s="18">
        <f>F9+G9</f>
        <v>175729.30000000002</v>
      </c>
      <c r="I9" s="26" t="s">
        <v>829</v>
      </c>
      <c r="J9" s="27"/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58.85</v>
      </c>
      <c r="F11" s="18">
        <f>+[6]Main!$I$5</f>
        <v>87068.574999999997</v>
      </c>
      <c r="G11" s="18">
        <f>+[6]Main!$I$7-[6]Main!$I$6</f>
        <v>-330</v>
      </c>
      <c r="H11" s="18">
        <f t="shared" si="1"/>
        <v>86738.574999999997</v>
      </c>
      <c r="I11" s="26" t="s">
        <v>798</v>
      </c>
      <c r="J11" s="27">
        <v>46100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62750</v>
      </c>
      <c r="F12" s="18">
        <f>+[7]Main!$J$5*FX!C5</f>
        <v>121295.419182</v>
      </c>
      <c r="G12" s="18">
        <f>+([7]Main!$J$7-[7]Main!$J$6)*FX!C5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>
        <f>433010*FX!C5</f>
        <v>2727.9630000000002</v>
      </c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187.97</v>
      </c>
      <c r="F13" s="18">
        <f>+[8]Main!$K$4</f>
        <v>75466.759510000004</v>
      </c>
      <c r="G13" s="18">
        <f>+[8]Main!$K$6-[8]Main!$K$5</f>
        <v>2776.4369999999999</v>
      </c>
      <c r="H13" s="18">
        <f t="shared" si="1"/>
        <v>78243.196510000009</v>
      </c>
      <c r="I13" s="26" t="s">
        <v>798</v>
      </c>
      <c r="J13" s="27">
        <v>46106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176.36</v>
      </c>
      <c r="F14" s="18">
        <f>+[9]Main!$H$5</f>
        <v>56659.177199999998</v>
      </c>
      <c r="G14" s="18">
        <f>+[9]Main!$H$7-[9]Main!$H$6</f>
        <v>-2544.201</v>
      </c>
      <c r="H14" s="18">
        <f t="shared" si="1"/>
        <v>54114.976199999997</v>
      </c>
      <c r="I14" s="26" t="s">
        <v>822</v>
      </c>
      <c r="J14" s="27">
        <v>46086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204.5</v>
      </c>
      <c r="F15" s="18">
        <f>+[10]Main!$I$4</f>
        <v>22942.8633845</v>
      </c>
      <c r="G15" s="18">
        <f>+[10]Main!$I$6-[10]Main!$I$5</f>
        <v>-1035.8620000000001</v>
      </c>
      <c r="H15" s="18">
        <f>F15+G15</f>
        <v>21907.001384499999</v>
      </c>
      <c r="I15" s="26" t="s">
        <v>815</v>
      </c>
      <c r="J15" s="27">
        <v>46108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141.80000000000001</v>
      </c>
      <c r="F16" s="18">
        <f>+[11]Main!$I$4*FX!C3</f>
        <v>26332.485291840003</v>
      </c>
      <c r="G16" s="18">
        <f>+([11]Main!$I$6-[11]Main!$I$5)*FX!C3</f>
        <v>1064.96</v>
      </c>
      <c r="H16" s="18">
        <f>F16+G16</f>
        <v>27397.445291840002</v>
      </c>
      <c r="I16" s="26" t="s">
        <v>422</v>
      </c>
      <c r="J16" s="27">
        <v>46141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284.8</v>
      </c>
      <c r="F17" s="18">
        <f>+[12]Main!$H$4*FX!C3</f>
        <v>36314.564475904001</v>
      </c>
      <c r="G17" s="18">
        <f>+([12]Main!$H$6-[12]Main!$H$5)*FX!C3</f>
        <v>8578.9600000000009</v>
      </c>
      <c r="H17" s="18">
        <f t="shared" si="1"/>
        <v>44893.524475904</v>
      </c>
      <c r="I17" s="26" t="s">
        <v>422</v>
      </c>
      <c r="J17" s="27">
        <v>46133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101.6</v>
      </c>
      <c r="F18" s="18">
        <f>+[13]Main!$H$5*FX!C9</f>
        <v>37150.109636640002</v>
      </c>
      <c r="G18" s="18">
        <f>+([13]Main!$H$7-[13]Main!$H$6)*FX!C9</f>
        <v>-1134.5600000000002</v>
      </c>
      <c r="H18" s="18">
        <f t="shared" si="1"/>
        <v>36015.549636640004</v>
      </c>
      <c r="I18" s="26" t="s">
        <v>149</v>
      </c>
      <c r="J18" s="31">
        <v>46099</v>
      </c>
      <c r="K18" s="18">
        <f>70826*FX!C9</f>
        <v>9915.6400000000012</v>
      </c>
      <c r="L18" s="22">
        <v>0.14000000000000001</v>
      </c>
      <c r="M18" s="18">
        <f>16595*FX!C9</f>
        <v>2323.3000000000002</v>
      </c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822</v>
      </c>
      <c r="J19" s="27">
        <v>46163</v>
      </c>
      <c r="K19" s="18">
        <v>4985.6120000000001</v>
      </c>
      <c r="L19" s="22">
        <v>0.16</v>
      </c>
      <c r="M19" s="18">
        <v>1179.0999999999999</v>
      </c>
      <c r="N19" s="18">
        <v>967.2</v>
      </c>
      <c r="O19" s="22">
        <v>0.57999999999999996</v>
      </c>
      <c r="P19" s="22">
        <f>+M19/K19</f>
        <v>0.23650055399417361</v>
      </c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185.55</v>
      </c>
      <c r="F20" s="18">
        <f>+[15]Main!$I$4*FX!C4</f>
        <v>28274.690699250001</v>
      </c>
      <c r="G20" s="18">
        <f>+([15]Main!$I$6-[15]Main!$I$5)*FX!C4</f>
        <v>-22.135000000000002</v>
      </c>
      <c r="H20" s="18">
        <f t="shared" si="1"/>
        <v>28252.555699250002</v>
      </c>
      <c r="I20" s="26" t="s">
        <v>422</v>
      </c>
      <c r="J20" s="27">
        <v>46107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40.880000000000003</v>
      </c>
      <c r="F21" s="18">
        <f>+[16]Main!$H$5*FX!C3</f>
        <v>13054.669694976001</v>
      </c>
      <c r="G21" s="18">
        <f>(+[16]Main!$H$7-[16]Main!$H$6)*FX!C3</f>
        <v>489.51760000000007</v>
      </c>
      <c r="H21" s="18">
        <f t="shared" si="1"/>
        <v>13544.187294976</v>
      </c>
      <c r="I21" s="26" t="s">
        <v>422</v>
      </c>
      <c r="J21" s="27">
        <v>46142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55.15</v>
      </c>
      <c r="F23" s="18">
        <f>+[18]Main!$H$4*FX!C3</f>
        <v>15516.109903787999</v>
      </c>
      <c r="G23" s="18">
        <f>+([18]Main!$H$6-[18]Main!$H$5)*FX!C3</f>
        <v>-376.31984</v>
      </c>
      <c r="H23" s="18">
        <f t="shared" si="1"/>
        <v>15139.790063787999</v>
      </c>
      <c r="I23" s="26" t="s">
        <v>422</v>
      </c>
      <c r="J23" s="27">
        <v>46225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154.69999999999999</v>
      </c>
      <c r="F25" s="18">
        <f>+[20]Main!$J$4</f>
        <v>31321.2152981</v>
      </c>
      <c r="G25" s="18">
        <f>+[20]Main!$J$6-[20]Main!$J$5</f>
        <v>1318.7</v>
      </c>
      <c r="H25" s="18">
        <f t="shared" si="1"/>
        <v>32639.915298100001</v>
      </c>
      <c r="I25" s="26" t="s">
        <v>798</v>
      </c>
      <c r="J25" s="27">
        <v>46149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4396</v>
      </c>
      <c r="F26" s="18">
        <f>+[21]Main!$I$4*FX!C5</f>
        <v>19793.3884261848</v>
      </c>
      <c r="G26" s="18">
        <f>+([21]Main!$I$6-[21]Main!$I$5)*FX!C5</f>
        <v>-471.03210000000001</v>
      </c>
      <c r="H26" s="18">
        <f>F26+G26</f>
        <v>19322.356326184799</v>
      </c>
      <c r="I26" s="17" t="s">
        <v>422</v>
      </c>
      <c r="J26" s="27">
        <v>46155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127.35</v>
      </c>
      <c r="F27" s="18">
        <f>+[22]Main!$I$4*FX!C8</f>
        <v>18491.7294</v>
      </c>
      <c r="G27" s="18">
        <f>+([22]Main!$I$6-[22]Main!$I$5)*FX!C8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41.04</v>
      </c>
      <c r="F28" s="18">
        <f>+[23]Main!$H$5*FX!C7</f>
        <v>11598.86565157824</v>
      </c>
      <c r="G28" s="18">
        <f>+([23]Main!$H$7-[23]Main!$H$6)*FX!C7</f>
        <v>-1075.6480000000001</v>
      </c>
      <c r="H28" s="18">
        <f>F28+G28</f>
        <v>10523.217651578241</v>
      </c>
      <c r="I28" s="26" t="s">
        <v>422</v>
      </c>
      <c r="J28" s="27">
        <v>46154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40.49</v>
      </c>
      <c r="F29" s="18">
        <f>+[24]Main!$J$4</f>
        <v>22544.952903140002</v>
      </c>
      <c r="G29" s="18">
        <f>+[24]Main!$J$6-[24]Main!$J$5</f>
        <v>282.79999999999995</v>
      </c>
      <c r="H29" s="18">
        <f t="shared" si="1"/>
        <v>22827.752903140001</v>
      </c>
      <c r="I29" s="17" t="s">
        <v>422</v>
      </c>
      <c r="J29" s="27">
        <v>46078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58.65</v>
      </c>
      <c r="F30" s="18">
        <f>+[25]Main!$J$4*FX!C9</f>
        <v>12342.959101767001</v>
      </c>
      <c r="G30" s="18">
        <f>+([25]Main!$J$6-[25]Main!$J$5)*FX!C9</f>
        <v>-1188.6368200000002</v>
      </c>
      <c r="H30" s="18">
        <f t="shared" si="1"/>
        <v>11154.322281767001</v>
      </c>
      <c r="I30" s="26" t="s">
        <v>148</v>
      </c>
      <c r="J30" s="31">
        <v>45741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822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23.02</v>
      </c>
      <c r="F33" s="18">
        <f>+[28]Main!$I$4*FX!C3</f>
        <v>6231.7902400000003</v>
      </c>
      <c r="G33" s="18">
        <f>+([28]Main!$I$6-[28]Main!$I$5)*FX!C3</f>
        <v>-709.38400000000001</v>
      </c>
      <c r="H33" s="18">
        <f>F33+G33</f>
        <v>5522.4062400000003</v>
      </c>
      <c r="I33" s="26" t="s">
        <v>815</v>
      </c>
      <c r="J33" s="27">
        <v>46093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20.3</v>
      </c>
      <c r="F34" s="18">
        <f>+[29]Main!$H$4</f>
        <v>7942.6458629000008</v>
      </c>
      <c r="G34" s="18">
        <f>+[29]Main!$H$6-[29]Main!$H$5</f>
        <v>2689.1809999999996</v>
      </c>
      <c r="H34" s="18">
        <f>+G34+F34</f>
        <v>10631.826862900001</v>
      </c>
      <c r="I34" s="17" t="s">
        <v>821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33.710999999999999</v>
      </c>
      <c r="F35" s="18">
        <f>+[30]Main!$I$5*FX!C3</f>
        <v>6447.6433359686407</v>
      </c>
      <c r="G35" s="18">
        <f>+([30]Main!$I$7-[30]Main!$I$6)*FX!C3</f>
        <v>947.42023999999992</v>
      </c>
      <c r="H35" s="18">
        <f t="shared" si="1"/>
        <v>7395.0635759686411</v>
      </c>
      <c r="I35" s="17" t="s">
        <v>830</v>
      </c>
      <c r="J35" s="27">
        <v>46157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25.5</v>
      </c>
      <c r="F36" s="18">
        <f>+[31]Main!$J$4</f>
        <v>9484.0043700000006</v>
      </c>
      <c r="G36" s="18">
        <f>+([31]Main!$J$6-[31]Main!$J$5)</f>
        <v>-1026</v>
      </c>
      <c r="H36" s="18">
        <f>+G36+F36</f>
        <v>8458.0043700000006</v>
      </c>
      <c r="I36" s="17" t="s">
        <v>815</v>
      </c>
      <c r="J36" s="27">
        <v>46086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814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86.1</v>
      </c>
      <c r="F38" s="18">
        <f>+[33]Main!$J$4*FX!C3</f>
        <v>6088.4257237439997</v>
      </c>
      <c r="G38" s="18">
        <f>+([33]Main!$J$6-[33]Main!$J$5)*FX!C3</f>
        <v>200.49328000000006</v>
      </c>
      <c r="H38" s="18">
        <f>F38+G38</f>
        <v>6288.9190037439994</v>
      </c>
      <c r="I38" s="17" t="s">
        <v>422</v>
      </c>
      <c r="J38" s="27">
        <v>46093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60</v>
      </c>
      <c r="F39" s="18">
        <f>+[34]Main!$I$4</f>
        <v>8953.7999999999993</v>
      </c>
      <c r="G39" s="18">
        <f>+[34]Main!$I$6-[34]Main!$I$5</f>
        <v>1641.587</v>
      </c>
      <c r="H39" s="18">
        <f>F39+G39</f>
        <v>10595.386999999999</v>
      </c>
      <c r="I39" s="17" t="s">
        <v>815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21.96</v>
      </c>
      <c r="F40" s="18">
        <f>+[35]Main!$I$4</f>
        <v>8574.6616225199996</v>
      </c>
      <c r="G40" s="18">
        <f>+[35]Main!$I$6-[35]Main!$I$5</f>
        <v>190.40000000000009</v>
      </c>
      <c r="H40" s="18">
        <f>F40+G40</f>
        <v>8765.0616225199992</v>
      </c>
      <c r="I40" s="17" t="s">
        <v>422</v>
      </c>
      <c r="J40" s="27">
        <v>46118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99.2</v>
      </c>
      <c r="F44" s="18">
        <f>+[39]Main!$H$4</f>
        <v>5094.5152000000007</v>
      </c>
      <c r="G44" s="18">
        <f>+[39]Main!$H$6-[39]Main!$H$5</f>
        <v>1100.5309999999999</v>
      </c>
      <c r="H44" s="18">
        <f>F44+G44</f>
        <v>6195.0462000000007</v>
      </c>
      <c r="I44" s="17" t="s">
        <v>422</v>
      </c>
      <c r="J44" s="27">
        <v>46149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809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65.5</v>
      </c>
      <c r="F50" s="18">
        <f>+[45]Main!$J$4</f>
        <v>5874.7799535000004</v>
      </c>
      <c r="G50" s="18">
        <f>+[45]Main!$J$6-[45]Main!$J$5</f>
        <v>-695.93000000000006</v>
      </c>
      <c r="H50" s="18">
        <f>+F50+G50</f>
        <v>5178.8499535000001</v>
      </c>
      <c r="I50" s="17" t="s">
        <v>831</v>
      </c>
      <c r="J50" s="27">
        <v>46161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24.05</v>
      </c>
      <c r="F51" s="18">
        <f>+[46]Main!$I$4*FX!C3</f>
        <v>3687.0189200000004</v>
      </c>
      <c r="G51" s="18">
        <f>+([46]Main!$I$6-[46]Main!$I$5)*FX!C3</f>
        <v>293.28000000000003</v>
      </c>
      <c r="H51" s="18">
        <f t="shared" si="3"/>
        <v>3980.2989200000006</v>
      </c>
      <c r="I51" s="17" t="s">
        <v>422</v>
      </c>
      <c r="J51" s="27">
        <v>46142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95.69</v>
      </c>
      <c r="F53" s="18">
        <f>+[48]Main!$I$4</f>
        <v>4527.9551099999999</v>
      </c>
      <c r="G53" s="18">
        <f>+[48]Main!$I$6-[48]Main!$I$5</f>
        <v>-784.57600000000002</v>
      </c>
      <c r="H53" s="18">
        <f>F53+G53</f>
        <v>3743.3791099999999</v>
      </c>
      <c r="I53" s="26" t="s">
        <v>422</v>
      </c>
      <c r="J53" s="27">
        <v>46169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56.66</v>
      </c>
      <c r="F54" s="18">
        <f>+[49]Main!$I$4</f>
        <v>3053.3446207199995</v>
      </c>
      <c r="G54" s="18">
        <f>+[49]Main!$I$6-[49]Main!$I$5</f>
        <v>-236.02699999999999</v>
      </c>
      <c r="H54" s="18">
        <f t="shared" si="3"/>
        <v>2817.3176207199995</v>
      </c>
      <c r="I54" s="17" t="s">
        <v>815</v>
      </c>
      <c r="J54" s="27">
        <v>46056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815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809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820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815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36.520000000000003</v>
      </c>
      <c r="F63" s="18">
        <f>+[57]Main!$J$4*FX!C3</f>
        <v>2673.8483200000005</v>
      </c>
      <c r="G63" s="18">
        <f>+([57]Main!$J$6-[57]Main!$J$5)*FX!C3</f>
        <v>201.76000000000002</v>
      </c>
      <c r="H63" s="18">
        <f>+F63+G63</f>
        <v>2875.6083200000007</v>
      </c>
      <c r="I63" s="17" t="s">
        <v>815</v>
      </c>
      <c r="J63" s="27">
        <v>46091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7.47</v>
      </c>
      <c r="F64" s="18">
        <f>+[58]Main!$I$4</f>
        <v>3181.39830747</v>
      </c>
      <c r="G64" s="18">
        <f>+[58]Main!$I$6-[58]Main!$I$5</f>
        <v>525.08299999999997</v>
      </c>
      <c r="H64" s="18">
        <f>+F64+G64</f>
        <v>3706.48130747</v>
      </c>
      <c r="I64" s="17" t="s">
        <v>821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815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14.56</v>
      </c>
      <c r="F97" s="18">
        <f>+[72]Main!$J$4*FX!C13</f>
        <v>975.38578737599994</v>
      </c>
      <c r="G97" s="18">
        <f>+([72]Main!$J$6-[72]Main!$J$5)*FX!C13</f>
        <v>47.058000000000028</v>
      </c>
      <c r="H97" s="18">
        <f>+F97+G97</f>
        <v>1022.4437873759999</v>
      </c>
      <c r="I97" s="17" t="s">
        <v>821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4.3620000000000001</v>
      </c>
      <c r="F116" s="18">
        <f>+'[75]Main '!$F$4*FX!C8</f>
        <v>644.11734022080009</v>
      </c>
      <c r="G116" s="18">
        <f>+('[75]Main '!$F$6-'[75]Main '!$F$5)*FX!C8</f>
        <v>368.40400000000005</v>
      </c>
      <c r="H116" s="18">
        <f>+F116+G116</f>
        <v>1012.5213402208001</v>
      </c>
      <c r="I116" s="17"/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815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20</v>
      </c>
      <c r="F155" s="18">
        <f>+[79]Main!$J$4</f>
        <v>1638</v>
      </c>
      <c r="G155" s="18">
        <f>+[79]Main!$J$6-[79]Main!$J$5</f>
        <v>415.40000000000003</v>
      </c>
      <c r="H155" s="18">
        <f>+F155+G155</f>
        <v>2053.4</v>
      </c>
      <c r="I155" s="17" t="s">
        <v>422</v>
      </c>
      <c r="J155" s="27">
        <v>46149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20" sqref="B20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C15" sqref="C15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233</v>
      </c>
      <c r="F4" s="57">
        <f>+[81]Main!$I$4*FX!C3</f>
        <v>111229.45403231999</v>
      </c>
      <c r="G4" s="57">
        <f>+([81]Main!$I$6-[81]Main!$I$5)*FX!C3</f>
        <v>7586.8</v>
      </c>
      <c r="H4" s="57">
        <f>+F4+G4</f>
        <v>118816.25403231999</v>
      </c>
      <c r="I4" s="93" t="s">
        <v>422</v>
      </c>
      <c r="J4" s="61">
        <v>46134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149.9</v>
      </c>
      <c r="F5" s="57">
        <f>+[82]Main!$J$5*FX!C7</f>
        <v>104409.88297600002</v>
      </c>
      <c r="G5" s="57">
        <f>+([82]Main!$J$7-[82]Main!$J$6)*FX!C7</f>
        <v>-8980.1600000000017</v>
      </c>
      <c r="H5" s="57">
        <f t="shared" ref="H5:H6" si="0">+F5+G5</f>
        <v>95429.722976000019</v>
      </c>
      <c r="I5" s="47" t="s">
        <v>715</v>
      </c>
      <c r="J5" s="61">
        <v>45975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111.2</v>
      </c>
      <c r="F6" s="57">
        <f>+[83]Main!$K$4</f>
        <v>40224.047181599999</v>
      </c>
      <c r="G6" s="57">
        <f>+([83]Main!$K$6-[83]Main!$K$5)</f>
        <v>4240</v>
      </c>
      <c r="H6" s="57">
        <f t="shared" si="0"/>
        <v>44464.047181599999</v>
      </c>
      <c r="I6" s="93" t="s">
        <v>809</v>
      </c>
      <c r="J6" s="61">
        <v>46143</v>
      </c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194.55</v>
      </c>
      <c r="F7" s="57">
        <f>+[84]Main!$I$5*FX!C7</f>
        <v>11244.366194880004</v>
      </c>
      <c r="G7" s="57">
        <f>+([84]Main!$I$7-[84]Main!$I$6)*FX!C7</f>
        <v>-1219.68</v>
      </c>
      <c r="H7" s="57">
        <f>+F7+G7</f>
        <v>10024.686194880003</v>
      </c>
      <c r="I7" s="47" t="s">
        <v>149</v>
      </c>
      <c r="J7" s="61">
        <v>46099</v>
      </c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817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816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818</v>
      </c>
      <c r="C13" s="80" t="s">
        <v>819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810</v>
      </c>
      <c r="C9" s="46" t="s">
        <v>811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29" sqref="B29:C29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A20" s="75" t="s">
        <v>797</v>
      </c>
      <c r="B20" s="75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81" t="s">
        <v>826</v>
      </c>
      <c r="C21" s="46" t="s">
        <v>784</v>
      </c>
      <c r="D21" s="81" t="s">
        <v>826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827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81"/>
      <c r="C29" s="81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19"/>
  <sheetViews>
    <sheetView zoomScale="200" zoomScaleNormal="200" workbookViewId="0">
      <selection activeCell="B2" sqref="B2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B9" s="81" t="s">
        <v>807</v>
      </c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B10" s="81" t="s">
        <v>695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6" t="s">
        <v>808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topLeftCell="A10" zoomScale="200" zoomScaleNormal="200" workbookViewId="0">
      <selection activeCell="C19" sqref="C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686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687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695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C18" s="58" t="s">
        <v>803</v>
      </c>
      <c r="D18" s="46"/>
      <c r="E18" s="59" t="s">
        <v>804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81" t="s">
        <v>823</v>
      </c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824</v>
      </c>
      <c r="C21" s="81" t="s">
        <v>825</v>
      </c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Shoes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2026-03-06T15:57:40Z</dcterms:modified>
  <cp:category/>
  <cp:contentStatus/>
</cp:coreProperties>
</file>