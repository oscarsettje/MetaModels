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43C0FE8-803E-44A9-A1FA-5FAD1CE17E49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<sst xmlns="http://schemas.openxmlformats.org/spreadsheetml/2006/main" count="1394" uniqueCount="824">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</sst>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17935</v>
          </cell>
        </row>
        <row r="4">
          <cell r="I4">
            <v>33272.832649999997</v>
          </cell>
        </row>
        <row r="5">
          <cell r="I5">
            <v>1643</v>
          </cell>
        </row>
        <row r="6">
          <cell r="I6">
            <v>2042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52" sqref="J52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1768579.5668584921</v>
      </c>
      <c r="G4" s="19">
        <f>+SUM(G6:G153)</f>
        <v>19333.293975200009</v>
      </c>
      <c r="H4" s="19">
        <f>SUM(H6:H153)</f>
        <v>1787912.8608336926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22674.09701100631</v>
      </c>
      <c r="G5" s="19">
        <f>AVERAGE(G6:G153)</f>
        <v>247.86274327179498</v>
      </c>
      <c r="H5" s="19">
        <f>AVERAGE(H6:H153)</f>
        <v>22921.959754278108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715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715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177.4</v>
      </c>
      <c r="F15" s="19">
        <f>+[10]Main!$I$4</f>
        <v>20129.237746800001</v>
      </c>
      <c r="G15" s="19">
        <f>+[10]Main!$I$6-[10]Main!$I$5</f>
        <v>-1155.7940000000001</v>
      </c>
      <c r="H15" s="19">
        <f>F15+G15</f>
        <v>18973.4437468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714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714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85.3</v>
      </c>
      <c r="F38" s="19">
        <f>+[33]Main!$J$4*FX!C3</f>
        <v>6031.8549853119994</v>
      </c>
      <c r="G38" s="19">
        <f>+([33]Main!$J$6-[33]Main!$J$5)*FX!C3</f>
        <v>-246.27304000000004</v>
      </c>
      <c r="H38" s="19">
        <f>F38+G38</f>
        <v>5785.5819453119993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17935</v>
      </c>
      <c r="F41" s="19">
        <f>+[36]Main!$I$4*FX!C11</f>
        <v>8318.2081624999992</v>
      </c>
      <c r="G41" s="19">
        <f>+([36]Main!$I$6-[36]Main!$I$5)*FX!C11</f>
        <v>99.75</v>
      </c>
      <c r="H41" s="19">
        <f>+F41+G41</f>
        <v>8417.9581624999992</v>
      </c>
      <c r="I41" s="18" t="s">
        <v>432</v>
      </c>
      <c r="J41" s="28">
        <v>45925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26.13</v>
      </c>
      <c r="F67" s="19">
        <f>+[62]Main!$I$4</f>
        <v>2094.6979930499997</v>
      </c>
      <c r="G67" s="19">
        <f>+[62]Main!$I$6-[62]Main!$I$5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33.92</v>
      </c>
      <c r="F68" s="19">
        <f>+[63]Main!$H$4</f>
        <v>2464.3691366400003</v>
      </c>
      <c r="G68" s="19">
        <f>+[63]Main!$H$6-[63]Main!$H$5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19.670000000000002</v>
      </c>
      <c r="F69" s="19">
        <f>+[64]Main!$I$4</f>
        <v>2341.6752811900001</v>
      </c>
      <c r="G69" s="19">
        <f>+[64]Main!$I$6-[64]Main!$I$5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16.75</v>
      </c>
      <c r="F101" s="19">
        <f>+[75]Main!$I$4</f>
        <v>872.38125524999998</v>
      </c>
      <c r="G101" s="19">
        <f>+[75]Main!$I$6-[75]Main!$I$5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+[78]Main!$I$2</f>
        <v>17.79</v>
      </c>
      <c r="F125" s="19">
        <f>+[78]Main!$I$4</f>
        <v>270.90115659000003</v>
      </c>
      <c r="G125" s="19">
        <f>+[78]Main!$I$6-[78]Main!$I$5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+[79]Main!$I$2</f>
        <v>2540</v>
      </c>
      <c r="F154" s="19">
        <f>+[79]Main!$I$4*FX!C5</f>
        <v>409.27593709799999</v>
      </c>
      <c r="G154" s="19">
        <f>+([79]Main!$I$6-[79]Main!$I$5)*FX!C5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+[80]Main!$J$2</f>
        <v>29.25</v>
      </c>
      <c r="F155" s="19">
        <f>+[80]Main!$J$4</f>
        <v>2376.6897667500002</v>
      </c>
      <c r="G155" s="19">
        <f>+[80]Main!$J$6-[80]Main!$J$5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+[81]Main!$J$2</f>
        <v>180.8</v>
      </c>
      <c r="F20" s="58">
        <f>+[81]Main!$J$4</f>
        <v>14437.908028799999</v>
      </c>
      <c r="G20" s="58">
        <f>+[81]Main!$J$6-[81]Main!$J$5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+[82]Main!$I$2</f>
        <v>257.3</v>
      </c>
      <c r="F4" s="58">
        <f>+[82]Main!$I$4*FX!C3</f>
        <v>121467.16982951201</v>
      </c>
      <c r="G4" s="58">
        <f>+([82]Main!$I$6-[82]Main!$I$5)*FX!C3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+[83]Main!$J$2</f>
        <v>149.9</v>
      </c>
      <c r="F5" s="58">
        <f>+[83]Main!$J$5*FX!C7</f>
        <v>104409.88297600002</v>
      </c>
      <c r="G5" s="58">
        <f>+([83]Main!$J$7-[83]Main!$J$6)*FX!C7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+[84]Main!$K$2</f>
        <v>63.49</v>
      </c>
      <c r="F6" s="58">
        <f>+[84]Main!$K$4</f>
        <v>22840.653210200002</v>
      </c>
      <c r="G6" s="58">
        <f>+([84]Main!$K$6-[84]Main!$K$5)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+[85]Main!$I$3</f>
        <v>140.1</v>
      </c>
      <c r="F7" s="58">
        <f>+[85]Main!$I$5*FX!C7</f>
        <v>8097.3307833600002</v>
      </c>
      <c r="G7" s="58">
        <f>+([85]Main!$I$7-[85]Main!$I$6)*FX!C7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2025-09-29T12:48:34Z</dcterms:modified>
  <cp:category/>
  <cp:contentStatus/>
</cp:coreProperties>
</file>