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54AD670-AF68-4F48-8A25-0F1232F6F705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<sst xmlns="http://schemas.openxmlformats.org/spreadsheetml/2006/main" count="1396" uniqueCount="825">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</sst>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71.94</v>
          </cell>
        </row>
        <row r="5">
          <cell r="I5">
            <v>106226.60399999999</v>
          </cell>
        </row>
        <row r="6">
          <cell r="I6">
            <v>8575</v>
          </cell>
        </row>
        <row r="7">
          <cell r="I7">
            <v>7996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183</v>
          </cell>
        </row>
        <row r="4">
          <cell r="K4">
            <v>73541.602073999995</v>
          </cell>
        </row>
        <row r="5">
          <cell r="K5">
            <v>138.143</v>
          </cell>
        </row>
        <row r="6">
          <cell r="K6">
            <v>2425.7570000000001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 refreshError="1"/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52.35</v>
          </cell>
        </row>
        <row r="4">
          <cell r="I4">
            <v>2867.2130074500001</v>
          </cell>
        </row>
        <row r="5">
          <cell r="I5">
            <v>578.30700000000002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6" activePane="bottomRight" state="frozen"/>
      <selection pane="topRight" activeCell="C1" sqref="C1"/>
      <selection pane="bottomLeft" activeCell="A4" sqref="A4"/>
      <selection pane="bottomRight" activeCell="J1" sqref="J1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816</v>
      </c>
      <c r="N3" s="11" t="s">
        <v>817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1840437.5368921694</v>
      </c>
      <c r="G4" s="19">
        <f>+SUM(G6:G153)</f>
        <v>18521.607935200009</v>
      </c>
      <c r="H4" s="19">
        <f>SUM(H6:H153)</f>
        <v>1858959.1448273696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23901.786193404798</v>
      </c>
      <c r="G5" s="19">
        <f>AVERAGE(G6:G153)</f>
        <v>240.5403627948053</v>
      </c>
      <c r="H5" s="19">
        <f>AVERAGE(H6:H153)</f>
        <v>24142.326556199605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819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819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801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71.94</v>
      </c>
      <c r="F11" s="19">
        <f>+[6]Main!$I$5</f>
        <v>106226.60399999999</v>
      </c>
      <c r="G11" s="19">
        <f>+[6]Main!$I$7-[6]Main!$I$6</f>
        <v>-579</v>
      </c>
      <c r="H11" s="19">
        <f t="shared" si="1"/>
        <v>105647.60399999999</v>
      </c>
      <c r="I11" s="27" t="s">
        <v>717</v>
      </c>
      <c r="J11" s="28">
        <v>46009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715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183</v>
      </c>
      <c r="F13" s="19">
        <f>+[8]Main!$K$4</f>
        <v>73541.602073999995</v>
      </c>
      <c r="G13" s="19">
        <f>+[8]Main!$K$6-[8]Main!$K$5</f>
        <v>2287.614</v>
      </c>
      <c r="H13" s="19">
        <f t="shared" si="1"/>
        <v>75829.216073999996</v>
      </c>
      <c r="I13" s="27" t="s">
        <v>717</v>
      </c>
      <c r="J13" s="28">
        <v>46009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813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174.02</v>
      </c>
      <c r="F15" s="19">
        <f>+[10]Main!$I$4</f>
        <v>19745.715629639999</v>
      </c>
      <c r="G15" s="19">
        <f>+[10]Main!$I$6-[10]Main!$I$5</f>
        <v>-1155.7940000000001</v>
      </c>
      <c r="H15" s="19">
        <f>F15+G15</f>
        <v>18589.921629639997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157.55000000000001</v>
      </c>
      <c r="F16" s="19">
        <f>+[11]Main!$I$4*FX!C3</f>
        <v>29255.624511568003</v>
      </c>
      <c r="G16" s="19">
        <f>+([11]Main!$I$6-[11]Main!$I$5)*FX!C3</f>
        <v>1502.8</v>
      </c>
      <c r="H16" s="19">
        <f>F16+G16</f>
        <v>30758.424511568002</v>
      </c>
      <c r="I16" s="27" t="s">
        <v>819</v>
      </c>
      <c r="J16" s="28">
        <v>46090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819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813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819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819</v>
      </c>
      <c r="J21" s="28">
        <v>46084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714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324.72000000000003</v>
      </c>
      <c r="F31" s="19">
        <f>+[26]Main!$H$4</f>
        <v>19691.234465760001</v>
      </c>
      <c r="G31" s="19">
        <f>+[26]Main!$H$6-[26]Main!$H$5</f>
        <v>-183.39999999999986</v>
      </c>
      <c r="H31" s="19">
        <f t="shared" si="1"/>
        <v>19507.834465759999</v>
      </c>
      <c r="I31" s="27" t="s">
        <v>813</v>
      </c>
      <c r="J31" s="28">
        <v>46058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717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746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818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819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717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819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813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717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813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52.35</v>
      </c>
      <c r="F54" s="19">
        <f>+[49]Main!$I$4</f>
        <v>2867.2130074500001</v>
      </c>
      <c r="G54" s="19">
        <f>+[49]Main!$I$6-[49]Main!$I$5</f>
        <v>-578.30700000000002</v>
      </c>
      <c r="H54" s="19">
        <f t="shared" si="3"/>
        <v>2288.9060074500003</v>
      </c>
      <c r="I54" s="18" t="s">
        <v>149</v>
      </c>
      <c r="J54" s="28">
        <v>45959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717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824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819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41.48</v>
      </c>
      <c r="F63" s="19">
        <f>+[57]Main!$J$4*FX!C3</f>
        <v>3036.9996799999999</v>
      </c>
      <c r="G63" s="19">
        <f>+([57]Main!$J$6-[57]Main!$J$5)*FX!C3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717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26.13</v>
      </c>
      <c r="F67" s="19">
        <f>+[61]Main!$I$4</f>
        <v>2094.6979930499997</v>
      </c>
      <c r="G67" s="19">
        <f>+[61]Main!$I$6-[61]Main!$I$5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717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716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717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821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820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822</v>
      </c>
      <c r="C13" s="81" t="s">
        <v>823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732</v>
      </c>
      <c r="D2" s="76" t="s">
        <v>719</v>
      </c>
      <c r="E2" s="76" t="s">
        <v>720</v>
      </c>
      <c r="F2" s="77" t="s">
        <v>4</v>
      </c>
      <c r="G2" s="77" t="s">
        <v>804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721</v>
      </c>
      <c r="C3" s="46" t="s">
        <v>722</v>
      </c>
      <c r="D3" s="47" t="s">
        <v>730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728</v>
      </c>
      <c r="E4" s="78">
        <v>45782</v>
      </c>
      <c r="F4" s="48" t="s">
        <v>729</v>
      </c>
      <c r="G4" s="80">
        <v>9420</v>
      </c>
      <c r="H4" s="47" t="s">
        <v>805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731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733</v>
      </c>
      <c r="C6" s="47" t="s">
        <v>733</v>
      </c>
      <c r="D6" s="47" t="s">
        <v>734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803</v>
      </c>
      <c r="H7" s="47" t="s">
        <v>802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809</v>
      </c>
      <c r="E8" s="78">
        <v>45322</v>
      </c>
      <c r="F8" s="47"/>
      <c r="G8" s="47">
        <v>500</v>
      </c>
      <c r="H8" s="47" t="s">
        <v>810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814</v>
      </c>
      <c r="C9" s="47" t="s">
        <v>815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723</v>
      </c>
      <c r="D2" s="47" t="s">
        <v>724</v>
      </c>
      <c r="E2" s="47" t="s">
        <v>725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727</v>
      </c>
      <c r="C3" s="47" t="s">
        <v>726</v>
      </c>
      <c r="D3" s="47" t="s">
        <v>8</v>
      </c>
      <c r="E3" s="47" t="s">
        <v>736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735</v>
      </c>
      <c r="C4" s="47" t="s">
        <v>740</v>
      </c>
      <c r="D4" s="47" t="s">
        <v>8</v>
      </c>
      <c r="E4" s="47" t="s">
        <v>737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741</v>
      </c>
      <c r="C5" s="47" t="s">
        <v>738</v>
      </c>
      <c r="D5" s="47" t="s">
        <v>7</v>
      </c>
      <c r="E5" s="47" t="s">
        <v>739</v>
      </c>
      <c r="F5" s="47" t="s">
        <v>742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743</v>
      </c>
      <c r="C6" s="47" t="s">
        <v>744</v>
      </c>
      <c r="D6" s="47" t="s">
        <v>9</v>
      </c>
      <c r="E6" s="47" t="s">
        <v>745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747</v>
      </c>
      <c r="C7" s="47" t="s">
        <v>748</v>
      </c>
      <c r="D7" s="47" t="s">
        <v>99</v>
      </c>
      <c r="E7" s="47" t="s">
        <v>749</v>
      </c>
      <c r="F7" s="47" t="s">
        <v>760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750</v>
      </c>
      <c r="D8" s="47" t="s">
        <v>135</v>
      </c>
      <c r="E8" s="47" t="s">
        <v>751</v>
      </c>
      <c r="F8" s="47" t="s">
        <v>752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753</v>
      </c>
      <c r="C9" s="47" t="s">
        <v>754</v>
      </c>
      <c r="D9" s="47" t="s">
        <v>682</v>
      </c>
      <c r="E9" s="47" t="s">
        <v>752</v>
      </c>
      <c r="F9" s="47" t="s">
        <v>755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756</v>
      </c>
      <c r="C10" s="47" t="s">
        <v>757</v>
      </c>
      <c r="D10" s="47" t="s">
        <v>758</v>
      </c>
      <c r="E10" s="47" t="s">
        <v>752</v>
      </c>
      <c r="F10" s="47" t="s">
        <v>759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761</v>
      </c>
      <c r="C11" s="47" t="s">
        <v>762</v>
      </c>
      <c r="D11" s="47" t="s">
        <v>7</v>
      </c>
      <c r="E11" s="47" t="s">
        <v>766</v>
      </c>
      <c r="F11" s="47" t="s">
        <v>763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764</v>
      </c>
      <c r="C12" s="47" t="s">
        <v>765</v>
      </c>
      <c r="D12" s="47" t="s">
        <v>123</v>
      </c>
      <c r="E12" s="47" t="s">
        <v>767</v>
      </c>
      <c r="F12" s="47" t="s">
        <v>768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721</v>
      </c>
      <c r="C13" s="47" t="s">
        <v>769</v>
      </c>
      <c r="D13" s="47" t="s">
        <v>135</v>
      </c>
      <c r="E13" s="47" t="s">
        <v>770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771</v>
      </c>
      <c r="C14" s="47" t="s">
        <v>772</v>
      </c>
      <c r="D14" s="47" t="s">
        <v>677</v>
      </c>
      <c r="E14" s="47" t="s">
        <v>777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773</v>
      </c>
      <c r="C15" s="47" t="s">
        <v>774</v>
      </c>
      <c r="D15" s="47" t="s">
        <v>775</v>
      </c>
      <c r="E15" s="47" t="s">
        <v>776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778</v>
      </c>
      <c r="C16" s="47" t="s">
        <v>779</v>
      </c>
      <c r="D16" s="47" t="s">
        <v>780</v>
      </c>
      <c r="E16" s="47" t="s">
        <v>781</v>
      </c>
      <c r="F16" s="47" t="s">
        <v>782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783</v>
      </c>
      <c r="C17" s="47" t="s">
        <v>784</v>
      </c>
      <c r="D17" s="47" t="s">
        <v>785</v>
      </c>
      <c r="E17" s="47" t="s">
        <v>777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800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786</v>
      </c>
      <c r="C21" s="47" t="s">
        <v>787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788</v>
      </c>
      <c r="C22" s="47" t="s">
        <v>789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790</v>
      </c>
      <c r="C23" s="47" t="s">
        <v>791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792</v>
      </c>
      <c r="C24" s="47" t="s">
        <v>793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794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795</v>
      </c>
      <c r="C26" s="47" t="s">
        <v>796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797</v>
      </c>
      <c r="C27" s="47" t="s">
        <v>798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721</v>
      </c>
      <c r="C28" s="47" t="s">
        <v>799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811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718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806</v>
      </c>
      <c r="C18" s="59" t="s">
        <v>807</v>
      </c>
      <c r="D18" s="47"/>
      <c r="E18" s="60" t="s">
        <v>808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2025-11-08T13:07:28Z</dcterms:modified>
  <cp:category/>
  <cp:contentStatus/>
</cp:coreProperties>
</file>