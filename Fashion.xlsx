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765C58A-6532-4F86-A0D3-B6F49DCB31C4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<sst xmlns="http://schemas.openxmlformats.org/spreadsheetml/2006/main" count="1527" uniqueCount="869">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</sst>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0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01">
    <xf numFmtId="0" fontId="0" fillId="0" borderId="0" xfId="0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left"/>
    </xf>
    <xf numFmtId="2" fontId="13" fillId="0" borderId="0" xfId="1" applyNumberFormat="1" applyFont="1"/>
    <xf numFmtId="0" fontId="13" fillId="0" borderId="0" xfId="1" applyNumberFormat="1" applyFont="1" applyAlignment="1">
      <alignment horizontal="right"/>
    </xf>
    <xf numFmtId="0" fontId="14" fillId="0" borderId="0" xfId="0" applyFont="1"/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2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0" fontId="12" fillId="2" borderId="2" xfId="1" applyNumberFormat="1" applyFont="1" applyFill="1" applyBorder="1" applyAlignment="1">
      <alignment horizontal="right"/>
    </xf>
    <xf numFmtId="0" fontId="15" fillId="2" borderId="2" xfId="0" applyFont="1" applyFill="1" applyBorder="1"/>
    <xf numFmtId="0" fontId="15" fillId="2" borderId="3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166" fontId="13" fillId="0" borderId="0" xfId="0" applyNumberFormat="1" applyFont="1"/>
    <xf numFmtId="9" fontId="13" fillId="0" borderId="0" xfId="0" applyNumberFormat="1" applyFont="1" applyAlignment="1">
      <alignment horizontal="right"/>
    </xf>
    <xf numFmtId="168" fontId="13" fillId="0" borderId="0" xfId="0" applyNumberFormat="1" applyFont="1" applyAlignment="1">
      <alignment horizontal="right"/>
    </xf>
    <xf numFmtId="168" fontId="13" fillId="0" borderId="0" xfId="1" applyNumberFormat="1" applyFont="1" applyAlignment="1">
      <alignment horizontal="right"/>
    </xf>
    <xf numFmtId="9" fontId="13" fillId="0" borderId="0" xfId="1" applyFont="1"/>
    <xf numFmtId="168" fontId="13" fillId="0" borderId="0" xfId="0" applyNumberFormat="1" applyFont="1"/>
    <xf numFmtId="0" fontId="16" fillId="0" borderId="0" xfId="2" applyFont="1"/>
    <xf numFmtId="165" fontId="13" fillId="0" borderId="0" xfId="0" applyNumberFormat="1" applyFont="1"/>
    <xf numFmtId="17" fontId="13" fillId="0" borderId="0" xfId="0" applyNumberFormat="1" applyFont="1" applyAlignment="1">
      <alignment horizontal="right"/>
    </xf>
    <xf numFmtId="16" fontId="13" fillId="0" borderId="0" xfId="0" applyNumberFormat="1" applyFont="1"/>
    <xf numFmtId="168" fontId="13" fillId="0" borderId="0" xfId="1" applyNumberFormat="1" applyFont="1"/>
    <xf numFmtId="164" fontId="13" fillId="0" borderId="0" xfId="1" applyNumberFormat="1" applyFont="1"/>
    <xf numFmtId="167" fontId="13" fillId="0" borderId="0" xfId="0" applyNumberFormat="1" applyFont="1"/>
    <xf numFmtId="16" fontId="13" fillId="0" borderId="0" xfId="0" applyNumberFormat="1" applyFont="1" applyAlignment="1">
      <alignment horizontal="right"/>
    </xf>
    <xf numFmtId="0" fontId="16" fillId="0" borderId="0" xfId="2" applyFont="1" applyAlignment="1">
      <alignment horizontal="left"/>
    </xf>
    <xf numFmtId="0" fontId="13" fillId="0" borderId="0" xfId="0" quotePrefix="1" applyFont="1" applyAlignment="1">
      <alignment horizontal="left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165" fontId="14" fillId="0" borderId="0" xfId="0" applyNumberFormat="1" applyFont="1"/>
    <xf numFmtId="0" fontId="14" fillId="0" borderId="0" xfId="0" applyFont="1" applyAlignment="1">
      <alignment horizontal="right"/>
    </xf>
    <xf numFmtId="9" fontId="14" fillId="0" borderId="0" xfId="1" applyFont="1"/>
    <xf numFmtId="168" fontId="14" fillId="0" borderId="0" xfId="0" applyNumberFormat="1" applyFont="1"/>
    <xf numFmtId="168" fontId="14" fillId="0" borderId="0" xfId="1" applyNumberFormat="1" applyFont="1"/>
    <xf numFmtId="164" fontId="14" fillId="0" borderId="0" xfId="1" applyNumberFormat="1" applyFont="1"/>
    <xf numFmtId="166" fontId="14" fillId="0" borderId="0" xfId="0" applyNumberFormat="1" applyFont="1"/>
    <xf numFmtId="0" fontId="14" fillId="0" borderId="0" xfId="1" applyNumberFormat="1" applyFont="1" applyAlignment="1">
      <alignment horizontal="right"/>
    </xf>
    <xf numFmtId="2" fontId="14" fillId="0" borderId="0" xfId="1" applyNumberFormat="1" applyFont="1"/>
    <xf numFmtId="0" fontId="17" fillId="0" borderId="0" xfId="2"/>
    <xf numFmtId="0" fontId="8" fillId="0" borderId="0" xfId="0" applyFont="1"/>
    <xf numFmtId="0" fontId="8" fillId="0" borderId="0" xfId="0" applyFont="1" applyAlignment="1">
      <alignment horizontal="right"/>
    </xf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/>
    <xf numFmtId="0" fontId="11" fillId="2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center"/>
    </xf>
    <xf numFmtId="2" fontId="11" fillId="2" borderId="2" xfId="1" applyNumberFormat="1" applyFont="1" applyFill="1" applyBorder="1" applyAlignment="1">
      <alignment horizontal="right"/>
    </xf>
    <xf numFmtId="0" fontId="11" fillId="2" borderId="2" xfId="1" applyNumberFormat="1" applyFont="1" applyFill="1" applyBorder="1" applyAlignment="1">
      <alignment horizontal="right"/>
    </xf>
    <xf numFmtId="0" fontId="11" fillId="2" borderId="3" xfId="0" applyFont="1" applyFill="1" applyBorder="1"/>
    <xf numFmtId="0" fontId="8" fillId="0" borderId="0" xfId="0" applyFont="1" applyAlignment="1">
      <alignment horizontal="center"/>
    </xf>
    <xf numFmtId="166" fontId="8" fillId="0" borderId="0" xfId="0" applyNumberFormat="1" applyFont="1"/>
    <xf numFmtId="0" fontId="8" fillId="0" borderId="0" xfId="0" applyFont="1" applyAlignment="1">
      <alignment horizontal="left"/>
    </xf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17" fillId="0" borderId="0" xfId="2" applyAlignment="1">
      <alignment horizontal="left"/>
    </xf>
    <xf numFmtId="165" fontId="11" fillId="2" borderId="2" xfId="0" applyNumberFormat="1" applyFont="1" applyFill="1" applyBorder="1"/>
    <xf numFmtId="166" fontId="11" fillId="2" borderId="2" xfId="0" applyNumberFormat="1" applyFont="1" applyFill="1" applyBorder="1"/>
    <xf numFmtId="166" fontId="11" fillId="2" borderId="2" xfId="0" applyNumberFormat="1" applyFont="1" applyFill="1" applyBorder="1" applyAlignment="1">
      <alignment horizontal="right"/>
    </xf>
    <xf numFmtId="9" fontId="11" fillId="2" borderId="2" xfId="1" applyFont="1" applyFill="1" applyBorder="1"/>
    <xf numFmtId="0" fontId="8" fillId="0" borderId="0" xfId="0" quotePrefix="1" applyFont="1" applyAlignment="1">
      <alignment horizontal="left"/>
    </xf>
    <xf numFmtId="0" fontId="18" fillId="0" borderId="0" xfId="0" applyFont="1"/>
    <xf numFmtId="2" fontId="8" fillId="0" borderId="0" xfId="0" applyNumberFormat="1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right"/>
    </xf>
    <xf numFmtId="14" fontId="8" fillId="0" borderId="0" xfId="0" applyNumberFormat="1" applyFont="1"/>
    <xf numFmtId="3" fontId="8" fillId="0" borderId="0" xfId="0" applyNumberFormat="1" applyFont="1" applyAlignment="1">
      <alignment horizontal="right"/>
    </xf>
    <xf numFmtId="3" fontId="8" fillId="0" borderId="0" xfId="0" applyNumberFormat="1" applyFont="1"/>
    <xf numFmtId="0" fontId="7" fillId="0" borderId="0" xfId="0" applyFont="1"/>
    <xf numFmtId="0" fontId="6" fillId="0" borderId="0" xfId="0" applyFont="1"/>
    <xf numFmtId="2" fontId="12" fillId="2" borderId="2" xfId="1" applyNumberFormat="1" applyFont="1" applyFill="1" applyBorder="1" applyAlignment="1">
      <alignment horizontal="left"/>
    </xf>
    <xf numFmtId="166" fontId="13" fillId="0" borderId="0" xfId="0" applyNumberFormat="1" applyFont="1" applyAlignment="1">
      <alignment horizontal="right"/>
    </xf>
    <xf numFmtId="0" fontId="13" fillId="0" borderId="4" xfId="0" applyFont="1" applyBorder="1" applyAlignment="1">
      <alignment horizontal="center"/>
    </xf>
    <xf numFmtId="0" fontId="12" fillId="0" borderId="4" xfId="0" applyFont="1" applyBorder="1"/>
    <xf numFmtId="0" fontId="13" fillId="0" borderId="4" xfId="0" applyFont="1" applyBorder="1"/>
    <xf numFmtId="166" fontId="13" fillId="0" borderId="4" xfId="0" applyNumberFormat="1" applyFont="1" applyBorder="1"/>
    <xf numFmtId="166" fontId="13" fillId="0" borderId="4" xfId="0" applyNumberFormat="1" applyFont="1" applyBorder="1" applyAlignment="1">
      <alignment horizontal="right"/>
    </xf>
    <xf numFmtId="9" fontId="13" fillId="0" borderId="4" xfId="1" applyFont="1" applyBorder="1"/>
    <xf numFmtId="168" fontId="13" fillId="0" borderId="4" xfId="0" applyNumberFormat="1" applyFont="1" applyBorder="1"/>
    <xf numFmtId="0" fontId="13" fillId="0" borderId="4" xfId="1" applyNumberFormat="1" applyFont="1" applyBorder="1" applyAlignment="1">
      <alignment horizontal="right"/>
    </xf>
    <xf numFmtId="0" fontId="14" fillId="0" borderId="4" xfId="0" applyFont="1" applyBorder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/>
    <xf numFmtId="0" fontId="19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48.01</v>
          </cell>
        </row>
        <row r="5">
          <cell r="I5">
            <v>71078.804999999993</v>
          </cell>
        </row>
        <row r="6">
          <cell r="I6">
            <v>8057</v>
          </cell>
        </row>
        <row r="7">
          <cell r="I7">
            <v>8029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170</v>
          </cell>
        </row>
        <row r="4">
          <cell r="K4">
            <v>68068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216.48</v>
          </cell>
        </row>
        <row r="5">
          <cell r="H5">
            <v>69783.79898159999</v>
          </cell>
        </row>
        <row r="6">
          <cell r="H6">
            <v>4594.3919999999998</v>
          </cell>
        </row>
        <row r="7">
          <cell r="H7">
            <v>1517.606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156.36000000000001</v>
          </cell>
        </row>
        <row r="4">
          <cell r="I4">
            <v>17275.07043756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170.3</v>
          </cell>
        </row>
        <row r="4">
          <cell r="I4">
            <v>272336.26679999998</v>
          </cell>
        </row>
        <row r="5">
          <cell r="I5">
            <v>18733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23.62</v>
          </cell>
        </row>
        <row r="4">
          <cell r="I4">
            <v>6150.6480000000001</v>
          </cell>
        </row>
        <row r="5">
          <cell r="I5">
            <v>1877.4</v>
          </cell>
        </row>
        <row r="6">
          <cell r="I6">
            <v>778.6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55.02</v>
          </cell>
        </row>
        <row r="4">
          <cell r="I4">
            <v>2880.3823910400001</v>
          </cell>
        </row>
        <row r="5">
          <cell r="I5">
            <v>790.7940000000001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18" activePane="bottomRight" state="frozen"/>
      <selection pane="topRight" activeCell="C1" sqref="C1"/>
      <selection pane="bottomLeft" activeCell="A4" sqref="A4"/>
      <selection pane="bottomRight" activeCell="J31" sqref="J31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1855480.446791424</v>
      </c>
      <c r="G4" s="18">
        <f>SUM(G6:G153)</f>
        <v>-1553.4042447999996</v>
      </c>
      <c r="H4" s="18">
        <f>SUM(H6:H153)</f>
        <v>1853927.0425466236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23513.009148462304</v>
      </c>
      <c r="G5" s="87">
        <f>AVERAGE(G6:G153)</f>
        <v>-20.174081101298697</v>
      </c>
      <c r="H5" s="87">
        <f>AVERAGE(H6:H153)</f>
        <v>24076.974578527581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46125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48.01</v>
      </c>
      <c r="F11" s="18">
        <f>+[6]Main!$I$5</f>
        <v>71078.804999999993</v>
      </c>
      <c r="G11" s="18">
        <f>+[6]Main!$I$7-[6]Main!$I$6</f>
        <v>-28</v>
      </c>
      <c r="H11" s="18">
        <f t="shared" si="1"/>
        <v>71050.804999999993</v>
      </c>
      <c r="I11" s="26" t="s">
        <v>820</v>
      </c>
      <c r="J11" s="27">
        <v>46198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170</v>
      </c>
      <c r="F13" s="18">
        <f>+[8]Main!$K$4</f>
        <v>68068</v>
      </c>
      <c r="G13" s="18">
        <f>+[8]Main!$K$6-[8]Main!$K$5</f>
        <v>2473.587</v>
      </c>
      <c r="H13" s="18">
        <f t="shared" si="1"/>
        <v>70541.587</v>
      </c>
      <c r="I13" s="26" t="s">
        <v>820</v>
      </c>
      <c r="J13" s="27">
        <v>46219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216.48</v>
      </c>
      <c r="F14" s="18">
        <f>+[9]Main!$H$5</f>
        <v>69783.79898159999</v>
      </c>
      <c r="G14" s="18">
        <f>+[9]Main!$H$7-[9]Main!$H$6</f>
        <v>-3076.7860000000001</v>
      </c>
      <c r="H14" s="18">
        <f t="shared" si="1"/>
        <v>66707.012981599983</v>
      </c>
      <c r="I14" s="26" t="s">
        <v>830</v>
      </c>
      <c r="J14" s="27">
        <v>46163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156.36000000000001</v>
      </c>
      <c r="F15" s="18">
        <f>+[10]Main!$I$4</f>
        <v>17275.07043756</v>
      </c>
      <c r="G15" s="18">
        <f>+[10]Main!$I$6-[10]Main!$I$5</f>
        <v>-1807.202</v>
      </c>
      <c r="H15" s="18">
        <f>F15+G15</f>
        <v>15467.868437560001</v>
      </c>
      <c r="I15" s="26" t="s">
        <v>422</v>
      </c>
      <c r="J15" s="27">
        <v>46177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141.80000000000001</v>
      </c>
      <c r="F16" s="18">
        <f>+[11]Main!$I$4*FX!C3</f>
        <v>26332.485291840003</v>
      </c>
      <c r="G16" s="18">
        <f>+([11]Main!$I$6-[11]Main!$I$5)*FX!C3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80.55</v>
      </c>
      <c r="F18" s="18">
        <f>+[13]Main!$H$5*FX!C9</f>
        <v>29160.086447520003</v>
      </c>
      <c r="G18" s="18">
        <f>+([13]Main!$H$7-[13]Main!$H$6)*FX!C9</f>
        <v>-1841.5600000000002</v>
      </c>
      <c r="H18" s="18">
        <f t="shared" si="1"/>
        <v>27318.526447520002</v>
      </c>
      <c r="I18" s="26" t="s">
        <v>422</v>
      </c>
      <c r="J18" s="31">
        <v>46260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170.3</v>
      </c>
      <c r="F20" s="18">
        <f>+[15]Main!$I$4*FX!C4</f>
        <v>25871.945346</v>
      </c>
      <c r="G20" s="18">
        <f>+([15]Main!$I$6-[15]Main!$I$5)*FX!C4</f>
        <v>184.49</v>
      </c>
      <c r="H20" s="18">
        <f t="shared" si="1"/>
        <v>26056.435346000002</v>
      </c>
      <c r="I20" s="26" t="s">
        <v>829</v>
      </c>
      <c r="J20" s="27">
        <v>46198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40.880000000000003</v>
      </c>
      <c r="F21" s="18">
        <f>+[16]Main!$H$5*FX!C3</f>
        <v>13054.669694976001</v>
      </c>
      <c r="G21" s="18">
        <f>(+[16]Main!$H$7-[16]Main!$H$6)*FX!C3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47.12</v>
      </c>
      <c r="F30" s="18">
        <f>+[25]Main!$J$5*FX!C9</f>
        <v>8726.4826075060482</v>
      </c>
      <c r="G30" s="18">
        <f>+([25]Main!$J$7-[25]Main!$J$6)*FX!C9</f>
        <v>-1503.0597399999999</v>
      </c>
      <c r="H30" s="18">
        <f t="shared" si="1"/>
        <v>7223.4228675060485</v>
      </c>
      <c r="I30" s="26" t="s">
        <v>149</v>
      </c>
      <c r="J30" s="31">
        <v>46260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23.62</v>
      </c>
      <c r="F33" s="18">
        <f>+[28]Main!$I$4*FX!C3</f>
        <v>6396.6739200000002</v>
      </c>
      <c r="G33" s="18">
        <f>+([28]Main!$I$6-[28]Main!$I$5)*FX!C3</f>
        <v>-1142.7520000000002</v>
      </c>
      <c r="H33" s="18">
        <f>F33+G33</f>
        <v>5253.9219199999998</v>
      </c>
      <c r="I33" s="26" t="s">
        <v>422</v>
      </c>
      <c r="J33" s="27">
        <v>46148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814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55.02</v>
      </c>
      <c r="F54" s="18">
        <f>+[49]Main!$I$4</f>
        <v>2880.3823910400001</v>
      </c>
      <c r="G54" s="18">
        <f>+[49]Main!$I$6-[49]Main!$I$5</f>
        <v>-790.7940000000001</v>
      </c>
      <c r="H54" s="18">
        <f t="shared" si="3"/>
        <v>2089.5883910399998</v>
      </c>
      <c r="I54" s="17" t="s">
        <v>422</v>
      </c>
      <c r="J54" s="27">
        <v>46142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36.299999999999997</v>
      </c>
      <c r="F63" s="18">
        <f>+[57]Main!$J$4*FX!C3</f>
        <v>2605.4984498399999</v>
      </c>
      <c r="G63" s="18">
        <f>+([57]Main!$J$6-[57]Main!$J$5)*FX!C3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2.4350000000000001</v>
      </c>
      <c r="F116" s="18">
        <f>+'[75]Main '!$F$4*FX!C8</f>
        <v>360.19879762439996</v>
      </c>
      <c r="G116" s="18">
        <f>+('[75]Main '!$F$6-'[75]Main '!$F$5)*FX!C8</f>
        <v>229.02800000000005</v>
      </c>
      <c r="H116" s="18">
        <f>+F116+G116</f>
        <v>589.22679762439998</v>
      </c>
      <c r="I116" s="17" t="s">
        <v>422</v>
      </c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7" sqref="J7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177.95</v>
      </c>
      <c r="F7" s="57">
        <f>+[84]Main!$I$5*FX!C7</f>
        <v>10344.705947284801</v>
      </c>
      <c r="G7" s="57">
        <f>+([84]Main!$I$7-[84]Main!$I$6)*FX!C7</f>
        <v>-1336.16</v>
      </c>
      <c r="H7" s="57">
        <f>+F7+G7</f>
        <v>9008.5459472848015</v>
      </c>
      <c r="I7" s="97" t="s">
        <v>422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topLeftCell="N7" zoomScale="200" zoomScaleNormal="200" workbookViewId="0">
      <selection activeCell="AF33" sqref="AF33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98" t="s">
        <v>867</v>
      </c>
      <c r="C10" s="46"/>
      <c r="D10" s="98" t="s">
        <v>866</v>
      </c>
      <c r="E10" s="77">
        <v>46112</v>
      </c>
      <c r="F10" s="99" t="s">
        <v>474</v>
      </c>
      <c r="G10" s="46">
        <v>39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7" bestFit="1" customWidth="1"/>
    <col min="2" max="2" width="24.28515625" style="7" bestFit="1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98" t="s">
        <v>865</v>
      </c>
      <c r="C15" s="100" t="s">
        <v>868</v>
      </c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686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687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46" t="s">
        <v>695</v>
      </c>
      <c r="C18" s="58"/>
      <c r="D18" s="46"/>
      <c r="E18" s="59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95" t="s">
        <v>850</v>
      </c>
      <c r="C19" s="58" t="s">
        <v>803</v>
      </c>
      <c r="D19" s="46"/>
      <c r="E19" s="59" t="s">
        <v>804</v>
      </c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46"/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822</v>
      </c>
      <c r="C21" s="58"/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81" t="s">
        <v>823</v>
      </c>
      <c r="C22" s="81" t="s">
        <v>824</v>
      </c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58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  <row r="24" spans="1:17">
      <c r="A24" s="46"/>
      <c r="B24" s="46"/>
      <c r="C24" s="72"/>
      <c r="D24" s="46"/>
      <c r="E24" s="59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2026-04-02T09:22:08Z</dcterms:modified>
  <cp:category/>
  <cp:contentStatus/>
</cp:coreProperties>
</file>