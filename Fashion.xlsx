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40C71BC-EA1C-41AF-859F-EF8989DF394B}" xr6:coauthVersionLast="47" xr6:coauthVersionMax="47" xr10:uidLastSave="{00000000-0000-0000-0000-000000000000}"/>
  <bookViews>
    <workbookView xWindow="225" yWindow="507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<sst xmlns="http://schemas.openxmlformats.org/spreadsheetml/2006/main" count="1423" uniqueCount="830">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</sst>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94">
    <xf numFmtId="0" fontId="0" fillId="0" borderId="0" xfId="0"/>
    <xf numFmtId="0" fontId="6" fillId="0" borderId="0" xfId="0" applyFont="1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left"/>
    </xf>
    <xf numFmtId="2" fontId="9" fillId="0" borderId="0" xfId="1" applyNumberFormat="1" applyFont="1"/>
    <xf numFmtId="0" fontId="9" fillId="0" borderId="0" xfId="1" applyNumberFormat="1" applyFont="1" applyAlignment="1">
      <alignment horizontal="right"/>
    </xf>
    <xf numFmtId="0" fontId="10" fillId="0" borderId="0" xfId="0" applyFont="1"/>
    <xf numFmtId="0" fontId="8" fillId="2" borderId="1" xfId="0" applyFont="1" applyFill="1" applyBorder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left"/>
    </xf>
    <xf numFmtId="0" fontId="8" fillId="2" borderId="2" xfId="0" applyFont="1" applyFill="1" applyBorder="1" applyAlignment="1">
      <alignment horizontal="right"/>
    </xf>
    <xf numFmtId="0" fontId="8" fillId="2" borderId="2" xfId="0" applyFont="1" applyFill="1" applyBorder="1" applyAlignment="1">
      <alignment horizontal="center"/>
    </xf>
    <xf numFmtId="0" fontId="8" fillId="2" borderId="2" xfId="1" applyNumberFormat="1" applyFont="1" applyFill="1" applyBorder="1" applyAlignment="1">
      <alignment horizontal="right"/>
    </xf>
    <xf numFmtId="0" fontId="11" fillId="2" borderId="2" xfId="0" applyFont="1" applyFill="1" applyBorder="1"/>
    <xf numFmtId="0" fontId="11" fillId="2" borderId="3" xfId="0" applyFont="1" applyFill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166" fontId="9" fillId="0" borderId="0" xfId="0" applyNumberFormat="1" applyFont="1"/>
    <xf numFmtId="9" fontId="9" fillId="0" borderId="0" xfId="0" applyNumberFormat="1" applyFont="1" applyAlignment="1">
      <alignment horizontal="right"/>
    </xf>
    <xf numFmtId="168" fontId="9" fillId="0" borderId="0" xfId="0" applyNumberFormat="1" applyFont="1" applyAlignment="1">
      <alignment horizontal="right"/>
    </xf>
    <xf numFmtId="168" fontId="9" fillId="0" borderId="0" xfId="1" applyNumberFormat="1" applyFont="1" applyAlignment="1">
      <alignment horizontal="right"/>
    </xf>
    <xf numFmtId="9" fontId="9" fillId="0" borderId="0" xfId="1" applyFont="1"/>
    <xf numFmtId="168" fontId="9" fillId="0" borderId="0" xfId="0" applyNumberFormat="1" applyFont="1"/>
    <xf numFmtId="0" fontId="12" fillId="0" borderId="0" xfId="2" applyFont="1"/>
    <xf numFmtId="165" fontId="9" fillId="0" borderId="0" xfId="0" applyNumberFormat="1" applyFont="1"/>
    <xf numFmtId="17" fontId="9" fillId="0" borderId="0" xfId="0" applyNumberFormat="1" applyFont="1" applyAlignment="1">
      <alignment horizontal="right"/>
    </xf>
    <xf numFmtId="16" fontId="9" fillId="0" borderId="0" xfId="0" applyNumberFormat="1" applyFont="1"/>
    <xf numFmtId="168" fontId="9" fillId="0" borderId="0" xfId="1" applyNumberFormat="1" applyFont="1"/>
    <xf numFmtId="164" fontId="9" fillId="0" borderId="0" xfId="1" applyNumberFormat="1" applyFont="1"/>
    <xf numFmtId="167" fontId="9" fillId="0" borderId="0" xfId="0" applyNumberFormat="1" applyFont="1"/>
    <xf numFmtId="16" fontId="9" fillId="0" borderId="0" xfId="0" applyNumberFormat="1" applyFont="1" applyAlignment="1">
      <alignment horizontal="right"/>
    </xf>
    <xf numFmtId="0" fontId="12" fillId="0" borderId="0" xfId="2" applyFont="1" applyAlignment="1">
      <alignment horizontal="left"/>
    </xf>
    <xf numFmtId="0" fontId="9" fillId="0" borderId="0" xfId="0" quotePrefix="1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165" fontId="10" fillId="0" borderId="0" xfId="0" applyNumberFormat="1" applyFont="1"/>
    <xf numFmtId="0" fontId="10" fillId="0" borderId="0" xfId="0" applyFont="1" applyAlignment="1">
      <alignment horizontal="right"/>
    </xf>
    <xf numFmtId="9" fontId="10" fillId="0" borderId="0" xfId="1" applyFont="1"/>
    <xf numFmtId="168" fontId="10" fillId="0" borderId="0" xfId="0" applyNumberFormat="1" applyFont="1"/>
    <xf numFmtId="168" fontId="10" fillId="0" borderId="0" xfId="1" applyNumberFormat="1" applyFont="1"/>
    <xf numFmtId="164" fontId="10" fillId="0" borderId="0" xfId="1" applyNumberFormat="1" applyFont="1"/>
    <xf numFmtId="166" fontId="10" fillId="0" borderId="0" xfId="0" applyNumberFormat="1" applyFont="1"/>
    <xf numFmtId="0" fontId="10" fillId="0" borderId="0" xfId="1" applyNumberFormat="1" applyFont="1" applyAlignment="1">
      <alignment horizontal="right"/>
    </xf>
    <xf numFmtId="2" fontId="10" fillId="0" borderId="0" xfId="1" applyNumberFormat="1" applyFont="1"/>
    <xf numFmtId="0" fontId="13" fillId="0" borderId="0" xfId="2"/>
    <xf numFmtId="0" fontId="4" fillId="0" borderId="0" xfId="0" applyFont="1"/>
    <xf numFmtId="0" fontId="4" fillId="0" borderId="0" xfId="0" applyFont="1" applyAlignment="1">
      <alignment horizontal="right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/>
    </xf>
    <xf numFmtId="2" fontId="7" fillId="2" borderId="2" xfId="1" applyNumberFormat="1" applyFont="1" applyFill="1" applyBorder="1" applyAlignment="1">
      <alignment horizontal="right"/>
    </xf>
    <xf numFmtId="0" fontId="7" fillId="2" borderId="2" xfId="1" applyNumberFormat="1" applyFont="1" applyFill="1" applyBorder="1" applyAlignment="1">
      <alignment horizontal="right"/>
    </xf>
    <xf numFmtId="0" fontId="7" fillId="2" borderId="3" xfId="0" applyFont="1" applyFill="1" applyBorder="1"/>
    <xf numFmtId="0" fontId="4" fillId="0" borderId="0" xfId="0" applyFont="1" applyAlignment="1">
      <alignment horizontal="center"/>
    </xf>
    <xf numFmtId="166" fontId="4" fillId="0" borderId="0" xfId="0" applyNumberFormat="1" applyFont="1"/>
    <xf numFmtId="0" fontId="4" fillId="0" borderId="0" xfId="0" applyFont="1" applyAlignment="1">
      <alignment horizontal="left"/>
    </xf>
    <xf numFmtId="165" fontId="4" fillId="0" borderId="0" xfId="0" applyNumberFormat="1" applyFont="1"/>
    <xf numFmtId="17" fontId="4" fillId="0" borderId="0" xfId="0" applyNumberFormat="1" applyFont="1" applyAlignment="1">
      <alignment horizontal="right"/>
    </xf>
    <xf numFmtId="16" fontId="4" fillId="0" borderId="0" xfId="0" applyNumberFormat="1" applyFont="1"/>
    <xf numFmtId="9" fontId="4" fillId="0" borderId="0" xfId="1" applyFont="1"/>
    <xf numFmtId="168" fontId="4" fillId="0" borderId="0" xfId="0" applyNumberFormat="1" applyFont="1"/>
    <xf numFmtId="168" fontId="4" fillId="0" borderId="0" xfId="1" applyNumberFormat="1" applyFont="1"/>
    <xf numFmtId="164" fontId="4" fillId="0" borderId="0" xfId="1" applyNumberFormat="1" applyFont="1"/>
    <xf numFmtId="0" fontId="4" fillId="0" borderId="0" xfId="1" applyNumberFormat="1" applyFont="1" applyAlignment="1">
      <alignment horizontal="right"/>
    </xf>
    <xf numFmtId="0" fontId="13" fillId="0" borderId="0" xfId="2" applyAlignment="1">
      <alignment horizontal="left"/>
    </xf>
    <xf numFmtId="165" fontId="7" fillId="2" borderId="2" xfId="0" applyNumberFormat="1" applyFont="1" applyFill="1" applyBorder="1"/>
    <xf numFmtId="166" fontId="7" fillId="2" borderId="2" xfId="0" applyNumberFormat="1" applyFont="1" applyFill="1" applyBorder="1"/>
    <xf numFmtId="166" fontId="7" fillId="2" borderId="2" xfId="0" applyNumberFormat="1" applyFont="1" applyFill="1" applyBorder="1" applyAlignment="1">
      <alignment horizontal="right"/>
    </xf>
    <xf numFmtId="9" fontId="7" fillId="2" borderId="2" xfId="1" applyFont="1" applyFill="1" applyBorder="1"/>
    <xf numFmtId="0" fontId="4" fillId="0" borderId="0" xfId="0" quotePrefix="1" applyFont="1" applyAlignment="1">
      <alignment horizontal="left"/>
    </xf>
    <xf numFmtId="0" fontId="14" fillId="0" borderId="0" xfId="0" applyFont="1"/>
    <xf numFmtId="2" fontId="4" fillId="0" borderId="0" xfId="0" applyNumberFormat="1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14" fontId="4" fillId="0" borderId="0" xfId="0" applyNumberFormat="1" applyFont="1"/>
    <xf numFmtId="3" fontId="4" fillId="0" borderId="0" xfId="0" applyNumberFormat="1" applyFont="1" applyAlignment="1">
      <alignment horizontal="right"/>
    </xf>
    <xf numFmtId="3" fontId="4" fillId="0" borderId="0" xfId="0" applyNumberFormat="1" applyFont="1"/>
    <xf numFmtId="0" fontId="3" fillId="0" borderId="0" xfId="0" applyFont="1"/>
    <xf numFmtId="0" fontId="2" fillId="0" borderId="0" xfId="0" applyFont="1"/>
    <xf numFmtId="2" fontId="8" fillId="2" borderId="2" xfId="1" applyNumberFormat="1" applyFont="1" applyFill="1" applyBorder="1" applyAlignment="1">
      <alignment horizontal="left"/>
    </xf>
    <xf numFmtId="166" fontId="9" fillId="0" borderId="0" xfId="0" applyNumberFormat="1" applyFont="1" applyAlignment="1">
      <alignment horizontal="right"/>
    </xf>
    <xf numFmtId="0" fontId="9" fillId="0" borderId="4" xfId="0" applyFont="1" applyBorder="1" applyAlignment="1">
      <alignment horizontal="center"/>
    </xf>
    <xf numFmtId="0" fontId="8" fillId="0" borderId="4" xfId="0" applyFont="1" applyBorder="1"/>
    <xf numFmtId="0" fontId="9" fillId="0" borderId="4" xfId="0" applyFont="1" applyBorder="1"/>
    <xf numFmtId="166" fontId="9" fillId="0" borderId="4" xfId="0" applyNumberFormat="1" applyFont="1" applyBorder="1"/>
    <xf numFmtId="166" fontId="9" fillId="0" borderId="4" xfId="0" applyNumberFormat="1" applyFont="1" applyBorder="1" applyAlignment="1">
      <alignment horizontal="right"/>
    </xf>
    <xf numFmtId="9" fontId="9" fillId="0" borderId="4" xfId="1" applyFont="1" applyBorder="1"/>
    <xf numFmtId="168" fontId="9" fillId="0" borderId="4" xfId="0" applyNumberFormat="1" applyFont="1" applyBorder="1"/>
    <xf numFmtId="0" fontId="9" fillId="0" borderId="4" xfId="1" applyNumberFormat="1" applyFont="1" applyBorder="1" applyAlignment="1">
      <alignment horizontal="right"/>
    </xf>
    <xf numFmtId="0" fontId="10" fillId="0" borderId="4" xfId="0" applyFont="1" applyBorder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2146</v>
          </cell>
        </row>
        <row r="4">
          <cell r="K4">
            <v>226551.95815200001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284.8</v>
          </cell>
        </row>
        <row r="4">
          <cell r="H4">
            <v>34917.850457599998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185.55</v>
          </cell>
        </row>
        <row r="4">
          <cell r="I4">
            <v>297628.32315000001</v>
          </cell>
        </row>
        <row r="5">
          <cell r="I5">
            <v>20908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55.15</v>
          </cell>
        </row>
        <row r="4">
          <cell r="H4">
            <v>14919.336445949999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42.48</v>
          </cell>
        </row>
        <row r="5">
          <cell r="H5">
            <v>10705.028957783998</v>
          </cell>
        </row>
        <row r="6">
          <cell r="H6">
            <v>961.8</v>
          </cell>
        </row>
        <row r="7">
          <cell r="H7">
            <v>56.2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36.1845</v>
          </cell>
        </row>
        <row r="5">
          <cell r="I5">
            <v>6654.5486833320001</v>
          </cell>
        </row>
        <row r="6">
          <cell r="I6">
            <v>329.06700000000001</v>
          </cell>
        </row>
        <row r="7">
          <cell r="I7">
            <v>1149.345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27.09</v>
          </cell>
        </row>
        <row r="4">
          <cell r="J4">
            <v>10075.3599366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21.96</v>
          </cell>
        </row>
        <row r="4">
          <cell r="I4">
            <v>8574.6616225199996</v>
          </cell>
        </row>
        <row r="5">
          <cell r="I5">
            <v>848.8</v>
          </cell>
        </row>
        <row r="6">
          <cell r="I6">
            <v>1039.2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99.2</v>
          </cell>
        </row>
        <row r="4">
          <cell r="H4">
            <v>5094.5152000000007</v>
          </cell>
        </row>
        <row r="5">
          <cell r="H5">
            <v>130.35400000000001</v>
          </cell>
        </row>
        <row r="6">
          <cell r="H6">
            <v>1230.885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77.23</v>
          </cell>
        </row>
        <row r="4">
          <cell r="J4">
            <v>6928.0655860600009</v>
          </cell>
        </row>
        <row r="5">
          <cell r="J5">
            <v>611.73299999999995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23.45</v>
          </cell>
        </row>
        <row r="4">
          <cell r="I4">
            <v>3450.3546770000003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97.7</v>
          </cell>
        </row>
        <row r="4">
          <cell r="I4">
            <v>4576.4633999999996</v>
          </cell>
        </row>
        <row r="5">
          <cell r="I5">
            <v>631.03800000000001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</v>
          </cell>
        </row>
        <row r="4">
          <cell r="J4">
            <v>1475.4221459999999</v>
          </cell>
        </row>
        <row r="5">
          <cell r="J5">
            <v>133.9</v>
          </cell>
        </row>
        <row r="6">
          <cell r="J6">
            <v>676.4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194.55</v>
          </cell>
        </row>
        <row r="5">
          <cell r="I5">
            <v>10039.612674000002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0" sqref="J10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812</v>
      </c>
      <c r="N3" s="11" t="s">
        <v>813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828</v>
      </c>
      <c r="F4" s="18">
        <f>SUM(F6:F153)</f>
        <v>1897679.6234087902</v>
      </c>
      <c r="G4" s="18">
        <f>SUM(G6:G153)</f>
        <v>2206.8372351999974</v>
      </c>
      <c r="H4" s="18">
        <f>SUM(H6:H153)</f>
        <v>1899886.4606439888</v>
      </c>
      <c r="I4" s="83" t="s">
        <v>422</v>
      </c>
      <c r="J4" s="16" t="s">
        <v>828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828</v>
      </c>
      <c r="D5" s="86" t="str" cm="1">
        <f t="array" ref="D5">_xlfn.LET(_xlpm.rng,D6:D182,INDEX(_xlpm.rng,MATCH(MAX(COUNTIF(_xlpm.rng,_xlpm.rng)),COUNTIF(_xlpm.rng,_xlpm.rng),0)))</f>
        <v>US</v>
      </c>
      <c r="E5" s="84" t="s">
        <v>828</v>
      </c>
      <c r="F5" s="87">
        <f>+AVERAGE(F6:F181)</f>
        <v>24045.117993568205</v>
      </c>
      <c r="G5" s="87">
        <f>AVERAGE(G6:G153)</f>
        <v>28.660223833766199</v>
      </c>
      <c r="H5" s="87">
        <f>AVERAGE(H6:H153)</f>
        <v>24673.850138233622</v>
      </c>
      <c r="I5" s="88" t="s">
        <v>422</v>
      </c>
      <c r="J5" s="84" t="s">
        <v>828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46080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2146</v>
      </c>
      <c r="F7" s="18">
        <f>+[2]Main!$K$4*FX!C3</f>
        <v>235614.03647808</v>
      </c>
      <c r="G7" s="18">
        <f>+([2]Main!$K$6-[2]Main!$K$5)*FX!C3</f>
        <v>-12693.2</v>
      </c>
      <c r="H7" s="18">
        <f>F7+G7</f>
        <v>222920.83647807999</v>
      </c>
      <c r="I7" s="26" t="s">
        <v>338</v>
      </c>
      <c r="J7" s="27">
        <v>46127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54.86</v>
      </c>
      <c r="F8" s="18">
        <f>+[3]Main!$J$5*FX!C3</f>
        <v>177781.43714215042</v>
      </c>
      <c r="G8" s="18">
        <f>+([3]Main!$J$7-[3]Main!$J$6)*FX!C3</f>
        <v>-11718.720000000001</v>
      </c>
      <c r="H8" s="18">
        <f t="shared" ref="H8:H35" si="1">F8+G8</f>
        <v>166062.71714215042</v>
      </c>
      <c r="I8" s="26" t="s">
        <v>149</v>
      </c>
      <c r="J8" s="27">
        <v>46092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159.05000000000001</v>
      </c>
      <c r="F9" s="18">
        <f>+[4]Main!$I$5</f>
        <v>179090.30000000002</v>
      </c>
      <c r="G9" s="18">
        <f>+[4]Main!$I$7-[4]Main!$I$6</f>
        <v>-3361</v>
      </c>
      <c r="H9" s="18">
        <f>F9+G9</f>
        <v>175729.30000000002</v>
      </c>
      <c r="I9" s="26" t="s">
        <v>829</v>
      </c>
      <c r="J9" s="27"/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822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204.5</v>
      </c>
      <c r="F15" s="18">
        <f>+[10]Main!$I$4</f>
        <v>22942.8633845</v>
      </c>
      <c r="G15" s="18">
        <f>+[10]Main!$I$6-[10]Main!$I$5</f>
        <v>-1035.8620000000001</v>
      </c>
      <c r="H15" s="18">
        <f>F15+G15</f>
        <v>21907.001384499999</v>
      </c>
      <c r="I15" s="26" t="s">
        <v>815</v>
      </c>
      <c r="J15" s="27">
        <v>46108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157.55000000000001</v>
      </c>
      <c r="F16" s="18">
        <f>+[11]Main!$I$4*FX!C3</f>
        <v>29255.624511568003</v>
      </c>
      <c r="G16" s="18">
        <f>+([11]Main!$I$6-[11]Main!$I$5)*FX!C3</f>
        <v>1502.8</v>
      </c>
      <c r="H16" s="18">
        <f>F16+G16</f>
        <v>30758.424511568002</v>
      </c>
      <c r="I16" s="26" t="s">
        <v>815</v>
      </c>
      <c r="J16" s="27">
        <v>46090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284.8</v>
      </c>
      <c r="F17" s="18">
        <f>+[12]Main!$H$4*FX!C3</f>
        <v>36314.564475904001</v>
      </c>
      <c r="G17" s="18">
        <f>+([12]Main!$H$6-[12]Main!$H$5)*FX!C3</f>
        <v>8578.9600000000009</v>
      </c>
      <c r="H17" s="18">
        <f t="shared" si="1"/>
        <v>44893.524475904</v>
      </c>
      <c r="I17" s="26" t="s">
        <v>422</v>
      </c>
      <c r="J17" s="27">
        <v>46133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822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185.55</v>
      </c>
      <c r="F20" s="18">
        <f>+[15]Main!$I$4*FX!C4</f>
        <v>28274.690699250001</v>
      </c>
      <c r="G20" s="18">
        <f>+([15]Main!$I$6-[15]Main!$I$5)*FX!C4</f>
        <v>-22.135000000000002</v>
      </c>
      <c r="H20" s="18">
        <f t="shared" si="1"/>
        <v>28252.555699250002</v>
      </c>
      <c r="I20" s="26" t="s">
        <v>422</v>
      </c>
      <c r="J20" s="27">
        <v>46107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40.6</v>
      </c>
      <c r="F21" s="18">
        <f>+[16]Main!$H$5*FX!C3</f>
        <v>12965.254149120001</v>
      </c>
      <c r="G21" s="18">
        <f>(+[16]Main!$H$7-[16]Main!$H$6)*FX!C3</f>
        <v>-368.62695999999994</v>
      </c>
      <c r="H21" s="18">
        <f t="shared" si="1"/>
        <v>12596.627189120001</v>
      </c>
      <c r="I21" s="26" t="s">
        <v>815</v>
      </c>
      <c r="J21" s="27">
        <v>46084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55.15</v>
      </c>
      <c r="F23" s="18">
        <f>+[18]Main!$H$4*FX!C3</f>
        <v>15516.109903787999</v>
      </c>
      <c r="G23" s="18">
        <f>+([18]Main!$H$6-[18]Main!$H$5)*FX!C3</f>
        <v>-376.31984</v>
      </c>
      <c r="H23" s="18">
        <f t="shared" si="1"/>
        <v>15139.790063787999</v>
      </c>
      <c r="I23" s="26" t="s">
        <v>422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154.69999999999999</v>
      </c>
      <c r="F25" s="18">
        <f>+[20]Main!$J$4</f>
        <v>31321.2152981</v>
      </c>
      <c r="G25" s="18">
        <f>+[20]Main!$J$6-[20]Main!$J$5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4396</v>
      </c>
      <c r="F26" s="18">
        <f>+[21]Main!$I$4*FX!C5</f>
        <v>19793.3884261848</v>
      </c>
      <c r="G26" s="18">
        <f>+([21]Main!$I$6-[21]Main!$I$5)*FX!C5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42.48</v>
      </c>
      <c r="F28" s="18">
        <f>+[23]Main!$H$5*FX!C7</f>
        <v>11989.632432718079</v>
      </c>
      <c r="G28" s="18">
        <f>+([23]Main!$H$7-[23]Main!$H$6)*FX!C7</f>
        <v>-1014.272</v>
      </c>
      <c r="H28" s="18">
        <f>F28+G28</f>
        <v>10975.360432718078</v>
      </c>
      <c r="I28" s="26" t="s">
        <v>815</v>
      </c>
      <c r="J28" s="27">
        <v>46085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40.49</v>
      </c>
      <c r="F29" s="18">
        <f>+[24]Main!$J$4</f>
        <v>22544.952903140002</v>
      </c>
      <c r="G29" s="18">
        <f>+[24]Main!$J$6-[24]Main!$J$5</f>
        <v>282.79999999999995</v>
      </c>
      <c r="H29" s="18">
        <f t="shared" si="1"/>
        <v>22827.752903140001</v>
      </c>
      <c r="I29" s="17" t="s">
        <v>422</v>
      </c>
      <c r="J29" s="27">
        <v>46078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822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23.02</v>
      </c>
      <c r="F33" s="18">
        <f>+[28]Main!$I$4*FX!C3</f>
        <v>6231.7902400000003</v>
      </c>
      <c r="G33" s="18">
        <f>+([28]Main!$I$6-[28]Main!$I$5)*FX!C3</f>
        <v>-709.38400000000001</v>
      </c>
      <c r="H33" s="18">
        <f>F33+G33</f>
        <v>5522.4062400000003</v>
      </c>
      <c r="I33" s="26" t="s">
        <v>815</v>
      </c>
      <c r="J33" s="27">
        <v>46093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821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36.1845</v>
      </c>
      <c r="F35" s="18">
        <f>+[30]Main!$I$5*FX!C3</f>
        <v>6920.7306306652799</v>
      </c>
      <c r="G35" s="18">
        <f>+([30]Main!$I$7-[30]Main!$I$6)*FX!C3</f>
        <v>853.08912000000009</v>
      </c>
      <c r="H35" s="18">
        <f t="shared" si="1"/>
        <v>7773.8197506652796</v>
      </c>
      <c r="I35" s="17" t="s">
        <v>422</v>
      </c>
      <c r="J35" s="27">
        <v>46072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27.09</v>
      </c>
      <c r="F36" s="18">
        <f>+[31]Main!$J$4</f>
        <v>10075.3599366</v>
      </c>
      <c r="G36" s="18">
        <f>+([31]Main!$J$6-[31]Main!$J$5)</f>
        <v>-1026</v>
      </c>
      <c r="H36" s="18">
        <f>+G36+F36</f>
        <v>9049.3599365999999</v>
      </c>
      <c r="I36" s="17" t="s">
        <v>815</v>
      </c>
      <c r="J36" s="27">
        <v>46086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814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815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21.96</v>
      </c>
      <c r="F40" s="18">
        <f>+[35]Main!$I$4</f>
        <v>8574.6616225199996</v>
      </c>
      <c r="G40" s="18">
        <f>+[35]Main!$I$6-[35]Main!$I$5</f>
        <v>190.40000000000009</v>
      </c>
      <c r="H40" s="18">
        <f>F40+G40</f>
        <v>8765.0616225199992</v>
      </c>
      <c r="I40" s="17" t="s">
        <v>422</v>
      </c>
      <c r="J40" s="27">
        <v>46118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99.2</v>
      </c>
      <c r="F44" s="18">
        <f>+[39]Main!$H$4</f>
        <v>5094.5152000000007</v>
      </c>
      <c r="G44" s="18">
        <f>+[39]Main!$H$6-[39]Main!$H$5</f>
        <v>1100.5309999999999</v>
      </c>
      <c r="H44" s="18">
        <f>F44+G44</f>
        <v>6195.0462000000007</v>
      </c>
      <c r="I44" s="17" t="s">
        <v>422</v>
      </c>
      <c r="J44" s="27">
        <v>46149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809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77.23</v>
      </c>
      <c r="F50" s="18">
        <f>+[45]Main!$J$4</f>
        <v>6928.0655860600009</v>
      </c>
      <c r="G50" s="18">
        <f>+[45]Main!$J$6-[45]Main!$J$5</f>
        <v>-611.73299999999995</v>
      </c>
      <c r="H50" s="18">
        <f>+F50+G50</f>
        <v>6316.3325860600007</v>
      </c>
      <c r="I50" s="17" t="s">
        <v>809</v>
      </c>
      <c r="J50" s="27">
        <v>46077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23.45</v>
      </c>
      <c r="F51" s="18">
        <f>+[46]Main!$I$4*FX!C3</f>
        <v>3588.3688640800005</v>
      </c>
      <c r="G51" s="18">
        <f>+([46]Main!$I$6-[46]Main!$I$5)*FX!C3</f>
        <v>1093.3520000000003</v>
      </c>
      <c r="H51" s="18">
        <f t="shared" si="3"/>
        <v>4681.7208640800009</v>
      </c>
      <c r="I51" s="17" t="s">
        <v>815</v>
      </c>
      <c r="J51" s="27">
        <v>46079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97.7</v>
      </c>
      <c r="F53" s="18">
        <f>+[48]Main!$I$4</f>
        <v>4576.4633999999996</v>
      </c>
      <c r="G53" s="18">
        <f>+[48]Main!$I$6-[48]Main!$I$5</f>
        <v>-631.03800000000001</v>
      </c>
      <c r="H53" s="18">
        <f>F53+G53</f>
        <v>3945.4253999999996</v>
      </c>
      <c r="I53" s="26" t="s">
        <v>815</v>
      </c>
      <c r="J53" s="27">
        <v>46085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56.66</v>
      </c>
      <c r="F54" s="18">
        <f>+[49]Main!$I$4</f>
        <v>3053.3446207199995</v>
      </c>
      <c r="G54" s="18">
        <f>+[49]Main!$I$6-[49]Main!$I$5</f>
        <v>-236.02699999999999</v>
      </c>
      <c r="H54" s="18">
        <f t="shared" si="3"/>
        <v>2817.3176207199995</v>
      </c>
      <c r="I54" s="17" t="s">
        <v>815</v>
      </c>
      <c r="J54" s="27">
        <v>46056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815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809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820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815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36.520000000000003</v>
      </c>
      <c r="F63" s="18">
        <f>+[57]Main!$J$4*FX!C3</f>
        <v>2673.8483200000005</v>
      </c>
      <c r="G63" s="18">
        <f>+([57]Main!$J$6-[57]Main!$J$5)*FX!C3</f>
        <v>201.76000000000002</v>
      </c>
      <c r="H63" s="18">
        <f>+F63+G63</f>
        <v>2875.6083200000007</v>
      </c>
      <c r="I63" s="17" t="s">
        <v>815</v>
      </c>
      <c r="J63" s="27">
        <v>46091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821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815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821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815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18</v>
      </c>
      <c r="F155" s="18">
        <f>+[79]Main!$J$4</f>
        <v>1475.4221459999999</v>
      </c>
      <c r="G155" s="18">
        <f>+[79]Main!$J$6-[79]Main!$J$5</f>
        <v>542.5</v>
      </c>
      <c r="H155" s="18">
        <f>+F155+G155</f>
        <v>2017.9221459999999</v>
      </c>
      <c r="I155" s="17" t="s">
        <v>815</v>
      </c>
      <c r="J155" s="27">
        <v>45706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20" sqref="B20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8" sqref="J8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233</v>
      </c>
      <c r="F4" s="57">
        <f>+[81]Main!$I$4*FX!C3</f>
        <v>111229.45403231999</v>
      </c>
      <c r="G4" s="57">
        <f>+([81]Main!$I$6-[81]Main!$I$5)*FX!C3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149.9</v>
      </c>
      <c r="F5" s="57">
        <f>+[82]Main!$J$5*FX!C7</f>
        <v>104409.88297600002</v>
      </c>
      <c r="G5" s="57">
        <f>+([82]Main!$J$7-[82]Main!$J$6)*FX!C7</f>
        <v>-8980.1600000000017</v>
      </c>
      <c r="H5" s="57">
        <f t="shared" ref="H5:H6" si="0">+F5+G5</f>
        <v>95429.722976000019</v>
      </c>
      <c r="I5" s="47" t="s">
        <v>715</v>
      </c>
      <c r="J5" s="61">
        <v>45975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111.2</v>
      </c>
      <c r="F6" s="57">
        <f>+[83]Main!$K$4</f>
        <v>40224.047181599999</v>
      </c>
      <c r="G6" s="57">
        <f>+([83]Main!$K$6-[83]Main!$K$5)</f>
        <v>4240</v>
      </c>
      <c r="H6" s="57">
        <f t="shared" si="0"/>
        <v>44464.047181599999</v>
      </c>
      <c r="I6" s="93" t="s">
        <v>809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194.55</v>
      </c>
      <c r="F7" s="57">
        <f>+[84]Main!$I$5*FX!C7</f>
        <v>11244.366194880004</v>
      </c>
      <c r="G7" s="57">
        <f>+([84]Main!$I$7-[84]Main!$I$6)*FX!C7</f>
        <v>-1219.68</v>
      </c>
      <c r="H7" s="57">
        <f>+F7+G7</f>
        <v>10024.686194880003</v>
      </c>
      <c r="I7" s="47" t="s">
        <v>149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817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816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818</v>
      </c>
      <c r="C13" s="80" t="s">
        <v>819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810</v>
      </c>
      <c r="C9" s="46" t="s">
        <v>811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29" sqref="B29:C29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A20" s="75" t="s">
        <v>797</v>
      </c>
      <c r="B20" s="75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81" t="s">
        <v>826</v>
      </c>
      <c r="C21" s="46" t="s">
        <v>784</v>
      </c>
      <c r="D21" s="81" t="s">
        <v>826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827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81"/>
      <c r="C29" s="81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19"/>
  <sheetViews>
    <sheetView zoomScale="200" zoomScaleNormal="200" workbookViewId="0">
      <selection activeCell="B2" sqref="B2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B9" s="81" t="s">
        <v>807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B10" s="81" t="s">
        <v>695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6" t="s">
        <v>808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topLeftCell="A10" zoomScale="200" zoomScaleNormal="200" workbookViewId="0">
      <selection activeCell="C19" sqref="C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823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824</v>
      </c>
      <c r="C21" s="81" t="s">
        <v>825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2026-02-25T16:56:38Z</dcterms:modified>
  <cp:category/>
  <cp:contentStatus/>
</cp:coreProperties>
</file>