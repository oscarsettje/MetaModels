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EBF0615-6F10-4EBE-B671-EB2BCC86C743}" xr6:coauthVersionLast="47" xr6:coauthVersionMax="47" xr10:uidLastSave="{00000000-0000-0000-0000-000000000000}"/>
  <bookViews>
    <workbookView xWindow="-120" yWindow="-120" windowWidth="38640" windowHeight="2106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1" l="1"/>
  <c r="F84" i="1"/>
  <c r="H84" i="1" s="1"/>
  <c r="E84" i="1"/>
  <c r="G93" i="1" l="1"/>
  <c r="F93" i="1"/>
  <c r="H93" i="1" s="1"/>
  <c r="E93" i="1"/>
  <c r="G18" i="1" l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<sst xmlns="http://schemas.openxmlformats.org/spreadsheetml/2006/main" count="747" uniqueCount="483">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</sst>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7">
    <xf numFmtId="0" fontId="0" fillId="0" borderId="0" xfId="0"/>
    <xf numFmtId="0" fontId="11" fillId="0" borderId="0" xfId="0" applyFont="1"/>
    <xf numFmtId="0" fontId="12" fillId="0" borderId="0" xfId="0" applyFont="1" applyAlignment="1">
      <alignment horizontal="left"/>
    </xf>
    <xf numFmtId="0" fontId="9" fillId="0" borderId="0" xfId="0" applyFont="1"/>
    <xf numFmtId="0" fontId="13" fillId="0" borderId="0" xfId="0" applyFont="1"/>
    <xf numFmtId="0" fontId="9" fillId="0" borderId="0" xfId="0" applyFont="1" applyAlignment="1">
      <alignment horizontal="left"/>
    </xf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left"/>
    </xf>
    <xf numFmtId="0" fontId="12" fillId="2" borderId="3" xfId="0" applyFont="1" applyFill="1" applyBorder="1"/>
    <xf numFmtId="0" fontId="9" fillId="0" borderId="0" xfId="0" applyFont="1" applyAlignment="1">
      <alignment horizontal="center"/>
    </xf>
    <xf numFmtId="0" fontId="14" fillId="0" borderId="0" xfId="1" applyFont="1"/>
    <xf numFmtId="164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right"/>
    </xf>
    <xf numFmtId="0" fontId="14" fillId="0" borderId="0" xfId="1" applyFont="1" applyFill="1"/>
    <xf numFmtId="16" fontId="9" fillId="0" borderId="0" xfId="0" applyNumberFormat="1" applyFont="1"/>
    <xf numFmtId="2" fontId="9" fillId="0" borderId="0" xfId="0" applyNumberFormat="1" applyFont="1"/>
    <xf numFmtId="3" fontId="9" fillId="0" borderId="0" xfId="0" applyNumberFormat="1" applyFont="1"/>
    <xf numFmtId="0" fontId="9" fillId="0" borderId="0" xfId="0" quotePrefix="1" applyFont="1"/>
    <xf numFmtId="165" fontId="9" fillId="0" borderId="0" xfId="0" applyNumberFormat="1" applyFont="1"/>
    <xf numFmtId="0" fontId="15" fillId="0" borderId="0" xfId="0" applyFont="1"/>
    <xf numFmtId="0" fontId="13" fillId="0" borderId="0" xfId="0" applyFont="1" applyAlignment="1">
      <alignment horizontal="center"/>
    </xf>
    <xf numFmtId="0" fontId="9" fillId="2" borderId="3" xfId="0" applyFont="1" applyFill="1" applyBorder="1"/>
    <xf numFmtId="0" fontId="16" fillId="0" borderId="0" xfId="0" applyFont="1"/>
    <xf numFmtId="166" fontId="17" fillId="0" borderId="0" xfId="0" applyNumberFormat="1" applyFont="1"/>
    <xf numFmtId="164" fontId="9" fillId="0" borderId="0" xfId="0" applyNumberFormat="1" applyFont="1" applyAlignment="1">
      <alignment horizontal="right"/>
    </xf>
    <xf numFmtId="0" fontId="9" fillId="2" borderId="2" xfId="0" applyFont="1" applyFill="1" applyBorder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4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33.840000000000003</v>
          </cell>
        </row>
        <row r="4">
          <cell r="I4">
            <v>124944.26802768001</v>
          </cell>
        </row>
        <row r="5">
          <cell r="I5">
            <v>9687</v>
          </cell>
        </row>
        <row r="6">
          <cell r="I6">
            <v>101528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256.39999999999998</v>
          </cell>
        </row>
        <row r="4">
          <cell r="I4">
            <v>340780.2144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8" sqref="C18:D18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1253.22</v>
      </c>
      <c r="F4" s="14">
        <f>+[1]Main!$I$5</f>
        <v>532882.92942000006</v>
      </c>
      <c r="G4" s="14">
        <f>+[1]Main!$I$7-[1]Main!$I$6</f>
        <v>6062.6859999999997</v>
      </c>
      <c r="H4" s="14">
        <f>+F4+G4</f>
        <v>538945.61542000005</v>
      </c>
      <c r="I4" s="29" t="s">
        <v>473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33.840000000000003</v>
      </c>
      <c r="F6" s="14">
        <f>+[3]Main!$I$4</f>
        <v>124944.26802768001</v>
      </c>
      <c r="G6" s="14">
        <f>+[3]Main!$I$6-[3]Main!$I$5</f>
        <v>91841</v>
      </c>
      <c r="H6" s="14">
        <f t="shared" si="0"/>
        <v>216785.26802767999</v>
      </c>
      <c r="I6" s="30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173.3</v>
      </c>
      <c r="F15" s="14">
        <f>+[8]Main!$I$4</f>
        <v>43360.925609900005</v>
      </c>
      <c r="G15" s="14">
        <f>+[8]Main!$I$6-[8]Main!$I$5</f>
        <v>-1230</v>
      </c>
      <c r="H15" s="14">
        <f>+F15+G15</f>
        <v>42130.925609900005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2" t="s">
        <v>479</v>
      </c>
      <c r="D18" s="32" t="s">
        <v>26</v>
      </c>
      <c r="E18" s="3">
        <f>+[11]Main!$I$2</f>
        <v>256.39999999999998</v>
      </c>
      <c r="F18" s="21">
        <f>+[11]Main!$I$4*FX!C6</f>
        <v>47709.230016000001</v>
      </c>
      <c r="G18" s="14">
        <f>+([11]Main!$I$6-[11]Main!$I$5)*FX!C6</f>
        <v>-1927.1995400000001</v>
      </c>
      <c r="H18" s="14">
        <f>+F18+G18</f>
        <v>45782.030476</v>
      </c>
      <c r="I18" s="33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11.87</v>
      </c>
      <c r="F23" s="14">
        <f>+[15]Main!$H$4</f>
        <v>29387.416987339999</v>
      </c>
      <c r="G23" s="14">
        <f>+[15]Main!$H$6-[15]Main!$H$5</f>
        <v>29744</v>
      </c>
      <c r="H23" s="14">
        <f>+F23+G23</f>
        <v>59131.416987339995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4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4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5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4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4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6" t="s">
        <v>481</v>
      </c>
      <c r="D116" s="36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559.02</v>
      </c>
      <c r="F5" s="26">
        <f>+[32]Main!$H$4</f>
        <v>4155288.66918858</v>
      </c>
      <c r="G5" s="26">
        <f>+[32]Main!$H$6-[32]Main!$H$5</f>
        <v>-54413</v>
      </c>
      <c r="H5" s="26">
        <f t="shared" ref="H5:H18" si="0">+F5+G5</f>
        <v>4100875.66918858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1273.5800000000002</v>
      </c>
      <c r="G6" s="26">
        <f>+([33]Main!$G$6-[33]Main!$G$5)*FX!C6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173.3</v>
      </c>
      <c r="F11" s="26">
        <f>+[8]Main!$I$4</f>
        <v>43360.925609900005</v>
      </c>
      <c r="G11" s="26">
        <f>+[8]Main!$I$6-[8]Main!$I$5</f>
        <v>-1230</v>
      </c>
      <c r="H11" s="26">
        <f t="shared" si="0"/>
        <v>42130.925609900005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33.840000000000003</v>
      </c>
      <c r="F4" s="14">
        <f>+[3]Main!$I$4</f>
        <v>124944.26802768001</v>
      </c>
      <c r="G4" s="14">
        <f>+[3]Main!$I$6-[3]Main!$I$5</f>
        <v>91841</v>
      </c>
      <c r="H4" s="14">
        <f>+F4+G4</f>
        <v>216785.26802767999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11.87</v>
      </c>
      <c r="F7" s="14">
        <f>+[15]Main!$H$4</f>
        <v>29387.416987339999</v>
      </c>
      <c r="G7" s="14">
        <f>+[15]Main!$H$6-[15]Main!$H$5</f>
        <v>29744</v>
      </c>
      <c r="H7" s="14">
        <f>+F7+G7</f>
        <v>59131.416987339995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52.09</v>
      </c>
      <c r="F14" s="14">
        <f>+[41]Main!$H$4</f>
        <v>8540.3870921399994</v>
      </c>
      <c r="G14" s="14">
        <f>+[41]Main!$H$6-[41]Main!$H$5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1.2</v>
      </c>
      <c r="F78" s="14">
        <f>+[43]Main!$H$4</f>
        <v>112.4964828</v>
      </c>
      <c r="G78" s="14">
        <f>+[43]Main!$H$6-[43]Main!$H$5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2025-09-26T12:20:16Z</dcterms:modified>
</cp:coreProperties>
</file>