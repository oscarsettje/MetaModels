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C28629A-FC0E-4A54-95A6-440A3A467B10}" xr6:coauthVersionLast="47" xr6:coauthVersionMax="47" xr10:uidLastSave="{00000000-0000-0000-0000-000000000000}"/>
  <bookViews>
    <workbookView xWindow="-120" yWindow="-120" windowWidth="38640" windowHeight="2106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_FilterDatabase" localSheetId="0" hidden="1">Main!$A$1:$J$112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F8" i="1"/>
  <c r="E8" i="1"/>
  <c r="G46" i="1" l="1"/>
  <c r="F46" i="1"/>
  <c r="E46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6" i="1"/>
  <c r="G7" i="4"/>
  <c r="F7" i="4"/>
  <c r="G6" i="4"/>
  <c r="F6" i="4"/>
  <c r="G21" i="1"/>
  <c r="F21" i="1"/>
  <c r="E21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H13" i="4" s="1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2" i="4" l="1"/>
  <c r="H21" i="4"/>
  <c r="H10" i="4"/>
  <c r="H11" i="4"/>
  <c r="H5" i="4"/>
  <c r="H14" i="4"/>
  <c r="H18" i="4"/>
  <c r="G56" i="1"/>
  <c r="F56" i="1"/>
  <c r="E56" i="1"/>
  <c r="G28" i="1"/>
  <c r="F28" i="1"/>
  <c r="E28" i="1"/>
  <c r="G104" i="1"/>
  <c r="F104" i="1"/>
  <c r="E104" i="1"/>
  <c r="G31" i="1"/>
  <c r="F31" i="1"/>
  <c r="H31" i="1" s="1"/>
  <c r="E31" i="1"/>
  <c r="H56" i="1" l="1"/>
  <c r="H104" i="1"/>
  <c r="H28" i="1"/>
  <c r="G29" i="1"/>
  <c r="F29" i="1"/>
  <c r="E29" i="1"/>
  <c r="G38" i="1"/>
  <c r="F38" i="1"/>
  <c r="E38" i="1"/>
  <c r="H21" i="1" l="1"/>
  <c r="H10" i="1"/>
  <c r="H29" i="1"/>
  <c r="H38" i="1"/>
  <c r="G109" i="1"/>
  <c r="F109" i="1"/>
  <c r="E109" i="1"/>
  <c r="G107" i="1"/>
  <c r="F107" i="1"/>
  <c r="E107" i="1"/>
  <c r="A109" i="1"/>
  <c r="A110" i="1" s="1"/>
  <c r="A111" i="1" s="1"/>
  <c r="A112" i="1" s="1"/>
  <c r="G49" i="1"/>
  <c r="F49" i="1"/>
  <c r="E49" i="1"/>
  <c r="G20" i="1"/>
  <c r="F20" i="1"/>
  <c r="E20" i="1"/>
  <c r="H109" i="1" l="1"/>
  <c r="H107" i="1"/>
  <c r="H8" i="1"/>
  <c r="H7" i="1"/>
  <c r="H20" i="1"/>
  <c r="H9" i="1"/>
  <c r="H49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6" i="1"/>
  <c r="A5" i="1"/>
  <c r="G6" i="1"/>
  <c r="F6" i="1"/>
  <c r="E6" i="1"/>
  <c r="G40" i="1"/>
  <c r="F40" i="1"/>
  <c r="E40" i="1"/>
  <c r="H6" i="1" l="1"/>
  <c r="H40" i="1"/>
  <c r="G19" i="1"/>
  <c r="F19" i="1"/>
  <c r="E19" i="1"/>
  <c r="H19" i="1" l="1"/>
  <c r="G16" i="1"/>
  <c r="F16" i="1"/>
  <c r="E16" i="1"/>
  <c r="H16" i="1" l="1"/>
  <c r="G15" i="1"/>
  <c r="F15" i="1"/>
  <c r="E15" i="1"/>
  <c r="H15" i="1" l="1"/>
  <c r="G26" i="1"/>
  <c r="F26" i="1"/>
  <c r="E26" i="1"/>
  <c r="G17" i="1"/>
  <c r="F17" i="1"/>
  <c r="E17" i="1"/>
  <c r="H26" i="1" l="1"/>
  <c r="H17" i="1"/>
  <c r="G25" i="1"/>
  <c r="F25" i="1"/>
  <c r="E25" i="1"/>
  <c r="H25" i="1" l="1"/>
  <c r="G22" i="1"/>
  <c r="F22" i="1"/>
  <c r="E22" i="1"/>
  <c r="G23" i="1"/>
  <c r="F23" i="1"/>
  <c r="E23" i="1"/>
  <c r="F4" i="1"/>
  <c r="G4" i="1"/>
  <c r="E4" i="1"/>
  <c r="H22" i="1" l="1"/>
  <c r="H4" i="1"/>
  <c r="H23" i="1"/>
  <c r="H5" i="1" l="1"/>
</calcChain>
</file>

<file path=xl/sharedStrings.xml><?xml version="1.0" encoding="utf-8"?>
<sst xmlns="http://schemas.openxmlformats.org/spreadsheetml/2006/main" count="739" uniqueCount="479">
  <si>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</si>
  <si>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</si>
  <si>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</si>
  <si>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</si>
  <si>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</si>
  <si>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</si>
  <si>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</si>
  <si>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</si>
  <si>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</si>
  <si>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</si>
  <si>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</si>
  <si>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</si>
  <si>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</si>
  <si>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</si>
  <si>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</si>
  <si>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</si>
  <si>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</si>
  <si>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</si>
  <si>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</si>
  <si>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</si>
  <si>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</si>
  <si>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</si>
  <si>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</si>
  <si>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</si>
  <si>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</si>
  <si>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</si>
  <si>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</si>
  <si>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</si>
  <si>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</si>
  <si>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</si>
  <si>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</si>
  <si>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</si>
  <si>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</si>
  <si>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</si>
  <si>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</si>
  <si>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</si>
  <si>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</si>
  <si>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</si>
  <si>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</si>
  <si>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</si>
  <si>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</si>
  <si>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</si>
  <si>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</si>
  <si>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</si>
  <si>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</si>
  <si>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</si>
  <si>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</si>
  <si>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</si>
  <si>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</si>
  <si>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</si>
  <si>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</si>
  <si>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</si>
  <si>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</si>
  <si>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</si>
  <si>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</si>
  <si>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</si>
  <si>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</si>
  <si>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</si>
  <si>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</si>
  <si>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</si>
  <si>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</si>
  <si>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</si>
  <si>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</si>
  <si>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</si>
  <si>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</si>
  <si>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</si>
  <si>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</si>
  <si>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</si>
  <si>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</si>
  <si>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</si>
  <si>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</si>
  <si>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</si>
  <si>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</si>
  <si>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</si>
  <si>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</si>
  <si>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</si>
  <si>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</si>
  <si>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</si>
  <si>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</si>
  <si>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</si>
  <si>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</si>
  <si>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</si>
  <si>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</si>
  <si>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</si>
  <si>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</si>
  <si>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</si>
  <si>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</si>
  <si>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</si>
  <si>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</si>
  <si>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</si>
  <si>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</si>
  <si>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</si>
  <si>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</si>
  <si>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</si>
  <si>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</si>
  <si>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</si>
  <si>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</si>
  <si>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</si>
  <si>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</si>
  <si>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</si>
  <si>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</si>
  <si>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</si>
  <si>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</si>
  <si>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</si>
  <si>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</si>
  <si>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</si>
  <si>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</si>
  <si>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</si>
  <si>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</si>
  <si>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</si>
  <si>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</si>
  <si>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</si>
  <si>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</si>
  <si>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</si>
  <si>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</si>
  <si>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</si>
  <si>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</si>
  <si>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</si>
  <si>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</si>
  <si>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</si>
  <si>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</si>
  <si>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</si>
  <si>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</si>
  <si>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</si>
  <si>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</si>
  <si>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</si>
  <si>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</si>
  <si>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</si>
  <si>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</si>
  <si>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</si>
  <si>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</si>
  <si>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</si>
  <si>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</si>
  <si>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</si>
  <si>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</si>
  <si>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</si>
  <si>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</si>
  <si>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</si>
  <si>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</si>
  <si>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</si>
  <si>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</si>
  <si>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</si>
  <si>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</si>
  <si>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</si>
  <si>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</si>
  <si>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</si>
  <si>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</si>
  <si>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</si>
  <si>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</si>
  <si>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</si>
  <si>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</si>
  <si>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</si>
  <si>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</si>
  <si>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</si>
  <si>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</si>
  <si>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</si>
  <si>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</si>
  <si>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</si>
  <si>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</si>
  <si>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</si>
  <si>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</si>
  <si>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</si>
  <si>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</si>
  <si>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</si>
  <si>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</si>
  <si>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</si>
  <si>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</si>
  <si>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</si>
  <si>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</si>
  <si>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</si>
  <si>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</si>
  <si>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</si>
  <si>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</si>
  <si>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</si>
  <si>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</si>
  <si>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</si>
  <si>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</si>
  <si>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</si>
  <si>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</si>
  <si>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</si>
  <si>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</si>
  <si>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</si>
  <si>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</si>
  <si>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</si>
  <si>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</si>
  <si>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</si>
  <si>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</si>
  <si>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</si>
  <si>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</si>
  <si>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</si>
  <si>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</si>
  <si>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</si>
  <si>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</si>
  <si>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</si>
  <si>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</si>
  <si>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</si>
  <si>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</si>
  <si>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</si>
  <si>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</si>
  <si>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</si>
  <si>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</si>
  <si>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</si>
  <si>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</si>
  <si>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</si>
  <si>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</si>
  <si>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</si>
  <si>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</si>
  <si>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</si>
  <si>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</si>
  <si>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</si>
  <si>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</si>
  <si>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</si>
  <si>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</si>
  <si>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</si>
  <si>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</si>
  <si>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</si>
  <si>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</si>
  <si>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</si>
  <si>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</si>
  <si>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</si>
  <si>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</si>
  <si>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</si>
  <si>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</si>
  <si>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</si>
  <si>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</si>
  <si>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</si>
  <si>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</si>
  <si>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</si>
  <si>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</si>
  <si>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</si>
  <si>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</si>
  <si>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</si>
  <si>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</si>
  <si>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</si>
  <si>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</si>
  <si>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</si>
  <si>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</si>
  <si>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</si>
  <si>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</si>
  <si>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</si>
  <si>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</si>
  <si>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</si>
  <si>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</si>
  <si>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</si>
  <si>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Market Cap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</si>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</sst>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1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right"/>
    </xf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/>
    <xf numFmtId="0" fontId="1" fillId="0" borderId="0" xfId="0" applyFont="1" applyAlignment="1">
      <alignment horizontal="center"/>
    </xf>
    <xf numFmtId="0" fontId="6" fillId="0" borderId="0" xfId="1" applyFont="1"/>
    <xf numFmtId="164" fontId="1" fillId="0" borderId="0" xfId="0" applyNumberFormat="1" applyFont="1"/>
    <xf numFmtId="166" fontId="1" fillId="0" borderId="0" xfId="0" applyNumberFormat="1" applyFont="1"/>
    <xf numFmtId="0" fontId="1" fillId="0" borderId="0" xfId="0" applyFont="1" applyAlignment="1">
      <alignment horizontal="right"/>
    </xf>
    <xf numFmtId="0" fontId="6" fillId="0" borderId="0" xfId="1" applyFont="1" applyFill="1"/>
    <xf numFmtId="16" fontId="1" fillId="0" borderId="0" xfId="0" applyNumberFormat="1" applyFont="1"/>
    <xf numFmtId="2" fontId="1" fillId="0" borderId="0" xfId="0" applyNumberFormat="1" applyFont="1"/>
    <xf numFmtId="3" fontId="1" fillId="0" borderId="0" xfId="0" applyNumberFormat="1" applyFont="1"/>
    <xf numFmtId="0" fontId="1" fillId="0" borderId="0" xfId="0" quotePrefix="1" applyFont="1"/>
    <xf numFmtId="165" fontId="1" fillId="0" borderId="0" xfId="0" applyNumberFormat="1" applyFont="1"/>
    <xf numFmtId="0" fontId="7" fillId="0" borderId="0" xfId="0" applyFont="1"/>
    <xf numFmtId="0" fontId="5" fillId="0" borderId="0" xfId="0" applyFont="1" applyAlignment="1">
      <alignment horizontal="center"/>
    </xf>
    <xf numFmtId="0" fontId="1" fillId="2" borderId="3" xfId="0" applyFont="1" applyFill="1" applyBorder="1"/>
    <xf numFmtId="0" fontId="8" fillId="0" borderId="0" xfId="0" applyFont="1"/>
    <xf numFmtId="166" fontId="9" fillId="0" borderId="0" xfId="0" applyNumberFormat="1" applyFont="1"/>
    <xf numFmtId="164" fontId="1" fillId="0" borderId="0" xfId="0" applyNumberFormat="1" applyFont="1" applyAlignment="1">
      <alignment horizontal="right"/>
    </xf>
    <xf numFmtId="0" fontId="1" fillId="2" borderId="2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34.549999999999997</v>
          </cell>
        </row>
        <row r="4">
          <cell r="I4">
            <v>129621.37067784999</v>
          </cell>
        </row>
        <row r="5">
          <cell r="I5">
            <v>8593</v>
          </cell>
        </row>
        <row r="6">
          <cell r="I6">
            <v>99122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58.14</v>
          </cell>
        </row>
        <row r="4">
          <cell r="H4">
            <v>38796.821127900002</v>
          </cell>
        </row>
        <row r="5">
          <cell r="H5">
            <v>2409.5450000000001</v>
          </cell>
        </row>
        <row r="6">
          <cell r="H6">
            <v>1006.371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35.83</v>
          </cell>
        </row>
        <row r="4">
          <cell r="H4">
            <v>18644.53591988</v>
          </cell>
        </row>
        <row r="5">
          <cell r="H5">
            <v>802</v>
          </cell>
        </row>
        <row r="6">
          <cell r="H6">
            <v>3955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18.07</v>
          </cell>
        </row>
        <row r="4">
          <cell r="G4">
            <v>6087.7829999999994</v>
          </cell>
        </row>
        <row r="5">
          <cell r="G5">
            <v>723.53200000000004</v>
          </cell>
        </row>
        <row r="6">
          <cell r="G6">
            <v>2333.2600000000002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9" t="s">
        <v>244</v>
      </c>
      <c r="G3" s="7" t="s">
        <v>53</v>
      </c>
      <c r="H3" s="8" t="s">
        <v>5</v>
      </c>
      <c r="I3" s="8" t="s">
        <v>302</v>
      </c>
      <c r="J3" s="8" t="s">
        <v>262</v>
      </c>
      <c r="K3" s="8"/>
      <c r="L3" s="8"/>
      <c r="M3" s="8"/>
      <c r="N3" s="8"/>
      <c r="O3" s="8"/>
      <c r="P3" s="8"/>
      <c r="Q3" s="8"/>
      <c r="R3" s="8"/>
      <c r="S3" s="9" t="s">
        <v>273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15" t="s">
        <v>261</v>
      </c>
      <c r="J4" s="3"/>
      <c r="K4" s="3"/>
      <c r="L4" s="3"/>
      <c r="M4" s="3"/>
      <c r="N4" s="3"/>
      <c r="O4" s="3"/>
      <c r="P4" s="3"/>
      <c r="Q4" s="3"/>
      <c r="R4" s="3"/>
      <c r="S4" s="3" t="s">
        <v>263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296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264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69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34.549999999999997</v>
      </c>
      <c r="F6" s="14">
        <f>+[3]Main!$I$4</f>
        <v>129621.37067784999</v>
      </c>
      <c r="G6" s="14">
        <f>+[3]Main!$I$6-[3]Main!$I$5</f>
        <v>90529</v>
      </c>
      <c r="H6" s="14">
        <f t="shared" si="0"/>
        <v>220150.37067784998</v>
      </c>
      <c r="I6" s="15" t="s">
        <v>261</v>
      </c>
      <c r="J6" s="3"/>
      <c r="K6" s="3"/>
      <c r="L6" s="3"/>
      <c r="M6" s="3"/>
      <c r="N6" s="3"/>
      <c r="O6" s="3"/>
      <c r="P6" s="3"/>
      <c r="Q6" s="3"/>
      <c r="R6" s="3"/>
      <c r="S6" s="3" t="s">
        <v>264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15" t="s">
        <v>246</v>
      </c>
      <c r="J8" s="3"/>
      <c r="K8" s="3"/>
      <c r="L8" s="3"/>
      <c r="M8" s="3"/>
      <c r="N8" s="3"/>
      <c r="O8" s="3"/>
      <c r="P8" s="3"/>
      <c r="Q8" s="3"/>
      <c r="R8" s="3"/>
      <c r="S8" s="3" t="s">
        <v>263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10935</v>
      </c>
      <c r="F9" s="14">
        <f>+[6]Main!$I$4*FX!C2</f>
        <v>90887.520960000009</v>
      </c>
      <c r="G9" s="14">
        <f>+([6]Main!$I$6-[6]Main!$I$5)*FX!C2</f>
        <v>-9499.84</v>
      </c>
      <c r="H9" s="14">
        <f t="shared" si="0"/>
        <v>81387.680960000012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476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58.14</v>
      </c>
      <c r="F16" s="14">
        <f>+[9]Main!$H$4</f>
        <v>38796.821127900002</v>
      </c>
      <c r="G16" s="14">
        <f>+[9]Main!$H$6-[9]Main!$H$5</f>
        <v>-1403.174</v>
      </c>
      <c r="H16" s="14">
        <f>+F16+G16</f>
        <v>37393.647127900003</v>
      </c>
      <c r="I16" s="15" t="s">
        <v>239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266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3" t="s">
        <v>42</v>
      </c>
      <c r="C18" s="3" t="s">
        <v>43</v>
      </c>
      <c r="D18" s="3" t="s">
        <v>23</v>
      </c>
      <c r="E18" s="3"/>
      <c r="F18" s="14"/>
      <c r="G18" s="14"/>
      <c r="H18" s="14"/>
      <c r="I18" s="1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12" t="s">
        <v>44</v>
      </c>
      <c r="C19" s="3" t="s">
        <v>45</v>
      </c>
      <c r="D19" s="3" t="s">
        <v>22</v>
      </c>
      <c r="E19" s="3">
        <f>+[11]Main!$L$3</f>
        <v>228.01</v>
      </c>
      <c r="F19" s="14">
        <f>+[11]Main!$L$5</f>
        <v>42061.053038120001</v>
      </c>
      <c r="G19" s="14">
        <f>+[11]Main!$L$7-[11]Main!$L$6</f>
        <v>1030</v>
      </c>
      <c r="H19" s="14">
        <f>+F19+G19</f>
        <v>43091.053038120001</v>
      </c>
      <c r="I19" s="15" t="s">
        <v>476</v>
      </c>
      <c r="J19" s="3"/>
      <c r="K19" s="3"/>
      <c r="L19" s="3"/>
      <c r="M19" s="3"/>
      <c r="N19" s="3"/>
      <c r="O19" s="3"/>
      <c r="P19" s="3"/>
      <c r="Q19" s="3"/>
      <c r="R19" s="3"/>
      <c r="S19" s="3" t="s">
        <v>266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46</v>
      </c>
      <c r="C20" s="3" t="s">
        <v>47</v>
      </c>
      <c r="D20" s="3" t="s">
        <v>22</v>
      </c>
      <c r="E20" s="18">
        <f>+[12]Main!$H$2</f>
        <v>134.9</v>
      </c>
      <c r="F20" s="14">
        <f>+[12]Main!$H$4</f>
        <v>31344.512106500002</v>
      </c>
      <c r="G20" s="14">
        <f>+[12]Main!$H$6-[12]Main!$H$5</f>
        <v>764.97299999999996</v>
      </c>
      <c r="H20" s="14">
        <f>+F20+G20</f>
        <v>32109.485106500004</v>
      </c>
      <c r="I20" s="15" t="s">
        <v>239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268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48</v>
      </c>
      <c r="C21" s="3" t="s">
        <v>49</v>
      </c>
      <c r="D21" s="3" t="s">
        <v>50</v>
      </c>
      <c r="E21" s="3">
        <f>+[13]Main!$I$2</f>
        <v>66.67</v>
      </c>
      <c r="F21" s="14">
        <f>+[13]Main!$I$4*FX!C5</f>
        <v>26732.303286336904</v>
      </c>
      <c r="G21" s="14">
        <f>+([13]Main!$I$6-[13]Main!$I$5)*FX!C5</f>
        <v>718.45199999999988</v>
      </c>
      <c r="H21" s="14">
        <f>+F21+G21</f>
        <v>27450.755286336906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279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51</v>
      </c>
      <c r="C22" s="3" t="s">
        <v>52</v>
      </c>
      <c r="D22" s="3" t="s">
        <v>22</v>
      </c>
      <c r="E22" s="3">
        <f>+[14]Main!$H$2</f>
        <v>11.87</v>
      </c>
      <c r="F22" s="14">
        <f>+[14]Main!$H$4</f>
        <v>29387.416987339999</v>
      </c>
      <c r="G22" s="14">
        <f>+[14]Main!$H$6-[14]Main!$H$5</f>
        <v>29744</v>
      </c>
      <c r="H22" s="14">
        <f>+F22+G22</f>
        <v>59131.416987339995</v>
      </c>
      <c r="I22" s="15" t="s">
        <v>474</v>
      </c>
      <c r="J22" s="17">
        <v>45967</v>
      </c>
      <c r="K22" s="3"/>
      <c r="L22" s="3"/>
      <c r="M22" s="3"/>
      <c r="N22" s="3"/>
      <c r="O22" s="3"/>
      <c r="P22" s="3"/>
      <c r="Q22" s="3"/>
      <c r="R22" s="3"/>
      <c r="S22" s="3" t="s">
        <v>269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54</v>
      </c>
      <c r="C23" s="3" t="s">
        <v>55</v>
      </c>
      <c r="D23" s="3" t="s">
        <v>22</v>
      </c>
      <c r="E23" s="3">
        <f>+[15]Main!$G$3</f>
        <v>95</v>
      </c>
      <c r="F23" s="14">
        <f>+[15]Main!$G$5</f>
        <v>23679.881450000001</v>
      </c>
      <c r="G23" s="14">
        <f>+[15]Main!$G$7-[15]Main!$G$6</f>
        <v>1592</v>
      </c>
      <c r="H23" s="14">
        <f>+F23+G23</f>
        <v>25271.881450000001</v>
      </c>
      <c r="I23" s="15" t="s">
        <v>246</v>
      </c>
      <c r="J23" s="3"/>
      <c r="K23" s="3"/>
      <c r="L23" s="3"/>
      <c r="M23" s="3"/>
      <c r="N23" s="3"/>
      <c r="O23" s="3"/>
      <c r="P23" s="3"/>
      <c r="Q23" s="3"/>
      <c r="R23" s="3"/>
      <c r="S23" s="3" t="s">
        <v>270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3" t="s">
        <v>56</v>
      </c>
      <c r="C24" s="3" t="s">
        <v>57</v>
      </c>
      <c r="D24" s="3" t="s">
        <v>26</v>
      </c>
      <c r="E24" s="3"/>
      <c r="F24" s="14"/>
      <c r="G24" s="14"/>
      <c r="H24" s="14"/>
      <c r="I24" s="1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12" t="s">
        <v>58</v>
      </c>
      <c r="C25" s="3" t="s">
        <v>59</v>
      </c>
      <c r="D25" s="3" t="s">
        <v>22</v>
      </c>
      <c r="E25" s="3">
        <f>+[16]Main!$G$2</f>
        <v>45.96</v>
      </c>
      <c r="F25" s="14">
        <f>+[16]Main!$G$4</f>
        <v>22817.764463160001</v>
      </c>
      <c r="G25" s="14">
        <f>+[16]Main!$G$6-[16]Main!$G$5</f>
        <v>-669.26499999999999</v>
      </c>
      <c r="H25" s="14">
        <f>+F25+G25</f>
        <v>22148.499463160002</v>
      </c>
      <c r="I25" s="15" t="s">
        <v>474</v>
      </c>
      <c r="J25" s="3"/>
      <c r="K25" s="3"/>
      <c r="L25" s="3"/>
      <c r="M25" s="3"/>
      <c r="N25" s="3"/>
      <c r="O25" s="3"/>
      <c r="P25" s="3"/>
      <c r="Q25" s="3"/>
      <c r="R25" s="3"/>
      <c r="S25" s="3" t="s">
        <v>267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60</v>
      </c>
      <c r="C26" s="3" t="s">
        <v>61</v>
      </c>
      <c r="D26" s="3" t="s">
        <v>22</v>
      </c>
      <c r="E26" s="3">
        <f>+[17]Main!$H$2</f>
        <v>35.83</v>
      </c>
      <c r="F26" s="14">
        <f>+[17]Main!$H$4</f>
        <v>18644.53591988</v>
      </c>
      <c r="G26" s="14">
        <f>+[17]Main!$H$6-[17]Main!$H$5</f>
        <v>3153</v>
      </c>
      <c r="H26" s="14">
        <f>+F26+G26</f>
        <v>21797.53591988</v>
      </c>
      <c r="I26" s="15" t="s">
        <v>241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271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3" t="s">
        <v>62</v>
      </c>
      <c r="C27" s="3" t="s">
        <v>63</v>
      </c>
      <c r="D27" s="3" t="s">
        <v>24</v>
      </c>
      <c r="E27" s="3"/>
      <c r="F27" s="14"/>
      <c r="G27" s="14"/>
      <c r="H27" s="14"/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12" t="s">
        <v>64</v>
      </c>
      <c r="C28" s="3" t="s">
        <v>65</v>
      </c>
      <c r="D28" s="3" t="s">
        <v>23</v>
      </c>
      <c r="E28" s="19">
        <f>+[18]Main!$I$2</f>
        <v>5241</v>
      </c>
      <c r="F28" s="14">
        <f>+[18]Main!$I$4*FX!C2</f>
        <v>21944.563863571202</v>
      </c>
      <c r="G28" s="14">
        <f>+([18]Main!$I$6-[18]Main!$I$5)*FX!C2</f>
        <v>-2059.9551999999999</v>
      </c>
      <c r="H28" s="14">
        <f>+F28+G28</f>
        <v>19884.608663571202</v>
      </c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66</v>
      </c>
      <c r="C29" s="3" t="s">
        <v>68</v>
      </c>
      <c r="D29" s="3" t="s">
        <v>23</v>
      </c>
      <c r="E29" s="19">
        <f>+[19]Main!$I$2</f>
        <v>16735</v>
      </c>
      <c r="F29" s="14">
        <f>+[19]Main!$I$4*FX!C2</f>
        <v>14518.749837375999</v>
      </c>
      <c r="G29" s="14">
        <f>+([19]Main!$I$6-[19]Main!$I$5)*FX!C2</f>
        <v>-1445.152</v>
      </c>
      <c r="H29" s="14">
        <f>+F29+G29</f>
        <v>13073.597837375999</v>
      </c>
      <c r="I29" s="15" t="s">
        <v>277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3" t="s">
        <v>67</v>
      </c>
      <c r="C30" s="3" t="s">
        <v>69</v>
      </c>
      <c r="D30" s="3" t="s">
        <v>23</v>
      </c>
      <c r="E30" s="3"/>
      <c r="F30" s="14"/>
      <c r="G30" s="14"/>
      <c r="H30" s="14"/>
      <c r="I30" s="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12" t="s">
        <v>70</v>
      </c>
      <c r="C31" s="3" t="s">
        <v>71</v>
      </c>
      <c r="D31" s="3" t="s">
        <v>22</v>
      </c>
      <c r="E31" s="3">
        <f>+[20]Main!$J$2</f>
        <v>184.82</v>
      </c>
      <c r="F31" s="14">
        <f>+[20]Main!$J$4</f>
        <v>15180.539270520001</v>
      </c>
      <c r="G31" s="14">
        <f>+[20]Main!$J$6-[20]Main!$J$5</f>
        <v>2214.2530000000002</v>
      </c>
      <c r="H31" s="14">
        <f>+F31+G31</f>
        <v>17394.79227052</v>
      </c>
      <c r="I31" s="15" t="s">
        <v>474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3" t="s">
        <v>72</v>
      </c>
      <c r="C32" s="3" t="s">
        <v>73</v>
      </c>
      <c r="D32" s="3" t="s">
        <v>22</v>
      </c>
      <c r="E32" s="3"/>
      <c r="F32" s="14"/>
      <c r="G32" s="14"/>
      <c r="H32" s="14"/>
      <c r="I32" s="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74</v>
      </c>
      <c r="C33" s="3" t="s">
        <v>75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76</v>
      </c>
      <c r="C34" s="3" t="s">
        <v>77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79</v>
      </c>
      <c r="C35" s="3" t="s">
        <v>80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78</v>
      </c>
      <c r="C36" s="3" t="s">
        <v>81</v>
      </c>
      <c r="D36" s="3" t="s">
        <v>82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83</v>
      </c>
      <c r="C37" s="3" t="s">
        <v>84</v>
      </c>
      <c r="D37" s="3" t="s">
        <v>85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12" t="s">
        <v>86</v>
      </c>
      <c r="C38" s="3" t="s">
        <v>87</v>
      </c>
      <c r="D38" s="3" t="s">
        <v>22</v>
      </c>
      <c r="E38" s="3">
        <f>+[21]Main!$H$2</f>
        <v>65.319999999999993</v>
      </c>
      <c r="F38" s="14">
        <f>+[21]Main!$H$4</f>
        <v>9114.1865409199982</v>
      </c>
      <c r="G38" s="14">
        <f>+[21]Main!$H$6-[21]Main!$H$5</f>
        <v>2685.8</v>
      </c>
      <c r="H38" s="14">
        <f>+F38+G38</f>
        <v>11799.986540919999</v>
      </c>
      <c r="I38" s="15" t="s">
        <v>246</v>
      </c>
      <c r="J38" s="3"/>
      <c r="K38" s="3"/>
      <c r="L38" s="3"/>
      <c r="M38" s="3"/>
      <c r="N38" s="3"/>
      <c r="O38" s="3"/>
      <c r="P38" s="3"/>
      <c r="Q38" s="3"/>
      <c r="R38" s="3"/>
      <c r="S38" s="3" t="s">
        <v>272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3" t="s">
        <v>88</v>
      </c>
      <c r="C39" s="3" t="s">
        <v>89</v>
      </c>
      <c r="D39" s="3" t="s">
        <v>22</v>
      </c>
      <c r="E39" s="3"/>
      <c r="F39" s="14"/>
      <c r="G39" s="14"/>
      <c r="H39" s="14"/>
      <c r="I39" s="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12" t="s">
        <v>90</v>
      </c>
      <c r="C40" s="3" t="s">
        <v>475</v>
      </c>
      <c r="D40" s="3" t="s">
        <v>22</v>
      </c>
      <c r="E40" s="3">
        <f>+[22]Main!$I$2</f>
        <v>13.8</v>
      </c>
      <c r="F40" s="14">
        <f>+[22]Main!$I$4</f>
        <v>9315</v>
      </c>
      <c r="G40" s="14">
        <f>+[22]Main!$I$6-[22]Main!$I$5</f>
        <v>11775</v>
      </c>
      <c r="H40" s="14">
        <f>+F40+G40</f>
        <v>21090</v>
      </c>
      <c r="I40" s="15" t="s">
        <v>246</v>
      </c>
      <c r="J40" s="3"/>
      <c r="K40" s="3"/>
      <c r="L40" s="3"/>
      <c r="M40" s="3"/>
      <c r="N40" s="3"/>
      <c r="O40" s="3"/>
      <c r="P40" s="3"/>
      <c r="Q40" s="3"/>
      <c r="R40" s="3"/>
      <c r="S40" s="3" t="s">
        <v>274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3" t="s">
        <v>92</v>
      </c>
      <c r="C41" s="3" t="s">
        <v>93</v>
      </c>
      <c r="D41" s="3" t="s">
        <v>94</v>
      </c>
      <c r="E41" s="3"/>
      <c r="F41" s="14"/>
      <c r="G41" s="14"/>
      <c r="H41" s="14"/>
      <c r="I41" s="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95</v>
      </c>
      <c r="C42" s="3" t="s">
        <v>96</v>
      </c>
      <c r="D42" s="3" t="s">
        <v>22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97</v>
      </c>
      <c r="C43" s="3" t="s">
        <v>98</v>
      </c>
      <c r="D43" s="3" t="s">
        <v>25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99</v>
      </c>
      <c r="C44" s="3" t="s">
        <v>100</v>
      </c>
      <c r="D44" s="3" t="s">
        <v>23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101</v>
      </c>
      <c r="C45" s="3" t="s">
        <v>102</v>
      </c>
      <c r="D45" s="3" t="s">
        <v>26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12" t="s">
        <v>103</v>
      </c>
      <c r="C46" s="3" t="s">
        <v>104</v>
      </c>
      <c r="D46" s="3" t="s">
        <v>22</v>
      </c>
      <c r="E46" s="3">
        <f>+[23]Main!$I$2</f>
        <v>77.77</v>
      </c>
      <c r="F46" s="14">
        <f>+[23]Main!$I$4</f>
        <v>6330.7175316000003</v>
      </c>
      <c r="G46" s="14">
        <f>+[23]Main!$I$6-[23]Main!$I$5</f>
        <v>3205.0709999999999</v>
      </c>
      <c r="H46" s="14">
        <f>+F46+G46</f>
        <v>9535.7885315999993</v>
      </c>
      <c r="I46" s="15" t="s">
        <v>261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3" t="s">
        <v>105</v>
      </c>
      <c r="C47" s="3" t="s">
        <v>106</v>
      </c>
      <c r="D47" s="3" t="s">
        <v>22</v>
      </c>
      <c r="E47" s="3"/>
      <c r="F47" s="14"/>
      <c r="G47" s="14"/>
      <c r="H47" s="14"/>
      <c r="I47" s="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107</v>
      </c>
      <c r="C48" s="3" t="s">
        <v>108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12" t="s">
        <v>109</v>
      </c>
      <c r="C49" s="3" t="s">
        <v>110</v>
      </c>
      <c r="D49" s="3" t="s">
        <v>22</v>
      </c>
      <c r="E49" s="3">
        <f>+[24]Main!$G$2</f>
        <v>18.07</v>
      </c>
      <c r="F49" s="14">
        <f>+[24]Main!$G$4</f>
        <v>6087.7829999999994</v>
      </c>
      <c r="G49" s="14">
        <f>+[24]Main!$G$6-[24]Main!$G$5</f>
        <v>1609.7280000000001</v>
      </c>
      <c r="H49" s="14">
        <f>+F49+G49</f>
        <v>7697.5109999999995</v>
      </c>
      <c r="I49" s="15" t="s">
        <v>239</v>
      </c>
      <c r="J49" s="3"/>
      <c r="K49" s="3"/>
      <c r="L49" s="3"/>
      <c r="M49" s="3"/>
      <c r="N49" s="3"/>
      <c r="O49" s="3"/>
      <c r="P49" s="3"/>
      <c r="Q49" s="3"/>
      <c r="R49" s="3"/>
      <c r="S49" s="3" t="s">
        <v>275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3" t="s">
        <v>111</v>
      </c>
      <c r="C50" s="3" t="s">
        <v>112</v>
      </c>
      <c r="D50" s="3" t="s">
        <v>113</v>
      </c>
      <c r="E50" s="3"/>
      <c r="F50" s="14"/>
      <c r="G50" s="14"/>
      <c r="H50" s="14"/>
      <c r="I50" s="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114</v>
      </c>
      <c r="C51" s="3" t="s">
        <v>115</v>
      </c>
      <c r="D51" s="3" t="s">
        <v>26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116</v>
      </c>
      <c r="C52" s="3" t="s">
        <v>117</v>
      </c>
      <c r="D52" s="3" t="s">
        <v>118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231</v>
      </c>
      <c r="C53" s="3" t="s">
        <v>232</v>
      </c>
      <c r="D53" s="3" t="s">
        <v>121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119</v>
      </c>
      <c r="C54" s="20" t="s">
        <v>120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122</v>
      </c>
      <c r="C55" s="3" t="s">
        <v>123</v>
      </c>
      <c r="D55" s="3" t="s">
        <v>124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12" t="s">
        <v>125</v>
      </c>
      <c r="C56" s="3" t="s">
        <v>126</v>
      </c>
      <c r="D56" s="3" t="s">
        <v>22</v>
      </c>
      <c r="E56" s="3">
        <f>+[25]Main!$I$2</f>
        <v>183.2</v>
      </c>
      <c r="F56" s="14">
        <f>+[25]Main!$I$4</f>
        <v>5589.2865391999994</v>
      </c>
      <c r="G56" s="14">
        <f>+[25]Main!$I$6-[25]Main!$I$5</f>
        <v>6379</v>
      </c>
      <c r="H56" s="14">
        <f>+F56+G56</f>
        <v>11968.286539199999</v>
      </c>
      <c r="I56" s="15" t="s">
        <v>246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3" t="s">
        <v>128</v>
      </c>
      <c r="C57" s="3" t="s">
        <v>129</v>
      </c>
      <c r="D57" s="3" t="s">
        <v>127</v>
      </c>
      <c r="E57" s="3"/>
      <c r="F57" s="14"/>
      <c r="G57" s="14"/>
      <c r="H57" s="14"/>
      <c r="I57" s="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130</v>
      </c>
      <c r="C58" s="3" t="s">
        <v>131</v>
      </c>
      <c r="D58" s="3" t="s">
        <v>22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132</v>
      </c>
      <c r="C59" s="20" t="s">
        <v>133</v>
      </c>
      <c r="D59" s="3" t="s">
        <v>26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134</v>
      </c>
      <c r="C60" s="3" t="s">
        <v>135</v>
      </c>
      <c r="D60" s="3" t="s">
        <v>22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136</v>
      </c>
      <c r="C61" s="3" t="s">
        <v>137</v>
      </c>
      <c r="D61" s="3" t="s">
        <v>35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139</v>
      </c>
      <c r="C62" s="3" t="s">
        <v>140</v>
      </c>
      <c r="D62" s="3" t="s">
        <v>23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141</v>
      </c>
      <c r="C63" s="3" t="s">
        <v>142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143</v>
      </c>
      <c r="C64" s="20" t="s">
        <v>144</v>
      </c>
      <c r="D64" s="3" t="s">
        <v>26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145</v>
      </c>
      <c r="C65" s="3" t="s">
        <v>146</v>
      </c>
      <c r="D65" s="3" t="s">
        <v>22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147</v>
      </c>
      <c r="C66" s="3" t="s">
        <v>148</v>
      </c>
      <c r="D66" s="3" t="s">
        <v>23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149</v>
      </c>
      <c r="C67" s="3" t="s">
        <v>150</v>
      </c>
      <c r="D67" s="3" t="s">
        <v>24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151</v>
      </c>
      <c r="C68" s="3" t="s">
        <v>152</v>
      </c>
      <c r="D68" s="3" t="s">
        <v>153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154</v>
      </c>
      <c r="C69" s="3" t="s">
        <v>155</v>
      </c>
      <c r="D69" s="3" t="s">
        <v>23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ref="A70:A112" si="2">+A69+1</f>
        <v>67</v>
      </c>
      <c r="B70" s="3" t="s">
        <v>156</v>
      </c>
      <c r="C70" s="20" t="s">
        <v>157</v>
      </c>
      <c r="D70" s="3" t="s">
        <v>26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si="2"/>
        <v>68</v>
      </c>
      <c r="B71" s="3" t="s">
        <v>158</v>
      </c>
      <c r="C71" s="3" t="s">
        <v>159</v>
      </c>
      <c r="D71" s="3" t="s">
        <v>160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161</v>
      </c>
      <c r="C72" s="3" t="s">
        <v>162</v>
      </c>
      <c r="D72" s="3" t="s">
        <v>163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164</v>
      </c>
      <c r="C73" s="3" t="s">
        <v>165</v>
      </c>
      <c r="D73" s="3" t="s">
        <v>166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167</v>
      </c>
      <c r="C74" s="3" t="s">
        <v>168</v>
      </c>
      <c r="D74" s="3" t="s">
        <v>22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169</v>
      </c>
      <c r="C75" s="3" t="s">
        <v>170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171</v>
      </c>
      <c r="C76" s="3" t="s">
        <v>172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173</v>
      </c>
      <c r="C77" s="3" t="s">
        <v>174</v>
      </c>
      <c r="D77" s="3" t="s">
        <v>94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175</v>
      </c>
      <c r="C78" s="3" t="s">
        <v>176</v>
      </c>
      <c r="D78" s="3" t="s">
        <v>121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177</v>
      </c>
      <c r="C79" s="3" t="s">
        <v>178</v>
      </c>
      <c r="D79" s="3" t="s">
        <v>163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179</v>
      </c>
      <c r="C80" s="3" t="s">
        <v>180</v>
      </c>
      <c r="D80" s="3" t="s">
        <v>26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181</v>
      </c>
      <c r="C81" s="20" t="s">
        <v>182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183</v>
      </c>
      <c r="C82" s="3" t="s">
        <v>184</v>
      </c>
      <c r="D82" s="3" t="s">
        <v>118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185</v>
      </c>
      <c r="C83" s="3" t="s">
        <v>186</v>
      </c>
      <c r="D83" s="3" t="s">
        <v>23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3" t="s">
        <v>187</v>
      </c>
      <c r="C84" s="3" t="s">
        <v>188</v>
      </c>
      <c r="D84" s="3" t="s">
        <v>35</v>
      </c>
      <c r="E84" s="3"/>
      <c r="F84" s="14"/>
      <c r="G84" s="14"/>
      <c r="H84" s="14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189</v>
      </c>
      <c r="C85" s="3" t="s">
        <v>190</v>
      </c>
      <c r="D85" s="3" t="s">
        <v>191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192</v>
      </c>
      <c r="C86" s="3" t="s">
        <v>193</v>
      </c>
      <c r="D86" s="3" t="s">
        <v>194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195</v>
      </c>
      <c r="C87" s="3" t="s">
        <v>196</v>
      </c>
      <c r="D87" s="3" t="s">
        <v>121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197</v>
      </c>
      <c r="C88" s="20" t="s">
        <v>198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199</v>
      </c>
      <c r="C89" s="20" t="s">
        <v>200</v>
      </c>
      <c r="D89" s="3" t="s">
        <v>201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202</v>
      </c>
      <c r="C90" s="3" t="s">
        <v>203</v>
      </c>
      <c r="D90" s="3" t="s">
        <v>201</v>
      </c>
      <c r="E90" s="3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204</v>
      </c>
      <c r="C91" s="3" t="s">
        <v>205</v>
      </c>
      <c r="D91" s="3" t="s">
        <v>206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207</v>
      </c>
      <c r="C92" s="3" t="s">
        <v>208</v>
      </c>
      <c r="D92" s="3" t="s">
        <v>23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3" t="s">
        <v>209</v>
      </c>
      <c r="C93" s="3" t="s">
        <v>210</v>
      </c>
      <c r="D93" s="3" t="s">
        <v>23</v>
      </c>
      <c r="E93" s="3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211</v>
      </c>
      <c r="C94" s="3" t="s">
        <v>212</v>
      </c>
      <c r="D94" s="3" t="s">
        <v>22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213</v>
      </c>
      <c r="C95" s="20" t="s">
        <v>214</v>
      </c>
      <c r="D95" s="3" t="s">
        <v>121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215</v>
      </c>
      <c r="C96" s="3" t="s">
        <v>216</v>
      </c>
      <c r="D96" s="3" t="s">
        <v>26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217</v>
      </c>
      <c r="C97" s="3" t="s">
        <v>218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219</v>
      </c>
      <c r="C98" s="3" t="s">
        <v>220</v>
      </c>
      <c r="D98" s="3" t="s">
        <v>160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221</v>
      </c>
      <c r="C99" s="3" t="s">
        <v>222</v>
      </c>
      <c r="D99" s="3" t="s">
        <v>24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223</v>
      </c>
      <c r="C100" s="3" t="s">
        <v>224</v>
      </c>
      <c r="D100" s="3" t="s">
        <v>26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225</v>
      </c>
      <c r="C101" s="3" t="s">
        <v>226</v>
      </c>
      <c r="D101" s="3" t="s">
        <v>24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227</v>
      </c>
      <c r="C102" s="3" t="s">
        <v>228</v>
      </c>
      <c r="D102" s="3" t="s">
        <v>94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3" t="s">
        <v>229</v>
      </c>
      <c r="C103" s="3" t="s">
        <v>230</v>
      </c>
      <c r="D103" s="3" t="s">
        <v>22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12" t="s">
        <v>237</v>
      </c>
      <c r="C104" s="3" t="s">
        <v>238</v>
      </c>
      <c r="D104" s="3" t="s">
        <v>22</v>
      </c>
      <c r="E104" s="3">
        <f>+[26]Main!$I$2</f>
        <v>33.76</v>
      </c>
      <c r="F104" s="14">
        <f>+[26]Main!$I$4</f>
        <v>1615.1327198399999</v>
      </c>
      <c r="G104" s="14">
        <f>+[26]Main!$I$6-[26]Main!$I$5</f>
        <v>553.85699999999997</v>
      </c>
      <c r="H104" s="14">
        <f>+F104+G104</f>
        <v>2168.9897198399999</v>
      </c>
      <c r="I104" s="15" t="s">
        <v>240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3" t="s">
        <v>235</v>
      </c>
      <c r="C105" s="3" t="s">
        <v>236</v>
      </c>
      <c r="D105" s="3" t="s">
        <v>206</v>
      </c>
      <c r="E105" s="3"/>
      <c r="F105" s="14"/>
      <c r="G105" s="14"/>
      <c r="H105" s="14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234</v>
      </c>
      <c r="C106" s="3" t="s">
        <v>233</v>
      </c>
      <c r="D106" s="3" t="s">
        <v>85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12" t="s">
        <v>247</v>
      </c>
      <c r="C107" s="3" t="s">
        <v>248</v>
      </c>
      <c r="D107" s="3" t="s">
        <v>153</v>
      </c>
      <c r="E107" s="3">
        <f>+[27]Main!$H$2</f>
        <v>15.92</v>
      </c>
      <c r="F107" s="14">
        <f>+[27]Main!$H$5*FX!C4</f>
        <v>2707.3869572160002</v>
      </c>
      <c r="G107" s="14">
        <f>+([27]Main!$H$7-[27]Main!$H$6)*FX!C4</f>
        <v>699.94651999999996</v>
      </c>
      <c r="H107" s="14">
        <f>+F107+G107</f>
        <v>3407.3334772160001</v>
      </c>
      <c r="I107" s="15" t="s">
        <v>261</v>
      </c>
      <c r="J107" s="3"/>
      <c r="K107" s="3"/>
      <c r="L107" s="3"/>
      <c r="M107" s="3"/>
      <c r="N107" s="3"/>
      <c r="O107" s="3"/>
      <c r="P107" s="3"/>
      <c r="Q107" s="3"/>
      <c r="R107" s="3"/>
      <c r="S107" s="3" t="s">
        <v>276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3" t="s">
        <v>249</v>
      </c>
      <c r="C108" s="3" t="s">
        <v>250</v>
      </c>
      <c r="D108" s="3" t="s">
        <v>160</v>
      </c>
      <c r="E108" s="3"/>
      <c r="F108" s="14"/>
      <c r="G108" s="14"/>
      <c r="H108" s="14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12" t="s">
        <v>251</v>
      </c>
      <c r="C109" s="3" t="s">
        <v>252</v>
      </c>
      <c r="D109" s="3" t="s">
        <v>85</v>
      </c>
      <c r="E109" s="3">
        <f>+[28]Main!$I$2</f>
        <v>3.28</v>
      </c>
      <c r="F109" s="14">
        <f>+[28]Main!$I$4*FX!C3</f>
        <v>372.96258964800001</v>
      </c>
      <c r="G109" s="14">
        <f>+([28]Main!$I$6-[28]Main!$I$5)*FX!C3</f>
        <v>50.842859999999995</v>
      </c>
      <c r="H109" s="14">
        <f>+F109+G109</f>
        <v>423.80544964799998</v>
      </c>
      <c r="I109" s="15" t="s">
        <v>241</v>
      </c>
      <c r="J109" s="3"/>
      <c r="K109" s="3"/>
      <c r="L109" s="3"/>
      <c r="M109" s="3"/>
      <c r="N109" s="3"/>
      <c r="O109" s="3"/>
      <c r="P109" s="3"/>
      <c r="Q109" s="3"/>
      <c r="R109" s="3"/>
      <c r="S109" s="3" t="s">
        <v>276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3" t="s">
        <v>253</v>
      </c>
      <c r="C110" s="3" t="s">
        <v>254</v>
      </c>
      <c r="D110" s="3" t="s">
        <v>94</v>
      </c>
      <c r="E110" s="3"/>
      <c r="F110" s="21"/>
      <c r="G110" s="21"/>
      <c r="H110" s="2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255</v>
      </c>
      <c r="C111" s="3" t="s">
        <v>256</v>
      </c>
      <c r="D111" s="3" t="s">
        <v>153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257</v>
      </c>
      <c r="C112" s="3" t="s">
        <v>258</v>
      </c>
      <c r="D112" s="3" t="s">
        <v>259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/>
      <c r="B113" s="3"/>
      <c r="C113" s="3"/>
      <c r="D113" s="3"/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477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3" t="s">
        <v>478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3" r:id="rId3" xr:uid="{90530EB5-2052-4CB4-AF13-B31111EBF67A}"/>
    <hyperlink ref="B22" r:id="rId4" xr:uid="{7F153815-6E43-4099-8156-DC87E23678F8}"/>
    <hyperlink ref="B19" r:id="rId5" xr:uid="{5DC12985-47BA-47C6-AD3C-158905087A9F}"/>
    <hyperlink ref="B16" r:id="rId6" xr:uid="{EF84B852-0E40-42BE-B540-DAB2CF38A7D8}"/>
    <hyperlink ref="B25" r:id="rId7" xr:uid="{0B1A5131-7333-432D-A872-CF71A7AC0540}"/>
    <hyperlink ref="B17" r:id="rId8" xr:uid="{B0DA5556-145A-4727-8860-850C98EAB410}"/>
    <hyperlink ref="B26" r:id="rId9" xr:uid="{1C45EE99-8D08-4692-8B5C-4824C1CCC008}"/>
    <hyperlink ref="B15" r:id="rId10" xr:uid="{6B4B6886-7033-490D-8BAB-89F16B58D022}"/>
    <hyperlink ref="B40" r:id="rId11" xr:uid="{01B4B332-C402-42FD-907A-B7441FE22791}"/>
    <hyperlink ref="B6" r:id="rId12" xr:uid="{29A8336F-7A8A-440D-81B6-8D61FB9E952D}"/>
    <hyperlink ref="B20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49" r:id="rId17" xr:uid="{A2CCB87B-50A6-4FAC-A784-BCC99C531A0C}"/>
    <hyperlink ref="B107" r:id="rId18" xr:uid="{924ECF37-F972-4517-97AA-A46CB7071D84}"/>
    <hyperlink ref="B109" r:id="rId19" xr:uid="{32F77D75-54CA-47B0-850A-36529751389F}"/>
    <hyperlink ref="B38" r:id="rId20" xr:uid="{56071FD0-D9F8-4DBC-B271-5B6B3208455E}"/>
    <hyperlink ref="B10" r:id="rId21" xr:uid="{4E90805E-1BC8-4B3F-BBEA-AFE55F664C5A}"/>
    <hyperlink ref="B29" r:id="rId22" xr:uid="{C7A221F5-614C-4C4A-B853-965FC1172BC6}"/>
    <hyperlink ref="B21" r:id="rId23" xr:uid="{36029B94-59A5-4E11-BE00-520EEA9982EA}"/>
    <hyperlink ref="B31" r:id="rId24" xr:uid="{456E081E-4795-42B4-A042-215BC3BDE8AD}"/>
    <hyperlink ref="B104" r:id="rId25" xr:uid="{6D51229C-82B9-4B3B-8BCD-7E2D8D8D1697}"/>
    <hyperlink ref="B28" r:id="rId26" xr:uid="{725EC800-EAC4-45CD-844A-DCF52C2E49D3}"/>
    <hyperlink ref="B56" r:id="rId27" xr:uid="{34044582-871E-46CA-BEE4-6F8CE2992A03}"/>
    <hyperlink ref="B46" r:id="rId28" xr:uid="{373784ED-2071-41B3-AA12-4F7A1FE107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281</v>
      </c>
      <c r="D3" s="7" t="s">
        <v>21</v>
      </c>
      <c r="E3" s="7" t="s">
        <v>4</v>
      </c>
      <c r="F3" s="7" t="s">
        <v>282</v>
      </c>
      <c r="G3" s="7" t="s">
        <v>53</v>
      </c>
      <c r="H3" s="7" t="s">
        <v>5</v>
      </c>
      <c r="I3" s="7" t="s">
        <v>283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284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285</v>
      </c>
      <c r="C5" s="13" t="s">
        <v>286</v>
      </c>
      <c r="D5" s="13" t="s">
        <v>22</v>
      </c>
      <c r="E5" s="26">
        <f>+[29]Main!$H$2</f>
        <v>559.02</v>
      </c>
      <c r="F5" s="26">
        <f>+[29]Main!$H$4</f>
        <v>4155288.66918858</v>
      </c>
      <c r="G5" s="26">
        <f>+[29]Main!$H$6-[29]Main!$H$5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287</v>
      </c>
      <c r="C6" s="3" t="s">
        <v>288</v>
      </c>
      <c r="D6" s="3" t="s">
        <v>26</v>
      </c>
      <c r="E6" s="26">
        <f>+[30]Main!$G$2</f>
        <v>373.4</v>
      </c>
      <c r="F6" s="26">
        <f>+[30]Main!$G$4*FX!C6</f>
        <v>475516.08776000002</v>
      </c>
      <c r="G6" s="26">
        <f>+([30]Main!$G$6-[30]Main!$G$5)*FX!C6</f>
        <v>-20873.440000000002</v>
      </c>
      <c r="H6" s="26">
        <f t="shared" si="0"/>
        <v>454642.64776000002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289</v>
      </c>
      <c r="C8" s="3" t="s">
        <v>290</v>
      </c>
      <c r="D8" s="3" t="s">
        <v>23</v>
      </c>
      <c r="E8" s="26">
        <f>+[6]Main!$I$2</f>
        <v>10935</v>
      </c>
      <c r="F8" s="26">
        <f>+[6]Main!$I$4*FX!C2</f>
        <v>90887.520960000009</v>
      </c>
      <c r="G8" s="26">
        <f>+([6]Main!$I$6-[6]Main!$I$5)*FX!C2</f>
        <v>-9499.84</v>
      </c>
      <c r="H8" s="26">
        <f t="shared" si="0"/>
        <v>81387.680960000012</v>
      </c>
      <c r="I8" s="15" t="s">
        <v>291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292</v>
      </c>
      <c r="C9" s="3" t="s">
        <v>20</v>
      </c>
      <c r="D9" s="3" t="s">
        <v>26</v>
      </c>
      <c r="E9" s="26">
        <f>+[31]Main!$I$2</f>
        <v>2123</v>
      </c>
      <c r="F9" s="26">
        <f>+[32]Main!$H$5*FX!C6</f>
        <v>65131.275185760009</v>
      </c>
      <c r="G9" s="26">
        <f>+([32]Main!$H$7-[32]Main!$H$6)*FX!C6</f>
        <v>-16042.82638</v>
      </c>
      <c r="H9" s="26">
        <f t="shared" si="0"/>
        <v>49088.44880576001</v>
      </c>
      <c r="I9" s="15" t="s">
        <v>246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293</v>
      </c>
      <c r="C12" s="3" t="s">
        <v>45</v>
      </c>
      <c r="D12" s="3" t="s">
        <v>22</v>
      </c>
      <c r="E12" s="26">
        <f>+[11]Main!$L$3</f>
        <v>228.01</v>
      </c>
      <c r="F12" s="26">
        <f>+[11]Main!$L$5</f>
        <v>42061.053038120001</v>
      </c>
      <c r="G12" s="26">
        <f>+[11]Main!$L$7-[11]Main!$L$6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58.14</v>
      </c>
      <c r="F13" s="26">
        <f>+[9]Main!$H$4</f>
        <v>38796.821127900002</v>
      </c>
      <c r="G13" s="26">
        <f>+[9]Main!$H$6-[9]Main!$H$5</f>
        <v>-1403.174</v>
      </c>
      <c r="H13" s="26">
        <f t="shared" si="0"/>
        <v>37393.647127900003</v>
      </c>
      <c r="I13" s="15" t="s">
        <v>294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295</v>
      </c>
      <c r="C14" s="3" t="s">
        <v>49</v>
      </c>
      <c r="D14" s="3" t="s">
        <v>50</v>
      </c>
      <c r="E14" s="26">
        <f>+[13]Main!$I$2</f>
        <v>66.67</v>
      </c>
      <c r="F14" s="26">
        <f>+[13]Main!$I$4*FX!C5</f>
        <v>26732.303286336904</v>
      </c>
      <c r="G14" s="26">
        <f>+([13]Main!$I$6-[13]Main!$I$5)*FX!C5</f>
        <v>718.45199999999988</v>
      </c>
      <c r="H14" s="26">
        <f t="shared" si="0"/>
        <v>27450.755286336906</v>
      </c>
      <c r="I14" s="15" t="s">
        <v>246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+[31]Main!$I$2</f>
        <v>2123</v>
      </c>
      <c r="F15" s="26">
        <f>+[31]Main!$I$4*FX!C2</f>
        <v>11429.0165977856</v>
      </c>
      <c r="G15" s="26">
        <f>+([31]Main!$I$6-[31]Main!$I$5)*FX!C2</f>
        <v>-2117.3888000000002</v>
      </c>
      <c r="H15" s="26">
        <f t="shared" si="0"/>
        <v>9311.6277977855989</v>
      </c>
      <c r="I15" s="15" t="s">
        <v>246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+[18]Main!$I$2</f>
        <v>5241</v>
      </c>
      <c r="F16" s="26">
        <f>+[18]Main!$I$4*FX!C2</f>
        <v>21944.563863571202</v>
      </c>
      <c r="G16" s="26">
        <f>+([18]Main!$I$6-[18]Main!$I$5)*FX!C2</f>
        <v>-2059.9551999999999</v>
      </c>
      <c r="H16" s="26">
        <f t="shared" si="0"/>
        <v>19884.608663571202</v>
      </c>
      <c r="I16" s="15" t="s">
        <v>296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+[19]Main!$I$2</f>
        <v>16735</v>
      </c>
      <c r="F17" s="26">
        <f>+[19]Main!$I$4*FX!C2</f>
        <v>14518.749837375999</v>
      </c>
      <c r="G17" s="26">
        <f>+([19]Main!$I$6-[19]Main!$I$5)*FX!C2</f>
        <v>-1445.152</v>
      </c>
      <c r="H17" s="26">
        <f t="shared" si="0"/>
        <v>13073.597837375999</v>
      </c>
      <c r="I17" s="15" t="s">
        <v>296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+[33]Main!$H$2</f>
        <v>12.11</v>
      </c>
      <c r="F18" s="26">
        <f>+[33]Main!$H$4*FX!C3</f>
        <v>1601.5717199999999</v>
      </c>
      <c r="G18" s="26">
        <f>+([33]Main!$H$6-[33]Main!$H$5)*FX!C3</f>
        <v>1343.7380000000003</v>
      </c>
      <c r="H18" s="26">
        <f t="shared" si="0"/>
        <v>2945.3097200000002</v>
      </c>
      <c r="I18" s="15" t="s">
        <v>246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297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298</v>
      </c>
      <c r="C21" s="3" t="s">
        <v>299</v>
      </c>
      <c r="D21" s="3" t="s">
        <v>22</v>
      </c>
      <c r="E21" s="26">
        <f>+[34]Main!$J$2</f>
        <v>21.7</v>
      </c>
      <c r="F21" s="26">
        <f>+[34]Main!$J$4</f>
        <v>9701.7223876999997</v>
      </c>
      <c r="G21" s="26">
        <f>+[34]Main!$J$6-[34]Main!$J$5</f>
        <v>-4758</v>
      </c>
      <c r="H21" s="26">
        <f>+F21+G21</f>
        <v>4943.7223876999997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300</v>
      </c>
      <c r="D3" s="7" t="s">
        <v>21</v>
      </c>
      <c r="E3" s="7" t="s">
        <v>4</v>
      </c>
      <c r="F3" s="7" t="s">
        <v>301</v>
      </c>
      <c r="G3" s="7" t="s">
        <v>53</v>
      </c>
      <c r="H3" s="7" t="s">
        <v>5</v>
      </c>
      <c r="I3" s="7" t="s">
        <v>302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34.549999999999997</v>
      </c>
      <c r="F4" s="14">
        <f>+[3]Main!$I$4</f>
        <v>129621.37067784999</v>
      </c>
      <c r="G4" s="14">
        <f>+[3]Main!$I$6-[3]Main!$I$5</f>
        <v>90529</v>
      </c>
      <c r="H4" s="14">
        <f>+F4+G4</f>
        <v>220150.37067784998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303</v>
      </c>
      <c r="C5" s="3" t="s">
        <v>304</v>
      </c>
      <c r="D5" s="3" t="s">
        <v>305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306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307</v>
      </c>
      <c r="C7" s="3" t="s">
        <v>52</v>
      </c>
      <c r="D7" s="3" t="s">
        <v>22</v>
      </c>
      <c r="E7" s="14">
        <f>+[14]Main!$H$2</f>
        <v>11.87</v>
      </c>
      <c r="F7" s="14">
        <f>+[14]Main!$H$4</f>
        <v>29387.416987339999</v>
      </c>
      <c r="G7" s="14">
        <f>+[14]Main!$H$6-[14]Main!$H$5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308</v>
      </c>
      <c r="C8" s="3" t="s">
        <v>309</v>
      </c>
      <c r="D8" s="3" t="s">
        <v>22</v>
      </c>
      <c r="E8" s="14">
        <f>+[35]Main!$I$2</f>
        <v>50.5</v>
      </c>
      <c r="F8" s="14">
        <f>+[35]Main!$I$4</f>
        <v>22898.106829</v>
      </c>
      <c r="G8" s="14">
        <f>+[35]Main!$I$6-[35]Main!$I$5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310</v>
      </c>
      <c r="C9" s="3" t="s">
        <v>310</v>
      </c>
      <c r="D9" s="3" t="s">
        <v>305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311</v>
      </c>
      <c r="C10" s="3" t="s">
        <v>312</v>
      </c>
      <c r="D10" s="3" t="s">
        <v>305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313</v>
      </c>
      <c r="C11" s="3" t="s">
        <v>314</v>
      </c>
      <c r="D11" s="3" t="s">
        <v>22</v>
      </c>
      <c r="E11" s="14">
        <f>+[36]Main!$I$2</f>
        <v>30.44</v>
      </c>
      <c r="F11" s="14">
        <f>+[36]Main!$I$4</f>
        <v>17310.539416759999</v>
      </c>
      <c r="G11" s="14">
        <f>+[36]Main!$I$6-[36]Main!$I$5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315</v>
      </c>
      <c r="C12" s="3" t="s">
        <v>316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317</v>
      </c>
      <c r="C13" s="3" t="s">
        <v>318</v>
      </c>
      <c r="D13" s="3" t="s">
        <v>22</v>
      </c>
      <c r="E13" s="14">
        <f>+[37]Main!$H$2</f>
        <v>41.21</v>
      </c>
      <c r="F13" s="14">
        <f>+[37]Main!$H$4</f>
        <v>8939.4565020800001</v>
      </c>
      <c r="G13" s="14">
        <f>+[37]Main!$H$6-[37]Main!$H$5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319</v>
      </c>
      <c r="C14" s="3" t="s">
        <v>320</v>
      </c>
      <c r="D14" s="3" t="s">
        <v>22</v>
      </c>
      <c r="E14" s="14">
        <f>+[38]Main!$H$2</f>
        <v>52.09</v>
      </c>
      <c r="F14" s="14">
        <f>+[38]Main!$H$4</f>
        <v>8540.3870921399994</v>
      </c>
      <c r="G14" s="14">
        <f>+[38]Main!$H$6-[38]Main!$H$5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321</v>
      </c>
      <c r="C15" s="3" t="s">
        <v>91</v>
      </c>
      <c r="D15" s="3" t="s">
        <v>22</v>
      </c>
      <c r="E15" s="14">
        <f>+[22]Main!$I$2</f>
        <v>13.8</v>
      </c>
      <c r="F15" s="14">
        <f>+[22]Main!$I$4</f>
        <v>9315</v>
      </c>
      <c r="G15" s="14">
        <f>+[22]Main!$I$6-[22]Main!$I$5</f>
        <v>11775</v>
      </c>
      <c r="H15" s="14">
        <f>+F15+G15</f>
        <v>21090</v>
      </c>
      <c r="I15" s="15" t="s">
        <v>246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322</v>
      </c>
      <c r="C16" s="3" t="s">
        <v>323</v>
      </c>
      <c r="D16" s="3" t="s">
        <v>324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325</v>
      </c>
      <c r="C17" s="3" t="s">
        <v>108</v>
      </c>
      <c r="D17" s="3" t="s">
        <v>22</v>
      </c>
      <c r="E17" s="14">
        <f>+[39]Main!$K$2</f>
        <v>78.55</v>
      </c>
      <c r="F17" s="14">
        <f>+[39]Main!$K$4</f>
        <v>7215.2325581999994</v>
      </c>
      <c r="G17" s="14">
        <f>+[39]Main!$K$6-[39]Main!$K$5</f>
        <v>1417</v>
      </c>
      <c r="H17" s="14">
        <f>+F17+G17</f>
        <v>8632.2325581999994</v>
      </c>
      <c r="I17" s="15" t="s">
        <v>261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326</v>
      </c>
      <c r="C18" s="3" t="s">
        <v>327</v>
      </c>
      <c r="D18" s="3" t="s">
        <v>328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329</v>
      </c>
      <c r="C19" s="3" t="s">
        <v>330</v>
      </c>
      <c r="D19" s="3" t="s">
        <v>305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331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332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333</v>
      </c>
      <c r="C22" s="3" t="s">
        <v>334</v>
      </c>
      <c r="D22" s="3" t="s">
        <v>335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336</v>
      </c>
      <c r="C23" s="3" t="s">
        <v>337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338</v>
      </c>
      <c r="C24" s="3" t="s">
        <v>339</v>
      </c>
      <c r="D24" s="3" t="s">
        <v>335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340</v>
      </c>
      <c r="C25" s="3" t="s">
        <v>341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342</v>
      </c>
      <c r="C26" s="3" t="s">
        <v>342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343</v>
      </c>
      <c r="C27" s="3" t="s">
        <v>344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345</v>
      </c>
      <c r="C28" s="3" t="s">
        <v>346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347</v>
      </c>
      <c r="C29" s="3" t="s">
        <v>348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349</v>
      </c>
      <c r="C31" s="3" t="s">
        <v>350</v>
      </c>
      <c r="D31" s="3" t="s">
        <v>351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352</v>
      </c>
      <c r="C32" s="3" t="s">
        <v>174</v>
      </c>
      <c r="D32" s="3" t="s">
        <v>353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354</v>
      </c>
      <c r="C33" s="3" t="s">
        <v>355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356</v>
      </c>
      <c r="C34" s="3" t="s">
        <v>188</v>
      </c>
      <c r="D34" s="3" t="s">
        <v>306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357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358</v>
      </c>
      <c r="C36" s="3" t="s">
        <v>359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360</v>
      </c>
      <c r="C37" s="3" t="s">
        <v>361</v>
      </c>
      <c r="D37" s="3" t="s">
        <v>362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363</v>
      </c>
      <c r="C38" s="3" t="s">
        <v>364</v>
      </c>
      <c r="D38" s="3" t="s">
        <v>305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365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366</v>
      </c>
      <c r="C40" s="3" t="s">
        <v>367</v>
      </c>
      <c r="D40" s="3" t="s">
        <v>351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368</v>
      </c>
      <c r="C41" s="3" t="s">
        <v>369</v>
      </c>
      <c r="D41" s="3" t="s">
        <v>259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370</v>
      </c>
      <c r="C42" s="3" t="s">
        <v>371</v>
      </c>
      <c r="D42" s="3" t="s">
        <v>353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372</v>
      </c>
      <c r="C43" s="3" t="s">
        <v>373</v>
      </c>
      <c r="D43" s="3" t="s">
        <v>353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374</v>
      </c>
      <c r="C44" s="3" t="s">
        <v>375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376</v>
      </c>
      <c r="C45" s="3" t="s">
        <v>377</v>
      </c>
      <c r="D45" s="3" t="s">
        <v>378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379</v>
      </c>
      <c r="C46" s="3" t="s">
        <v>380</v>
      </c>
      <c r="D46" s="3" t="s">
        <v>381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382</v>
      </c>
      <c r="C47" s="3" t="s">
        <v>383</v>
      </c>
      <c r="D47" s="3" t="s">
        <v>384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385</v>
      </c>
      <c r="C48" s="3" t="s">
        <v>386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387</v>
      </c>
      <c r="C49" s="3" t="s">
        <v>233</v>
      </c>
      <c r="D49" s="3" t="s">
        <v>388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389</v>
      </c>
      <c r="C50" s="3" t="s">
        <v>390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391</v>
      </c>
      <c r="C51" s="3" t="s">
        <v>392</v>
      </c>
      <c r="D51" s="3" t="s">
        <v>393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394</v>
      </c>
      <c r="C52" s="3" t="s">
        <v>395</v>
      </c>
      <c r="D52" s="3" t="s">
        <v>396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397</v>
      </c>
      <c r="C53" s="3" t="s">
        <v>398</v>
      </c>
      <c r="D53" s="3" t="s">
        <v>399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400</v>
      </c>
      <c r="C54" s="3" t="s">
        <v>401</v>
      </c>
      <c r="D54" s="3" t="s">
        <v>378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402</v>
      </c>
      <c r="C55" s="3" t="s">
        <v>403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404</v>
      </c>
      <c r="C56" s="3" t="s">
        <v>405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406</v>
      </c>
      <c r="C57" s="3" t="s">
        <v>407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408</v>
      </c>
      <c r="C58" s="3" t="s">
        <v>409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410</v>
      </c>
      <c r="C59" s="3" t="s">
        <v>411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412</v>
      </c>
      <c r="C60" s="3" t="s">
        <v>413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414</v>
      </c>
      <c r="C61" s="3" t="s">
        <v>415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416</v>
      </c>
      <c r="C62" s="3" t="s">
        <v>417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418</v>
      </c>
      <c r="C63" s="3" t="s">
        <v>419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420</v>
      </c>
      <c r="C64" s="3" t="s">
        <v>421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422</v>
      </c>
      <c r="C65" s="3" t="s">
        <v>423</v>
      </c>
      <c r="D65" s="3" t="s">
        <v>305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424</v>
      </c>
      <c r="C66" s="3" t="s">
        <v>425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426</v>
      </c>
      <c r="C67" s="3" t="s">
        <v>427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428</v>
      </c>
      <c r="C68" s="3" t="s">
        <v>429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430</v>
      </c>
      <c r="C69" s="3" t="s">
        <v>431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432</v>
      </c>
      <c r="C70" s="3" t="s">
        <v>433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434</v>
      </c>
      <c r="C71" s="3" t="s">
        <v>435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436</v>
      </c>
      <c r="C72" s="3" t="s">
        <v>437</v>
      </c>
      <c r="D72" s="3" t="s">
        <v>393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438</v>
      </c>
      <c r="C73" s="3" t="s">
        <v>439</v>
      </c>
      <c r="D73" s="3" t="s">
        <v>393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440</v>
      </c>
      <c r="C74" s="3" t="s">
        <v>441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442</v>
      </c>
      <c r="C75" s="3" t="s">
        <v>443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444</v>
      </c>
      <c r="C76" s="3" t="s">
        <v>445</v>
      </c>
      <c r="D76" s="3" t="s">
        <v>446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447</v>
      </c>
      <c r="C77" s="3" t="s">
        <v>448</v>
      </c>
      <c r="D77" s="3" t="s">
        <v>393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449</v>
      </c>
      <c r="C78" s="3" t="s">
        <v>450</v>
      </c>
      <c r="D78" s="3" t="s">
        <v>22</v>
      </c>
      <c r="E78" s="14">
        <f>+[40]Main!$H$2</f>
        <v>1.2</v>
      </c>
      <c r="F78" s="14">
        <f>+[40]Main!$H$4</f>
        <v>112.4964828</v>
      </c>
      <c r="G78" s="14">
        <f>+[40]Main!$H$6-[40]Main!$H$5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451</v>
      </c>
      <c r="C79" s="3" t="s">
        <v>452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453</v>
      </c>
      <c r="C80" s="3" t="s">
        <v>454</v>
      </c>
      <c r="D80" s="3" t="s">
        <v>396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455</v>
      </c>
      <c r="C81" s="3" t="s">
        <v>456</v>
      </c>
      <c r="D81" s="3" t="s">
        <v>384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457</v>
      </c>
      <c r="C82" s="3" t="s">
        <v>458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459</v>
      </c>
      <c r="C83" s="3" t="s">
        <v>460</v>
      </c>
      <c r="D83" s="3" t="s">
        <v>461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462</v>
      </c>
      <c r="C84" s="3" t="s">
        <v>463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464</v>
      </c>
      <c r="C85" s="3" t="s">
        <v>465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466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467</v>
      </c>
      <c r="C87" s="3" t="s">
        <v>468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469</v>
      </c>
      <c r="C88" s="3" t="s">
        <v>470</v>
      </c>
      <c r="D88" s="3" t="s">
        <v>305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245</v>
      </c>
      <c r="C3" s="3">
        <v>1.03</v>
      </c>
      <c r="D3" s="1"/>
      <c r="E3" s="1"/>
    </row>
    <row r="4" spans="2:5" x14ac:dyDescent="0.25">
      <c r="B4" s="3" t="s">
        <v>260</v>
      </c>
      <c r="C4" s="3">
        <v>1.24</v>
      </c>
      <c r="D4" s="1"/>
      <c r="E4" s="1"/>
    </row>
    <row r="5" spans="2:5" x14ac:dyDescent="0.25">
      <c r="B5" s="3" t="s">
        <v>278</v>
      </c>
      <c r="C5" s="3">
        <v>0.63</v>
      </c>
      <c r="D5" s="1"/>
      <c r="E5" s="1"/>
    </row>
    <row r="6" spans="2:5" x14ac:dyDescent="0.25">
      <c r="B6" s="3" t="s">
        <v>473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2025-09-01T16:45:00Z</dcterms:modified>
</cp:coreProperties>
</file>