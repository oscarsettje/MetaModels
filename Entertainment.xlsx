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B71FCF1-669E-411B-AB03-FFFC607D59AA}" xr6:coauthVersionLast="47" xr6:coauthVersionMax="47" xr10:uidLastSave="{00000000-0000-0000-0000-000000000000}"/>
  <bookViews>
    <workbookView xWindow="-120" yWindow="-120" windowWidth="38640" windowHeight="2112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G34" i="1"/>
  <c r="F34" i="1"/>
  <c r="E34" i="1"/>
  <c r="G90" i="3" l="1"/>
  <c r="F90" i="3"/>
  <c r="E90" i="3"/>
  <c r="G84" i="1"/>
  <c r="F84" i="1"/>
  <c r="E84" i="1"/>
  <c r="H90" i="3" l="1"/>
  <c r="H84" i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<sst xmlns="http://schemas.openxmlformats.org/spreadsheetml/2006/main" count="755" uniqueCount="488">
  <si>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</si>
  <si>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</si>
  <si>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</si>
  <si>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</si>
  <si>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</si>
  <si>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</si>
  <si>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</si>
  <si>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</si>
  <si>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</si>
  <si>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</si>
  <si>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</si>
  <si>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</si>
  <si>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</si>
  <si>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</si>
  <si>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</si>
  <si>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</si>
  <si>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</si>
  <si>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</si>
  <si>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</si>
  <si>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</si>
  <si>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</si>
  <si>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</si>
  <si>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</si>
  <si>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</si>
  <si>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</si>
  <si>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</si>
  <si>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</si>
  <si>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</si>
  <si>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</si>
  <si>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</si>
  <si>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</si>
  <si>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</si>
  <si>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</si>
  <si>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</si>
  <si>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</si>
  <si>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</si>
  <si>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</si>
  <si>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</si>
  <si>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</si>
  <si>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</si>
  <si>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</si>
  <si>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</si>
  <si>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</si>
  <si>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</si>
  <si>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</si>
  <si>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</si>
  <si>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</si>
  <si>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</si>
  <si>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</si>
  <si>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</si>
  <si>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</si>
  <si>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</si>
  <si>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</si>
  <si>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</si>
  <si>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</si>
  <si>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</si>
  <si>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</si>
  <si>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</si>
  <si>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</si>
  <si>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</si>
  <si>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</si>
  <si>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</si>
  <si>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</si>
  <si>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</si>
  <si>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</si>
  <si>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</si>
  <si>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</si>
  <si>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</si>
  <si>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</si>
  <si>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</si>
  <si>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</si>
  <si>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</si>
  <si>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</si>
  <si>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</si>
  <si>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</si>
  <si>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</si>
  <si>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</si>
  <si>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</si>
  <si>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</si>
  <si>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</si>
  <si>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</si>
  <si>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</si>
  <si>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</si>
  <si>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</si>
  <si>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</si>
  <si>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</si>
  <si>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</si>
  <si>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</si>
  <si>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</si>
  <si>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</si>
  <si>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</si>
  <si>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</si>
  <si>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</si>
  <si>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</si>
  <si>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</si>
  <si>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</si>
  <si>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</si>
  <si>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</si>
  <si>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</si>
  <si>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</si>
  <si>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</si>
  <si>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</si>
  <si>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</si>
  <si>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</si>
  <si>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</si>
  <si>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</si>
  <si>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</si>
  <si>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</si>
  <si>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</si>
  <si>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</si>
  <si>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</si>
  <si>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</si>
  <si>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</si>
  <si>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</si>
  <si>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</si>
  <si>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</si>
  <si>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</si>
  <si>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</si>
  <si>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</si>
  <si>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</si>
  <si>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</si>
  <si>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</si>
  <si>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</si>
  <si>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</si>
  <si>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</si>
  <si>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</si>
  <si>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</si>
  <si>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</si>
  <si>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</si>
  <si>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</si>
  <si>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</si>
  <si>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</si>
  <si>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</si>
  <si>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</si>
  <si>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</si>
  <si>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</si>
  <si>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</si>
  <si>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</si>
  <si>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</si>
  <si>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</si>
  <si>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</si>
  <si>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</si>
  <si>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</si>
  <si>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</si>
  <si>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</si>
  <si>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</si>
  <si>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</si>
  <si>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</si>
  <si>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</si>
  <si>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</si>
  <si>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</si>
  <si>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</si>
  <si>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</si>
  <si>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</si>
  <si>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</si>
  <si>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</si>
  <si>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</si>
  <si>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</si>
  <si>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</si>
  <si>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</si>
  <si>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</si>
  <si>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</si>
  <si>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</si>
  <si>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</si>
  <si>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</si>
  <si>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</si>
  <si>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</si>
  <si>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</si>
  <si>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</si>
  <si>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</si>
  <si>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</si>
  <si>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</si>
  <si>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</si>
  <si>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</si>
  <si>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</si>
  <si>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</si>
  <si>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</si>
  <si>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</si>
  <si>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</si>
  <si>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</si>
  <si>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</si>
  <si>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</si>
  <si>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</si>
  <si>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</si>
  <si>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</si>
  <si>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</si>
  <si>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</si>
  <si>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</si>
  <si>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</si>
  <si>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</si>
  <si>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</si>
  <si>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</si>
  <si>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</si>
  <si>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</si>
  <si>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</si>
  <si>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</si>
  <si>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</si>
  <si>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</si>
  <si>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</si>
  <si>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</si>
  <si>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</si>
  <si>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</si>
  <si>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</si>
  <si>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</si>
  <si>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</si>
  <si>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</si>
  <si>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</si>
  <si>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</si>
  <si>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</si>
  <si>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</si>
  <si>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</si>
  <si>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</si>
  <si>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</si>
  <si>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</si>
  <si>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</si>
  <si>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</si>
  <si>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</si>
  <si>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</si>
  <si>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</si>
  <si>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</si>
  <si>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</si>
  <si>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</si>
  <si>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</si>
  <si>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</si>
  <si>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</si>
  <si>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</si>
  <si>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</si>
  <si>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</si>
  <si>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</si>
  <si>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</si>
  <si>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</si>
  <si>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</si>
  <si>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</si>
  <si>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</si>
  <si>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</si>
  <si>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</si>
  <si>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</si>
  <si>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</si>
  <si>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</si>
  <si>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</si>
  <si>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</si>
  <si>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</si>
  <si>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</si>
  <si>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</si>
  <si>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</si>
  <si>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</si>
  <si>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</si>
  <si>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</si>
  <si>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</si>
  <si>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</si>
  <si>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</si>
  <si>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</si>
  <si>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</si>
  <si>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</si>
  <si>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</si>
  <si>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</si>
  <si>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</si>
  <si>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</si>
  <si>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</si>
  <si>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</si>
  <si>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</si>
  <si>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</si>
  <si>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</si>
  <si>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</si>
  <si>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</si>
  <si>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</si>
  <si>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</si>
  <si>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</si>
  <si>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</si>
  <si>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</si>
  <si>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</si>
  <si>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</si>
  <si>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</si>
  <si>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</si>
  <si>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</si>
  <si>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</si>
  <si>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</si>
  <si>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</si>
  <si>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</si>
  <si>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</si>
  <si>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</si>
  <si>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</si>
  <si>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</si>
  <si>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</si>
  <si>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</si>
  <si>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</si>
  <si>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</si>
  <si>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</si>
  <si>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</si>
  <si>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</si>
  <si>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</si>
  <si>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</si>
  <si>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</si>
  <si>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</si>
  <si>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</si>
  <si>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</si>
  <si>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</si>
  <si>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</si>
  <si>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</si>
  <si>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</si>
  <si>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</si>
  <si>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</si>
  <si>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</si>
  <si>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</si>
  <si>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</si>
  <si>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</si>
  <si>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</si>
  <si>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</si>
  <si>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</si>
  <si>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</si>
  <si>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</si>
  <si>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</si>
  <si>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</si>
  <si>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</si>
  <si>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</si>
  <si>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</si>
  <si>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</si>
  <si>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</si>
  <si>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</si>
  <si>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</si>
  <si>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</si>
  <si>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</si>
  <si>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</si>
  <si>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</si>
  <si>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</si>
  <si>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</si>
  <si>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</si>
  <si>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</si>
  <si>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</si>
  <si>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</si>
  <si>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</si>
  <si>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</si>
  <si>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</si>
  <si>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</si>
  <si>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</si>
  <si>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</si>
  <si>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</si>
  <si>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</si>
  <si>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</si>
  <si>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</si>
  <si>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</si>
  <si>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</si>
  <si>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</si>
  <si>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</si>
  <si>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</si>
  <si>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</si>
  <si>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</si>
  <si>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</si>
  <si>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</si>
  <si>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</si>
  <si>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</si>
  <si>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</si>
  <si>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</si>
  <si>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</si>
  <si>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</si>
  <si>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</si>
  <si>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</si>
  <si>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</si>
  <si>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</si>
  <si>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</si>
  <si>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</si>
  <si>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</si>
  <si>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</si>
  <si>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</si>
  <si>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</si>
  <si>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</si>
  <si>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</si>
  <si>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</si>
  <si>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</si>
  <si>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</si>
  <si>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</si>
  <si>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</si>
  <si>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</si>
  <si>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</si>
  <si>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</si>
  <si>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</si>
  <si>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</si>
  <si>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</si>
  <si>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</si>
  <si>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</si>
  <si>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</si>
  <si>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</si>
  <si>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</si>
  <si>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</si>
  <si>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</si>
  <si>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</si>
  <si>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</si>
  <si>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</si>
  <si>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</si>
  <si>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</si>
  <si>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</si>
  <si>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</si>
  <si>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</si>
  <si>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</si>
  <si>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</si>
  <si>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</si>
  <si>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</si>
  <si>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</si>
  <si>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</si>
  <si>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</si>
  <si>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</si>
  <si>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</si>
  <si>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</si>
  <si>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</si>
  <si>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</si>
  <si>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</si>
  <si>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</si>
  <si>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</si>
  <si>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</si>
  <si>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</si>
  <si>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</si>
  <si>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</si>
  <si>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</si>
  <si>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</si>
  <si>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</si>
  <si>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</si>
  <si>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</si>
  <si>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</si>
  <si>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</si>
  <si>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</si>
  <si>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</si>
  <si>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</si>
  <si>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</si>
  <si>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</si>
  <si>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</si>
  <si>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</si>
  <si>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</si>
  <si>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</si>
  <si>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</si>
  <si>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</si>
  <si>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</si>
  <si>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</si>
  <si>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</si>
  <si>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</si>
  <si>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</si>
  <si>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</si>
  <si>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</si>
  <si>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</si>
  <si>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</si>
  <si>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</si>
  <si>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</si>
  <si>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</si>
  <si>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</si>
  <si>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</si>
  <si>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</si>
  <si>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</si>
  <si>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</si>
  <si>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</si>
  <si>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</si>
  <si>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</si>
  <si>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</si>
  <si>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</si>
  <si>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</si>
  <si>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</si>
  <si>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</si>
  <si>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</si>
  <si>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</si>
  <si>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</si>
  <si>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</si>
  <si>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</si>
  <si>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</si>
  <si>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</si>
  <si>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</si>
  <si>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</si>
  <si>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</si>
  <si>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</si>
  <si>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</si>
  <si>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</si>
  <si>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</si>
  <si>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</si>
  <si>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</si>
  <si>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</si>
  <si>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</si>
  <si>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</si>
  <si>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</si>
  <si>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</si>
  <si>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</si>
  <si>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</si>
  <si>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</si>
  <si>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</si>
  <si>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</si>
  <si>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</si>
  <si>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</si>
  <si>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</si>
  <si>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</si>
  <si>
    <t>Q425</t>
  </si>
  <si>
    <t>Springer Nature</t>
  </si>
  <si>
    <t>SPG.F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</si>
</sst>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4">
    <xf numFmtId="0" fontId="0" fillId="0" borderId="0" xfId="0"/>
    <xf numFmtId="0" fontId="15" fillId="0" borderId="0" xfId="0" applyFont="1"/>
    <xf numFmtId="0" fontId="16" fillId="0" borderId="0" xfId="0" applyFont="1" applyAlignment="1">
      <alignment horizontal="left"/>
    </xf>
    <xf numFmtId="0" fontId="14" fillId="0" borderId="0" xfId="0" applyFont="1"/>
    <xf numFmtId="0" fontId="17" fillId="0" borderId="0" xfId="0" applyFont="1"/>
    <xf numFmtId="0" fontId="14" fillId="0" borderId="0" xfId="0" applyFont="1" applyAlignment="1">
      <alignment horizontal="left"/>
    </xf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right"/>
    </xf>
    <xf numFmtId="0" fontId="16" fillId="2" borderId="2" xfId="0" applyFont="1" applyFill="1" applyBorder="1" applyAlignment="1">
      <alignment horizontal="left"/>
    </xf>
    <xf numFmtId="0" fontId="16" fillId="2" borderId="3" xfId="0" applyFont="1" applyFill="1" applyBorder="1"/>
    <xf numFmtId="0" fontId="14" fillId="0" borderId="0" xfId="0" applyFont="1" applyAlignment="1">
      <alignment horizontal="center"/>
    </xf>
    <xf numFmtId="0" fontId="18" fillId="0" borderId="0" xfId="1"/>
    <xf numFmtId="164" fontId="14" fillId="0" borderId="0" xfId="0" applyNumberFormat="1" applyFont="1"/>
    <xf numFmtId="166" fontId="14" fillId="0" borderId="0" xfId="0" applyNumberFormat="1" applyFont="1"/>
    <xf numFmtId="0" fontId="14" fillId="0" borderId="0" xfId="0" applyFont="1" applyAlignment="1">
      <alignment horizontal="right"/>
    </xf>
    <xf numFmtId="0" fontId="18" fillId="0" borderId="0" xfId="1" applyFill="1"/>
    <xf numFmtId="16" fontId="14" fillId="0" borderId="0" xfId="0" applyNumberFormat="1" applyFont="1"/>
    <xf numFmtId="2" fontId="14" fillId="0" borderId="0" xfId="0" applyNumberFormat="1" applyFont="1"/>
    <xf numFmtId="3" fontId="14" fillId="0" borderId="0" xfId="0" applyNumberFormat="1" applyFont="1"/>
    <xf numFmtId="0" fontId="14" fillId="0" borderId="0" xfId="0" quotePrefix="1" applyFont="1"/>
    <xf numFmtId="165" fontId="14" fillId="0" borderId="0" xfId="0" applyNumberFormat="1" applyFont="1"/>
    <xf numFmtId="0" fontId="19" fillId="0" borderId="0" xfId="0" applyFont="1"/>
    <xf numFmtId="0" fontId="17" fillId="0" borderId="0" xfId="0" applyFont="1" applyAlignment="1">
      <alignment horizontal="center"/>
    </xf>
    <xf numFmtId="0" fontId="14" fillId="2" borderId="3" xfId="0" applyFont="1" applyFill="1" applyBorder="1"/>
    <xf numFmtId="0" fontId="20" fillId="0" borderId="0" xfId="0" applyFont="1"/>
    <xf numFmtId="166" fontId="21" fillId="0" borderId="0" xfId="0" applyNumberFormat="1" applyFont="1"/>
    <xf numFmtId="164" fontId="14" fillId="0" borderId="0" xfId="0" applyNumberFormat="1" applyFont="1" applyAlignment="1">
      <alignment horizontal="right"/>
    </xf>
    <xf numFmtId="0" fontId="14" fillId="2" borderId="2" xfId="0" applyFont="1" applyFill="1" applyBorder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7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3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externalLink" Target="externalLinks/externalLink44.xml"/><Relationship Id="rId8" Type="http://schemas.openxmlformats.org/officeDocument/2006/relationships/externalLink" Target="externalLinks/externalLink4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externalLink" Target="externalLinks/externalLink45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IS.xlsx" TargetMode="External"/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CSA.xlsx" TargetMode="External"/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BLX.xlsx" TargetMode="External"/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VS.xlsx" TargetMode="External"/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YV.xlsx" TargetMode="External"/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LL.AX.xlsx" TargetMode="External"/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BD.xlsx" TargetMode="External"/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WONK.xlsx" TargetMode="External"/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NG.xlsx" TargetMode="External"/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G.xlsx" TargetMode="External"/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832.T.xlsx" TargetMode="External"/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766.T.xlsx" TargetMode="External"/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KO.xlsx" TargetMode="External"/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DN.xlsx" TargetMode="External"/><Relationship Id="rId2" Type="http://schemas.openxmlformats.org/officeDocument/2006/relationships/externalLinkPath" Target="file:///E:\1.Finance\Anaylsen\Models\CHDN.xlsx" TargetMode="External"/><Relationship Id="rId1" Type="http://schemas.openxmlformats.org/officeDocument/2006/relationships/externalLinkPath" Target="/1.Finance/Anaylsen/Models/CHDN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AS.xlsx" TargetMode="External"/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RA.xlsx" TargetMode="External"/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YD.xlsx" TargetMode="External"/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T.xlsx" TargetMode="External"/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ST.xlsx" TargetMode="External"/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468.T.xlsx" TargetMode="External"/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05.T.xlsx" TargetMode="External"/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GE.xlsx" TargetMode="External"/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U.xlsx" TargetMode="External"/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VB.F.xlsx" TargetMode="External"/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659.T.xlsx" TargetMode="External"/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TES.xlsx" TargetMode="External"/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I.PA.xlsx" TargetMode="External"/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E.xlsx" TargetMode="External"/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OX.xlsx" TargetMode="External"/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WS.xlsx" TargetMode="External"/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JT.xlsx" TargetMode="External"/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YT.xlsx" TargetMode="External"/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LYVA.xlsx" TargetMode="External"/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BY.xlsx" TargetMode="External"/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.F.xlsx" TargetMode="External"/><Relationship Id="rId2" Type="http://schemas.openxmlformats.org/officeDocument/2006/relationships/externalLinkPath" Target="file:///E:\1.Finance\Anaylsen\Models\SPG.F.xlsx" TargetMode="External"/><Relationship Id="rId1" Type="http://schemas.openxmlformats.org/officeDocument/2006/relationships/externalLinkPath" Target="/1.Finance/Anaylsen/Models/SPG.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154.19999999999999</v>
          </cell>
        </row>
        <row r="4">
          <cell r="I4">
            <v>204946.60319999998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84.96</v>
          </cell>
        </row>
        <row r="4">
          <cell r="I4">
            <v>5921.4493036799986</v>
          </cell>
        </row>
        <row r="5">
          <cell r="I5">
            <v>200</v>
          </cell>
        </row>
        <row r="6">
          <cell r="I6">
            <v>1846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9081</v>
          </cell>
        </row>
        <row r="5">
          <cell r="G5">
            <v>5158916.1000000006</v>
          </cell>
        </row>
        <row r="6">
          <cell r="G6">
            <v>386128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</v>
          </cell>
        </row>
        <row r="4">
          <cell r="H4">
            <v>12979.714142500001</v>
          </cell>
        </row>
        <row r="5">
          <cell r="H5">
            <v>642.15699999999993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1.7</v>
          </cell>
        </row>
        <row r="4">
          <cell r="H4">
            <v>183.18753240000001</v>
          </cell>
        </row>
        <row r="5">
          <cell r="H5">
            <v>27.463000000000001</v>
          </cell>
        </row>
        <row r="6">
          <cell r="H6">
            <v>176.79499999999999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17.72</v>
          </cell>
        </row>
        <row r="4">
          <cell r="K4">
            <v>3524.5079999999998</v>
          </cell>
        </row>
        <row r="5">
          <cell r="K5">
            <v>269.7</v>
          </cell>
        </row>
        <row r="6">
          <cell r="K6">
            <v>1426.6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34" Type="http://schemas.openxmlformats.org/officeDocument/2006/relationships/hyperlink" Target="..\Models\CHDN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10" Type="http://schemas.openxmlformats.org/officeDocument/2006/relationships/hyperlink" Target="..\Models\SPG.F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1"/>
  <sheetViews>
    <sheetView tabSelected="1" zoomScale="196" zoomScaleNormal="196" workbookViewId="0">
      <pane xSplit="2" ySplit="3" topLeftCell="C109" activePane="bottomRight" state="frozen"/>
      <selection pane="topRight" activeCell="C1" sqref="C1"/>
      <selection pane="bottomLeft" activeCell="A4" sqref="A4"/>
      <selection pane="bottomRight" activeCell="B39" sqref="B39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69.17</v>
      </c>
      <c r="F4" s="14">
        <f>+[1]Main!$I$5</f>
        <v>288019.70738892001</v>
      </c>
      <c r="G4" s="14">
        <f>+[1]Main!$I$7-[1]Main!$I$6</f>
        <v>5181.3960000000006</v>
      </c>
      <c r="H4" s="14">
        <f>+F4+G4</f>
        <v>293201.10338892002</v>
      </c>
      <c r="I4" s="39" t="s">
        <v>485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29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0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0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1" t="s">
        <v>479</v>
      </c>
      <c r="D18" s="31" t="s">
        <v>26</v>
      </c>
      <c r="E18" s="3">
        <f>+[11]Main!$I$2</f>
        <v>154.19999999999999</v>
      </c>
      <c r="F18" s="21">
        <f>+[11]Main!$I$4*FX!C6</f>
        <v>28692.524448</v>
      </c>
      <c r="G18" s="14">
        <f>+([11]Main!$I$6-[11]Main!$I$5)*FX!C6</f>
        <v>-1927.1995400000001</v>
      </c>
      <c r="H18" s="14">
        <f>+F18+G18</f>
        <v>26765.324907999999</v>
      </c>
      <c r="I18" s="32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12" t="s">
        <v>74</v>
      </c>
      <c r="C34" s="3" t="s">
        <v>75</v>
      </c>
      <c r="D34" s="3" t="s">
        <v>22</v>
      </c>
      <c r="E34" s="42">
        <f>+[22]Main!$I$2</f>
        <v>84.96</v>
      </c>
      <c r="F34" s="14">
        <f>+[22]Main!$I$4</f>
        <v>5921.4493036799986</v>
      </c>
      <c r="G34" s="14">
        <f>+[22]Main!$I$6-[22]Main!$I$5</f>
        <v>1646</v>
      </c>
      <c r="H34" s="14">
        <f>+F34+G34</f>
        <v>7567.4493036799986</v>
      </c>
      <c r="I34" s="43" t="s">
        <v>480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+[23]Main!$H$2</f>
        <v>65.319999999999993</v>
      </c>
      <c r="F39" s="14">
        <f>+[23]Main!$H$4</f>
        <v>9114.1865409199982</v>
      </c>
      <c r="G39" s="14">
        <f>+[23]Main!$H$6-[23]Main!$H$5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+[24]Main!$I$2</f>
        <v>13.8</v>
      </c>
      <c r="F41" s="14">
        <f>+[24]Main!$I$4</f>
        <v>9315</v>
      </c>
      <c r="G41" s="14">
        <f>+[24]Main!$I$6-[24]Main!$I$5</f>
        <v>11775</v>
      </c>
      <c r="H41" s="14">
        <f>+F41+G41</f>
        <v>21090</v>
      </c>
      <c r="I41" s="33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+[25]Main!$I$2</f>
        <v>77.77</v>
      </c>
      <c r="F47" s="14">
        <f>+[25]Main!$I$4</f>
        <v>6330.7175316000003</v>
      </c>
      <c r="G47" s="14">
        <f>+[25]Main!$I$6-[25]Main!$I$5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+[26]Main!$G$2</f>
        <v>17.309999999999999</v>
      </c>
      <c r="F50" s="14">
        <f>+[26]Main!$G$4</f>
        <v>5750.3819999999996</v>
      </c>
      <c r="G50" s="14">
        <f>+[26]Main!$G$6-[26]Main!$G$5</f>
        <v>1466.0810000000004</v>
      </c>
      <c r="H50" s="14">
        <f>+F50+G50</f>
        <v>7216.4629999999997</v>
      </c>
      <c r="I50" s="33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+[27]Main!$I$2</f>
        <v>183.2</v>
      </c>
      <c r="F57" s="14">
        <f>+[27]Main!$I$4</f>
        <v>5589.2865391999994</v>
      </c>
      <c r="G57" s="14">
        <f>+[27]Main!$I$6-[27]Main!$I$5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4">
        <f>+[28]Main!$J$2</f>
        <v>3555</v>
      </c>
      <c r="F84" s="14">
        <f>+[28]Main!$J$4*FX!C2</f>
        <v>3334.2666713280005</v>
      </c>
      <c r="G84" s="14">
        <f>+([28]Main!$J$6-[28]Main!$J$5)*FX!C2</f>
        <v>-683.66079999999999</v>
      </c>
      <c r="H84" s="14">
        <f>+F84+G84</f>
        <v>2650.6058713280004</v>
      </c>
      <c r="I84" s="33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+[29]Main!$I$2</f>
        <v>5310</v>
      </c>
      <c r="F93" s="14">
        <f>+[29]Main!$I$4*FX!C2</f>
        <v>2103.4388983680001</v>
      </c>
      <c r="G93" s="14">
        <f>+([29]Main!$I$6-[29]Main!$I$5)*FX!C2</f>
        <v>-590.64960000000008</v>
      </c>
      <c r="H93" s="14">
        <f>+F93+G93</f>
        <v>1512.7892983679999</v>
      </c>
      <c r="I93" s="33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+[30]Main!$I$2</f>
        <v>33.76</v>
      </c>
      <c r="F105" s="14">
        <f>+[30]Main!$I$4</f>
        <v>1615.1327198399999</v>
      </c>
      <c r="G105" s="14">
        <f>+[30]Main!$I$6-[30]Main!$I$5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+[31]Main!$H$2</f>
        <v>15.92</v>
      </c>
      <c r="F108" s="14">
        <f>+[31]Main!$H$5*FX!C4</f>
        <v>2707.3869572160002</v>
      </c>
      <c r="G108" s="14">
        <f>+([31]Main!$H$7-[31]Main!$H$6)*FX!C4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+[32]Main!$I$2</f>
        <v>3.28</v>
      </c>
      <c r="F110" s="14">
        <f>+[32]Main!$I$4*FX!C3</f>
        <v>372.96258964800001</v>
      </c>
      <c r="G110" s="14">
        <f>+([32]Main!$I$6-[32]Main!$I$5)*FX!C3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3"/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22" t="s">
        <v>476</v>
      </c>
      <c r="C116" s="3"/>
      <c r="D116" s="3"/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12" t="s">
        <v>477</v>
      </c>
      <c r="C117" s="35" t="s">
        <v>481</v>
      </c>
      <c r="D117" s="35" t="s">
        <v>482</v>
      </c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21"/>
      <c r="G225" s="21"/>
      <c r="H225" s="2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  <row r="241" spans="1:45" x14ac:dyDescent="0.25">
      <c r="A241" s="1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7" r:id="rId33" xr:uid="{165C2902-BD53-4337-94C5-A6EDD7D0D481}"/>
    <hyperlink ref="B34" r:id="rId34" xr:uid="{1F0370C2-260F-41D8-88F8-175FEE03B53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+[33]Main!$H$2</f>
        <v>405.1</v>
      </c>
      <c r="F5" s="26">
        <f>+[33]Main!$H$4</f>
        <v>3009258.8985904003</v>
      </c>
      <c r="G5" s="26">
        <f>+[33]Main!$H$6-[33]Main!$H$5</f>
        <v>-38010</v>
      </c>
      <c r="H5" s="26">
        <f t="shared" ref="H5:H18" si="0">+F5+G5</f>
        <v>2971248.8985904003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+[34]Main!$G$2</f>
        <v>617.5</v>
      </c>
      <c r="F6" s="26">
        <f>+[34]Main!$G$4*FX!C6</f>
        <v>1271.3400000000001</v>
      </c>
      <c r="G6" s="26">
        <f>+([34]Main!$G$6-[34]Main!$G$5)*FX!C6</f>
        <v>-668190.33400000015</v>
      </c>
      <c r="H6" s="26">
        <f t="shared" si="0"/>
        <v>-666918.99400000018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+[35]Main!$I$2</f>
        <v>2123</v>
      </c>
      <c r="F9" s="26">
        <f>+[36]Main!$H$5*FX!C6</f>
        <v>65131.275185760009</v>
      </c>
      <c r="G9" s="26">
        <f>+([36]Main!$H$7-[36]Main!$H$6)*FX!C6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+[35]Main!$I$2</f>
        <v>2123</v>
      </c>
      <c r="F15" s="26">
        <f>+[35]Main!$I$4*FX!C2</f>
        <v>11429.0165977856</v>
      </c>
      <c r="G15" s="26">
        <f>+([35]Main!$I$6-[35]Main!$I$5)*FX!C2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+[37]Main!$H$2</f>
        <v>12.11</v>
      </c>
      <c r="F18" s="26">
        <f>+[37]Main!$H$4*FX!C3</f>
        <v>1601.5717199999999</v>
      </c>
      <c r="G18" s="26">
        <f>+([37]Main!$H$6-[37]Main!$H$5)*FX!C3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+[38]Main!$J$2</f>
        <v>21.7</v>
      </c>
      <c r="F21" s="26">
        <f>+[38]Main!$J$4</f>
        <v>9701.7223876999997</v>
      </c>
      <c r="G21" s="26">
        <f>+[38]Main!$J$6-[38]Main!$J$5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14" sqref="B14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7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+[39]Main!$I$2</f>
        <v>50.5</v>
      </c>
      <c r="F8" s="14">
        <f>+[39]Main!$I$4</f>
        <v>22898.106829</v>
      </c>
      <c r="G8" s="14">
        <f>+[39]Main!$I$6-[39]Main!$I$5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+[40]Main!$I$2</f>
        <v>30.44</v>
      </c>
      <c r="F11" s="14">
        <f>+[40]Main!$I$4</f>
        <v>17310.539416759999</v>
      </c>
      <c r="G11" s="14">
        <f>+[40]Main!$I$6-[40]Main!$I$5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+[41]Main!$H$2</f>
        <v>41.21</v>
      </c>
      <c r="F13" s="14">
        <f>+[41]Main!$H$4</f>
        <v>8939.4565020800001</v>
      </c>
      <c r="G13" s="14">
        <f>+[41]Main!$H$6-[41]Main!$H$5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+[42]Main!$H$2</f>
        <v>80.5</v>
      </c>
      <c r="F14" s="14">
        <f>+[42]Main!$H$4</f>
        <v>12979.714142500001</v>
      </c>
      <c r="G14" s="14">
        <f>+[42]Main!$H$6-[42]Main!$H$5</f>
        <v>-642.15699999999993</v>
      </c>
      <c r="H14" s="14">
        <f>+F14+G14</f>
        <v>12337.557142500002</v>
      </c>
      <c r="I14" s="36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+[24]Main!$I$2</f>
        <v>13.8</v>
      </c>
      <c r="F15" s="14">
        <f>+[24]Main!$I$4</f>
        <v>9315</v>
      </c>
      <c r="G15" s="14">
        <f>+[24]Main!$I$6-[24]Main!$I$5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+[43]Main!$K$2</f>
        <v>78.55</v>
      </c>
      <c r="F17" s="14">
        <f>+[43]Main!$K$4</f>
        <v>7215.2325581999994</v>
      </c>
      <c r="G17" s="14">
        <f>+[43]Main!$K$6-[43]Main!$K$5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+[44]Main!$H$2</f>
        <v>1.7</v>
      </c>
      <c r="F78" s="14">
        <f>+[44]Main!$H$4</f>
        <v>183.18753240000001</v>
      </c>
      <c r="G78" s="14">
        <f>+[44]Main!$H$6-[44]Main!$H$5</f>
        <v>149.33199999999999</v>
      </c>
      <c r="H78" s="14">
        <f>+F78+G78</f>
        <v>332.5195324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8" t="s">
        <v>483</v>
      </c>
      <c r="C89" s="38" t="s">
        <v>484</v>
      </c>
      <c r="D89" s="38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12" t="s">
        <v>486</v>
      </c>
      <c r="C90" s="40" t="s">
        <v>487</v>
      </c>
      <c r="D90" s="40" t="s">
        <v>85</v>
      </c>
      <c r="E90" s="14">
        <f>+[45]Main!$K$2</f>
        <v>17.72</v>
      </c>
      <c r="F90" s="14">
        <f>+[45]Main!$K$4*FX!C3</f>
        <v>3630.2432399999998</v>
      </c>
      <c r="G90" s="14">
        <f>+([45]Main!$K$6-[45]Main!$K$5)*FX!C3</f>
        <v>1191.607</v>
      </c>
      <c r="H90" s="14">
        <f>+F90+G90</f>
        <v>4821.8502399999998</v>
      </c>
      <c r="I90" s="41" t="s">
        <v>485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  <hyperlink ref="B90" r:id="rId10" xr:uid="{4A76E0B4-C24B-4D6F-9A4C-CD6DAE096C4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2026-07-24T09:11:31Z</dcterms:modified>
</cp:coreProperties>
</file>