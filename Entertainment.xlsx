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63B41F2-D580-44D4-8C73-3137BEAC6EE7}" xr6:coauthVersionLast="47" xr6:coauthVersionMax="47" xr10:uidLastSave="{00000000-0000-0000-0000-000000000000}"/>
  <bookViews>
    <workbookView xWindow="225" yWindow="390" windowWidth="38175" windowHeight="15240" activeTab="2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E84" i="1"/>
  <c r="H84" i="1" l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<sst xmlns="http://schemas.openxmlformats.org/spreadsheetml/2006/main" count="750" uniqueCount="485">
  <si>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</si>
  <si>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</si>
  <si>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</si>
  <si>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</si>
  <si>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</si>
  <si>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</si>
  <si>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</si>
  <si>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</si>
  <si>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</si>
  <si>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</si>
  <si>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</si>
  <si>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</si>
  <si>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</si>
  <si>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</si>
  <si>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</si>
  <si>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</si>
  <si>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</si>
  <si>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</si>
  <si>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</si>
  <si>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</si>
  <si>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</si>
  <si>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</si>
  <si>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</si>
  <si>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</si>
  <si>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</si>
  <si>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</si>
  <si>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</si>
  <si>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</si>
  <si>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</si>
  <si>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</si>
  <si>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</si>
  <si>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</si>
  <si>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</si>
  <si>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</si>
  <si>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</si>
  <si>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</si>
  <si>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</si>
  <si>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</si>
  <si>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</si>
  <si>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</si>
  <si>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</si>
  <si>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</si>
  <si>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</si>
  <si>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</si>
  <si>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</si>
  <si>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</si>
  <si>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</si>
  <si>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</si>
  <si>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</si>
  <si>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</si>
  <si>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</si>
  <si>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</si>
  <si>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</si>
  <si>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</si>
  <si>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</si>
  <si>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</si>
  <si>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</si>
  <si>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</si>
  <si>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</si>
  <si>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</si>
  <si>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</si>
  <si>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</si>
  <si>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</si>
  <si>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</si>
  <si>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</si>
  <si>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</si>
  <si>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</si>
  <si>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</si>
  <si>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</si>
  <si>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</si>
  <si>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</si>
  <si>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</si>
  <si>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</si>
  <si>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</si>
  <si>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</si>
  <si>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</si>
  <si>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</si>
  <si>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</si>
  <si>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</si>
  <si>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</si>
  <si>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</si>
  <si>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</si>
  <si>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</si>
  <si>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</si>
  <si>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</si>
  <si>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</si>
  <si>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</si>
  <si>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</si>
  <si>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</si>
  <si>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</si>
  <si>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</si>
  <si>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</si>
  <si>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</si>
  <si>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</si>
  <si>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</si>
  <si>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</si>
  <si>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</si>
  <si>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</si>
  <si>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</si>
  <si>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</si>
  <si>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</si>
  <si>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</si>
  <si>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</si>
  <si>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</si>
  <si>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</si>
  <si>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</si>
  <si>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</si>
  <si>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</si>
  <si>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</si>
  <si>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</si>
  <si>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</si>
  <si>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</si>
  <si>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</si>
  <si>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</si>
  <si>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</si>
  <si>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</si>
  <si>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</si>
  <si>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</si>
  <si>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</si>
  <si>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</si>
  <si>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</si>
  <si>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</si>
  <si>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</si>
  <si>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</si>
  <si>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</si>
  <si>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</si>
  <si>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</si>
  <si>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</si>
  <si>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</si>
  <si>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</si>
  <si>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</si>
  <si>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</si>
  <si>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</si>
  <si>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</si>
  <si>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</si>
  <si>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</si>
  <si>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</si>
  <si>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</si>
  <si>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</si>
  <si>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</si>
  <si>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</si>
  <si>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</si>
  <si>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</si>
  <si>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</si>
  <si>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</si>
  <si>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</si>
  <si>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</si>
  <si>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</si>
  <si>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</si>
  <si>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</si>
  <si>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</si>
  <si>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</si>
  <si>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</si>
  <si>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</si>
  <si>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</si>
  <si>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</si>
  <si>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</si>
  <si>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</si>
  <si>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</si>
  <si>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</si>
  <si>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</si>
  <si>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</si>
  <si>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</si>
  <si>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</si>
  <si>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</si>
  <si>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</si>
  <si>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</si>
  <si>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</si>
  <si>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</si>
  <si>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</si>
  <si>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</si>
  <si>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</si>
  <si>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</si>
  <si>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</si>
  <si>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</si>
  <si>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</si>
  <si>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</si>
  <si>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</si>
  <si>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</si>
  <si>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</si>
  <si>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</si>
  <si>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</si>
  <si>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</si>
  <si>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</si>
  <si>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</si>
  <si>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</si>
  <si>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</si>
  <si>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</si>
  <si>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</si>
  <si>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</si>
  <si>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</si>
  <si>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</si>
  <si>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</si>
  <si>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</si>
  <si>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</si>
  <si>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</si>
  <si>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</si>
  <si>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</si>
  <si>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</si>
  <si>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</si>
  <si>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</si>
  <si>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</si>
  <si>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</si>
  <si>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</si>
  <si>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</si>
  <si>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</si>
  <si>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</si>
  <si>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</si>
  <si>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</si>
  <si>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</si>
  <si>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</si>
  <si>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</si>
  <si>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</si>
  <si>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</si>
  <si>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</si>
  <si>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</si>
  <si>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</si>
  <si>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</si>
  <si>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</si>
  <si>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</si>
  <si>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</si>
  <si>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</si>
  <si>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</si>
  <si>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</si>
  <si>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</si>
  <si>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</si>
  <si>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</si>
  <si>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</si>
  <si>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</si>
  <si>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</si>
  <si>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</si>
  <si>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</si>
  <si>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</si>
  <si>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</si>
  <si>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</si>
  <si>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</si>
  <si>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</si>
  <si>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</si>
  <si>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</si>
  <si>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</si>
  <si>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</si>
  <si>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</si>
  <si>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</si>
  <si>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</si>
  <si>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</si>
  <si>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</si>
  <si>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</si>
  <si>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</si>
  <si>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</si>
  <si>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</si>
  <si>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</si>
  <si>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</si>
  <si>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</si>
  <si>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</si>
  <si>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</si>
  <si>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</si>
  <si>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</si>
  <si>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</si>
  <si>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</si>
  <si>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</si>
  <si>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</si>
  <si>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</si>
  <si>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</si>
  <si>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</si>
  <si>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</si>
  <si>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</si>
  <si>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</si>
  <si>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</si>
  <si>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</si>
  <si>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</si>
  <si>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</si>
  <si>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</si>
  <si>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</si>
  <si>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</si>
  <si>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</si>
  <si>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</si>
  <si>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</si>
  <si>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</si>
  <si>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</si>
  <si>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</si>
  <si>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</si>
  <si>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</si>
  <si>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</si>
  <si>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</si>
  <si>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</si>
  <si>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</si>
  <si>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</si>
  <si>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</si>
  <si>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</si>
  <si>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</si>
  <si>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</si>
  <si>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</si>
  <si>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</si>
  <si>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</si>
  <si>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</si>
  <si>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</si>
  <si>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</si>
  <si>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</si>
  <si>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</si>
  <si>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</si>
  <si>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</si>
  <si>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</si>
  <si>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</si>
  <si>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</si>
  <si>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</si>
  <si>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</si>
  <si>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</si>
  <si>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</si>
  <si>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</si>
  <si>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</si>
  <si>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</si>
  <si>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</si>
  <si>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</si>
  <si>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</si>
  <si>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</si>
  <si>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</si>
  <si>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</si>
  <si>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</si>
  <si>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</si>
  <si>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</si>
  <si>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</si>
  <si>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</si>
  <si>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</si>
  <si>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</si>
  <si>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</si>
  <si>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</si>
  <si>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</si>
  <si>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</si>
  <si>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</si>
  <si>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</si>
  <si>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</si>
  <si>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</si>
  <si>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</si>
  <si>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</si>
  <si>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</si>
  <si>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</si>
  <si>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</si>
  <si>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</si>
  <si>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</si>
  <si>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</si>
  <si>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</si>
  <si>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</si>
  <si>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</si>
  <si>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</si>
  <si>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</si>
  <si>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</si>
  <si>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</si>
  <si>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</si>
  <si>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</si>
  <si>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</si>
  <si>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</si>
  <si>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</si>
  <si>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</si>
  <si>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</si>
  <si>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</si>
  <si>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</si>
  <si>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</si>
  <si>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</si>
  <si>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</si>
  <si>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</si>
  <si>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</si>
  <si>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</si>
  <si>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</si>
  <si>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</si>
  <si>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</si>
  <si>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</si>
  <si>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</si>
  <si>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</si>
  <si>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</si>
  <si>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</si>
  <si>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</si>
  <si>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</si>
  <si>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</si>
  <si>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</si>
  <si>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</si>
  <si>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</si>
  <si>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</si>
  <si>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</si>
  <si>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</si>
  <si>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</si>
  <si>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</si>
  <si>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</si>
  <si>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</si>
  <si>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</si>
  <si>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</si>
  <si>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</si>
  <si>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</si>
  <si>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</si>
  <si>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</si>
  <si>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</si>
  <si>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</si>
  <si>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</si>
  <si>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</si>
  <si>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</si>
  <si>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</si>
  <si>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</si>
  <si>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</si>
  <si>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</si>
  <si>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</si>
  <si>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</si>
  <si>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</si>
  <si>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</si>
  <si>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</si>
  <si>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</si>
  <si>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</si>
  <si>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</si>
  <si>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</si>
  <si>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</si>
  <si>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</si>
  <si>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</si>
  <si>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</si>
  <si>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</si>
  <si>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</si>
  <si>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</si>
  <si>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</si>
  <si>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</si>
  <si>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</si>
  <si>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</si>
  <si>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</si>
  <si>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</si>
  <si>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</si>
  <si>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</si>
  <si>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</si>
  <si>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</si>
  <si>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</si>
  <si>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</si>
  <si>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</si>
  <si>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</si>
  <si>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</si>
  <si>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</si>
  <si>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</si>
  <si>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</si>
  <si>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</si>
  <si>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</si>
  <si>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</si>
  <si>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</si>
  <si>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</si>
  <si>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</si>
  <si>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</si>
  <si>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</si>
  <si>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</si>
  <si>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</si>
  <si>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</si>
  <si>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</si>
  <si>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</si>
  <si>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</si>
  <si>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</si>
  <si>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</si>
  <si>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</si>
  <si>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</si>
  <si>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</si>
  <si>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</si>
  <si>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</si>
  <si>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</si>
  <si>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</si>
  <si>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</si>
  <si>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</si>
  <si>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</si>
  <si>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</si>
  <si>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</si>
  <si>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</si>
  <si>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</si>
  <si>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</si>
  <si>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</si>
  <si>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</si>
  <si>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</si>
  <si>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</si>
  <si>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</si>
  <si>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</si>
  <si>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</si>
  <si>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</si>
  <si>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</si>
  <si>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</si>
  <si>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</si>
  <si>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</si>
  <si>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</si>
  <si>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</si>
  <si>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</si>
  <si>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</si>
  <si>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</si>
  <si>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</si>
  <si>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</si>
  <si>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</si>
  <si>
    <t>Versant</t>
  </si>
  <si>
    <t>VSNT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</si>
</sst>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40">
    <xf numFmtId="0" fontId="0" fillId="0" borderId="0" xfId="0"/>
    <xf numFmtId="0" fontId="14" fillId="0" borderId="0" xfId="0" applyFont="1"/>
    <xf numFmtId="0" fontId="15" fillId="0" borderId="0" xfId="0" applyFont="1" applyAlignment="1">
      <alignment horizontal="left"/>
    </xf>
    <xf numFmtId="0" fontId="12" fillId="0" borderId="0" xfId="0" applyFont="1"/>
    <xf numFmtId="0" fontId="16" fillId="0" borderId="0" xfId="0" applyFont="1"/>
    <xf numFmtId="0" fontId="12" fillId="0" borderId="0" xfId="0" applyFont="1" applyAlignment="1">
      <alignment horizontal="left"/>
    </xf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left"/>
    </xf>
    <xf numFmtId="0" fontId="15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1" applyFont="1"/>
    <xf numFmtId="164" fontId="12" fillId="0" borderId="0" xfId="0" applyNumberFormat="1" applyFont="1"/>
    <xf numFmtId="166" fontId="12" fillId="0" borderId="0" xfId="0" applyNumberFormat="1" applyFont="1"/>
    <xf numFmtId="0" fontId="12" fillId="0" borderId="0" xfId="0" applyFont="1" applyAlignment="1">
      <alignment horizontal="right"/>
    </xf>
    <xf numFmtId="0" fontId="17" fillId="0" borderId="0" xfId="1" applyFont="1" applyFill="1"/>
    <xf numFmtId="16" fontId="12" fillId="0" borderId="0" xfId="0" applyNumberFormat="1" applyFont="1"/>
    <xf numFmtId="2" fontId="12" fillId="0" borderId="0" xfId="0" applyNumberFormat="1" applyFont="1"/>
    <xf numFmtId="3" fontId="12" fillId="0" borderId="0" xfId="0" applyNumberFormat="1" applyFont="1"/>
    <xf numFmtId="0" fontId="12" fillId="0" borderId="0" xfId="0" quotePrefix="1" applyFont="1"/>
    <xf numFmtId="165" fontId="12" fillId="0" borderId="0" xfId="0" applyNumberFormat="1" applyFont="1"/>
    <xf numFmtId="0" fontId="18" fillId="0" borderId="0" xfId="0" applyFont="1"/>
    <xf numFmtId="0" fontId="16" fillId="0" borderId="0" xfId="0" applyFont="1" applyAlignment="1">
      <alignment horizontal="center"/>
    </xf>
    <xf numFmtId="0" fontId="12" fillId="2" borderId="3" xfId="0" applyFont="1" applyFill="1" applyBorder="1"/>
    <xf numFmtId="0" fontId="19" fillId="0" borderId="0" xfId="0" applyFont="1"/>
    <xf numFmtId="166" fontId="20" fillId="0" borderId="0" xfId="0" applyNumberFormat="1" applyFont="1"/>
    <xf numFmtId="164" fontId="12" fillId="0" borderId="0" xfId="0" applyNumberFormat="1" applyFont="1" applyAlignment="1">
      <alignment horizontal="right"/>
    </xf>
    <xf numFmtId="0" fontId="12" fillId="2" borderId="2" xfId="0" applyFont="1" applyFill="1" applyBorder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69.87</v>
          </cell>
        </row>
        <row r="4">
          <cell r="H4">
            <v>11343.32525883</v>
          </cell>
        </row>
        <row r="5">
          <cell r="H5">
            <v>617.35199999999998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1123</v>
      </c>
      <c r="F4" s="14">
        <f>+[1]Main!$I$5</f>
        <v>475851.41108200001</v>
      </c>
      <c r="G4" s="14">
        <f>+[1]Main!$I$7-[1]Main!$I$6</f>
        <v>5138.6280000000006</v>
      </c>
      <c r="H4" s="14">
        <f>+F4+G4</f>
        <v>480990.03908200003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29.6</v>
      </c>
      <c r="F6" s="14">
        <f>+[3]Main!$I$4</f>
        <v>107859.27734800002</v>
      </c>
      <c r="G6" s="14">
        <f>+[3]Main!$I$6-[3]Main!$I$5</f>
        <v>89738</v>
      </c>
      <c r="H6" s="14">
        <f t="shared" si="0"/>
        <v>197597.27734800003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266.8</v>
      </c>
      <c r="F18" s="21">
        <f>+[11]Main!$I$4*FX!C6</f>
        <v>49644.39379200001</v>
      </c>
      <c r="G18" s="14">
        <f>+([11]Main!$I$6-[11]Main!$I$5)*FX!C6</f>
        <v>-1927.1995400000001</v>
      </c>
      <c r="H18" s="14">
        <f>+F18+G18</f>
        <v>47717.194252000008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6" t="s">
        <v>481</v>
      </c>
      <c r="D116" s="36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516.99</v>
      </c>
      <c r="F5" s="26">
        <f>+[32]Main!$H$4</f>
        <v>3842464.9238584503</v>
      </c>
      <c r="G5" s="26">
        <f>+[32]Main!$H$6-[32]Main!$H$5</f>
        <v>-58804</v>
      </c>
      <c r="H5" s="26">
        <f t="shared" ref="H5:H18" si="0">+F5+G5</f>
        <v>3783660.9238584503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tabSelected="1" topLeftCell="A72" zoomScale="200" zoomScaleNormal="200" workbookViewId="0">
      <selection activeCell="B89" sqref="B89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29.6</v>
      </c>
      <c r="F4" s="14">
        <f>+[3]Main!$I$4</f>
        <v>107859.27734800002</v>
      </c>
      <c r="G4" s="14">
        <f>+[3]Main!$I$6-[3]Main!$I$5</f>
        <v>89738</v>
      </c>
      <c r="H4" s="14">
        <f>+F4+G4</f>
        <v>197597.27734800003</v>
      </c>
      <c r="I4" s="38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69.87</v>
      </c>
      <c r="F14" s="14">
        <f>+[41]Main!$H$4</f>
        <v>11343.32525883</v>
      </c>
      <c r="G14" s="14">
        <f>+[41]Main!$H$6-[41]Main!$H$5</f>
        <v>-617.35199999999998</v>
      </c>
      <c r="H14" s="14">
        <f>+F14+G14</f>
        <v>10725.973258829999</v>
      </c>
      <c r="I14" s="37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1.2</v>
      </c>
      <c r="F78" s="14">
        <f>+[43]Main!$H$4</f>
        <v>112.4964828</v>
      </c>
      <c r="G78" s="14">
        <f>+[43]Main!$H$6-[43]Main!$H$5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9" t="s">
        <v>483</v>
      </c>
      <c r="C89" s="39" t="s">
        <v>484</v>
      </c>
      <c r="D89" s="39" t="s">
        <v>22</v>
      </c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2026-01-11T13:21:20Z</dcterms:modified>
</cp:coreProperties>
</file>