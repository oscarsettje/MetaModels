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0C64C37-85FC-4D2A-8F21-F95E569B3F6A}" xr6:coauthVersionLast="47" xr6:coauthVersionMax="47" xr10:uidLastSave="{00000000-0000-0000-0000-000000000000}"/>
  <bookViews>
    <workbookView xWindow="225" yWindow="3510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" i="1" l="1"/>
  <c r="F84" i="1"/>
  <c r="H84" i="1" s="1"/>
  <c r="E84" i="1"/>
  <c r="G93" i="1" l="1"/>
  <c r="F93" i="1"/>
  <c r="H93" i="1" s="1"/>
  <c r="E93" i="1"/>
  <c r="G18" i="1" l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<sst xmlns="http://schemas.openxmlformats.org/spreadsheetml/2006/main" count="747" uniqueCount="483">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</sst>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7">
    <xf numFmtId="0" fontId="0" fillId="0" borderId="0" xfId="0"/>
    <xf numFmtId="0" fontId="11" fillId="0" borderId="0" xfId="0" applyFont="1"/>
    <xf numFmtId="0" fontId="12" fillId="0" borderId="0" xfId="0" applyFont="1" applyAlignment="1">
      <alignment horizontal="left"/>
    </xf>
    <xf numFmtId="0" fontId="9" fillId="0" borderId="0" xfId="0" applyFont="1"/>
    <xf numFmtId="0" fontId="13" fillId="0" borderId="0" xfId="0" applyFont="1"/>
    <xf numFmtId="0" fontId="9" fillId="0" borderId="0" xfId="0" applyFont="1" applyAlignment="1">
      <alignment horizontal="left"/>
    </xf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left"/>
    </xf>
    <xf numFmtId="0" fontId="12" fillId="2" borderId="3" xfId="0" applyFont="1" applyFill="1" applyBorder="1"/>
    <xf numFmtId="0" fontId="9" fillId="0" borderId="0" xfId="0" applyFont="1" applyAlignment="1">
      <alignment horizontal="center"/>
    </xf>
    <xf numFmtId="0" fontId="14" fillId="0" borderId="0" xfId="1" applyFont="1"/>
    <xf numFmtId="164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right"/>
    </xf>
    <xf numFmtId="0" fontId="14" fillId="0" borderId="0" xfId="1" applyFont="1" applyFill="1"/>
    <xf numFmtId="16" fontId="9" fillId="0" borderId="0" xfId="0" applyNumberFormat="1" applyFont="1"/>
    <xf numFmtId="2" fontId="9" fillId="0" borderId="0" xfId="0" applyNumberFormat="1" applyFont="1"/>
    <xf numFmtId="3" fontId="9" fillId="0" borderId="0" xfId="0" applyNumberFormat="1" applyFont="1"/>
    <xf numFmtId="0" fontId="9" fillId="0" borderId="0" xfId="0" quotePrefix="1" applyFont="1"/>
    <xf numFmtId="165" fontId="9" fillId="0" borderId="0" xfId="0" applyNumberFormat="1" applyFont="1"/>
    <xf numFmtId="0" fontId="15" fillId="0" borderId="0" xfId="0" applyFont="1"/>
    <xf numFmtId="0" fontId="13" fillId="0" borderId="0" xfId="0" applyFont="1" applyAlignment="1">
      <alignment horizontal="center"/>
    </xf>
    <xf numFmtId="0" fontId="9" fillId="2" borderId="3" xfId="0" applyFont="1" applyFill="1" applyBorder="1"/>
    <xf numFmtId="0" fontId="16" fillId="0" borderId="0" xfId="0" applyFont="1"/>
    <xf numFmtId="166" fontId="17" fillId="0" borderId="0" xfId="0" applyNumberFormat="1" applyFont="1"/>
    <xf numFmtId="164" fontId="9" fillId="0" borderId="0" xfId="0" applyNumberFormat="1" applyFont="1" applyAlignment="1">
      <alignment horizontal="right"/>
    </xf>
    <xf numFmtId="0" fontId="9" fillId="2" borderId="2" xfId="0" applyFont="1" applyFill="1" applyBorder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4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33.840000000000003</v>
          </cell>
        </row>
        <row r="4">
          <cell r="I4">
            <v>124944.26802768001</v>
          </cell>
        </row>
        <row r="5">
          <cell r="I5">
            <v>9687</v>
          </cell>
        </row>
        <row r="6">
          <cell r="I6">
            <v>101528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256.39999999999998</v>
          </cell>
        </row>
        <row r="4">
          <cell r="I4">
            <v>340780.2144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11.87</v>
          </cell>
        </row>
        <row r="4">
          <cell r="H4">
            <v>29387.416987339999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7" sqref="B7:I8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1253.22</v>
      </c>
      <c r="F4" s="14">
        <f>+[1]Main!$I$5</f>
        <v>532882.92942000006</v>
      </c>
      <c r="G4" s="14">
        <f>+[1]Main!$I$7-[1]Main!$I$6</f>
        <v>6062.6859999999997</v>
      </c>
      <c r="H4" s="14">
        <f>+F4+G4</f>
        <v>538945.61542000005</v>
      </c>
      <c r="I4" s="29" t="s">
        <v>473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33.840000000000003</v>
      </c>
      <c r="F6" s="14">
        <f>+[3]Main!$I$4</f>
        <v>124944.26802768001</v>
      </c>
      <c r="G6" s="14">
        <f>+[3]Main!$I$6-[3]Main!$I$5</f>
        <v>91841</v>
      </c>
      <c r="H6" s="14">
        <f t="shared" si="0"/>
        <v>216785.26802767999</v>
      </c>
      <c r="I6" s="30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1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202.53</v>
      </c>
      <c r="F15" s="14">
        <f>+[8]Main!$I$4</f>
        <v>50674.485076589997</v>
      </c>
      <c r="G15" s="14">
        <f>+[8]Main!$I$6-[8]Main!$I$5</f>
        <v>-1230</v>
      </c>
      <c r="H15" s="14">
        <f>+F15+G15</f>
        <v>49444.485076589997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1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2" t="s">
        <v>479</v>
      </c>
      <c r="D18" s="32" t="s">
        <v>26</v>
      </c>
      <c r="E18" s="3">
        <f>+[11]Main!$I$2</f>
        <v>256.39999999999998</v>
      </c>
      <c r="F18" s="21">
        <f>+[11]Main!$I$4*FX!C6</f>
        <v>47709.230016000001</v>
      </c>
      <c r="G18" s="14">
        <f>+([11]Main!$I$6-[11]Main!$I$5)*FX!C6</f>
        <v>-1927.1995400000001</v>
      </c>
      <c r="H18" s="14">
        <f>+F18+G18</f>
        <v>45782.030476</v>
      </c>
      <c r="I18" s="33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11.87</v>
      </c>
      <c r="F23" s="14">
        <f>+[15]Main!$H$4</f>
        <v>29387.416987339999</v>
      </c>
      <c r="G23" s="14">
        <f>+[15]Main!$H$6-[15]Main!$H$5</f>
        <v>29744</v>
      </c>
      <c r="H23" s="14">
        <f>+F23+G23</f>
        <v>59131.416987339995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4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4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5">
        <f>+[27]Main!$J$2</f>
        <v>3555</v>
      </c>
      <c r="F84" s="14">
        <f>+[27]Main!$J$4*FX!C2</f>
        <v>3334.2666713280005</v>
      </c>
      <c r="G84" s="14">
        <f>+([27]Main!$J$6-[27]Main!$J$5)*FX!C2</f>
        <v>-683.66079999999999</v>
      </c>
      <c r="H84" s="14">
        <f>+F84+G84</f>
        <v>2650.6058713280004</v>
      </c>
      <c r="I84" s="34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+[28]Main!$I$2</f>
        <v>5310</v>
      </c>
      <c r="F93" s="14">
        <f>+[28]Main!$I$4*FX!C2</f>
        <v>2103.4388983680001</v>
      </c>
      <c r="G93" s="14">
        <f>+([28]Main!$I$6-[28]Main!$I$5)*FX!C2</f>
        <v>-590.64960000000008</v>
      </c>
      <c r="H93" s="14">
        <f>+F93+G93</f>
        <v>1512.7892983679999</v>
      </c>
      <c r="I93" s="34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+[29]Main!$I$2</f>
        <v>33.76</v>
      </c>
      <c r="F105" s="14">
        <f>+[29]Main!$I$4</f>
        <v>1615.1327198399999</v>
      </c>
      <c r="G105" s="14">
        <f>+[29]Main!$I$6-[29]Main!$I$5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+[30]Main!$H$2</f>
        <v>15.92</v>
      </c>
      <c r="F108" s="14">
        <f>+[30]Main!$H$5*FX!C4</f>
        <v>2707.3869572160002</v>
      </c>
      <c r="G108" s="14">
        <f>+([30]Main!$H$7-[30]Main!$H$6)*FX!C4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+[31]Main!$I$2</f>
        <v>3.28</v>
      </c>
      <c r="F110" s="14">
        <f>+[31]Main!$I$4*FX!C3</f>
        <v>372.96258964800001</v>
      </c>
      <c r="G110" s="14">
        <f>+([31]Main!$I$6-[31]Main!$I$5)*FX!C3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12" t="s">
        <v>477</v>
      </c>
      <c r="C116" s="36" t="s">
        <v>481</v>
      </c>
      <c r="D116" s="36" t="s">
        <v>482</v>
      </c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6" r:id="rId33" xr:uid="{165C2902-BD53-4337-94C5-A6EDD7D0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+[32]Main!$H$2</f>
        <v>559.02</v>
      </c>
      <c r="F5" s="26">
        <f>+[32]Main!$H$4</f>
        <v>4155288.66918858</v>
      </c>
      <c r="G5" s="26">
        <f>+[32]Main!$H$6-[32]Main!$H$5</f>
        <v>-54413</v>
      </c>
      <c r="H5" s="26">
        <f t="shared" ref="H5:H18" si="0">+F5+G5</f>
        <v>4100875.66918858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+[33]Main!$G$2</f>
        <v>617.5</v>
      </c>
      <c r="F6" s="26">
        <f>+[33]Main!$G$4*FX!C6</f>
        <v>1273.5800000000002</v>
      </c>
      <c r="G6" s="26">
        <f>+([33]Main!$G$6-[33]Main!$G$5)*FX!C6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+[34]Main!$I$2</f>
        <v>2123</v>
      </c>
      <c r="F9" s="26">
        <f>+[35]Main!$H$5*FX!C6</f>
        <v>65131.275185760009</v>
      </c>
      <c r="G9" s="26">
        <f>+([35]Main!$H$7-[35]Main!$H$6)*FX!C6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202.53</v>
      </c>
      <c r="F11" s="26">
        <f>+[8]Main!$I$4</f>
        <v>50674.485076589997</v>
      </c>
      <c r="G11" s="26">
        <f>+[8]Main!$I$6-[8]Main!$I$5</f>
        <v>-1230</v>
      </c>
      <c r="H11" s="26">
        <f t="shared" si="0"/>
        <v>49444.485076589997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+[34]Main!$I$2</f>
        <v>2123</v>
      </c>
      <c r="F15" s="26">
        <f>+[34]Main!$I$4*FX!C2</f>
        <v>11429.0165977856</v>
      </c>
      <c r="G15" s="26">
        <f>+([34]Main!$I$6-[34]Main!$I$5)*FX!C2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+[36]Main!$H$2</f>
        <v>12.11</v>
      </c>
      <c r="F18" s="26">
        <f>+[36]Main!$H$4*FX!C3</f>
        <v>1601.5717199999999</v>
      </c>
      <c r="G18" s="26">
        <f>+([36]Main!$H$6-[36]Main!$H$5)*FX!C3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+[37]Main!$J$2</f>
        <v>21.7</v>
      </c>
      <c r="F21" s="26">
        <f>+[37]Main!$J$4</f>
        <v>9701.7223876999997</v>
      </c>
      <c r="G21" s="26">
        <f>+[37]Main!$J$6-[37]Main!$J$5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27" sqref="B27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33.840000000000003</v>
      </c>
      <c r="F4" s="14">
        <f>+[3]Main!$I$4</f>
        <v>124944.26802768001</v>
      </c>
      <c r="G4" s="14">
        <f>+[3]Main!$I$6-[3]Main!$I$5</f>
        <v>91841</v>
      </c>
      <c r="H4" s="14">
        <f>+F4+G4</f>
        <v>216785.26802767999</v>
      </c>
      <c r="I4" s="15" t="s">
        <v>239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11.87</v>
      </c>
      <c r="F7" s="14">
        <f>+[15]Main!$H$4</f>
        <v>29387.416987339999</v>
      </c>
      <c r="G7" s="14">
        <f>+[15]Main!$H$6-[15]Main!$H$5</f>
        <v>29744</v>
      </c>
      <c r="H7" s="14">
        <f>+F7+G7</f>
        <v>59131.416987339995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+[38]Main!$I$2</f>
        <v>50.5</v>
      </c>
      <c r="F8" s="14">
        <f>+[38]Main!$I$4</f>
        <v>22898.106829</v>
      </c>
      <c r="G8" s="14">
        <f>+[38]Main!$I$6-[38]Main!$I$5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+[39]Main!$I$2</f>
        <v>30.44</v>
      </c>
      <c r="F11" s="14">
        <f>+[39]Main!$I$4</f>
        <v>17310.539416759999</v>
      </c>
      <c r="G11" s="14">
        <f>+[39]Main!$I$6-[39]Main!$I$5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+[40]Main!$H$2</f>
        <v>41.21</v>
      </c>
      <c r="F13" s="14">
        <f>+[40]Main!$H$4</f>
        <v>8939.4565020800001</v>
      </c>
      <c r="G13" s="14">
        <f>+[40]Main!$H$6-[40]Main!$H$5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+[41]Main!$H$2</f>
        <v>52.09</v>
      </c>
      <c r="F14" s="14">
        <f>+[41]Main!$H$4</f>
        <v>8540.3870921399994</v>
      </c>
      <c r="G14" s="14">
        <f>+[41]Main!$H$6-[41]Main!$H$5</f>
        <v>-492.94499999999999</v>
      </c>
      <c r="H14" s="14">
        <f>+F14+G14</f>
        <v>8047.4420921399997</v>
      </c>
      <c r="I14" s="15" t="s">
        <v>239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+[42]Main!$K$2</f>
        <v>78.55</v>
      </c>
      <c r="F17" s="14">
        <f>+[42]Main!$K$4</f>
        <v>7215.2325581999994</v>
      </c>
      <c r="G17" s="14">
        <f>+[42]Main!$K$6-[42]Main!$K$5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+[43]Main!$H$2</f>
        <v>1.2</v>
      </c>
      <c r="F78" s="14">
        <f>+[43]Main!$H$4</f>
        <v>112.4964828</v>
      </c>
      <c r="G78" s="14">
        <f>+[43]Main!$H$6-[43]Main!$H$5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2025-10-01T09:36:58Z</dcterms:modified>
</cp:coreProperties>
</file>