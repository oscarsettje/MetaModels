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etaModels\"/>
    </mc:Choice>
  </mc:AlternateContent>
  <xr:revisionPtr revIDLastSave="0" documentId="13_ncr:1_{FA2A42D9-09FB-4AF4-A81F-935840CACC49}" xr6:coauthVersionLast="47" xr6:coauthVersionMax="47" xr10:uidLastSave="{00000000-0000-0000-0000-000000000000}"/>
  <bookViews>
    <workbookView xWindow="225" yWindow="2730" windowWidth="38175" windowHeight="15240" xr2:uid="{E414CA5C-78F9-4930-AC5C-325CFFA496F2}"/>
  </bookViews>
  <sheets>
    <sheet name="Main" sheetId="1" r:id="rId1"/>
    <sheet name="Gaming" sheetId="4" r:id="rId2"/>
    <sheet name="Media" sheetId="3" r:id="rId3"/>
    <sheet name="FX" sheetId="2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_xlnm._FilterDatabase" localSheetId="0" hidden="1">Main!$A$1:$J$113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1" l="1"/>
  <c r="F84" i="1"/>
  <c r="E84" i="1"/>
  <c r="H84" i="1" l="1"/>
  <c r="G93" i="1"/>
  <c r="F93" i="1"/>
  <c r="E93" i="1"/>
  <c r="H93" i="1" l="1"/>
  <c r="G18" i="1"/>
  <c r="F18" i="1"/>
  <c r="E18" i="1"/>
  <c r="G8" i="1"/>
  <c r="F8" i="1"/>
  <c r="E8" i="1"/>
  <c r="H18" i="1" l="1"/>
  <c r="G47" i="1"/>
  <c r="F47" i="1"/>
  <c r="E47" i="1"/>
  <c r="G17" i="3"/>
  <c r="F17" i="3"/>
  <c r="E17" i="3"/>
  <c r="G18" i="4"/>
  <c r="F18" i="4"/>
  <c r="G17" i="4"/>
  <c r="F17" i="4"/>
  <c r="G16" i="4"/>
  <c r="F16" i="4"/>
  <c r="G15" i="4"/>
  <c r="F15" i="4"/>
  <c r="G14" i="4"/>
  <c r="F14" i="4"/>
  <c r="G9" i="4"/>
  <c r="F9" i="4"/>
  <c r="G8" i="4"/>
  <c r="F8" i="4"/>
  <c r="H17" i="3" l="1"/>
  <c r="H47" i="1"/>
  <c r="G7" i="4"/>
  <c r="F7" i="4"/>
  <c r="G6" i="4"/>
  <c r="F6" i="4"/>
  <c r="G22" i="1"/>
  <c r="F22" i="1"/>
  <c r="E22" i="1"/>
  <c r="G10" i="1"/>
  <c r="F10" i="1"/>
  <c r="E10" i="1"/>
  <c r="G9" i="1"/>
  <c r="F9" i="1"/>
  <c r="E9" i="1"/>
  <c r="G5" i="1" l="1"/>
  <c r="F5" i="1"/>
  <c r="E5" i="1"/>
  <c r="G7" i="1" l="1"/>
  <c r="F7" i="1"/>
  <c r="E7" i="1"/>
  <c r="G78" i="3"/>
  <c r="F78" i="3"/>
  <c r="E78" i="3"/>
  <c r="G15" i="3"/>
  <c r="F15" i="3"/>
  <c r="E15" i="3"/>
  <c r="G14" i="3"/>
  <c r="F14" i="3"/>
  <c r="E14" i="3"/>
  <c r="G13" i="3"/>
  <c r="F13" i="3"/>
  <c r="E13" i="3"/>
  <c r="G11" i="3"/>
  <c r="F11" i="3"/>
  <c r="E11" i="3"/>
  <c r="G8" i="3"/>
  <c r="F8" i="3"/>
  <c r="E8" i="3"/>
  <c r="G7" i="3"/>
  <c r="F7" i="3"/>
  <c r="E7" i="3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G4" i="3"/>
  <c r="F4" i="3"/>
  <c r="E4" i="3"/>
  <c r="H11" i="3" l="1"/>
  <c r="H8" i="3"/>
  <c r="H14" i="3"/>
  <c r="H15" i="3"/>
  <c r="H7" i="3"/>
  <c r="H13" i="3"/>
  <c r="H4" i="3"/>
  <c r="H78" i="3"/>
  <c r="G21" i="4" l="1"/>
  <c r="F21" i="4"/>
  <c r="E21" i="4"/>
  <c r="E18" i="4"/>
  <c r="H17" i="4"/>
  <c r="E17" i="4"/>
  <c r="H16" i="4"/>
  <c r="E16" i="4"/>
  <c r="H15" i="4"/>
  <c r="E15" i="4"/>
  <c r="E14" i="4"/>
  <c r="G13" i="4"/>
  <c r="F13" i="4"/>
  <c r="E13" i="4"/>
  <c r="G12" i="4"/>
  <c r="F12" i="4"/>
  <c r="E12" i="4"/>
  <c r="G11" i="4"/>
  <c r="F11" i="4"/>
  <c r="E11" i="4"/>
  <c r="G10" i="4"/>
  <c r="F10" i="4"/>
  <c r="E10" i="4"/>
  <c r="H9" i="4"/>
  <c r="E9" i="4"/>
  <c r="H8" i="4"/>
  <c r="E8" i="4"/>
  <c r="H7" i="4"/>
  <c r="E7" i="4"/>
  <c r="H6" i="4"/>
  <c r="E6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G5" i="4"/>
  <c r="F5" i="4"/>
  <c r="E5" i="4"/>
  <c r="H13" i="4" l="1"/>
  <c r="H12" i="4"/>
  <c r="H21" i="4"/>
  <c r="H10" i="4"/>
  <c r="H11" i="4"/>
  <c r="H5" i="4"/>
  <c r="H14" i="4"/>
  <c r="H18" i="4"/>
  <c r="G57" i="1"/>
  <c r="F57" i="1"/>
  <c r="E57" i="1"/>
  <c r="G29" i="1"/>
  <c r="F29" i="1"/>
  <c r="E29" i="1"/>
  <c r="G105" i="1"/>
  <c r="F105" i="1"/>
  <c r="E105" i="1"/>
  <c r="G32" i="1"/>
  <c r="F32" i="1"/>
  <c r="H32" i="1" s="1"/>
  <c r="E32" i="1"/>
  <c r="H57" i="1" l="1"/>
  <c r="H105" i="1"/>
  <c r="H29" i="1"/>
  <c r="G30" i="1"/>
  <c r="F30" i="1"/>
  <c r="E30" i="1"/>
  <c r="G39" i="1"/>
  <c r="F39" i="1"/>
  <c r="E39" i="1"/>
  <c r="H22" i="1" l="1"/>
  <c r="H10" i="1"/>
  <c r="H30" i="1"/>
  <c r="H39" i="1"/>
  <c r="G110" i="1"/>
  <c r="F110" i="1"/>
  <c r="E110" i="1"/>
  <c r="G108" i="1"/>
  <c r="F108" i="1"/>
  <c r="E108" i="1"/>
  <c r="G50" i="1"/>
  <c r="F50" i="1"/>
  <c r="E50" i="1"/>
  <c r="G21" i="1"/>
  <c r="F21" i="1"/>
  <c r="E21" i="1"/>
  <c r="H110" i="1" l="1"/>
  <c r="H108" i="1"/>
  <c r="H8" i="1"/>
  <c r="H7" i="1"/>
  <c r="H21" i="1"/>
  <c r="H9" i="1"/>
  <c r="H50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G6" i="1"/>
  <c r="F6" i="1"/>
  <c r="E6" i="1"/>
  <c r="G41" i="1"/>
  <c r="F41" i="1"/>
  <c r="E41" i="1"/>
  <c r="H6" i="1" l="1"/>
  <c r="H41" i="1"/>
  <c r="G20" i="1"/>
  <c r="F20" i="1"/>
  <c r="E20" i="1"/>
  <c r="H20" i="1" l="1"/>
  <c r="G16" i="1"/>
  <c r="F16" i="1"/>
  <c r="E16" i="1"/>
  <c r="H16" i="1" l="1"/>
  <c r="G15" i="1"/>
  <c r="F15" i="1"/>
  <c r="E15" i="1"/>
  <c r="H15" i="1" l="1"/>
  <c r="G27" i="1"/>
  <c r="F27" i="1"/>
  <c r="E27" i="1"/>
  <c r="G17" i="1"/>
  <c r="F17" i="1"/>
  <c r="E17" i="1"/>
  <c r="H27" i="1" l="1"/>
  <c r="H17" i="1"/>
  <c r="G26" i="1"/>
  <c r="F26" i="1"/>
  <c r="E26" i="1"/>
  <c r="H26" i="1" l="1"/>
  <c r="G23" i="1"/>
  <c r="F23" i="1"/>
  <c r="E23" i="1"/>
  <c r="G24" i="1"/>
  <c r="F24" i="1"/>
  <c r="E24" i="1"/>
  <c r="F4" i="1"/>
  <c r="G4" i="1"/>
  <c r="E4" i="1"/>
  <c r="H23" i="1" l="1"/>
  <c r="H4" i="1"/>
  <c r="H24" i="1"/>
  <c r="H5" i="1" l="1"/>
</calcChain>
</file>

<file path=xl/sharedStrings.xml><?xml version="1.0" encoding="utf-8"?>
<sst xmlns="http://schemas.openxmlformats.org/spreadsheetml/2006/main" count="750" uniqueCount="486">
  <si>
    <t>Name</t>
  </si>
  <si>
    <t>TCKR</t>
  </si>
  <si>
    <t>Disney Company</t>
  </si>
  <si>
    <t>DIS</t>
  </si>
  <si>
    <t>Price</t>
  </si>
  <si>
    <t>EV</t>
  </si>
  <si>
    <t>Netflix</t>
  </si>
  <si>
    <t>number in mio USD</t>
  </si>
  <si>
    <t>NFLX</t>
  </si>
  <si>
    <t>Comcast</t>
  </si>
  <si>
    <t>CMCSA</t>
  </si>
  <si>
    <t>Sony</t>
  </si>
  <si>
    <t>SONY</t>
  </si>
  <si>
    <t>Spotify</t>
  </si>
  <si>
    <t>SPOT</t>
  </si>
  <si>
    <t>Nintedno</t>
  </si>
  <si>
    <t>7974.T</t>
  </si>
  <si>
    <t>Sea (Garena)</t>
  </si>
  <si>
    <t>SE</t>
  </si>
  <si>
    <t>NetEase</t>
  </si>
  <si>
    <t>NTES</t>
  </si>
  <si>
    <t>Country</t>
  </si>
  <si>
    <t>US</t>
  </si>
  <si>
    <t>JAP</t>
  </si>
  <si>
    <t>SWE</t>
  </si>
  <si>
    <t>SING</t>
  </si>
  <si>
    <t>CHI</t>
  </si>
  <si>
    <t>Universal Music</t>
  </si>
  <si>
    <t>NE</t>
  </si>
  <si>
    <t>UMG.AS</t>
  </si>
  <si>
    <t>Flutter Entertainment</t>
  </si>
  <si>
    <t>FLUT</t>
  </si>
  <si>
    <t>IRE</t>
  </si>
  <si>
    <t>Naspers</t>
  </si>
  <si>
    <t>NPSNY</t>
  </si>
  <si>
    <t>SA</t>
  </si>
  <si>
    <t>Electronic Arts</t>
  </si>
  <si>
    <t>EA</t>
  </si>
  <si>
    <t>Roblox</t>
  </si>
  <si>
    <t>RBLX</t>
  </si>
  <si>
    <t>Las Vegas Sands</t>
  </si>
  <si>
    <t>LVS</t>
  </si>
  <si>
    <t>Oriental Land</t>
  </si>
  <si>
    <t>4661.T</t>
  </si>
  <si>
    <t>Take 2 Interactive</t>
  </si>
  <si>
    <t>TTWO</t>
  </si>
  <si>
    <t xml:space="preserve">Live Nation </t>
  </si>
  <si>
    <t>LYV</t>
  </si>
  <si>
    <t>Aristocat</t>
  </si>
  <si>
    <t>ALL.AX</t>
  </si>
  <si>
    <t>AUS</t>
  </si>
  <si>
    <t>Warner Bros</t>
  </si>
  <si>
    <t>WBD</t>
  </si>
  <si>
    <t>Net Debt</t>
  </si>
  <si>
    <t>Formula One Group</t>
  </si>
  <si>
    <t>FWONK</t>
  </si>
  <si>
    <t xml:space="preserve">Tencent Music </t>
  </si>
  <si>
    <t>TME</t>
  </si>
  <si>
    <t>DraftKings</t>
  </si>
  <si>
    <t>DKNG</t>
  </si>
  <si>
    <t>Warner Music Group</t>
  </si>
  <si>
    <t>WMG</t>
  </si>
  <si>
    <t>Evolution Gaming</t>
  </si>
  <si>
    <t>EVO.ST</t>
  </si>
  <si>
    <t>Bandai Namco</t>
  </si>
  <si>
    <t>7832.T</t>
  </si>
  <si>
    <t>Konami Holdings</t>
  </si>
  <si>
    <t>Nexon</t>
  </si>
  <si>
    <t>9766.T</t>
  </si>
  <si>
    <t>3659.T</t>
  </si>
  <si>
    <t>TKO Group</t>
  </si>
  <si>
    <t>TKO</t>
  </si>
  <si>
    <t>MGM Resorts</t>
  </si>
  <si>
    <t>MGM</t>
  </si>
  <si>
    <t>Churchill Downs</t>
  </si>
  <si>
    <t>CHDN</t>
  </si>
  <si>
    <t>Endeavour Group</t>
  </si>
  <si>
    <t>DER</t>
  </si>
  <si>
    <t>International Games</t>
  </si>
  <si>
    <t>Wynn Resorts</t>
  </si>
  <si>
    <t>WYNN</t>
  </si>
  <si>
    <t>3293.T</t>
  </si>
  <si>
    <t>TWN</t>
  </si>
  <si>
    <t xml:space="preserve">CTS Eventim </t>
  </si>
  <si>
    <t>EVD.F</t>
  </si>
  <si>
    <t>GER</t>
  </si>
  <si>
    <t>Hasbro</t>
  </si>
  <si>
    <t>HAS</t>
  </si>
  <si>
    <t>Light&amp;Wonder</t>
  </si>
  <si>
    <t>LNW</t>
  </si>
  <si>
    <t>Paramount Global</t>
  </si>
  <si>
    <t>PARA</t>
  </si>
  <si>
    <t>Francaise des Jeux</t>
  </si>
  <si>
    <t>FDJ.VI</t>
  </si>
  <si>
    <t>FRA</t>
  </si>
  <si>
    <t>Ceasars Entertainment</t>
  </si>
  <si>
    <t>CZR</t>
  </si>
  <si>
    <t>Genting Singapore</t>
  </si>
  <si>
    <t>G13.SI</t>
  </si>
  <si>
    <t>Toho Co.</t>
  </si>
  <si>
    <t>9602.T</t>
  </si>
  <si>
    <t>Kunlun Tech</t>
  </si>
  <si>
    <t>300418.SZ</t>
  </si>
  <si>
    <t>Boyd Gaming</t>
  </si>
  <si>
    <t>BYD</t>
  </si>
  <si>
    <t>Ryman Hospitality Prop</t>
  </si>
  <si>
    <t>RHP</t>
  </si>
  <si>
    <t>Liberty Live Group</t>
  </si>
  <si>
    <t>LLYVA</t>
  </si>
  <si>
    <t>Mattel</t>
  </si>
  <si>
    <t>MAT</t>
  </si>
  <si>
    <t>OPAP</t>
  </si>
  <si>
    <t>OPAP.AT</t>
  </si>
  <si>
    <t>GRE</t>
  </si>
  <si>
    <t>Kingsoft</t>
  </si>
  <si>
    <t>3888.HK</t>
  </si>
  <si>
    <t xml:space="preserve">Entain </t>
  </si>
  <si>
    <t>ENT.L</t>
  </si>
  <si>
    <t>IM</t>
  </si>
  <si>
    <t>Zheijang Century Huatong</t>
  </si>
  <si>
    <t>002602.SZ</t>
  </si>
  <si>
    <t>SK</t>
  </si>
  <si>
    <t>Sportradar</t>
  </si>
  <si>
    <t>SRAD</t>
  </si>
  <si>
    <t>SWI</t>
  </si>
  <si>
    <t>Nexstar Media Group</t>
  </si>
  <si>
    <t>NXST</t>
  </si>
  <si>
    <t>MAC</t>
  </si>
  <si>
    <t>MGM China Holdings</t>
  </si>
  <si>
    <t>2282.HK</t>
  </si>
  <si>
    <t>Cedar Fair</t>
  </si>
  <si>
    <t>FUN</t>
  </si>
  <si>
    <t>37 Interactive Entertainment</t>
  </si>
  <si>
    <t>002555.SZ</t>
  </si>
  <si>
    <t>Red Rock Resort</t>
  </si>
  <si>
    <t>RRR</t>
  </si>
  <si>
    <t>MBC Group Co.</t>
  </si>
  <si>
    <t>4072.SR</t>
  </si>
  <si>
    <t>#</t>
  </si>
  <si>
    <t>Square Enix</t>
  </si>
  <si>
    <t>9684.T</t>
  </si>
  <si>
    <t>Sega Sammy Holdings</t>
  </si>
  <si>
    <t>6460.T</t>
  </si>
  <si>
    <t>Kingnet Network</t>
  </si>
  <si>
    <t>002517.SZ</t>
  </si>
  <si>
    <t xml:space="preserve">Cinemark Theatres </t>
  </si>
  <si>
    <t>CNK</t>
  </si>
  <si>
    <t>Koei Techmo</t>
  </si>
  <si>
    <t>3635.T</t>
  </si>
  <si>
    <t>Embracer Group</t>
  </si>
  <si>
    <t>EMBRAC-B.ST</t>
  </si>
  <si>
    <t>International Game Tech</t>
  </si>
  <si>
    <t>IGT</t>
  </si>
  <si>
    <t>UK</t>
  </si>
  <si>
    <t>Cyber Agent</t>
  </si>
  <si>
    <t>4751.T</t>
  </si>
  <si>
    <t>Giant Network Group</t>
  </si>
  <si>
    <t>002558.SZ</t>
  </si>
  <si>
    <t>Lottomatica Group</t>
  </si>
  <si>
    <t>LTMC.MI</t>
  </si>
  <si>
    <t>ITA</t>
  </si>
  <si>
    <t>Genting Berhad</t>
  </si>
  <si>
    <t>3182.KL</t>
  </si>
  <si>
    <t>MAL</t>
  </si>
  <si>
    <t>Super Group</t>
  </si>
  <si>
    <t>SGHC</t>
  </si>
  <si>
    <t>GUE</t>
  </si>
  <si>
    <t>Rush Street Interactive</t>
  </si>
  <si>
    <t>RSI</t>
  </si>
  <si>
    <t>United Parks &amp; Resorts</t>
  </si>
  <si>
    <t>PRKS</t>
  </si>
  <si>
    <t>Penn National Gaming</t>
  </si>
  <si>
    <t>PENN</t>
  </si>
  <si>
    <t>Groupe Lagardere</t>
  </si>
  <si>
    <t>MMB.PA</t>
  </si>
  <si>
    <t>Netmarble</t>
  </si>
  <si>
    <t>251270.KS</t>
  </si>
  <si>
    <t>Genting Malaysia Berhad</t>
  </si>
  <si>
    <t>4715.KL</t>
  </si>
  <si>
    <t xml:space="preserve">Zheojang Jinke Tom </t>
  </si>
  <si>
    <t>300459.SZ</t>
  </si>
  <si>
    <t>Perfect World Enter.</t>
  </si>
  <si>
    <t>002624.SZ</t>
  </si>
  <si>
    <t xml:space="preserve">Playtech </t>
  </si>
  <si>
    <t>PTEC.L</t>
  </si>
  <si>
    <t>Kadokawa</t>
  </si>
  <si>
    <t>9468.T</t>
  </si>
  <si>
    <t>MultiChoice Group</t>
  </si>
  <si>
    <t>MCG.JO</t>
  </si>
  <si>
    <t>Playtika</t>
  </si>
  <si>
    <t>PLTK</t>
  </si>
  <si>
    <t>ISR</t>
  </si>
  <si>
    <t>Kindred Group</t>
  </si>
  <si>
    <t>KIND-SDB.ST</t>
  </si>
  <si>
    <t>MALTA</t>
  </si>
  <si>
    <t>Shift Up</t>
  </si>
  <si>
    <t>462870.KS</t>
  </si>
  <si>
    <t>Ncsoft</t>
  </si>
  <si>
    <t>036570.KS</t>
  </si>
  <si>
    <t>SJM Holding</t>
  </si>
  <si>
    <t>0880.HK</t>
  </si>
  <si>
    <t>HK</t>
  </si>
  <si>
    <t>Melco Resorts</t>
  </si>
  <si>
    <t>MLCO</t>
  </si>
  <si>
    <t>Spin Master</t>
  </si>
  <si>
    <t>TOY.TO</t>
  </si>
  <si>
    <t>CAN</t>
  </si>
  <si>
    <t>Toei Company</t>
  </si>
  <si>
    <t>9605.T</t>
  </si>
  <si>
    <t>DeNA</t>
  </si>
  <si>
    <t>2423.T</t>
  </si>
  <si>
    <t xml:space="preserve">Lionsgate Studios </t>
  </si>
  <si>
    <t xml:space="preserve">LION </t>
  </si>
  <si>
    <t>Kangwon Land</t>
  </si>
  <si>
    <t>035250.KS</t>
  </si>
  <si>
    <t>G-bits Netowrk Tech</t>
  </si>
  <si>
    <t>603444.SS</t>
  </si>
  <si>
    <t>Ourpalm</t>
  </si>
  <si>
    <t>300315.SZ</t>
  </si>
  <si>
    <t>MFE</t>
  </si>
  <si>
    <t>MFEA.MI</t>
  </si>
  <si>
    <t xml:space="preserve">Paradox Interactive </t>
  </si>
  <si>
    <t>PDX.ST</t>
  </si>
  <si>
    <t>IQIYI</t>
  </si>
  <si>
    <t>IQ</t>
  </si>
  <si>
    <t>Bettson AB</t>
  </si>
  <si>
    <t>BETS-B.ST</t>
  </si>
  <si>
    <t>Ubisoft</t>
  </si>
  <si>
    <t>UBI.PA</t>
  </si>
  <si>
    <t xml:space="preserve">Bowlero </t>
  </si>
  <si>
    <t xml:space="preserve">BOWL </t>
  </si>
  <si>
    <t>HYBE</t>
  </si>
  <si>
    <t>352820.KS</t>
  </si>
  <si>
    <t>PSM.F</t>
  </si>
  <si>
    <t>Pro 7</t>
  </si>
  <si>
    <t>Imax Group</t>
  </si>
  <si>
    <t>IMAX</t>
  </si>
  <si>
    <t>Maddison Square Garden</t>
  </si>
  <si>
    <t>MSGE</t>
  </si>
  <si>
    <t>Q324</t>
  </si>
  <si>
    <t>FQ225</t>
  </si>
  <si>
    <t>FQ125</t>
  </si>
  <si>
    <t>YEN/USD</t>
  </si>
  <si>
    <t>FQ224</t>
  </si>
  <si>
    <t>EUR/USD</t>
  </si>
  <si>
    <t>Q424</t>
  </si>
  <si>
    <t>Manchester United</t>
  </si>
  <si>
    <t>MANU</t>
  </si>
  <si>
    <t xml:space="preserve">Juventus Turin </t>
  </si>
  <si>
    <t>JUVE.MI</t>
  </si>
  <si>
    <t>Borussia Dortmund</t>
  </si>
  <si>
    <t>BVB.F</t>
  </si>
  <si>
    <t>Eagle Football Group</t>
  </si>
  <si>
    <t>EFG.PA</t>
  </si>
  <si>
    <t>Celtic</t>
  </si>
  <si>
    <t>CCPC.L</t>
  </si>
  <si>
    <t xml:space="preserve">Sporting Lissabon </t>
  </si>
  <si>
    <t>SCP.LS</t>
  </si>
  <si>
    <t>POR</t>
  </si>
  <si>
    <t>GBP/USD</t>
  </si>
  <si>
    <t>Q125</t>
  </si>
  <si>
    <t>Nxt Upd.</t>
  </si>
  <si>
    <t>Streaming Serivce</t>
  </si>
  <si>
    <t>Media, Streaming, Parks</t>
  </si>
  <si>
    <t>Consumer Electronics</t>
  </si>
  <si>
    <t>Game Developer</t>
  </si>
  <si>
    <t>Gambling</t>
  </si>
  <si>
    <t>Tickets</t>
  </si>
  <si>
    <t xml:space="preserve">Production </t>
  </si>
  <si>
    <t>Media, Sports</t>
  </si>
  <si>
    <t>Music Label</t>
  </si>
  <si>
    <t>Games/Board Games</t>
  </si>
  <si>
    <t>Notes</t>
  </si>
  <si>
    <t>Production Company</t>
  </si>
  <si>
    <t>Toy</t>
  </si>
  <si>
    <t>Sports</t>
  </si>
  <si>
    <t>FQ325</t>
  </si>
  <si>
    <t>AUD/USD</t>
  </si>
  <si>
    <t>Online Casino</t>
  </si>
  <si>
    <t>numbers in mio USD</t>
  </si>
  <si>
    <t>Tickr</t>
  </si>
  <si>
    <t>MarketCap</t>
  </si>
  <si>
    <t>Update</t>
  </si>
  <si>
    <t>Game Developers</t>
  </si>
  <si>
    <t>Microsoft</t>
  </si>
  <si>
    <t>MSFT</t>
  </si>
  <si>
    <t>Tencent</t>
  </si>
  <si>
    <t>TECHY</t>
  </si>
  <si>
    <t>Nintendo</t>
  </si>
  <si>
    <t>7974T</t>
  </si>
  <si>
    <t>FQ324</t>
  </si>
  <si>
    <t>Net Ease</t>
  </si>
  <si>
    <t xml:space="preserve">Take Two </t>
  </si>
  <si>
    <t>Q224</t>
  </si>
  <si>
    <t>Aristocrat</t>
  </si>
  <si>
    <t>Q325</t>
  </si>
  <si>
    <t>Distributors</t>
  </si>
  <si>
    <t>Gamestop</t>
  </si>
  <si>
    <t>GME</t>
  </si>
  <si>
    <t>Ticker</t>
  </si>
  <si>
    <t>MC</t>
  </si>
  <si>
    <t>Updated</t>
  </si>
  <si>
    <t>Thomson Reuters</t>
  </si>
  <si>
    <t>TRI</t>
  </si>
  <si>
    <t>CA</t>
  </si>
  <si>
    <t>SAF</t>
  </si>
  <si>
    <t>Warner Bros Disc.</t>
  </si>
  <si>
    <t>Fox Corp</t>
  </si>
  <si>
    <t>FOX</t>
  </si>
  <si>
    <t>BCE</t>
  </si>
  <si>
    <t>Rogers Com.</t>
  </si>
  <si>
    <t>RCI</t>
  </si>
  <si>
    <t>News Corp</t>
  </si>
  <si>
    <t>NWS</t>
  </si>
  <si>
    <t>Endevaor Group</t>
  </si>
  <si>
    <t>EDR</t>
  </si>
  <si>
    <t>Trump Media</t>
  </si>
  <si>
    <t>DJT</t>
  </si>
  <si>
    <t>New York Times</t>
  </si>
  <si>
    <t>NYT</t>
  </si>
  <si>
    <t>Paramount</t>
  </si>
  <si>
    <t>Schibsted</t>
  </si>
  <si>
    <t>SCHA.OL</t>
  </si>
  <si>
    <t>NOR</t>
  </si>
  <si>
    <t>Liberty Live</t>
  </si>
  <si>
    <t>Saudi R&amp;M Group</t>
  </si>
  <si>
    <t>4210.SR</t>
  </si>
  <si>
    <t>SR</t>
  </si>
  <si>
    <t>Quebecor</t>
  </si>
  <si>
    <t>QBR-B.TO</t>
  </si>
  <si>
    <t>MBC Group</t>
  </si>
  <si>
    <t>Nexstar Media</t>
  </si>
  <si>
    <t>RTL</t>
  </si>
  <si>
    <t>RTL.F</t>
  </si>
  <si>
    <t>LU</t>
  </si>
  <si>
    <t xml:space="preserve">Nippon Television </t>
  </si>
  <si>
    <t>9404.T</t>
  </si>
  <si>
    <t>Millicom</t>
  </si>
  <si>
    <t>TIGO</t>
  </si>
  <si>
    <t>Graham Holdings</t>
  </si>
  <si>
    <t>GHC</t>
  </si>
  <si>
    <t>IAC</t>
  </si>
  <si>
    <t>Travel+Leisure</t>
  </si>
  <si>
    <t>TNL</t>
  </si>
  <si>
    <t>ITV plc</t>
  </si>
  <si>
    <t>ITV.L</t>
  </si>
  <si>
    <t>Peloton</t>
  </si>
  <si>
    <t>PTON</t>
  </si>
  <si>
    <t>Sun TV</t>
  </si>
  <si>
    <t>SUNTV.NS</t>
  </si>
  <si>
    <t>IND</t>
  </si>
  <si>
    <t>Groupe Lagardräre</t>
  </si>
  <si>
    <t>FR</t>
  </si>
  <si>
    <t>Tenga</t>
  </si>
  <si>
    <t>TGNA</t>
  </si>
  <si>
    <t>MultiChoice</t>
  </si>
  <si>
    <t>John Wiley</t>
  </si>
  <si>
    <t>Ziff Davis</t>
  </si>
  <si>
    <t>ZD</t>
  </si>
  <si>
    <t>TX Group</t>
  </si>
  <si>
    <t>TXGN.SW</t>
  </si>
  <si>
    <t>SW</t>
  </si>
  <si>
    <t>Cogeco</t>
  </si>
  <si>
    <t>CCA.TO</t>
  </si>
  <si>
    <t>MFE.MI</t>
  </si>
  <si>
    <t>Elang Mahkota</t>
  </si>
  <si>
    <t>EMTK.JK</t>
  </si>
  <si>
    <t>NOS</t>
  </si>
  <si>
    <t>NOS.LS</t>
  </si>
  <si>
    <t>TF1</t>
  </si>
  <si>
    <t>TFI.PA</t>
  </si>
  <si>
    <t>Groupe M6</t>
  </si>
  <si>
    <t>MMT.PA</t>
  </si>
  <si>
    <t>fuboTV</t>
  </si>
  <si>
    <t>FUBO</t>
  </si>
  <si>
    <t>Sanoma</t>
  </si>
  <si>
    <t>SANOMA.HE</t>
  </si>
  <si>
    <t>FI</t>
  </si>
  <si>
    <t>Zee Entertainment</t>
  </si>
  <si>
    <t>ZEEL,NS</t>
  </si>
  <si>
    <t xml:space="preserve">IN </t>
  </si>
  <si>
    <t>Nine Entertainment</t>
  </si>
  <si>
    <t>NEC.AX</t>
  </si>
  <si>
    <t>AU</t>
  </si>
  <si>
    <t>Future plc</t>
  </si>
  <si>
    <t>FUTR.L</t>
  </si>
  <si>
    <t>ProSieben</t>
  </si>
  <si>
    <t>GE</t>
  </si>
  <si>
    <t>Cars.com</t>
  </si>
  <si>
    <t>CARS</t>
  </si>
  <si>
    <t>Networj 18</t>
  </si>
  <si>
    <t>NETWORK18.NS</t>
  </si>
  <si>
    <t>IN</t>
  </si>
  <si>
    <t>Mediaset ESPN</t>
  </si>
  <si>
    <t>TL5.MC</t>
  </si>
  <si>
    <t>SP</t>
  </si>
  <si>
    <t>Televisa</t>
  </si>
  <si>
    <t>TV</t>
  </si>
  <si>
    <t>MEX</t>
  </si>
  <si>
    <t>Alma Media</t>
  </si>
  <si>
    <t>ALM.HE</t>
  </si>
  <si>
    <t>Gannet</t>
  </si>
  <si>
    <t>GCI</t>
  </si>
  <si>
    <t>Daily Journal</t>
  </si>
  <si>
    <t>DJCO</t>
  </si>
  <si>
    <t xml:space="preserve">Scholastic </t>
  </si>
  <si>
    <t>SCHL</t>
  </si>
  <si>
    <t>TV Tokio</t>
  </si>
  <si>
    <t>9413.T</t>
  </si>
  <si>
    <t>Weathernews</t>
  </si>
  <si>
    <t>4825.T</t>
  </si>
  <si>
    <t>Reservoir Media</t>
  </si>
  <si>
    <t>RSVR</t>
  </si>
  <si>
    <t>Gree</t>
  </si>
  <si>
    <t>3632.T</t>
  </si>
  <si>
    <t>RCS Media</t>
  </si>
  <si>
    <t>RCS.MI</t>
  </si>
  <si>
    <t>AMC Networks</t>
  </si>
  <si>
    <t>AMCX</t>
  </si>
  <si>
    <t>Gray Television</t>
  </si>
  <si>
    <t>GTN</t>
  </si>
  <si>
    <t>Stingray Corp</t>
  </si>
  <si>
    <t>RAY-A.TO</t>
  </si>
  <si>
    <t>Cairo Comm</t>
  </si>
  <si>
    <t>CAI.MI</t>
  </si>
  <si>
    <t>iHeart Media</t>
  </si>
  <si>
    <t>IHRT</t>
  </si>
  <si>
    <t>Viaplay Group</t>
  </si>
  <si>
    <t>VPLAY-B.ST</t>
  </si>
  <si>
    <t xml:space="preserve">Entravision </t>
  </si>
  <si>
    <t>EVC</t>
  </si>
  <si>
    <t>AlphaPolis</t>
  </si>
  <si>
    <t>9467.T</t>
  </si>
  <si>
    <t>E.W.Scripps</t>
  </si>
  <si>
    <t>SSP</t>
  </si>
  <si>
    <t>Jagran Prakashan</t>
  </si>
  <si>
    <t>JAGRAN.NS</t>
  </si>
  <si>
    <t>Dish TV</t>
  </si>
  <si>
    <t>DISHTV.NS</t>
  </si>
  <si>
    <t>Television Broadcast</t>
  </si>
  <si>
    <t>TVB</t>
  </si>
  <si>
    <t>Bushiroad</t>
  </si>
  <si>
    <t>7803.T</t>
  </si>
  <si>
    <t>Roularta Media Corp</t>
  </si>
  <si>
    <t>ROU.BR</t>
  </si>
  <si>
    <t>BE</t>
  </si>
  <si>
    <t>GTPL Hathaway</t>
  </si>
  <si>
    <t>GTPL.NS</t>
  </si>
  <si>
    <t>PLBY Group</t>
  </si>
  <si>
    <t>PLBY</t>
  </si>
  <si>
    <t>Townsquare Media</t>
  </si>
  <si>
    <t>TSQ</t>
  </si>
  <si>
    <t>Squirrel Media</t>
  </si>
  <si>
    <t>SQRL.MC</t>
  </si>
  <si>
    <t>ARN Media</t>
  </si>
  <si>
    <t>A1N.AX</t>
  </si>
  <si>
    <t>Basteu</t>
  </si>
  <si>
    <t>BST.DE</t>
  </si>
  <si>
    <t>NZME</t>
  </si>
  <si>
    <t>NZM.NZ</t>
  </si>
  <si>
    <t>NZ</t>
  </si>
  <si>
    <t>Buzfeed</t>
  </si>
  <si>
    <t>BZFD</t>
  </si>
  <si>
    <t>Gaia</t>
  </si>
  <si>
    <t>GAIA</t>
  </si>
  <si>
    <t>Edel SE</t>
  </si>
  <si>
    <t>Lee Enterprise</t>
  </si>
  <si>
    <t>LEE</t>
  </si>
  <si>
    <t>Postmedia Network</t>
  </si>
  <si>
    <t>PNC-A.TO</t>
  </si>
  <si>
    <t>Main</t>
  </si>
  <si>
    <t>Entertainment  Universe</t>
  </si>
  <si>
    <t>RMB/USD</t>
  </si>
  <si>
    <t>Q225</t>
  </si>
  <si>
    <t>PSKY</t>
  </si>
  <si>
    <t>FQ126</t>
  </si>
  <si>
    <t>Private</t>
  </si>
  <si>
    <t>Lego</t>
  </si>
  <si>
    <t>Pop Mart</t>
  </si>
  <si>
    <t>9992.HK</t>
  </si>
  <si>
    <t>Q126</t>
  </si>
  <si>
    <t>n.a.</t>
  </si>
  <si>
    <t>DEN</t>
  </si>
  <si>
    <t>Versant</t>
  </si>
  <si>
    <t>VSNT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</si>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</sst>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[Red]#,##0.0"/>
    <numFmt numFmtId="165" formatCode="#,##0;[Red]#,##0"/>
    <numFmt numFmtId="166" formatCode="#,##0;\(#,##0\)"/>
  </numFmts>
  <fonts count="2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0">
    <xf numFmtId="0" fontId="0" fillId="0" borderId="0" xfId="0"/>
    <xf numFmtId="0" fontId="14" fillId="0" borderId="0" xfId="0" applyFont="1"/>
    <xf numFmtId="0" fontId="15" fillId="0" borderId="0" xfId="0" applyFont="1" applyAlignment="1">
      <alignment horizontal="left"/>
    </xf>
    <xf numFmtId="0" fontId="12" fillId="0" borderId="0" xfId="0" applyFont="1"/>
    <xf numFmtId="0" fontId="16" fillId="0" borderId="0" xfId="0" applyFont="1"/>
    <xf numFmtId="0" fontId="12" fillId="0" borderId="0" xfId="0" applyFont="1" applyAlignment="1">
      <alignment horizontal="left"/>
    </xf>
    <xf numFmtId="0" fontId="15" fillId="2" borderId="1" xfId="0" applyFont="1" applyFill="1" applyBorder="1" applyAlignment="1">
      <alignment horizontal="center"/>
    </xf>
    <xf numFmtId="0" fontId="15" fillId="2" borderId="2" xfId="0" applyFont="1" applyFill="1" applyBorder="1"/>
    <xf numFmtId="0" fontId="15" fillId="2" borderId="2" xfId="0" applyFont="1" applyFill="1" applyBorder="1" applyAlignment="1">
      <alignment horizontal="right"/>
    </xf>
    <xf numFmtId="0" fontId="15" fillId="2" borderId="2" xfId="0" applyFont="1" applyFill="1" applyBorder="1" applyAlignment="1">
      <alignment horizontal="left"/>
    </xf>
    <xf numFmtId="0" fontId="15" fillId="2" borderId="3" xfId="0" applyFont="1" applyFill="1" applyBorder="1"/>
    <xf numFmtId="0" fontId="12" fillId="0" borderId="0" xfId="0" applyFont="1" applyAlignment="1">
      <alignment horizontal="center"/>
    </xf>
    <xf numFmtId="0" fontId="17" fillId="0" borderId="0" xfId="1" applyFont="1"/>
    <xf numFmtId="164" fontId="12" fillId="0" borderId="0" xfId="0" applyNumberFormat="1" applyFont="1"/>
    <xf numFmtId="166" fontId="12" fillId="0" borderId="0" xfId="0" applyNumberFormat="1" applyFont="1"/>
    <xf numFmtId="0" fontId="12" fillId="0" borderId="0" xfId="0" applyFont="1" applyAlignment="1">
      <alignment horizontal="right"/>
    </xf>
    <xf numFmtId="0" fontId="17" fillId="0" borderId="0" xfId="1" applyFont="1" applyFill="1"/>
    <xf numFmtId="16" fontId="12" fillId="0" borderId="0" xfId="0" applyNumberFormat="1" applyFont="1"/>
    <xf numFmtId="2" fontId="12" fillId="0" borderId="0" xfId="0" applyNumberFormat="1" applyFont="1"/>
    <xf numFmtId="3" fontId="12" fillId="0" borderId="0" xfId="0" applyNumberFormat="1" applyFont="1"/>
    <xf numFmtId="0" fontId="12" fillId="0" borderId="0" xfId="0" quotePrefix="1" applyFont="1"/>
    <xf numFmtId="165" fontId="12" fillId="0" borderId="0" xfId="0" applyNumberFormat="1" applyFont="1"/>
    <xf numFmtId="0" fontId="18" fillId="0" borderId="0" xfId="0" applyFont="1"/>
    <xf numFmtId="0" fontId="16" fillId="0" borderId="0" xfId="0" applyFont="1" applyAlignment="1">
      <alignment horizontal="center"/>
    </xf>
    <xf numFmtId="0" fontId="12" fillId="2" borderId="3" xfId="0" applyFont="1" applyFill="1" applyBorder="1"/>
    <xf numFmtId="0" fontId="19" fillId="0" borderId="0" xfId="0" applyFont="1"/>
    <xf numFmtId="166" fontId="20" fillId="0" borderId="0" xfId="0" applyNumberFormat="1" applyFont="1"/>
    <xf numFmtId="164" fontId="12" fillId="0" borderId="0" xfId="0" applyNumberFormat="1" applyFont="1" applyAlignment="1">
      <alignment horizontal="right"/>
    </xf>
    <xf numFmtId="0" fontId="12" fillId="2" borderId="2" xfId="0" applyFont="1" applyFill="1" applyBorder="1"/>
    <xf numFmtId="0" fontId="11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9" fillId="0" borderId="0" xfId="0" applyFont="1"/>
    <xf numFmtId="0" fontId="8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6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externalLink" Target="externalLinks/externalLink35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50" Type="http://schemas.openxmlformats.org/officeDocument/2006/relationships/sharedStrings" Target="sharedStrings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5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styles" Target="styles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theme" Target="theme/theme1.xml"/><Relationship Id="rId8" Type="http://schemas.openxmlformats.org/officeDocument/2006/relationships/externalLink" Target="externalLinks/externalLink4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NFLX.xlsx" TargetMode="External"/><Relationship Id="rId2" Type="http://schemas.openxmlformats.org/officeDocument/2006/relationships/externalLinkPath" Target="file:///E:\1.Finance\Anaylsen\Models\NFLX.xlsx" TargetMode="External"/><Relationship Id="rId1" Type="http://schemas.openxmlformats.org/officeDocument/2006/relationships/externalLinkPath" Target="/1.Finance/Anaylsen/Models/NFLX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DIS.xlsx" TargetMode="External"/><Relationship Id="rId2" Type="http://schemas.openxmlformats.org/officeDocument/2006/relationships/externalLinkPath" Target="file:///E:\1.Finance\Anaylsen\Models\DIS.xlsx" TargetMode="External"/><Relationship Id="rId1" Type="http://schemas.openxmlformats.org/officeDocument/2006/relationships/externalLinkPath" Target="/1.Finance/Anaylsen/Models/DIS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MCSA.xlsx" TargetMode="External"/><Relationship Id="rId2" Type="http://schemas.openxmlformats.org/officeDocument/2006/relationships/externalLinkPath" Target="file:///E:\1.Finance\Anaylsen\Models\CMCSA.xlsx" TargetMode="External"/><Relationship Id="rId1" Type="http://schemas.openxmlformats.org/officeDocument/2006/relationships/externalLinkPath" Target="/1.Finance/Anaylsen/Models/CMCSA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SONY.xlsx" TargetMode="External"/><Relationship Id="rId2" Type="http://schemas.openxmlformats.org/officeDocument/2006/relationships/externalLinkPath" Target="file:///E:\1.Finance\Anaylsen\Models\SONY.xlsx" TargetMode="External"/><Relationship Id="rId1" Type="http://schemas.openxmlformats.org/officeDocument/2006/relationships/externalLinkPath" Target="/1.Finance/Anaylsen/Models/SONY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SPOT.xlsx" TargetMode="External"/><Relationship Id="rId2" Type="http://schemas.openxmlformats.org/officeDocument/2006/relationships/externalLinkPath" Target="file:///E:\1.Finance\Anaylsen\Models\SPOT.xlsx" TargetMode="External"/><Relationship Id="rId1" Type="http://schemas.openxmlformats.org/officeDocument/2006/relationships/externalLinkPath" Target="/1.Finance/Anaylsen/Models/SPOT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7974.T.xlsx" TargetMode="External"/><Relationship Id="rId2" Type="http://schemas.openxmlformats.org/officeDocument/2006/relationships/externalLinkPath" Target="file:///E:\1.Finance\Anaylsen\Models\7974.T.xlsx" TargetMode="External"/><Relationship Id="rId1" Type="http://schemas.openxmlformats.org/officeDocument/2006/relationships/externalLinkPath" Target="/1.Finance/Anaylsen/Models/7974.T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SE.xlsx" TargetMode="External"/><Relationship Id="rId2" Type="http://schemas.openxmlformats.org/officeDocument/2006/relationships/externalLinkPath" Target="file:///E:\1.Finance\Anaylsen\Models\SE.xlsx" TargetMode="External"/><Relationship Id="rId1" Type="http://schemas.openxmlformats.org/officeDocument/2006/relationships/externalLinkPath" Target="/1.Finance/Anaylsen/Models/SE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EA.xlsx" TargetMode="External"/><Relationship Id="rId2" Type="http://schemas.openxmlformats.org/officeDocument/2006/relationships/externalLinkPath" Target="file:///E:\1.Finance\Anaylsen\Models\EA.xlsx" TargetMode="External"/><Relationship Id="rId1" Type="http://schemas.openxmlformats.org/officeDocument/2006/relationships/externalLinkPath" Target="/1.Finance/Anaylsen/Models/EA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RBLX.xlsx" TargetMode="External"/><Relationship Id="rId2" Type="http://schemas.openxmlformats.org/officeDocument/2006/relationships/externalLinkPath" Target="file:///E:\1.Finance\Anaylsen\Models\RBLX.xlsx" TargetMode="External"/><Relationship Id="rId1" Type="http://schemas.openxmlformats.org/officeDocument/2006/relationships/externalLinkPath" Target="/1.Finance/Anaylsen/Models/RBLX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LVS.xlsx" TargetMode="External"/><Relationship Id="rId2" Type="http://schemas.openxmlformats.org/officeDocument/2006/relationships/externalLinkPath" Target="file:///E:\1.Finance\Anaylsen\Models\LVS.xlsx" TargetMode="External"/><Relationship Id="rId1" Type="http://schemas.openxmlformats.org/officeDocument/2006/relationships/externalLinkPath" Target="/1.Finance/Anaylsen/Models/LVS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9992.HK.xlsx" TargetMode="External"/><Relationship Id="rId2" Type="http://schemas.openxmlformats.org/officeDocument/2006/relationships/externalLinkPath" Target="file:///E:\1.Finance\Anaylsen\Models\9992.HK.xlsx" TargetMode="External"/><Relationship Id="rId1" Type="http://schemas.openxmlformats.org/officeDocument/2006/relationships/externalLinkPath" Target="/1.Finance/Anaylsen/Models/9992.HK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TTWO.xlsx" TargetMode="External"/><Relationship Id="rId2" Type="http://schemas.openxmlformats.org/officeDocument/2006/relationships/externalLinkPath" Target="file:///E:\1.Finance\Anaylsen\Models\TTWO.xlsx" TargetMode="External"/><Relationship Id="rId1" Type="http://schemas.openxmlformats.org/officeDocument/2006/relationships/externalLinkPath" Target="/1.Finance/Anaylsen/Models/TTWO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LYV.xlsx" TargetMode="External"/><Relationship Id="rId2" Type="http://schemas.openxmlformats.org/officeDocument/2006/relationships/externalLinkPath" Target="file:///E:\1.Finance\Anaylsen\Models\LYV.xlsx" TargetMode="External"/><Relationship Id="rId1" Type="http://schemas.openxmlformats.org/officeDocument/2006/relationships/externalLinkPath" Target="/1.Finance/Anaylsen/Models/LYV.xlsx" TargetMode="External"/></Relationships>
</file>

<file path=xl/externalLinks/_rels/externalLink1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ALL.AX.xlsx" TargetMode="External"/><Relationship Id="rId2" Type="http://schemas.openxmlformats.org/officeDocument/2006/relationships/externalLinkPath" Target="file:///E:\1.Finance\Anaylsen\Models\ALL.AX.xlsx" TargetMode="External"/><Relationship Id="rId1" Type="http://schemas.openxmlformats.org/officeDocument/2006/relationships/externalLinkPath" Target="/1.Finance/Anaylsen/Models/ALL.AX.xlsx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WBD.xlsx" TargetMode="External"/><Relationship Id="rId2" Type="http://schemas.openxmlformats.org/officeDocument/2006/relationships/externalLinkPath" Target="file:///E:\1.Finance\Anaylsen\Models\WBD.xlsx" TargetMode="External"/><Relationship Id="rId1" Type="http://schemas.openxmlformats.org/officeDocument/2006/relationships/externalLinkPath" Target="/1.Finance/Anaylsen/Models/WBD.xlsx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FWONK.xlsx" TargetMode="External"/><Relationship Id="rId2" Type="http://schemas.openxmlformats.org/officeDocument/2006/relationships/externalLinkPath" Target="file:///E:\1.Finance\Anaylsen\Models\FWONK.xlsx" TargetMode="External"/><Relationship Id="rId1" Type="http://schemas.openxmlformats.org/officeDocument/2006/relationships/externalLinkPath" Target="/1.Finance/Anaylsen/Models/FWONK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DKNG.xlsx" TargetMode="External"/><Relationship Id="rId2" Type="http://schemas.openxmlformats.org/officeDocument/2006/relationships/externalLinkPath" Target="file:///E:\1.Finance\Anaylsen\Models\DKNG.xlsx" TargetMode="External"/><Relationship Id="rId1" Type="http://schemas.openxmlformats.org/officeDocument/2006/relationships/externalLinkPath" Target="/1.Finance/Anaylsen/Models/DKNG.xlsx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WMG.xlsx" TargetMode="External"/><Relationship Id="rId2" Type="http://schemas.openxmlformats.org/officeDocument/2006/relationships/externalLinkPath" Target="file:///E:\1.Finance\Anaylsen\Models\WMG.xlsx" TargetMode="External"/><Relationship Id="rId1" Type="http://schemas.openxmlformats.org/officeDocument/2006/relationships/externalLinkPath" Target="/1.Finance/Anaylsen/Models/WMG.xlsx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7832.T.xlsx" TargetMode="External"/><Relationship Id="rId2" Type="http://schemas.openxmlformats.org/officeDocument/2006/relationships/externalLinkPath" Target="file:///E:\1.Finance\Anaylsen\Models\7832.T.xlsx" TargetMode="External"/><Relationship Id="rId1" Type="http://schemas.openxmlformats.org/officeDocument/2006/relationships/externalLinkPath" Target="/1.Finance/Anaylsen/Models/7832.T.xlsx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9766.T.xlsx" TargetMode="External"/><Relationship Id="rId2" Type="http://schemas.openxmlformats.org/officeDocument/2006/relationships/externalLinkPath" Target="file:///E:\1.Finance\Anaylsen\Models\9766.T.xlsx" TargetMode="External"/><Relationship Id="rId1" Type="http://schemas.openxmlformats.org/officeDocument/2006/relationships/externalLinkPath" Target="/1.Finance/Anaylsen/Models/9766.T.xlsx" TargetMode="External"/></Relationships>
</file>

<file path=xl/externalLinks/_rels/externalLink2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TKO.xlsx" TargetMode="External"/><Relationship Id="rId2" Type="http://schemas.openxmlformats.org/officeDocument/2006/relationships/externalLinkPath" Target="file:///E:\1.Finance\Anaylsen\Models\TKO.xlsx" TargetMode="External"/><Relationship Id="rId1" Type="http://schemas.openxmlformats.org/officeDocument/2006/relationships/externalLinkPath" Target="/1.Finance/Anaylsen/Models/TKO.xlsx" TargetMode="External"/></Relationships>
</file>

<file path=xl/externalLinks/_rels/externalLink2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HAS.xlsx" TargetMode="External"/><Relationship Id="rId2" Type="http://schemas.openxmlformats.org/officeDocument/2006/relationships/externalLinkPath" Target="file:///E:\1.Finance\Anaylsen\Models\HAS.xlsx" TargetMode="External"/><Relationship Id="rId1" Type="http://schemas.openxmlformats.org/officeDocument/2006/relationships/externalLinkPath" Target="/1.Finance/Anaylsen/Models/HAS.xlsx" TargetMode="External"/></Relationships>
</file>

<file path=xl/externalLinks/_rels/externalLink2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PARA.xlsx" TargetMode="External"/><Relationship Id="rId2" Type="http://schemas.openxmlformats.org/officeDocument/2006/relationships/externalLinkPath" Target="file:///E:\1.Finance\Anaylsen\Models\PARA.xlsx" TargetMode="External"/><Relationship Id="rId1" Type="http://schemas.openxmlformats.org/officeDocument/2006/relationships/externalLinkPath" Target="/1.Finance/Anaylsen/Models/PARA.xlsx" TargetMode="External"/></Relationships>
</file>

<file path=xl/externalLinks/_rels/externalLink2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BYD.xlsx" TargetMode="External"/><Relationship Id="rId2" Type="http://schemas.openxmlformats.org/officeDocument/2006/relationships/externalLinkPath" Target="file:///E:\1.Finance\Anaylsen\Models\BYD.xlsx" TargetMode="External"/><Relationship Id="rId1" Type="http://schemas.openxmlformats.org/officeDocument/2006/relationships/externalLinkPath" Target="/1.Finance/Anaylsen/Models/BYD.xlsx" TargetMode="External"/></Relationships>
</file>

<file path=xl/externalLinks/_rels/externalLink2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MAT.xlsx" TargetMode="External"/><Relationship Id="rId2" Type="http://schemas.openxmlformats.org/officeDocument/2006/relationships/externalLinkPath" Target="file:///E:\1.Finance\Anaylsen\Models\MAT.xlsx" TargetMode="External"/><Relationship Id="rId1" Type="http://schemas.openxmlformats.org/officeDocument/2006/relationships/externalLinkPath" Target="/1.Finance/Anaylsen/Models/MAT.xlsx" TargetMode="External"/></Relationships>
</file>

<file path=xl/externalLinks/_rels/externalLink2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NXST.xlsx" TargetMode="External"/><Relationship Id="rId2" Type="http://schemas.openxmlformats.org/officeDocument/2006/relationships/externalLinkPath" Target="file:///E:\1.Finance\Anaylsen\Models\NXST.xlsx" TargetMode="External"/><Relationship Id="rId1" Type="http://schemas.openxmlformats.org/officeDocument/2006/relationships/externalLinkPath" Target="/1.Finance/Anaylsen/Models/NXST.xlsx" TargetMode="External"/></Relationships>
</file>

<file path=xl/externalLinks/_rels/externalLink2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9468.T.xlsx" TargetMode="External"/><Relationship Id="rId2" Type="http://schemas.openxmlformats.org/officeDocument/2006/relationships/externalLinkPath" Target="file:///E:\1.Finance\Anaylsen\Models\9468.T.xlsx" TargetMode="External"/><Relationship Id="rId1" Type="http://schemas.openxmlformats.org/officeDocument/2006/relationships/externalLinkPath" Target="/1.Finance/Anaylsen/Models/9468.T.xlsx" TargetMode="External"/></Relationships>
</file>

<file path=xl/externalLinks/_rels/externalLink2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9605.T.xlsx" TargetMode="External"/><Relationship Id="rId2" Type="http://schemas.openxmlformats.org/officeDocument/2006/relationships/externalLinkPath" Target="file:///E:\1.Finance\Anaylsen\Models\9605.T.xlsx" TargetMode="External"/><Relationship Id="rId1" Type="http://schemas.openxmlformats.org/officeDocument/2006/relationships/externalLinkPath" Target="/1.Finance/Anaylsen/Models/9605.T.xlsx" TargetMode="External"/></Relationships>
</file>

<file path=xl/externalLinks/_rels/externalLink2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MSGE.xlsx" TargetMode="External"/><Relationship Id="rId2" Type="http://schemas.openxmlformats.org/officeDocument/2006/relationships/externalLinkPath" Target="file:///E:\1.Finance\Anaylsen\Models\MSGE.xlsx" TargetMode="External"/><Relationship Id="rId1" Type="http://schemas.openxmlformats.org/officeDocument/2006/relationships/externalLinkPath" Target="/1.Finance/Anaylsen/Models/MSGE.xlsx" TargetMode="External"/></Relationships>
</file>

<file path=xl/externalLinks/_rels/externalLink3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MANU.xlsx" TargetMode="External"/><Relationship Id="rId2" Type="http://schemas.openxmlformats.org/officeDocument/2006/relationships/externalLinkPath" Target="file:///E:\1.Finance\Anaylsen\Models\MANU.xlsx" TargetMode="External"/><Relationship Id="rId1" Type="http://schemas.openxmlformats.org/officeDocument/2006/relationships/externalLinkPath" Target="/1.Finance/Anaylsen/Models/MANU.xlsx" TargetMode="External"/></Relationships>
</file>

<file path=xl/externalLinks/_rels/externalLink3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BVB.F.xlsx" TargetMode="External"/><Relationship Id="rId2" Type="http://schemas.openxmlformats.org/officeDocument/2006/relationships/externalLinkPath" Target="file:///E:\1.Finance\Anaylsen\Models\BVB.F.xlsx" TargetMode="External"/><Relationship Id="rId1" Type="http://schemas.openxmlformats.org/officeDocument/2006/relationships/externalLinkPath" Target="/1.Finance/Anaylsen/Models/BVB.F.xlsx" TargetMode="External"/></Relationships>
</file>

<file path=xl/externalLinks/_rels/externalLink3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MSFT.xlsx" TargetMode="External"/><Relationship Id="rId2" Type="http://schemas.openxmlformats.org/officeDocument/2006/relationships/externalLinkPath" Target="file:///E:\1.Finance\Anaylsen\Models\MSFT.xlsx" TargetMode="External"/><Relationship Id="rId1" Type="http://schemas.openxmlformats.org/officeDocument/2006/relationships/externalLinkPath" Target="/1.Finance/Anaylsen/Models/MSFT.xlsx" TargetMode="External"/></Relationships>
</file>

<file path=xl/externalLinks/_rels/externalLink3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TECHY.xlsx" TargetMode="External"/><Relationship Id="rId2" Type="http://schemas.openxmlformats.org/officeDocument/2006/relationships/externalLinkPath" Target="file:///E:\1.Finance\Anaylsen\Models\TECHY.xlsx" TargetMode="External"/><Relationship Id="rId1" Type="http://schemas.openxmlformats.org/officeDocument/2006/relationships/externalLinkPath" Target="/1.Finance/Anaylsen/Models/TECHY.xlsx" TargetMode="External"/></Relationships>
</file>

<file path=xl/externalLinks/_rels/externalLink3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3659.T.xlsx" TargetMode="External"/><Relationship Id="rId2" Type="http://schemas.openxmlformats.org/officeDocument/2006/relationships/externalLinkPath" Target="file:///E:\1.Finance\Anaylsen\Models\3659.T.xlsx" TargetMode="External"/><Relationship Id="rId1" Type="http://schemas.openxmlformats.org/officeDocument/2006/relationships/externalLinkPath" Target="/1.Finance/Anaylsen/Models/3659.T.xlsx" TargetMode="External"/></Relationships>
</file>

<file path=xl/externalLinks/_rels/externalLink3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NTES.xlsx" TargetMode="External"/><Relationship Id="rId2" Type="http://schemas.openxmlformats.org/officeDocument/2006/relationships/externalLinkPath" Target="file:///E:\1.Finance\Anaylsen\Models\NTES.xlsx" TargetMode="External"/><Relationship Id="rId1" Type="http://schemas.openxmlformats.org/officeDocument/2006/relationships/externalLinkPath" Target="/1.Finance/Anaylsen/Models/NTES.xlsx" TargetMode="External"/></Relationships>
</file>

<file path=xl/externalLinks/_rels/externalLink3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UBI.PA.xlsx" TargetMode="External"/><Relationship Id="rId2" Type="http://schemas.openxmlformats.org/officeDocument/2006/relationships/externalLinkPath" Target="file:///E:\1.Finance\Anaylsen\Models\UBI.PA.xlsx" TargetMode="External"/><Relationship Id="rId1" Type="http://schemas.openxmlformats.org/officeDocument/2006/relationships/externalLinkPath" Target="/1.Finance/Anaylsen/Models/UBI.PA.xlsx" TargetMode="External"/></Relationships>
</file>

<file path=xl/externalLinks/_rels/externalLink3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GME.xlsx" TargetMode="External"/><Relationship Id="rId2" Type="http://schemas.openxmlformats.org/officeDocument/2006/relationships/externalLinkPath" Target="file:///E:\1.Finance\Anaylsen\Models\GME.xlsx" TargetMode="External"/><Relationship Id="rId1" Type="http://schemas.openxmlformats.org/officeDocument/2006/relationships/externalLinkPath" Target="/1.Finance/Anaylsen/Models/GME.xlsx" TargetMode="External"/></Relationships>
</file>

<file path=xl/externalLinks/_rels/externalLink3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FOX.xlsx" TargetMode="External"/><Relationship Id="rId2" Type="http://schemas.openxmlformats.org/officeDocument/2006/relationships/externalLinkPath" Target="file:///E:\1.Finance\Anaylsen\Models\FOX.xlsx" TargetMode="External"/><Relationship Id="rId1" Type="http://schemas.openxmlformats.org/officeDocument/2006/relationships/externalLinkPath" Target="/1.Finance/Anaylsen/Models/FOX.xlsx" TargetMode="External"/></Relationships>
</file>

<file path=xl/externalLinks/_rels/externalLink3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NWS.xlsx" TargetMode="External"/><Relationship Id="rId2" Type="http://schemas.openxmlformats.org/officeDocument/2006/relationships/externalLinkPath" Target="file:///E:\1.Finance\Anaylsen\Models\NWS.xlsx" TargetMode="External"/><Relationship Id="rId1" Type="http://schemas.openxmlformats.org/officeDocument/2006/relationships/externalLinkPath" Target="/1.Finance/Anaylsen/Models/NWS.xlsx" TargetMode="External"/></Relationships>
</file>

<file path=xl/externalLinks/_rels/externalLink4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DJT.xlsx" TargetMode="External"/><Relationship Id="rId2" Type="http://schemas.openxmlformats.org/officeDocument/2006/relationships/externalLinkPath" Target="file:///E:\1.Finance\Anaylsen\Models\DJT.xlsx" TargetMode="External"/><Relationship Id="rId1" Type="http://schemas.openxmlformats.org/officeDocument/2006/relationships/externalLinkPath" Target="/1.Finance/Anaylsen/Models/DJT.xlsx" TargetMode="External"/></Relationships>
</file>

<file path=xl/externalLinks/_rels/externalLink4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NYT.xlsx" TargetMode="External"/><Relationship Id="rId2" Type="http://schemas.openxmlformats.org/officeDocument/2006/relationships/externalLinkPath" Target="file:///E:\1.Finance\Anaylsen\Models\NYT.xlsx" TargetMode="External"/><Relationship Id="rId1" Type="http://schemas.openxmlformats.org/officeDocument/2006/relationships/externalLinkPath" Target="/1.Finance/Anaylsen/Models/NYT.xlsx" TargetMode="External"/></Relationships>
</file>

<file path=xl/externalLinks/_rels/externalLink4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LLYVA.xlsx" TargetMode="External"/><Relationship Id="rId2" Type="http://schemas.openxmlformats.org/officeDocument/2006/relationships/externalLinkPath" Target="file:///E:\1.Finance\Anaylsen\Models\LLYVA.xlsx" TargetMode="External"/><Relationship Id="rId1" Type="http://schemas.openxmlformats.org/officeDocument/2006/relationships/externalLinkPath" Target="/1.Finance/Anaylsen/Models/LLYVA.xlsx" TargetMode="External"/></Relationships>
</file>

<file path=xl/externalLinks/_rels/externalLink4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PLBY.xlsx" TargetMode="External"/><Relationship Id="rId2" Type="http://schemas.openxmlformats.org/officeDocument/2006/relationships/externalLinkPath" Target="file:///E:\1.Finance\Anaylsen\Models\PLBY.xlsx" TargetMode="External"/><Relationship Id="rId1" Type="http://schemas.openxmlformats.org/officeDocument/2006/relationships/externalLinkPath" Target="/1.Finance/Anaylsen/Models/PLB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Streaming"/>
    </sheetNames>
    <sheetDataSet>
      <sheetData sheetId="0">
        <row r="3">
          <cell r="I3">
            <v>97.5</v>
          </cell>
        </row>
        <row r="5">
          <cell r="I5">
            <v>411660.80962499999</v>
          </cell>
        </row>
        <row r="6">
          <cell r="I6">
            <v>9062.3590000000004</v>
          </cell>
        </row>
        <row r="7">
          <cell r="I7">
            <v>14462.835999999999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Segments"/>
      <sheetName val="Model"/>
      <sheetName val="Branche"/>
      <sheetName val="Ratios"/>
      <sheetName val="DCF"/>
      <sheetName val="Discount Rate"/>
      <sheetName val="Multiple Valuation"/>
      <sheetName val="Liquidationvalue"/>
    </sheetNames>
    <sheetDataSet>
      <sheetData sheetId="0">
        <row r="2">
          <cell r="K2">
            <v>115.68</v>
          </cell>
        </row>
        <row r="4">
          <cell r="K4">
            <v>207984.98580144002</v>
          </cell>
        </row>
        <row r="5">
          <cell r="K5">
            <v>5367</v>
          </cell>
        </row>
        <row r="6">
          <cell r="K6">
            <v>36531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29.6</v>
          </cell>
        </row>
        <row r="4">
          <cell r="I4">
            <v>107859.27734800002</v>
          </cell>
        </row>
        <row r="5">
          <cell r="I5">
            <v>9325</v>
          </cell>
        </row>
        <row r="6">
          <cell r="I6">
            <v>99063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3214</v>
          </cell>
        </row>
        <row r="4">
          <cell r="H4">
            <v>19525963.200247999</v>
          </cell>
        </row>
        <row r="5">
          <cell r="H5">
            <v>2127399</v>
          </cell>
        </row>
        <row r="6">
          <cell r="H6">
            <v>4088433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627.5</v>
          </cell>
        </row>
        <row r="5">
          <cell r="H5">
            <v>128905.4418725</v>
          </cell>
        </row>
        <row r="6">
          <cell r="H6">
            <v>8344</v>
          </cell>
        </row>
        <row r="7">
          <cell r="H7">
            <v>0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12800</v>
          </cell>
        </row>
        <row r="4">
          <cell r="I4">
            <v>16623232</v>
          </cell>
        </row>
        <row r="5">
          <cell r="I5">
            <v>1586275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141.63</v>
          </cell>
        </row>
        <row r="4">
          <cell r="I4">
            <v>82151.979704910002</v>
          </cell>
        </row>
        <row r="5">
          <cell r="I5">
            <v>4060.3239999999996</v>
          </cell>
        </row>
        <row r="6">
          <cell r="I6">
            <v>5073.8320000000003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202.53</v>
          </cell>
        </row>
        <row r="4">
          <cell r="I4">
            <v>50674.485076589997</v>
          </cell>
        </row>
        <row r="5">
          <cell r="I5">
            <v>1630</v>
          </cell>
        </row>
        <row r="6">
          <cell r="I6">
            <v>400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127.88</v>
          </cell>
        </row>
        <row r="4">
          <cell r="H4">
            <v>82486.819144840003</v>
          </cell>
        </row>
        <row r="5">
          <cell r="H5">
            <v>2627.1959999999999</v>
          </cell>
        </row>
        <row r="6">
          <cell r="H6">
            <v>992.37699999999995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G2">
            <v>51.15</v>
          </cell>
        </row>
        <row r="4">
          <cell r="G4">
            <v>37085.089004699999</v>
          </cell>
        </row>
        <row r="5">
          <cell r="G5">
            <v>4208</v>
          </cell>
        </row>
        <row r="6">
          <cell r="G6">
            <v>14012</v>
          </cell>
        </row>
      </sheetData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266.8</v>
          </cell>
        </row>
        <row r="4">
          <cell r="I4">
            <v>354602.81280000001</v>
          </cell>
        </row>
        <row r="5">
          <cell r="I5">
            <v>13765.710999999999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Financials"/>
    </sheetNames>
    <sheetDataSet>
      <sheetData sheetId="0">
        <row r="3">
          <cell r="L3">
            <v>228.01</v>
          </cell>
        </row>
        <row r="5">
          <cell r="L5">
            <v>42061.053038120001</v>
          </cell>
        </row>
        <row r="6">
          <cell r="L6">
            <v>2035.1</v>
          </cell>
        </row>
        <row r="7">
          <cell r="L7">
            <v>3065.1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134.9</v>
          </cell>
        </row>
        <row r="4">
          <cell r="H4">
            <v>31344.512106500002</v>
          </cell>
        </row>
        <row r="5">
          <cell r="H5">
            <v>5489.9189999999999</v>
          </cell>
        </row>
        <row r="6">
          <cell r="H6">
            <v>6254.8919999999998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66.67</v>
          </cell>
        </row>
        <row r="4">
          <cell r="I4">
            <v>42432.227438630005</v>
          </cell>
        </row>
        <row r="5">
          <cell r="I5">
            <v>943.8</v>
          </cell>
        </row>
        <row r="6">
          <cell r="I6">
            <v>2084.1999999999998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25.88</v>
          </cell>
        </row>
        <row r="4">
          <cell r="H4">
            <v>64072.986658159993</v>
          </cell>
        </row>
        <row r="5">
          <cell r="H5">
            <v>4888</v>
          </cell>
        </row>
        <row r="6">
          <cell r="H6">
            <v>34632</v>
          </cell>
        </row>
      </sheetData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3">
          <cell r="G3">
            <v>95</v>
          </cell>
        </row>
        <row r="5">
          <cell r="G5">
            <v>23679.881450000001</v>
          </cell>
        </row>
        <row r="6">
          <cell r="G6">
            <v>2956</v>
          </cell>
        </row>
        <row r="7">
          <cell r="G7">
            <v>4548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G2">
            <v>45.96</v>
          </cell>
        </row>
        <row r="4">
          <cell r="G4">
            <v>22817.764463160001</v>
          </cell>
        </row>
        <row r="5">
          <cell r="G5">
            <v>1261.9690000000001</v>
          </cell>
        </row>
        <row r="6">
          <cell r="G6">
            <v>592.70400000000006</v>
          </cell>
        </row>
      </sheetData>
      <sheetData sheetId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33.81</v>
          </cell>
        </row>
        <row r="4">
          <cell r="H4">
            <v>17624.033178990001</v>
          </cell>
        </row>
        <row r="5">
          <cell r="H5">
            <v>527</v>
          </cell>
        </row>
        <row r="6">
          <cell r="H6">
            <v>4363</v>
          </cell>
        </row>
      </sheetData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5241</v>
          </cell>
        </row>
        <row r="4">
          <cell r="I4">
            <v>3428838.103683</v>
          </cell>
        </row>
        <row r="5">
          <cell r="I5">
            <v>321868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16735</v>
          </cell>
        </row>
        <row r="4">
          <cell r="I4">
            <v>2268554.6620899998</v>
          </cell>
        </row>
        <row r="5">
          <cell r="I5">
            <v>285700</v>
          </cell>
        </row>
        <row r="6">
          <cell r="I6">
            <v>59895</v>
          </cell>
        </row>
      </sheetData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184.82</v>
          </cell>
        </row>
        <row r="4">
          <cell r="J4">
            <v>15180.539270520001</v>
          </cell>
        </row>
        <row r="5">
          <cell r="J5">
            <v>535.06100000000004</v>
          </cell>
        </row>
        <row r="6">
          <cell r="J6">
            <v>2749.3140000000003</v>
          </cell>
        </row>
      </sheetData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65.319999999999993</v>
          </cell>
        </row>
        <row r="4">
          <cell r="H4">
            <v>9114.1865409199982</v>
          </cell>
        </row>
        <row r="5">
          <cell r="H5">
            <v>695</v>
          </cell>
        </row>
        <row r="6">
          <cell r="H6">
            <v>3380.8</v>
          </cell>
        </row>
      </sheetData>
      <sheetData sheetId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13.8</v>
          </cell>
        </row>
        <row r="4">
          <cell r="I4">
            <v>9315</v>
          </cell>
        </row>
        <row r="5">
          <cell r="I5">
            <v>2739</v>
          </cell>
        </row>
        <row r="6">
          <cell r="I6">
            <v>14514</v>
          </cell>
        </row>
      </sheetData>
      <sheetData sheetId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77.77</v>
          </cell>
        </row>
        <row r="4">
          <cell r="I4">
            <v>6330.7175316000003</v>
          </cell>
        </row>
        <row r="5">
          <cell r="I5">
            <v>311.50299999999999</v>
          </cell>
        </row>
        <row r="6">
          <cell r="I6">
            <v>3516.5740000000001</v>
          </cell>
        </row>
      </sheetData>
      <sheetData sheetId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G2">
            <v>17.309999999999999</v>
          </cell>
        </row>
        <row r="4">
          <cell r="G4">
            <v>5750.3819999999996</v>
          </cell>
        </row>
        <row r="5">
          <cell r="G5">
            <v>870.452</v>
          </cell>
        </row>
        <row r="6">
          <cell r="G6">
            <v>2336.5330000000004</v>
          </cell>
        </row>
      </sheetData>
      <sheetData sheetId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183.2</v>
          </cell>
        </row>
        <row r="4">
          <cell r="I4">
            <v>5589.2865391999994</v>
          </cell>
        </row>
        <row r="5">
          <cell r="I5">
            <v>144</v>
          </cell>
        </row>
        <row r="6">
          <cell r="I6">
            <v>6523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3555</v>
          </cell>
        </row>
        <row r="4">
          <cell r="J4">
            <v>520979.16739500005</v>
          </cell>
        </row>
        <row r="5">
          <cell r="J5">
            <v>133399</v>
          </cell>
        </row>
        <row r="6">
          <cell r="J6">
            <v>26577</v>
          </cell>
        </row>
      </sheetData>
      <sheetData sheetId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5310</v>
          </cell>
        </row>
        <row r="4">
          <cell r="I4">
            <v>328662.32786999998</v>
          </cell>
        </row>
        <row r="5">
          <cell r="I5">
            <v>104775</v>
          </cell>
        </row>
        <row r="6">
          <cell r="I6">
            <v>12486</v>
          </cell>
        </row>
      </sheetData>
      <sheetData sheetId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33.76</v>
          </cell>
        </row>
        <row r="4">
          <cell r="I4">
            <v>1615.1327198399999</v>
          </cell>
        </row>
        <row r="5">
          <cell r="I5">
            <v>55.219000000000001</v>
          </cell>
        </row>
        <row r="6">
          <cell r="I6">
            <v>609.07600000000002</v>
          </cell>
        </row>
      </sheetData>
      <sheetData sheetId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15.92</v>
          </cell>
        </row>
        <row r="5">
          <cell r="H5">
            <v>2183.3765784000002</v>
          </cell>
        </row>
        <row r="6">
          <cell r="H6">
            <v>149.55799999999999</v>
          </cell>
        </row>
        <row r="7">
          <cell r="H7">
            <v>714.03099999999995</v>
          </cell>
        </row>
      </sheetData>
      <sheetData sheetId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3.28</v>
          </cell>
        </row>
        <row r="4">
          <cell r="I4">
            <v>362.09960159999997</v>
          </cell>
        </row>
        <row r="5">
          <cell r="I5">
            <v>4.45</v>
          </cell>
        </row>
        <row r="6">
          <cell r="I6">
            <v>53.811999999999998</v>
          </cell>
        </row>
      </sheetData>
      <sheetData sheetId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Ratios"/>
    </sheetNames>
    <sheetDataSet>
      <sheetData sheetId="0">
        <row r="2">
          <cell r="H2">
            <v>432.32</v>
          </cell>
        </row>
        <row r="4">
          <cell r="H4">
            <v>3210247.9621363198</v>
          </cell>
        </row>
        <row r="5">
          <cell r="H5">
            <v>89462</v>
          </cell>
        </row>
        <row r="6">
          <cell r="H6">
            <v>40262</v>
          </cell>
        </row>
      </sheetData>
      <sheetData sheetId="1"/>
      <sheetData sheetId="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G2">
            <v>617.5</v>
          </cell>
        </row>
        <row r="4">
          <cell r="G4">
            <v>9097</v>
          </cell>
        </row>
        <row r="5">
          <cell r="G5">
            <v>5168005.7</v>
          </cell>
        </row>
        <row r="6">
          <cell r="G6">
            <v>351480</v>
          </cell>
        </row>
      </sheetData>
      <sheetData sheetId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2123</v>
          </cell>
        </row>
        <row r="4">
          <cell r="I4">
            <v>1785783.8434039999</v>
          </cell>
        </row>
        <row r="5">
          <cell r="I5">
            <v>331931</v>
          </cell>
        </row>
        <row r="6">
          <cell r="I6">
            <v>1089</v>
          </cell>
        </row>
      </sheetData>
      <sheetData sheetId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5">
          <cell r="H5">
            <v>465223.39418400003</v>
          </cell>
        </row>
        <row r="6">
          <cell r="H6">
            <v>126824.66499999999</v>
          </cell>
        </row>
        <row r="7">
          <cell r="H7">
            <v>12233.047999999999</v>
          </cell>
        </row>
      </sheetData>
      <sheetData sheetId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12.11</v>
          </cell>
        </row>
        <row r="4">
          <cell r="H4">
            <v>1554.924</v>
          </cell>
        </row>
        <row r="5">
          <cell r="H5">
            <v>1205.2</v>
          </cell>
        </row>
        <row r="6">
          <cell r="H6">
            <v>2509.8000000000002</v>
          </cell>
        </row>
      </sheetData>
      <sheetData sheetId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21.7</v>
          </cell>
        </row>
        <row r="4">
          <cell r="J4">
            <v>9701.7223876999997</v>
          </cell>
        </row>
        <row r="5">
          <cell r="J5">
            <v>4774.8999999999996</v>
          </cell>
        </row>
        <row r="6">
          <cell r="J6">
            <v>16.899999999999999</v>
          </cell>
        </row>
      </sheetData>
      <sheetData sheetId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50.5</v>
          </cell>
        </row>
        <row r="4">
          <cell r="I4">
            <v>22898.106829</v>
          </cell>
        </row>
        <row r="5">
          <cell r="I5">
            <v>3322</v>
          </cell>
        </row>
        <row r="6">
          <cell r="I6">
            <v>7200</v>
          </cell>
        </row>
      </sheetData>
      <sheetData sheetId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30.44</v>
          </cell>
        </row>
        <row r="4">
          <cell r="I4">
            <v>17310.539416759999</v>
          </cell>
        </row>
        <row r="5">
          <cell r="I5">
            <v>1778</v>
          </cell>
        </row>
        <row r="6">
          <cell r="I6">
            <v>2900</v>
          </cell>
        </row>
      </sheetData>
      <sheetData sheetId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41.21</v>
          </cell>
        </row>
        <row r="4">
          <cell r="H4">
            <v>8939.4565020800001</v>
          </cell>
        </row>
        <row r="5">
          <cell r="H5">
            <v>672.87819999999999</v>
          </cell>
        </row>
        <row r="6">
          <cell r="H6">
            <v>9.4335000000000004</v>
          </cell>
        </row>
      </sheetData>
      <sheetData sheetId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69.87</v>
          </cell>
        </row>
        <row r="4">
          <cell r="H4">
            <v>11343.32525883</v>
          </cell>
        </row>
        <row r="5">
          <cell r="H5">
            <v>617.35199999999998</v>
          </cell>
        </row>
        <row r="6">
          <cell r="H6">
            <v>0</v>
          </cell>
        </row>
      </sheetData>
      <sheetData sheetId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</sheetNames>
    <sheetDataSet>
      <sheetData sheetId="0">
        <row r="2">
          <cell r="K2">
            <v>78.55</v>
          </cell>
        </row>
        <row r="4">
          <cell r="K4">
            <v>7215.2325581999994</v>
          </cell>
        </row>
        <row r="5">
          <cell r="K5">
            <v>3147</v>
          </cell>
        </row>
        <row r="6">
          <cell r="K6">
            <v>4564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1.7</v>
          </cell>
        </row>
        <row r="4">
          <cell r="H4">
            <v>183.18753240000001</v>
          </cell>
        </row>
        <row r="5">
          <cell r="H5">
            <v>27.463000000000001</v>
          </cell>
        </row>
        <row r="6">
          <cell r="H6">
            <v>176.79499999999999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\Models\LYV.xlsx" TargetMode="External"/><Relationship Id="rId18" Type="http://schemas.openxmlformats.org/officeDocument/2006/relationships/hyperlink" Target="..\Models\MANU.xlsx" TargetMode="External"/><Relationship Id="rId26" Type="http://schemas.openxmlformats.org/officeDocument/2006/relationships/hyperlink" Target="..\Models\7832.T.xlsx" TargetMode="External"/><Relationship Id="rId3" Type="http://schemas.openxmlformats.org/officeDocument/2006/relationships/hyperlink" Target="..\Models\FWONK.xlsx" TargetMode="External"/><Relationship Id="rId21" Type="http://schemas.openxmlformats.org/officeDocument/2006/relationships/hyperlink" Target="..\Models\SE.xlsx" TargetMode="External"/><Relationship Id="rId7" Type="http://schemas.openxmlformats.org/officeDocument/2006/relationships/hyperlink" Target="..\Models\DKNG.xlsx" TargetMode="External"/><Relationship Id="rId12" Type="http://schemas.openxmlformats.org/officeDocument/2006/relationships/hyperlink" Target="..\Models\CMCSA.xlsx" TargetMode="External"/><Relationship Id="rId17" Type="http://schemas.openxmlformats.org/officeDocument/2006/relationships/hyperlink" Target="..\Models\MAT.xlsx" TargetMode="External"/><Relationship Id="rId25" Type="http://schemas.openxmlformats.org/officeDocument/2006/relationships/hyperlink" Target="..\Models\MSGE.xlsx" TargetMode="External"/><Relationship Id="rId33" Type="http://schemas.openxmlformats.org/officeDocument/2006/relationships/hyperlink" Target="..\Models\LEGO.CO.xlsx" TargetMode="External"/><Relationship Id="rId2" Type="http://schemas.openxmlformats.org/officeDocument/2006/relationships/hyperlink" Target="..\Models\NFLX.xlsx" TargetMode="External"/><Relationship Id="rId16" Type="http://schemas.openxmlformats.org/officeDocument/2006/relationships/hyperlink" Target="..\Models\7974.T.xlsx" TargetMode="External"/><Relationship Id="rId20" Type="http://schemas.openxmlformats.org/officeDocument/2006/relationships/hyperlink" Target="..\Models\HAS.xlsx" TargetMode="External"/><Relationship Id="rId29" Type="http://schemas.openxmlformats.org/officeDocument/2006/relationships/hyperlink" Target="..\Models\9992.HK.xlsx" TargetMode="External"/><Relationship Id="rId1" Type="http://schemas.openxmlformats.org/officeDocument/2006/relationships/hyperlink" Target="..\Models\DIS.xlsx" TargetMode="External"/><Relationship Id="rId6" Type="http://schemas.openxmlformats.org/officeDocument/2006/relationships/hyperlink" Target="..\Models\RBLX.xlsx" TargetMode="External"/><Relationship Id="rId11" Type="http://schemas.openxmlformats.org/officeDocument/2006/relationships/hyperlink" Target="..\Models\PARA.xlsx" TargetMode="External"/><Relationship Id="rId24" Type="http://schemas.openxmlformats.org/officeDocument/2006/relationships/hyperlink" Target="..\Models\TKO.xlsx" TargetMode="External"/><Relationship Id="rId32" Type="http://schemas.openxmlformats.org/officeDocument/2006/relationships/hyperlink" Target="..\Models\9468.T.xlsx" TargetMode="External"/><Relationship Id="rId5" Type="http://schemas.openxmlformats.org/officeDocument/2006/relationships/hyperlink" Target="..\Models\TTWO.xlsx" TargetMode="External"/><Relationship Id="rId15" Type="http://schemas.openxmlformats.org/officeDocument/2006/relationships/hyperlink" Target="..\Models\SPOT.xlsx" TargetMode="External"/><Relationship Id="rId23" Type="http://schemas.openxmlformats.org/officeDocument/2006/relationships/hyperlink" Target="..\Models\ALL.AX.xlsx" TargetMode="External"/><Relationship Id="rId28" Type="http://schemas.openxmlformats.org/officeDocument/2006/relationships/hyperlink" Target="..\Models\BYD.xlsx" TargetMode="External"/><Relationship Id="rId10" Type="http://schemas.openxmlformats.org/officeDocument/2006/relationships/hyperlink" Target="..\Models\EA.xlsx" TargetMode="External"/><Relationship Id="rId19" Type="http://schemas.openxmlformats.org/officeDocument/2006/relationships/hyperlink" Target="..\Models\BVB.F.xlsx" TargetMode="External"/><Relationship Id="rId31" Type="http://schemas.openxmlformats.org/officeDocument/2006/relationships/hyperlink" Target="..\Models\9605.T.xlsx" TargetMode="External"/><Relationship Id="rId4" Type="http://schemas.openxmlformats.org/officeDocument/2006/relationships/hyperlink" Target="..\Models\WBD.xlsx" TargetMode="External"/><Relationship Id="rId9" Type="http://schemas.openxmlformats.org/officeDocument/2006/relationships/hyperlink" Target="..\Models\WMG.xlsx" TargetMode="External"/><Relationship Id="rId14" Type="http://schemas.openxmlformats.org/officeDocument/2006/relationships/hyperlink" Target="..\Models\SONY.xlsx" TargetMode="External"/><Relationship Id="rId22" Type="http://schemas.openxmlformats.org/officeDocument/2006/relationships/hyperlink" Target="..\Models\9766.T.xlsx" TargetMode="External"/><Relationship Id="rId27" Type="http://schemas.openxmlformats.org/officeDocument/2006/relationships/hyperlink" Target="..\Models\NXST.xlsx" TargetMode="External"/><Relationship Id="rId30" Type="http://schemas.openxmlformats.org/officeDocument/2006/relationships/hyperlink" Target="..\Models\UBI.PA.xlsx" TargetMode="External"/><Relationship Id="rId8" Type="http://schemas.openxmlformats.org/officeDocument/2006/relationships/hyperlink" Target="..\Models\LVS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\Models\TECHY.xlsx" TargetMode="External"/><Relationship Id="rId13" Type="http://schemas.openxmlformats.org/officeDocument/2006/relationships/hyperlink" Target="..\Models\GME.xlsx" TargetMode="External"/><Relationship Id="rId3" Type="http://schemas.openxmlformats.org/officeDocument/2006/relationships/hyperlink" Target="..\Models\TTWO.xlsx" TargetMode="External"/><Relationship Id="rId7" Type="http://schemas.openxmlformats.org/officeDocument/2006/relationships/hyperlink" Target="..\Models\9766.T.xlsx" TargetMode="External"/><Relationship Id="rId12" Type="http://schemas.openxmlformats.org/officeDocument/2006/relationships/hyperlink" Target="..\Models\ALL.AX.xlsx" TargetMode="External"/><Relationship Id="rId2" Type="http://schemas.openxmlformats.org/officeDocument/2006/relationships/hyperlink" Target="..\Models\EA.xlsx" TargetMode="External"/><Relationship Id="rId1" Type="http://schemas.openxmlformats.org/officeDocument/2006/relationships/hyperlink" Target="..\Models\RBLX.xlsx" TargetMode="External"/><Relationship Id="rId6" Type="http://schemas.openxmlformats.org/officeDocument/2006/relationships/hyperlink" Target="..\Models\7832.T.xlsx" TargetMode="External"/><Relationship Id="rId11" Type="http://schemas.openxmlformats.org/officeDocument/2006/relationships/hyperlink" Target="..\Models\SE.xlsx" TargetMode="External"/><Relationship Id="rId5" Type="http://schemas.openxmlformats.org/officeDocument/2006/relationships/hyperlink" Target="..\Models\MSFT.xlsx" TargetMode="External"/><Relationship Id="rId15" Type="http://schemas.openxmlformats.org/officeDocument/2006/relationships/hyperlink" Target="..\Models\NTES.xlsx" TargetMode="External"/><Relationship Id="rId10" Type="http://schemas.openxmlformats.org/officeDocument/2006/relationships/hyperlink" Target="..\Models\7974.T.xlsx" TargetMode="External"/><Relationship Id="rId4" Type="http://schemas.openxmlformats.org/officeDocument/2006/relationships/hyperlink" Target="..\Models\UBI.PA.xlsx" TargetMode="External"/><Relationship Id="rId9" Type="http://schemas.openxmlformats.org/officeDocument/2006/relationships/hyperlink" Target="..\Models\SONY.xlsx" TargetMode="External"/><Relationship Id="rId14" Type="http://schemas.openxmlformats.org/officeDocument/2006/relationships/hyperlink" Target="..\Models\3659.T.xls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\Models\FOX.xlsx" TargetMode="External"/><Relationship Id="rId3" Type="http://schemas.openxmlformats.org/officeDocument/2006/relationships/hyperlink" Target="..\Models\NYT.xlsx" TargetMode="External"/><Relationship Id="rId7" Type="http://schemas.openxmlformats.org/officeDocument/2006/relationships/hyperlink" Target="..\Models\CMCSA.xlsx" TargetMode="External"/><Relationship Id="rId2" Type="http://schemas.openxmlformats.org/officeDocument/2006/relationships/hyperlink" Target="..\Models\PLBY.xlsx" TargetMode="External"/><Relationship Id="rId1" Type="http://schemas.openxmlformats.org/officeDocument/2006/relationships/hyperlink" Target="..\Models\WBD.xlsx" TargetMode="External"/><Relationship Id="rId6" Type="http://schemas.openxmlformats.org/officeDocument/2006/relationships/hyperlink" Target="..\Models\PARA.xlsx" TargetMode="External"/><Relationship Id="rId5" Type="http://schemas.openxmlformats.org/officeDocument/2006/relationships/hyperlink" Target="..\Models\DJT.xlsx" TargetMode="External"/><Relationship Id="rId4" Type="http://schemas.openxmlformats.org/officeDocument/2006/relationships/hyperlink" Target="..\Models\NWS.xlsx" TargetMode="External"/><Relationship Id="rId9" Type="http://schemas.openxmlformats.org/officeDocument/2006/relationships/hyperlink" Target="..\Models\LLYVA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669C-2C43-405D-A4FE-FB3FBD95AFDE}">
  <dimension ref="A1:AS240"/>
  <sheetViews>
    <sheetView tabSelected="1" zoomScale="196" zoomScaleNormal="196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defaultColWidth="8.85546875" defaultRowHeight="13.5" x14ac:dyDescent="0.25"/>
  <cols>
    <col min="1" max="1" width="4.28515625" style="23" customWidth="1"/>
    <col min="2" max="2" width="21.140625" style="4" bestFit="1" customWidth="1"/>
    <col min="3" max="3" width="10.85546875" style="4" customWidth="1"/>
    <col min="4" max="5" width="8.85546875" style="4"/>
    <col min="6" max="6" width="10.7109375" style="4" bestFit="1" customWidth="1"/>
    <col min="7" max="7" width="8.85546875" style="4" customWidth="1"/>
    <col min="8" max="8" width="10.7109375" style="4" bestFit="1" customWidth="1"/>
    <col min="9" max="16384" width="8.85546875" style="4"/>
  </cols>
  <sheetData>
    <row r="1" spans="1:45" x14ac:dyDescent="0.25">
      <c r="A1" s="2" t="s">
        <v>471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x14ac:dyDescent="0.25">
      <c r="A2" s="5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x14ac:dyDescent="0.25">
      <c r="A3" s="6" t="s">
        <v>138</v>
      </c>
      <c r="B3" s="7" t="s">
        <v>0</v>
      </c>
      <c r="C3" s="7" t="s">
        <v>1</v>
      </c>
      <c r="D3" s="7" t="s">
        <v>21</v>
      </c>
      <c r="E3" s="8" t="s">
        <v>4</v>
      </c>
      <c r="F3" s="8" t="s">
        <v>300</v>
      </c>
      <c r="G3" s="8" t="s">
        <v>53</v>
      </c>
      <c r="H3" s="8" t="s">
        <v>5</v>
      </c>
      <c r="I3" s="8" t="s">
        <v>301</v>
      </c>
      <c r="J3" s="8" t="s">
        <v>261</v>
      </c>
      <c r="K3" s="8"/>
      <c r="L3" s="8"/>
      <c r="M3" s="8"/>
      <c r="N3" s="8"/>
      <c r="O3" s="8"/>
      <c r="P3" s="8"/>
      <c r="Q3" s="8"/>
      <c r="R3" s="8"/>
      <c r="S3" s="9" t="s">
        <v>272</v>
      </c>
      <c r="T3" s="7"/>
      <c r="U3" s="7"/>
      <c r="V3" s="7"/>
      <c r="W3" s="10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x14ac:dyDescent="0.25">
      <c r="A4" s="11">
        <v>1</v>
      </c>
      <c r="B4" s="12" t="s">
        <v>6</v>
      </c>
      <c r="C4" s="3" t="s">
        <v>8</v>
      </c>
      <c r="D4" s="3" t="s">
        <v>22</v>
      </c>
      <c r="E4" s="13">
        <f>+[1]Main!$I$3</f>
        <v>97.5</v>
      </c>
      <c r="F4" s="14">
        <f>+[1]Main!$I$5</f>
        <v>411660.80962499999</v>
      </c>
      <c r="G4" s="14">
        <f>+[1]Main!$I$7-[1]Main!$I$6</f>
        <v>5400.476999999999</v>
      </c>
      <c r="H4" s="14">
        <f>+F4+G4</f>
        <v>417061.28662500001</v>
      </c>
      <c r="I4" s="39" t="s">
        <v>485</v>
      </c>
      <c r="J4" s="3"/>
      <c r="K4" s="3"/>
      <c r="L4" s="3"/>
      <c r="M4" s="3"/>
      <c r="N4" s="3"/>
      <c r="O4" s="3"/>
      <c r="P4" s="3"/>
      <c r="Q4" s="3"/>
      <c r="R4" s="3"/>
      <c r="S4" s="3" t="s">
        <v>262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11">
        <f>+A4+1</f>
        <v>2</v>
      </c>
      <c r="B5" s="16" t="s">
        <v>2</v>
      </c>
      <c r="C5" s="3" t="s">
        <v>3</v>
      </c>
      <c r="D5" s="3" t="s">
        <v>22</v>
      </c>
      <c r="E5" s="13">
        <f>+[2]Main!$K$2</f>
        <v>115.68</v>
      </c>
      <c r="F5" s="14">
        <f>+[2]Main!$K$4</f>
        <v>207984.98580144002</v>
      </c>
      <c r="G5" s="14">
        <f>+[2]Main!$K$6-[2]Main!$K$5</f>
        <v>31164</v>
      </c>
      <c r="H5" s="14">
        <f t="shared" ref="H5:H10" si="0">+F5+G5</f>
        <v>239148.98580144002</v>
      </c>
      <c r="I5" s="15" t="s">
        <v>295</v>
      </c>
      <c r="J5" s="17">
        <v>45966</v>
      </c>
      <c r="K5" s="3"/>
      <c r="L5" s="3"/>
      <c r="M5" s="3"/>
      <c r="N5" s="3"/>
      <c r="O5" s="3"/>
      <c r="P5" s="3"/>
      <c r="Q5" s="3"/>
      <c r="R5" s="3"/>
      <c r="S5" s="3" t="s">
        <v>263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25">
      <c r="A6" s="11">
        <f t="shared" ref="A6:A70" si="1">+A5+1</f>
        <v>3</v>
      </c>
      <c r="B6" s="12" t="s">
        <v>9</v>
      </c>
      <c r="C6" s="3" t="s">
        <v>10</v>
      </c>
      <c r="D6" s="3" t="s">
        <v>22</v>
      </c>
      <c r="E6" s="13">
        <f>+[3]Main!$I$2</f>
        <v>29.6</v>
      </c>
      <c r="F6" s="14">
        <f>+[3]Main!$I$4</f>
        <v>107859.27734800002</v>
      </c>
      <c r="G6" s="14">
        <f>+[3]Main!$I$6-[3]Main!$I$5</f>
        <v>89738</v>
      </c>
      <c r="H6" s="14">
        <f t="shared" si="0"/>
        <v>197597.27734800003</v>
      </c>
      <c r="I6" s="29" t="s">
        <v>473</v>
      </c>
      <c r="J6" s="3"/>
      <c r="K6" s="3"/>
      <c r="L6" s="3"/>
      <c r="M6" s="3"/>
      <c r="N6" s="3"/>
      <c r="O6" s="3"/>
      <c r="P6" s="3"/>
      <c r="Q6" s="3"/>
      <c r="R6" s="3"/>
      <c r="S6" s="3" t="s">
        <v>263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25">
      <c r="A7" s="11">
        <f t="shared" si="1"/>
        <v>4</v>
      </c>
      <c r="B7" s="12" t="s">
        <v>11</v>
      </c>
      <c r="C7" s="3" t="s">
        <v>12</v>
      </c>
      <c r="D7" s="3" t="s">
        <v>23</v>
      </c>
      <c r="E7" s="13">
        <f>+[4]Main!$H$2</f>
        <v>3214</v>
      </c>
      <c r="F7" s="14">
        <f>+[4]Main!$H$4*FX!C2</f>
        <v>124966.1644815872</v>
      </c>
      <c r="G7" s="14">
        <f>+([4]Main!$H$6-[4]Main!$H$5)*FX!C2</f>
        <v>12550.617600000001</v>
      </c>
      <c r="H7" s="14">
        <f t="shared" si="0"/>
        <v>137516.78208158721</v>
      </c>
      <c r="I7" s="15" t="s">
        <v>243</v>
      </c>
      <c r="J7" s="3"/>
      <c r="K7" s="3"/>
      <c r="L7" s="3"/>
      <c r="M7" s="3"/>
      <c r="N7" s="3"/>
      <c r="O7" s="3"/>
      <c r="P7" s="3"/>
      <c r="Q7" s="3"/>
      <c r="R7" s="3"/>
      <c r="S7" s="3" t="s">
        <v>264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5" x14ac:dyDescent="0.25">
      <c r="A8" s="11">
        <f t="shared" si="1"/>
        <v>5</v>
      </c>
      <c r="B8" s="12" t="s">
        <v>13</v>
      </c>
      <c r="C8" s="3" t="s">
        <v>14</v>
      </c>
      <c r="D8" s="3" t="s">
        <v>24</v>
      </c>
      <c r="E8" s="13">
        <f>+[5]Main!$H$2</f>
        <v>627.5</v>
      </c>
      <c r="F8" s="14">
        <f>+[5]Main!$H$5*FX!C3</f>
        <v>132772.605128675</v>
      </c>
      <c r="G8" s="14">
        <f>+([5]Main!$H$7-[5]Main!$H$6)*FX!C3</f>
        <v>-8594.32</v>
      </c>
      <c r="H8" s="14">
        <f t="shared" si="0"/>
        <v>124178.28512867499</v>
      </c>
      <c r="I8" s="30" t="s">
        <v>473</v>
      </c>
      <c r="J8" s="3"/>
      <c r="K8" s="3"/>
      <c r="L8" s="3"/>
      <c r="M8" s="3"/>
      <c r="N8" s="3"/>
      <c r="O8" s="3"/>
      <c r="P8" s="3"/>
      <c r="Q8" s="3"/>
      <c r="R8" s="3"/>
      <c r="S8" s="3" t="s">
        <v>262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x14ac:dyDescent="0.25">
      <c r="A9" s="11">
        <f t="shared" si="1"/>
        <v>6</v>
      </c>
      <c r="B9" s="12" t="s">
        <v>15</v>
      </c>
      <c r="C9" s="3" t="s">
        <v>16</v>
      </c>
      <c r="D9" s="3" t="s">
        <v>23</v>
      </c>
      <c r="E9" s="13">
        <f>+[6]Main!$I$2</f>
        <v>12800</v>
      </c>
      <c r="F9" s="14">
        <f>+[6]Main!$I$4*FX!C2</f>
        <v>106388.6848</v>
      </c>
      <c r="G9" s="14">
        <f>+([6]Main!$I$6-[6]Main!$I$5)*FX!C2</f>
        <v>-10152.16</v>
      </c>
      <c r="H9" s="14">
        <f t="shared" si="0"/>
        <v>96236.524799999999</v>
      </c>
      <c r="I9" s="15" t="s">
        <v>243</v>
      </c>
      <c r="J9" s="3"/>
      <c r="K9" s="3"/>
      <c r="L9" s="3"/>
      <c r="M9" s="3"/>
      <c r="N9" s="3"/>
      <c r="O9" s="3"/>
      <c r="P9" s="3"/>
      <c r="Q9" s="3"/>
      <c r="R9" s="3"/>
      <c r="S9" s="3" t="s">
        <v>264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5" x14ac:dyDescent="0.25">
      <c r="A10" s="11">
        <f t="shared" si="1"/>
        <v>7</v>
      </c>
      <c r="B10" s="12" t="s">
        <v>17</v>
      </c>
      <c r="C10" s="3" t="s">
        <v>18</v>
      </c>
      <c r="D10" s="3" t="s">
        <v>25</v>
      </c>
      <c r="E10" s="13">
        <f>+[7]Main!$I$2</f>
        <v>141.63</v>
      </c>
      <c r="F10" s="14">
        <f>+[7]Main!$I$4</f>
        <v>82151.979704910002</v>
      </c>
      <c r="G10" s="14">
        <f>+[7]Main!$I$6-[7]Main!$I$5</f>
        <v>1013.5080000000007</v>
      </c>
      <c r="H10" s="14">
        <f t="shared" si="0"/>
        <v>83165.487704910003</v>
      </c>
      <c r="I10" s="15" t="s">
        <v>245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45" x14ac:dyDescent="0.25">
      <c r="A11" s="11">
        <f t="shared" si="1"/>
        <v>8</v>
      </c>
      <c r="B11" s="3" t="s">
        <v>19</v>
      </c>
      <c r="C11" s="3" t="s">
        <v>20</v>
      </c>
      <c r="D11" s="3" t="s">
        <v>26</v>
      </c>
      <c r="E11" s="13"/>
      <c r="F11" s="14"/>
      <c r="G11" s="14"/>
      <c r="H11" s="14"/>
      <c r="I11" s="15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5" x14ac:dyDescent="0.25">
      <c r="A12" s="11">
        <f t="shared" si="1"/>
        <v>9</v>
      </c>
      <c r="B12" s="3" t="s">
        <v>27</v>
      </c>
      <c r="C12" s="3" t="s">
        <v>29</v>
      </c>
      <c r="D12" s="3" t="s">
        <v>28</v>
      </c>
      <c r="E12" s="13"/>
      <c r="F12" s="14"/>
      <c r="G12" s="14"/>
      <c r="H12" s="14"/>
      <c r="I12" s="1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x14ac:dyDescent="0.25">
      <c r="A13" s="11">
        <f t="shared" si="1"/>
        <v>10</v>
      </c>
      <c r="B13" s="3" t="s">
        <v>30</v>
      </c>
      <c r="C13" s="3" t="s">
        <v>31</v>
      </c>
      <c r="D13" s="3" t="s">
        <v>32</v>
      </c>
      <c r="E13" s="13"/>
      <c r="F13" s="14"/>
      <c r="G13" s="14"/>
      <c r="H13" s="14"/>
      <c r="I13" s="1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x14ac:dyDescent="0.25">
      <c r="A14" s="11">
        <f t="shared" si="1"/>
        <v>11</v>
      </c>
      <c r="B14" s="3" t="s">
        <v>33</v>
      </c>
      <c r="C14" s="3" t="s">
        <v>34</v>
      </c>
      <c r="D14" s="3" t="s">
        <v>35</v>
      </c>
      <c r="E14" s="13"/>
      <c r="F14" s="14"/>
      <c r="G14" s="14"/>
      <c r="H14" s="14"/>
      <c r="I14" s="15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x14ac:dyDescent="0.25">
      <c r="A15" s="11">
        <f t="shared" si="1"/>
        <v>12</v>
      </c>
      <c r="B15" s="12" t="s">
        <v>36</v>
      </c>
      <c r="C15" s="3" t="s">
        <v>37</v>
      </c>
      <c r="D15" s="3" t="s">
        <v>22</v>
      </c>
      <c r="E15" s="13">
        <f>+[8]Main!$I$2</f>
        <v>202.53</v>
      </c>
      <c r="F15" s="14">
        <f>+[8]Main!$I$4</f>
        <v>50674.485076589997</v>
      </c>
      <c r="G15" s="14">
        <f>+[8]Main!$I$6-[8]Main!$I$5</f>
        <v>-1230</v>
      </c>
      <c r="H15" s="14">
        <f>+F15+G15</f>
        <v>49444.485076589997</v>
      </c>
      <c r="I15" s="15" t="s">
        <v>475</v>
      </c>
      <c r="J15" s="17">
        <v>45958</v>
      </c>
      <c r="K15" s="3"/>
      <c r="L15" s="3"/>
      <c r="M15" s="3"/>
      <c r="N15" s="3"/>
      <c r="O15" s="3"/>
      <c r="P15" s="3"/>
      <c r="Q15" s="3"/>
      <c r="R15" s="3"/>
      <c r="S15" s="3" t="s">
        <v>265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x14ac:dyDescent="0.25">
      <c r="A16" s="11">
        <f t="shared" si="1"/>
        <v>13</v>
      </c>
      <c r="B16" s="12" t="s">
        <v>38</v>
      </c>
      <c r="C16" s="3" t="s">
        <v>39</v>
      </c>
      <c r="D16" s="3" t="s">
        <v>22</v>
      </c>
      <c r="E16" s="13">
        <f>+[9]Main!$H$2</f>
        <v>127.88</v>
      </c>
      <c r="F16" s="14">
        <f>+[9]Main!$H$4</f>
        <v>82486.819144840003</v>
      </c>
      <c r="G16" s="14">
        <f>+[9]Main!$H$6-[9]Main!$H$5</f>
        <v>-1634.819</v>
      </c>
      <c r="H16" s="14">
        <f>+F16+G16</f>
        <v>80852.00014484</v>
      </c>
      <c r="I16" s="30" t="s">
        <v>473</v>
      </c>
      <c r="J16" s="3"/>
      <c r="K16" s="3"/>
      <c r="L16" s="3"/>
      <c r="M16" s="3"/>
      <c r="N16" s="3"/>
      <c r="O16" s="3"/>
      <c r="P16" s="3"/>
      <c r="Q16" s="3"/>
      <c r="R16" s="3"/>
      <c r="S16" s="3" t="s">
        <v>265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x14ac:dyDescent="0.25">
      <c r="A17" s="11">
        <f t="shared" si="1"/>
        <v>14</v>
      </c>
      <c r="B17" s="12" t="s">
        <v>40</v>
      </c>
      <c r="C17" s="3" t="s">
        <v>41</v>
      </c>
      <c r="D17" s="3" t="s">
        <v>22</v>
      </c>
      <c r="E17" s="13">
        <f>+[10]Main!$G$2</f>
        <v>51.15</v>
      </c>
      <c r="F17" s="14">
        <f>+[10]Main!$G$4</f>
        <v>37085.089004699999</v>
      </c>
      <c r="G17" s="14">
        <f>+[10]Main!$G$6-[10]Main!$G$5</f>
        <v>9804</v>
      </c>
      <c r="H17" s="14">
        <f>+F17+G17</f>
        <v>46889.089004699999</v>
      </c>
      <c r="I17" s="15" t="s">
        <v>239</v>
      </c>
      <c r="J17" s="3"/>
      <c r="K17" s="3"/>
      <c r="L17" s="3"/>
      <c r="M17" s="3"/>
      <c r="N17" s="3"/>
      <c r="O17" s="3"/>
      <c r="P17" s="3"/>
      <c r="Q17" s="3"/>
      <c r="R17" s="3"/>
      <c r="S17" s="3" t="s">
        <v>266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x14ac:dyDescent="0.25">
      <c r="A18" s="11">
        <f t="shared" si="1"/>
        <v>15</v>
      </c>
      <c r="B18" s="12" t="s">
        <v>478</v>
      </c>
      <c r="C18" s="31" t="s">
        <v>479</v>
      </c>
      <c r="D18" s="31" t="s">
        <v>26</v>
      </c>
      <c r="E18" s="3">
        <f>+[11]Main!$I$2</f>
        <v>266.8</v>
      </c>
      <c r="F18" s="21">
        <f>+[11]Main!$I$4*FX!C6</f>
        <v>49644.39379200001</v>
      </c>
      <c r="G18" s="14">
        <f>+([11]Main!$I$6-[11]Main!$I$5)*FX!C6</f>
        <v>-1927.1995400000001</v>
      </c>
      <c r="H18" s="14">
        <f>+F18+G18</f>
        <v>47717.194252000008</v>
      </c>
      <c r="I18" s="32" t="s">
        <v>473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x14ac:dyDescent="0.25">
      <c r="A19" s="11">
        <f t="shared" si="1"/>
        <v>16</v>
      </c>
      <c r="B19" s="3" t="s">
        <v>42</v>
      </c>
      <c r="C19" s="3" t="s">
        <v>43</v>
      </c>
      <c r="D19" s="3" t="s">
        <v>23</v>
      </c>
      <c r="E19" s="3"/>
      <c r="F19" s="14"/>
      <c r="G19" s="14"/>
      <c r="H19" s="14"/>
      <c r="I19" s="1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x14ac:dyDescent="0.25">
      <c r="A20" s="11">
        <f t="shared" si="1"/>
        <v>17</v>
      </c>
      <c r="B20" s="12" t="s">
        <v>44</v>
      </c>
      <c r="C20" s="3" t="s">
        <v>45</v>
      </c>
      <c r="D20" s="3" t="s">
        <v>22</v>
      </c>
      <c r="E20" s="3">
        <f>+[12]Main!$L$3</f>
        <v>228.01</v>
      </c>
      <c r="F20" s="14">
        <f>+[12]Main!$L$5</f>
        <v>42061.053038120001</v>
      </c>
      <c r="G20" s="14">
        <f>+[12]Main!$L$7-[12]Main!$L$6</f>
        <v>1030</v>
      </c>
      <c r="H20" s="14">
        <f>+F20+G20</f>
        <v>43091.053038120001</v>
      </c>
      <c r="I20" s="15" t="s">
        <v>475</v>
      </c>
      <c r="J20" s="3"/>
      <c r="K20" s="3"/>
      <c r="L20" s="3"/>
      <c r="M20" s="3"/>
      <c r="N20" s="3"/>
      <c r="O20" s="3"/>
      <c r="P20" s="3"/>
      <c r="Q20" s="3"/>
      <c r="R20" s="3"/>
      <c r="S20" s="3" t="s">
        <v>265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45" x14ac:dyDescent="0.25">
      <c r="A21" s="11">
        <f t="shared" si="1"/>
        <v>18</v>
      </c>
      <c r="B21" s="12" t="s">
        <v>46</v>
      </c>
      <c r="C21" s="3" t="s">
        <v>47</v>
      </c>
      <c r="D21" s="3" t="s">
        <v>22</v>
      </c>
      <c r="E21" s="18">
        <f>+[13]Main!$H$2</f>
        <v>134.9</v>
      </c>
      <c r="F21" s="14">
        <f>+[13]Main!$H$4</f>
        <v>31344.512106500002</v>
      </c>
      <c r="G21" s="14">
        <f>+[13]Main!$H$6-[13]Main!$H$5</f>
        <v>764.97299999999996</v>
      </c>
      <c r="H21" s="14">
        <f>+F21+G21</f>
        <v>32109.485106500004</v>
      </c>
      <c r="I21" s="15" t="s">
        <v>239</v>
      </c>
      <c r="J21" s="3"/>
      <c r="K21" s="3"/>
      <c r="L21" s="3"/>
      <c r="M21" s="3"/>
      <c r="N21" s="3"/>
      <c r="O21" s="3"/>
      <c r="P21" s="3"/>
      <c r="Q21" s="3"/>
      <c r="R21" s="3"/>
      <c r="S21" s="3" t="s">
        <v>267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45" x14ac:dyDescent="0.25">
      <c r="A22" s="11">
        <f t="shared" si="1"/>
        <v>19</v>
      </c>
      <c r="B22" s="12" t="s">
        <v>48</v>
      </c>
      <c r="C22" s="3" t="s">
        <v>49</v>
      </c>
      <c r="D22" s="3" t="s">
        <v>50</v>
      </c>
      <c r="E22" s="3">
        <f>+[14]Main!$I$2</f>
        <v>66.67</v>
      </c>
      <c r="F22" s="14">
        <f>+[14]Main!$I$4*FX!C5</f>
        <v>26732.303286336904</v>
      </c>
      <c r="G22" s="14">
        <f>+([14]Main!$I$6-[14]Main!$I$5)*FX!C5</f>
        <v>718.45199999999988</v>
      </c>
      <c r="H22" s="14">
        <f>+F22+G22</f>
        <v>27450.755286336906</v>
      </c>
      <c r="I22" s="15" t="s">
        <v>245</v>
      </c>
      <c r="J22" s="3"/>
      <c r="K22" s="3"/>
      <c r="L22" s="3"/>
      <c r="M22" s="3"/>
      <c r="N22" s="3"/>
      <c r="O22" s="3"/>
      <c r="P22" s="3"/>
      <c r="Q22" s="3"/>
      <c r="R22" s="3"/>
      <c r="S22" s="3" t="s">
        <v>278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45" x14ac:dyDescent="0.25">
      <c r="A23" s="11">
        <f t="shared" si="1"/>
        <v>20</v>
      </c>
      <c r="B23" s="12" t="s">
        <v>51</v>
      </c>
      <c r="C23" s="3" t="s">
        <v>52</v>
      </c>
      <c r="D23" s="3" t="s">
        <v>22</v>
      </c>
      <c r="E23" s="3">
        <f>+[15]Main!$H$2</f>
        <v>25.88</v>
      </c>
      <c r="F23" s="14">
        <f>+[15]Main!$H$4</f>
        <v>64072.986658159993</v>
      </c>
      <c r="G23" s="14">
        <f>+[15]Main!$H$6-[15]Main!$H$5</f>
        <v>29744</v>
      </c>
      <c r="H23" s="14">
        <f>+F23+G23</f>
        <v>93816.986658159993</v>
      </c>
      <c r="I23" s="15" t="s">
        <v>473</v>
      </c>
      <c r="J23" s="17">
        <v>45967</v>
      </c>
      <c r="K23" s="3"/>
      <c r="L23" s="3"/>
      <c r="M23" s="3"/>
      <c r="N23" s="3"/>
      <c r="O23" s="3"/>
      <c r="P23" s="3"/>
      <c r="Q23" s="3"/>
      <c r="R23" s="3"/>
      <c r="S23" s="3" t="s">
        <v>268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45" x14ac:dyDescent="0.25">
      <c r="A24" s="11">
        <f t="shared" si="1"/>
        <v>21</v>
      </c>
      <c r="B24" s="12" t="s">
        <v>54</v>
      </c>
      <c r="C24" s="3" t="s">
        <v>55</v>
      </c>
      <c r="D24" s="3" t="s">
        <v>22</v>
      </c>
      <c r="E24" s="3">
        <f>+[16]Main!$G$3</f>
        <v>95</v>
      </c>
      <c r="F24" s="14">
        <f>+[16]Main!$G$5</f>
        <v>23679.881450000001</v>
      </c>
      <c r="G24" s="14">
        <f>+[16]Main!$G$7-[16]Main!$G$6</f>
        <v>1592</v>
      </c>
      <c r="H24" s="14">
        <f>+F24+G24</f>
        <v>25271.881450000001</v>
      </c>
      <c r="I24" s="15" t="s">
        <v>245</v>
      </c>
      <c r="J24" s="3"/>
      <c r="K24" s="3"/>
      <c r="L24" s="3"/>
      <c r="M24" s="3"/>
      <c r="N24" s="3"/>
      <c r="O24" s="3"/>
      <c r="P24" s="3"/>
      <c r="Q24" s="3"/>
      <c r="R24" s="3"/>
      <c r="S24" s="3" t="s">
        <v>269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45" x14ac:dyDescent="0.25">
      <c r="A25" s="11">
        <f t="shared" si="1"/>
        <v>22</v>
      </c>
      <c r="B25" s="3" t="s">
        <v>56</v>
      </c>
      <c r="C25" s="3" t="s">
        <v>57</v>
      </c>
      <c r="D25" s="3" t="s">
        <v>26</v>
      </c>
      <c r="E25" s="3"/>
      <c r="F25" s="14"/>
      <c r="G25" s="14"/>
      <c r="H25" s="14"/>
      <c r="I25" s="1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45" x14ac:dyDescent="0.25">
      <c r="A26" s="11">
        <f t="shared" si="1"/>
        <v>23</v>
      </c>
      <c r="B26" s="12" t="s">
        <v>58</v>
      </c>
      <c r="C26" s="3" t="s">
        <v>59</v>
      </c>
      <c r="D26" s="3" t="s">
        <v>22</v>
      </c>
      <c r="E26" s="3">
        <f>+[17]Main!$G$2</f>
        <v>45.96</v>
      </c>
      <c r="F26" s="14">
        <f>+[17]Main!$G$4</f>
        <v>22817.764463160001</v>
      </c>
      <c r="G26" s="14">
        <f>+[17]Main!$G$6-[17]Main!$G$5</f>
        <v>-669.26499999999999</v>
      </c>
      <c r="H26" s="14">
        <f>+F26+G26</f>
        <v>22148.499463160002</v>
      </c>
      <c r="I26" s="15" t="s">
        <v>473</v>
      </c>
      <c r="J26" s="3"/>
      <c r="K26" s="3"/>
      <c r="L26" s="3"/>
      <c r="M26" s="3"/>
      <c r="N26" s="3"/>
      <c r="O26" s="3"/>
      <c r="P26" s="3"/>
      <c r="Q26" s="3"/>
      <c r="R26" s="3"/>
      <c r="S26" s="3" t="s">
        <v>266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 x14ac:dyDescent="0.25">
      <c r="A27" s="11">
        <f t="shared" si="1"/>
        <v>24</v>
      </c>
      <c r="B27" s="12" t="s">
        <v>60</v>
      </c>
      <c r="C27" s="3" t="s">
        <v>61</v>
      </c>
      <c r="D27" s="3" t="s">
        <v>22</v>
      </c>
      <c r="E27" s="3">
        <f>+[18]Main!$H$2</f>
        <v>33.81</v>
      </c>
      <c r="F27" s="14">
        <f>+[18]Main!$H$4</f>
        <v>17624.033178990001</v>
      </c>
      <c r="G27" s="14">
        <f>+[18]Main!$H$6-[18]Main!$H$5</f>
        <v>3836</v>
      </c>
      <c r="H27" s="14">
        <f>+F27+G27</f>
        <v>21460.033178990001</v>
      </c>
      <c r="I27" s="15" t="s">
        <v>241</v>
      </c>
      <c r="J27" s="3"/>
      <c r="K27" s="3"/>
      <c r="L27" s="3"/>
      <c r="M27" s="3"/>
      <c r="N27" s="3"/>
      <c r="O27" s="3"/>
      <c r="P27" s="3"/>
      <c r="Q27" s="3"/>
      <c r="R27" s="3"/>
      <c r="S27" s="3" t="s">
        <v>270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1:45" x14ac:dyDescent="0.25">
      <c r="A28" s="11">
        <f t="shared" si="1"/>
        <v>25</v>
      </c>
      <c r="B28" s="3" t="s">
        <v>62</v>
      </c>
      <c r="C28" s="3" t="s">
        <v>63</v>
      </c>
      <c r="D28" s="3" t="s">
        <v>24</v>
      </c>
      <c r="E28" s="3"/>
      <c r="F28" s="14"/>
      <c r="G28" s="14"/>
      <c r="H28" s="14"/>
      <c r="I28" s="1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45" x14ac:dyDescent="0.25">
      <c r="A29" s="11">
        <f t="shared" si="1"/>
        <v>26</v>
      </c>
      <c r="B29" s="12" t="s">
        <v>64</v>
      </c>
      <c r="C29" s="3" t="s">
        <v>65</v>
      </c>
      <c r="D29" s="3" t="s">
        <v>23</v>
      </c>
      <c r="E29" s="19">
        <f>+[19]Main!$I$2</f>
        <v>5241</v>
      </c>
      <c r="F29" s="14">
        <f>+[19]Main!$I$4*FX!C2</f>
        <v>21944.563863571202</v>
      </c>
      <c r="G29" s="14">
        <f>+([19]Main!$I$6-[19]Main!$I$5)*FX!C2</f>
        <v>-2059.9551999999999</v>
      </c>
      <c r="H29" s="14">
        <f>+F29+G29</f>
        <v>19884.608663571202</v>
      </c>
      <c r="I29" s="1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 x14ac:dyDescent="0.25">
      <c r="A30" s="11">
        <f t="shared" si="1"/>
        <v>27</v>
      </c>
      <c r="B30" s="12" t="s">
        <v>66</v>
      </c>
      <c r="C30" s="3" t="s">
        <v>68</v>
      </c>
      <c r="D30" s="3" t="s">
        <v>23</v>
      </c>
      <c r="E30" s="19">
        <f>+[20]Main!$I$2</f>
        <v>16735</v>
      </c>
      <c r="F30" s="14">
        <f>+[20]Main!$I$4*FX!C2</f>
        <v>14518.749837375999</v>
      </c>
      <c r="G30" s="14">
        <f>+([20]Main!$I$6-[20]Main!$I$5)*FX!C2</f>
        <v>-1445.152</v>
      </c>
      <c r="H30" s="14">
        <f>+F30+G30</f>
        <v>13073.597837375999</v>
      </c>
      <c r="I30" s="15" t="s">
        <v>276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45" x14ac:dyDescent="0.25">
      <c r="A31" s="11">
        <f t="shared" si="1"/>
        <v>28</v>
      </c>
      <c r="B31" s="3" t="s">
        <v>67</v>
      </c>
      <c r="C31" s="3" t="s">
        <v>69</v>
      </c>
      <c r="D31" s="3" t="s">
        <v>23</v>
      </c>
      <c r="E31" s="3"/>
      <c r="F31" s="14"/>
      <c r="G31" s="14"/>
      <c r="H31" s="14"/>
      <c r="I31" s="1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45" x14ac:dyDescent="0.25">
      <c r="A32" s="11">
        <f t="shared" si="1"/>
        <v>29</v>
      </c>
      <c r="B32" s="12" t="s">
        <v>70</v>
      </c>
      <c r="C32" s="3" t="s">
        <v>71</v>
      </c>
      <c r="D32" s="3" t="s">
        <v>22</v>
      </c>
      <c r="E32" s="3">
        <f>+[21]Main!$J$2</f>
        <v>184.82</v>
      </c>
      <c r="F32" s="14">
        <f>+[21]Main!$J$4</f>
        <v>15180.539270520001</v>
      </c>
      <c r="G32" s="14">
        <f>+[21]Main!$J$6-[21]Main!$J$5</f>
        <v>2214.2530000000002</v>
      </c>
      <c r="H32" s="14">
        <f>+F32+G32</f>
        <v>17394.79227052</v>
      </c>
      <c r="I32" s="15" t="s">
        <v>473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45" x14ac:dyDescent="0.25">
      <c r="A33" s="11">
        <f t="shared" si="1"/>
        <v>30</v>
      </c>
      <c r="B33" s="3" t="s">
        <v>72</v>
      </c>
      <c r="C33" s="3" t="s">
        <v>73</v>
      </c>
      <c r="D33" s="3" t="s">
        <v>22</v>
      </c>
      <c r="E33" s="3"/>
      <c r="F33" s="14"/>
      <c r="G33" s="14"/>
      <c r="H33" s="14"/>
      <c r="I33" s="1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1:45" x14ac:dyDescent="0.25">
      <c r="A34" s="11">
        <f t="shared" si="1"/>
        <v>31</v>
      </c>
      <c r="B34" s="3" t="s">
        <v>74</v>
      </c>
      <c r="C34" s="3" t="s">
        <v>75</v>
      </c>
      <c r="D34" s="3" t="s">
        <v>22</v>
      </c>
      <c r="E34" s="3"/>
      <c r="F34" s="14"/>
      <c r="G34" s="14"/>
      <c r="H34" s="14"/>
      <c r="I34" s="15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 x14ac:dyDescent="0.25">
      <c r="A35" s="11">
        <f t="shared" si="1"/>
        <v>32</v>
      </c>
      <c r="B35" s="3" t="s">
        <v>76</v>
      </c>
      <c r="C35" s="3" t="s">
        <v>77</v>
      </c>
      <c r="D35" s="3" t="s">
        <v>22</v>
      </c>
      <c r="E35" s="3"/>
      <c r="F35" s="14"/>
      <c r="G35" s="14"/>
      <c r="H35" s="14"/>
      <c r="I35" s="15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45" x14ac:dyDescent="0.25">
      <c r="A36" s="11">
        <f t="shared" si="1"/>
        <v>33</v>
      </c>
      <c r="B36" s="3" t="s">
        <v>79</v>
      </c>
      <c r="C36" s="3" t="s">
        <v>80</v>
      </c>
      <c r="D36" s="3" t="s">
        <v>22</v>
      </c>
      <c r="E36" s="3"/>
      <c r="F36" s="14"/>
      <c r="G36" s="14"/>
      <c r="H36" s="14"/>
      <c r="I36" s="1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 x14ac:dyDescent="0.25">
      <c r="A37" s="11">
        <f t="shared" si="1"/>
        <v>34</v>
      </c>
      <c r="B37" s="3" t="s">
        <v>78</v>
      </c>
      <c r="C37" s="3" t="s">
        <v>81</v>
      </c>
      <c r="D37" s="3" t="s">
        <v>82</v>
      </c>
      <c r="E37" s="3"/>
      <c r="F37" s="14"/>
      <c r="G37" s="14"/>
      <c r="H37" s="14"/>
      <c r="I37" s="15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45" x14ac:dyDescent="0.25">
      <c r="A38" s="11">
        <f t="shared" si="1"/>
        <v>35</v>
      </c>
      <c r="B38" s="3" t="s">
        <v>83</v>
      </c>
      <c r="C38" s="3" t="s">
        <v>84</v>
      </c>
      <c r="D38" s="3" t="s">
        <v>85</v>
      </c>
      <c r="E38" s="3"/>
      <c r="F38" s="14"/>
      <c r="G38" s="14"/>
      <c r="H38" s="14"/>
      <c r="I38" s="1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45" x14ac:dyDescent="0.25">
      <c r="A39" s="11">
        <f t="shared" si="1"/>
        <v>36</v>
      </c>
      <c r="B39" s="12" t="s">
        <v>86</v>
      </c>
      <c r="C39" s="3" t="s">
        <v>87</v>
      </c>
      <c r="D39" s="3" t="s">
        <v>22</v>
      </c>
      <c r="E39" s="3">
        <f>+[22]Main!$H$2</f>
        <v>65.319999999999993</v>
      </c>
      <c r="F39" s="14">
        <f>+[22]Main!$H$4</f>
        <v>9114.1865409199982</v>
      </c>
      <c r="G39" s="14">
        <f>+[22]Main!$H$6-[22]Main!$H$5</f>
        <v>2685.8</v>
      </c>
      <c r="H39" s="14">
        <f>+F39+G39</f>
        <v>11799.986540919999</v>
      </c>
      <c r="I39" s="15" t="s">
        <v>245</v>
      </c>
      <c r="J39" s="3"/>
      <c r="K39" s="3"/>
      <c r="L39" s="3"/>
      <c r="M39" s="3"/>
      <c r="N39" s="3"/>
      <c r="O39" s="3"/>
      <c r="P39" s="3"/>
      <c r="Q39" s="3"/>
      <c r="R39" s="3"/>
      <c r="S39" s="3" t="s">
        <v>271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 x14ac:dyDescent="0.25">
      <c r="A40" s="11">
        <f t="shared" si="1"/>
        <v>37</v>
      </c>
      <c r="B40" s="3" t="s">
        <v>88</v>
      </c>
      <c r="C40" s="3" t="s">
        <v>89</v>
      </c>
      <c r="D40" s="3" t="s">
        <v>22</v>
      </c>
      <c r="E40" s="3"/>
      <c r="F40" s="14"/>
      <c r="G40" s="14"/>
      <c r="H40" s="14"/>
      <c r="I40" s="15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 x14ac:dyDescent="0.25">
      <c r="A41" s="11">
        <f t="shared" si="1"/>
        <v>38</v>
      </c>
      <c r="B41" s="12" t="s">
        <v>90</v>
      </c>
      <c r="C41" s="3" t="s">
        <v>474</v>
      </c>
      <c r="D41" s="3" t="s">
        <v>22</v>
      </c>
      <c r="E41" s="3">
        <f>+[23]Main!$I$2</f>
        <v>13.8</v>
      </c>
      <c r="F41" s="14">
        <f>+[23]Main!$I$4</f>
        <v>9315</v>
      </c>
      <c r="G41" s="14">
        <f>+[23]Main!$I$6-[23]Main!$I$5</f>
        <v>11775</v>
      </c>
      <c r="H41" s="14">
        <f>+F41+G41</f>
        <v>21090</v>
      </c>
      <c r="I41" s="33" t="s">
        <v>473</v>
      </c>
      <c r="J41" s="3"/>
      <c r="K41" s="3"/>
      <c r="L41" s="3"/>
      <c r="M41" s="3"/>
      <c r="N41" s="3"/>
      <c r="O41" s="3"/>
      <c r="P41" s="3"/>
      <c r="Q41" s="3"/>
      <c r="R41" s="3"/>
      <c r="S41" s="3" t="s">
        <v>273</v>
      </c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 x14ac:dyDescent="0.25">
      <c r="A42" s="11">
        <f t="shared" si="1"/>
        <v>39</v>
      </c>
      <c r="B42" s="3" t="s">
        <v>92</v>
      </c>
      <c r="C42" s="3" t="s">
        <v>93</v>
      </c>
      <c r="D42" s="3" t="s">
        <v>94</v>
      </c>
      <c r="E42" s="3"/>
      <c r="F42" s="14"/>
      <c r="G42" s="14"/>
      <c r="H42" s="14"/>
      <c r="I42" s="15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 x14ac:dyDescent="0.25">
      <c r="A43" s="11">
        <f t="shared" si="1"/>
        <v>40</v>
      </c>
      <c r="B43" s="3" t="s">
        <v>95</v>
      </c>
      <c r="C43" s="3" t="s">
        <v>96</v>
      </c>
      <c r="D43" s="3" t="s">
        <v>22</v>
      </c>
      <c r="E43" s="3"/>
      <c r="F43" s="14"/>
      <c r="G43" s="14"/>
      <c r="H43" s="14"/>
      <c r="I43" s="15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 x14ac:dyDescent="0.25">
      <c r="A44" s="11">
        <f t="shared" si="1"/>
        <v>41</v>
      </c>
      <c r="B44" s="3" t="s">
        <v>97</v>
      </c>
      <c r="C44" s="3" t="s">
        <v>98</v>
      </c>
      <c r="D44" s="3" t="s">
        <v>25</v>
      </c>
      <c r="E44" s="3"/>
      <c r="F44" s="14"/>
      <c r="G44" s="14"/>
      <c r="H44" s="14"/>
      <c r="I44" s="15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x14ac:dyDescent="0.25">
      <c r="A45" s="11">
        <f t="shared" si="1"/>
        <v>42</v>
      </c>
      <c r="B45" s="3" t="s">
        <v>99</v>
      </c>
      <c r="C45" s="3" t="s">
        <v>100</v>
      </c>
      <c r="D45" s="3" t="s">
        <v>23</v>
      </c>
      <c r="E45" s="3"/>
      <c r="F45" s="14"/>
      <c r="G45" s="14"/>
      <c r="H45" s="14"/>
      <c r="I45" s="1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 x14ac:dyDescent="0.25">
      <c r="A46" s="11">
        <f t="shared" si="1"/>
        <v>43</v>
      </c>
      <c r="B46" s="3" t="s">
        <v>101</v>
      </c>
      <c r="C46" s="3" t="s">
        <v>102</v>
      </c>
      <c r="D46" s="3" t="s">
        <v>26</v>
      </c>
      <c r="E46" s="3"/>
      <c r="F46" s="14"/>
      <c r="G46" s="14"/>
      <c r="H46" s="14"/>
      <c r="I46" s="15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 x14ac:dyDescent="0.25">
      <c r="A47" s="11">
        <f t="shared" si="1"/>
        <v>44</v>
      </c>
      <c r="B47" s="12" t="s">
        <v>103</v>
      </c>
      <c r="C47" s="3" t="s">
        <v>104</v>
      </c>
      <c r="D47" s="3" t="s">
        <v>22</v>
      </c>
      <c r="E47" s="3">
        <f>+[24]Main!$I$2</f>
        <v>77.77</v>
      </c>
      <c r="F47" s="14">
        <f>+[24]Main!$I$4</f>
        <v>6330.7175316000003</v>
      </c>
      <c r="G47" s="14">
        <f>+[24]Main!$I$6-[24]Main!$I$5</f>
        <v>3205.0709999999999</v>
      </c>
      <c r="H47" s="14">
        <f>+F47+G47</f>
        <v>9535.7885315999993</v>
      </c>
      <c r="I47" s="15" t="s">
        <v>260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 x14ac:dyDescent="0.25">
      <c r="A48" s="11">
        <f t="shared" si="1"/>
        <v>45</v>
      </c>
      <c r="B48" s="3" t="s">
        <v>105</v>
      </c>
      <c r="C48" s="3" t="s">
        <v>106</v>
      </c>
      <c r="D48" s="3" t="s">
        <v>22</v>
      </c>
      <c r="E48" s="3"/>
      <c r="F48" s="14"/>
      <c r="G48" s="14"/>
      <c r="H48" s="14"/>
      <c r="I48" s="15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45" x14ac:dyDescent="0.25">
      <c r="A49" s="11">
        <f t="shared" si="1"/>
        <v>46</v>
      </c>
      <c r="B49" s="3" t="s">
        <v>107</v>
      </c>
      <c r="C49" s="3" t="s">
        <v>108</v>
      </c>
      <c r="D49" s="3" t="s">
        <v>22</v>
      </c>
      <c r="E49" s="3"/>
      <c r="F49" s="14"/>
      <c r="G49" s="14"/>
      <c r="H49" s="14"/>
      <c r="I49" s="15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5" x14ac:dyDescent="0.25">
      <c r="A50" s="11">
        <f t="shared" si="1"/>
        <v>47</v>
      </c>
      <c r="B50" s="12" t="s">
        <v>109</v>
      </c>
      <c r="C50" s="3" t="s">
        <v>110</v>
      </c>
      <c r="D50" s="3" t="s">
        <v>22</v>
      </c>
      <c r="E50" s="3">
        <f>+[25]Main!$G$2</f>
        <v>17.309999999999999</v>
      </c>
      <c r="F50" s="14">
        <f>+[25]Main!$G$4</f>
        <v>5750.3819999999996</v>
      </c>
      <c r="G50" s="14">
        <f>+[25]Main!$G$6-[25]Main!$G$5</f>
        <v>1466.0810000000004</v>
      </c>
      <c r="H50" s="14">
        <f>+F50+G50</f>
        <v>7216.4629999999997</v>
      </c>
      <c r="I50" s="33" t="s">
        <v>473</v>
      </c>
      <c r="J50" s="3"/>
      <c r="K50" s="3"/>
      <c r="L50" s="3"/>
      <c r="M50" s="3"/>
      <c r="N50" s="3"/>
      <c r="O50" s="3"/>
      <c r="P50" s="3"/>
      <c r="Q50" s="3"/>
      <c r="R50" s="3"/>
      <c r="S50" s="3" t="s">
        <v>274</v>
      </c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45" x14ac:dyDescent="0.25">
      <c r="A51" s="11">
        <f t="shared" si="1"/>
        <v>48</v>
      </c>
      <c r="B51" s="3" t="s">
        <v>111</v>
      </c>
      <c r="C51" s="3" t="s">
        <v>112</v>
      </c>
      <c r="D51" s="3" t="s">
        <v>113</v>
      </c>
      <c r="E51" s="3"/>
      <c r="F51" s="14"/>
      <c r="G51" s="14"/>
      <c r="H51" s="14"/>
      <c r="I51" s="15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5" x14ac:dyDescent="0.25">
      <c r="A52" s="11">
        <f t="shared" si="1"/>
        <v>49</v>
      </c>
      <c r="B52" s="3" t="s">
        <v>114</v>
      </c>
      <c r="C52" s="3" t="s">
        <v>115</v>
      </c>
      <c r="D52" s="3" t="s">
        <v>26</v>
      </c>
      <c r="E52" s="3"/>
      <c r="F52" s="14"/>
      <c r="G52" s="14"/>
      <c r="H52" s="14"/>
      <c r="I52" s="15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45" x14ac:dyDescent="0.25">
      <c r="A53" s="11">
        <f t="shared" si="1"/>
        <v>50</v>
      </c>
      <c r="B53" s="3" t="s">
        <v>116</v>
      </c>
      <c r="C53" s="3" t="s">
        <v>117</v>
      </c>
      <c r="D53" s="3" t="s">
        <v>118</v>
      </c>
      <c r="E53" s="3"/>
      <c r="F53" s="14"/>
      <c r="G53" s="14"/>
      <c r="H53" s="14"/>
      <c r="I53" s="15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45" x14ac:dyDescent="0.25">
      <c r="A54" s="11">
        <f t="shared" si="1"/>
        <v>51</v>
      </c>
      <c r="B54" s="3" t="s">
        <v>231</v>
      </c>
      <c r="C54" s="3" t="s">
        <v>232</v>
      </c>
      <c r="D54" s="3" t="s">
        <v>121</v>
      </c>
      <c r="E54" s="3"/>
      <c r="F54" s="14"/>
      <c r="G54" s="14"/>
      <c r="H54" s="14"/>
      <c r="I54" s="15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 x14ac:dyDescent="0.25">
      <c r="A55" s="11">
        <f t="shared" si="1"/>
        <v>52</v>
      </c>
      <c r="B55" s="3" t="s">
        <v>119</v>
      </c>
      <c r="C55" s="20" t="s">
        <v>120</v>
      </c>
      <c r="D55" s="3" t="s">
        <v>121</v>
      </c>
      <c r="E55" s="3"/>
      <c r="F55" s="14"/>
      <c r="G55" s="14"/>
      <c r="H55" s="14"/>
      <c r="I55" s="15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45" x14ac:dyDescent="0.25">
      <c r="A56" s="11">
        <f t="shared" si="1"/>
        <v>53</v>
      </c>
      <c r="B56" s="3" t="s">
        <v>122</v>
      </c>
      <c r="C56" s="3" t="s">
        <v>123</v>
      </c>
      <c r="D56" s="3" t="s">
        <v>124</v>
      </c>
      <c r="E56" s="3"/>
      <c r="F56" s="14"/>
      <c r="G56" s="14"/>
      <c r="H56" s="14"/>
      <c r="I56" s="15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5" x14ac:dyDescent="0.25">
      <c r="A57" s="11">
        <f t="shared" si="1"/>
        <v>54</v>
      </c>
      <c r="B57" s="12" t="s">
        <v>125</v>
      </c>
      <c r="C57" s="3" t="s">
        <v>126</v>
      </c>
      <c r="D57" s="3" t="s">
        <v>22</v>
      </c>
      <c r="E57" s="3">
        <f>+[26]Main!$I$2</f>
        <v>183.2</v>
      </c>
      <c r="F57" s="14">
        <f>+[26]Main!$I$4</f>
        <v>5589.2865391999994</v>
      </c>
      <c r="G57" s="14">
        <f>+[26]Main!$I$6-[26]Main!$I$5</f>
        <v>6379</v>
      </c>
      <c r="H57" s="14">
        <f>+F57+G57</f>
        <v>11968.286539199999</v>
      </c>
      <c r="I57" s="15" t="s">
        <v>245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45" x14ac:dyDescent="0.25">
      <c r="A58" s="11">
        <f t="shared" si="1"/>
        <v>55</v>
      </c>
      <c r="B58" s="3" t="s">
        <v>128</v>
      </c>
      <c r="C58" s="3" t="s">
        <v>129</v>
      </c>
      <c r="D58" s="3" t="s">
        <v>127</v>
      </c>
      <c r="E58" s="3"/>
      <c r="F58" s="14"/>
      <c r="G58" s="14"/>
      <c r="H58" s="14"/>
      <c r="I58" s="15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45" x14ac:dyDescent="0.25">
      <c r="A59" s="11">
        <f t="shared" si="1"/>
        <v>56</v>
      </c>
      <c r="B59" s="3" t="s">
        <v>130</v>
      </c>
      <c r="C59" s="3" t="s">
        <v>131</v>
      </c>
      <c r="D59" s="3" t="s">
        <v>22</v>
      </c>
      <c r="E59" s="3"/>
      <c r="F59" s="14"/>
      <c r="G59" s="14"/>
      <c r="H59" s="14"/>
      <c r="I59" s="15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45" x14ac:dyDescent="0.25">
      <c r="A60" s="11">
        <f t="shared" si="1"/>
        <v>57</v>
      </c>
      <c r="B60" s="3" t="s">
        <v>132</v>
      </c>
      <c r="C60" s="20" t="s">
        <v>133</v>
      </c>
      <c r="D60" s="3" t="s">
        <v>26</v>
      </c>
      <c r="E60" s="3"/>
      <c r="F60" s="14"/>
      <c r="G60" s="14"/>
      <c r="H60" s="14"/>
      <c r="I60" s="15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45" x14ac:dyDescent="0.25">
      <c r="A61" s="11">
        <f t="shared" si="1"/>
        <v>58</v>
      </c>
      <c r="B61" s="3" t="s">
        <v>134</v>
      </c>
      <c r="C61" s="3" t="s">
        <v>135</v>
      </c>
      <c r="D61" s="3" t="s">
        <v>22</v>
      </c>
      <c r="E61" s="3"/>
      <c r="F61" s="14"/>
      <c r="G61" s="14"/>
      <c r="H61" s="14"/>
      <c r="I61" s="15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1:45" x14ac:dyDescent="0.25">
      <c r="A62" s="11">
        <f t="shared" si="1"/>
        <v>59</v>
      </c>
      <c r="B62" s="3" t="s">
        <v>136</v>
      </c>
      <c r="C62" s="3" t="s">
        <v>137</v>
      </c>
      <c r="D62" s="3" t="s">
        <v>35</v>
      </c>
      <c r="E62" s="3"/>
      <c r="F62" s="14"/>
      <c r="G62" s="14"/>
      <c r="H62" s="14"/>
      <c r="I62" s="15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1:45" x14ac:dyDescent="0.25">
      <c r="A63" s="11">
        <f t="shared" si="1"/>
        <v>60</v>
      </c>
      <c r="B63" s="3" t="s">
        <v>139</v>
      </c>
      <c r="C63" s="3" t="s">
        <v>140</v>
      </c>
      <c r="D63" s="3" t="s">
        <v>23</v>
      </c>
      <c r="E63" s="3"/>
      <c r="F63" s="14"/>
      <c r="G63" s="14"/>
      <c r="H63" s="14"/>
      <c r="I63" s="15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45" x14ac:dyDescent="0.25">
      <c r="A64" s="11">
        <f t="shared" si="1"/>
        <v>61</v>
      </c>
      <c r="B64" s="3" t="s">
        <v>141</v>
      </c>
      <c r="C64" s="3" t="s">
        <v>142</v>
      </c>
      <c r="D64" s="3" t="s">
        <v>23</v>
      </c>
      <c r="E64" s="3"/>
      <c r="F64" s="14"/>
      <c r="G64" s="14"/>
      <c r="H64" s="14"/>
      <c r="I64" s="15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45" x14ac:dyDescent="0.25">
      <c r="A65" s="11">
        <f t="shared" si="1"/>
        <v>62</v>
      </c>
      <c r="B65" s="3" t="s">
        <v>143</v>
      </c>
      <c r="C65" s="20" t="s">
        <v>144</v>
      </c>
      <c r="D65" s="3" t="s">
        <v>26</v>
      </c>
      <c r="E65" s="3"/>
      <c r="F65" s="14"/>
      <c r="G65" s="14"/>
      <c r="H65" s="14"/>
      <c r="I65" s="15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spans="1:45" x14ac:dyDescent="0.25">
      <c r="A66" s="11">
        <f t="shared" si="1"/>
        <v>63</v>
      </c>
      <c r="B66" s="3" t="s">
        <v>145</v>
      </c>
      <c r="C66" s="3" t="s">
        <v>146</v>
      </c>
      <c r="D66" s="3" t="s">
        <v>22</v>
      </c>
      <c r="E66" s="3"/>
      <c r="F66" s="14"/>
      <c r="G66" s="14"/>
      <c r="H66" s="14"/>
      <c r="I66" s="15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45" x14ac:dyDescent="0.25">
      <c r="A67" s="11">
        <f t="shared" si="1"/>
        <v>64</v>
      </c>
      <c r="B67" s="3" t="s">
        <v>147</v>
      </c>
      <c r="C67" s="3" t="s">
        <v>148</v>
      </c>
      <c r="D67" s="3" t="s">
        <v>23</v>
      </c>
      <c r="E67" s="3"/>
      <c r="F67" s="14"/>
      <c r="G67" s="14"/>
      <c r="H67" s="14"/>
      <c r="I67" s="15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45" x14ac:dyDescent="0.25">
      <c r="A68" s="11">
        <f t="shared" si="1"/>
        <v>65</v>
      </c>
      <c r="B68" s="3" t="s">
        <v>149</v>
      </c>
      <c r="C68" s="3" t="s">
        <v>150</v>
      </c>
      <c r="D68" s="3" t="s">
        <v>24</v>
      </c>
      <c r="E68" s="3"/>
      <c r="F68" s="14"/>
      <c r="G68" s="14"/>
      <c r="H68" s="14"/>
      <c r="I68" s="15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</row>
    <row r="69" spans="1:45" x14ac:dyDescent="0.25">
      <c r="A69" s="11">
        <f t="shared" si="1"/>
        <v>66</v>
      </c>
      <c r="B69" s="3" t="s">
        <v>151</v>
      </c>
      <c r="C69" s="3" t="s">
        <v>152</v>
      </c>
      <c r="D69" s="3" t="s">
        <v>153</v>
      </c>
      <c r="E69" s="3"/>
      <c r="F69" s="14"/>
      <c r="G69" s="14"/>
      <c r="H69" s="14"/>
      <c r="I69" s="15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</row>
    <row r="70" spans="1:45" x14ac:dyDescent="0.25">
      <c r="A70" s="11">
        <f t="shared" si="1"/>
        <v>67</v>
      </c>
      <c r="B70" s="3" t="s">
        <v>154</v>
      </c>
      <c r="C70" s="3" t="s">
        <v>155</v>
      </c>
      <c r="D70" s="3" t="s">
        <v>23</v>
      </c>
      <c r="E70" s="3"/>
      <c r="F70" s="14"/>
      <c r="G70" s="14"/>
      <c r="H70" s="14"/>
      <c r="I70" s="15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</row>
    <row r="71" spans="1:45" x14ac:dyDescent="0.25">
      <c r="A71" s="11">
        <f t="shared" ref="A71:A113" si="2">+A70+1</f>
        <v>68</v>
      </c>
      <c r="B71" s="3" t="s">
        <v>156</v>
      </c>
      <c r="C71" s="20" t="s">
        <v>157</v>
      </c>
      <c r="D71" s="3" t="s">
        <v>26</v>
      </c>
      <c r="E71" s="3"/>
      <c r="F71" s="14"/>
      <c r="G71" s="14"/>
      <c r="H71" s="14"/>
      <c r="I71" s="15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</row>
    <row r="72" spans="1:45" x14ac:dyDescent="0.25">
      <c r="A72" s="11">
        <f t="shared" si="2"/>
        <v>69</v>
      </c>
      <c r="B72" s="3" t="s">
        <v>158</v>
      </c>
      <c r="C72" s="3" t="s">
        <v>159</v>
      </c>
      <c r="D72" s="3" t="s">
        <v>160</v>
      </c>
      <c r="E72" s="3"/>
      <c r="F72" s="14"/>
      <c r="G72" s="14"/>
      <c r="H72" s="14"/>
      <c r="I72" s="15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</row>
    <row r="73" spans="1:45" x14ac:dyDescent="0.25">
      <c r="A73" s="11">
        <f t="shared" si="2"/>
        <v>70</v>
      </c>
      <c r="B73" s="3" t="s">
        <v>161</v>
      </c>
      <c r="C73" s="3" t="s">
        <v>162</v>
      </c>
      <c r="D73" s="3" t="s">
        <v>163</v>
      </c>
      <c r="E73" s="3"/>
      <c r="F73" s="14"/>
      <c r="G73" s="14"/>
      <c r="H73" s="14"/>
      <c r="I73" s="15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</row>
    <row r="74" spans="1:45" x14ac:dyDescent="0.25">
      <c r="A74" s="11">
        <f t="shared" si="2"/>
        <v>71</v>
      </c>
      <c r="B74" s="3" t="s">
        <v>164</v>
      </c>
      <c r="C74" s="3" t="s">
        <v>165</v>
      </c>
      <c r="D74" s="3" t="s">
        <v>166</v>
      </c>
      <c r="E74" s="3"/>
      <c r="F74" s="14"/>
      <c r="G74" s="14"/>
      <c r="H74" s="14"/>
      <c r="I74" s="15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</row>
    <row r="75" spans="1:45" x14ac:dyDescent="0.25">
      <c r="A75" s="11">
        <f t="shared" si="2"/>
        <v>72</v>
      </c>
      <c r="B75" s="3" t="s">
        <v>167</v>
      </c>
      <c r="C75" s="3" t="s">
        <v>168</v>
      </c>
      <c r="D75" s="3" t="s">
        <v>22</v>
      </c>
      <c r="E75" s="3"/>
      <c r="F75" s="14"/>
      <c r="G75" s="14"/>
      <c r="H75" s="14"/>
      <c r="I75" s="15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</row>
    <row r="76" spans="1:45" x14ac:dyDescent="0.25">
      <c r="A76" s="11">
        <f t="shared" si="2"/>
        <v>73</v>
      </c>
      <c r="B76" s="3" t="s">
        <v>169</v>
      </c>
      <c r="C76" s="3" t="s">
        <v>170</v>
      </c>
      <c r="D76" s="3" t="s">
        <v>22</v>
      </c>
      <c r="E76" s="3"/>
      <c r="F76" s="14"/>
      <c r="G76" s="14"/>
      <c r="H76" s="14"/>
      <c r="I76" s="15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</row>
    <row r="77" spans="1:45" x14ac:dyDescent="0.25">
      <c r="A77" s="11">
        <f t="shared" si="2"/>
        <v>74</v>
      </c>
      <c r="B77" s="3" t="s">
        <v>171</v>
      </c>
      <c r="C77" s="3" t="s">
        <v>172</v>
      </c>
      <c r="D77" s="3" t="s">
        <v>22</v>
      </c>
      <c r="E77" s="3"/>
      <c r="F77" s="14"/>
      <c r="G77" s="14"/>
      <c r="H77" s="14"/>
      <c r="I77" s="15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</row>
    <row r="78" spans="1:45" x14ac:dyDescent="0.25">
      <c r="A78" s="11">
        <f t="shared" si="2"/>
        <v>75</v>
      </c>
      <c r="B78" s="3" t="s">
        <v>173</v>
      </c>
      <c r="C78" s="3" t="s">
        <v>174</v>
      </c>
      <c r="D78" s="3" t="s">
        <v>94</v>
      </c>
      <c r="E78" s="3"/>
      <c r="F78" s="14"/>
      <c r="G78" s="14"/>
      <c r="H78" s="14"/>
      <c r="I78" s="15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</row>
    <row r="79" spans="1:45" x14ac:dyDescent="0.25">
      <c r="A79" s="11">
        <f t="shared" si="2"/>
        <v>76</v>
      </c>
      <c r="B79" s="3" t="s">
        <v>175</v>
      </c>
      <c r="C79" s="3" t="s">
        <v>176</v>
      </c>
      <c r="D79" s="3" t="s">
        <v>121</v>
      </c>
      <c r="E79" s="3"/>
      <c r="F79" s="14"/>
      <c r="G79" s="14"/>
      <c r="H79" s="14"/>
      <c r="I79" s="15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</row>
    <row r="80" spans="1:45" x14ac:dyDescent="0.25">
      <c r="A80" s="11">
        <f t="shared" si="2"/>
        <v>77</v>
      </c>
      <c r="B80" s="3" t="s">
        <v>177</v>
      </c>
      <c r="C80" s="3" t="s">
        <v>178</v>
      </c>
      <c r="D80" s="3" t="s">
        <v>163</v>
      </c>
      <c r="E80" s="3"/>
      <c r="F80" s="14"/>
      <c r="G80" s="14"/>
      <c r="H80" s="14"/>
      <c r="I80" s="15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</row>
    <row r="81" spans="1:45" x14ac:dyDescent="0.25">
      <c r="A81" s="11">
        <f t="shared" si="2"/>
        <v>78</v>
      </c>
      <c r="B81" s="3" t="s">
        <v>179</v>
      </c>
      <c r="C81" s="3" t="s">
        <v>180</v>
      </c>
      <c r="D81" s="3" t="s">
        <v>26</v>
      </c>
      <c r="E81" s="3"/>
      <c r="F81" s="14"/>
      <c r="G81" s="14"/>
      <c r="H81" s="14"/>
      <c r="I81" s="15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</row>
    <row r="82" spans="1:45" x14ac:dyDescent="0.25">
      <c r="A82" s="11">
        <f t="shared" si="2"/>
        <v>79</v>
      </c>
      <c r="B82" s="3" t="s">
        <v>181</v>
      </c>
      <c r="C82" s="20" t="s">
        <v>182</v>
      </c>
      <c r="D82" s="3" t="s">
        <v>26</v>
      </c>
      <c r="E82" s="3"/>
      <c r="F82" s="14"/>
      <c r="G82" s="14"/>
      <c r="H82" s="14"/>
      <c r="I82" s="15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</row>
    <row r="83" spans="1:45" x14ac:dyDescent="0.25">
      <c r="A83" s="11">
        <f t="shared" si="2"/>
        <v>80</v>
      </c>
      <c r="B83" s="3" t="s">
        <v>183</v>
      </c>
      <c r="C83" s="3" t="s">
        <v>184</v>
      </c>
      <c r="D83" s="3" t="s">
        <v>118</v>
      </c>
      <c r="E83" s="3"/>
      <c r="F83" s="14"/>
      <c r="G83" s="14"/>
      <c r="H83" s="14"/>
      <c r="I83" s="15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</row>
    <row r="84" spans="1:45" x14ac:dyDescent="0.25">
      <c r="A84" s="11">
        <f t="shared" si="2"/>
        <v>81</v>
      </c>
      <c r="B84" s="12" t="s">
        <v>185</v>
      </c>
      <c r="C84" s="3" t="s">
        <v>186</v>
      </c>
      <c r="D84" s="3" t="s">
        <v>23</v>
      </c>
      <c r="E84" s="34">
        <f>+[27]Main!$J$2</f>
        <v>3555</v>
      </c>
      <c r="F84" s="14">
        <f>+[27]Main!$J$4*FX!C2</f>
        <v>3334.2666713280005</v>
      </c>
      <c r="G84" s="14">
        <f>+([27]Main!$J$6-[27]Main!$J$5)*FX!C2</f>
        <v>-683.66079999999999</v>
      </c>
      <c r="H84" s="14">
        <f>+F84+G84</f>
        <v>2650.6058713280004</v>
      </c>
      <c r="I84" s="33" t="s">
        <v>480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</row>
    <row r="85" spans="1:45" x14ac:dyDescent="0.25">
      <c r="A85" s="11">
        <f t="shared" si="2"/>
        <v>82</v>
      </c>
      <c r="B85" s="3" t="s">
        <v>187</v>
      </c>
      <c r="C85" s="3" t="s">
        <v>188</v>
      </c>
      <c r="D85" s="3" t="s">
        <v>35</v>
      </c>
      <c r="E85" s="3"/>
      <c r="F85" s="14"/>
      <c r="G85" s="14"/>
      <c r="H85" s="14"/>
      <c r="I85" s="15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</row>
    <row r="86" spans="1:45" x14ac:dyDescent="0.25">
      <c r="A86" s="11">
        <f t="shared" si="2"/>
        <v>83</v>
      </c>
      <c r="B86" s="3" t="s">
        <v>189</v>
      </c>
      <c r="C86" s="3" t="s">
        <v>190</v>
      </c>
      <c r="D86" s="3" t="s">
        <v>191</v>
      </c>
      <c r="E86" s="3"/>
      <c r="F86" s="14"/>
      <c r="G86" s="14"/>
      <c r="H86" s="14"/>
      <c r="I86" s="15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</row>
    <row r="87" spans="1:45" x14ac:dyDescent="0.25">
      <c r="A87" s="11">
        <f t="shared" si="2"/>
        <v>84</v>
      </c>
      <c r="B87" s="3" t="s">
        <v>192</v>
      </c>
      <c r="C87" s="3" t="s">
        <v>193</v>
      </c>
      <c r="D87" s="3" t="s">
        <v>194</v>
      </c>
      <c r="E87" s="3"/>
      <c r="F87" s="14"/>
      <c r="G87" s="14"/>
      <c r="H87" s="14"/>
      <c r="I87" s="15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</row>
    <row r="88" spans="1:45" x14ac:dyDescent="0.25">
      <c r="A88" s="11">
        <f t="shared" si="2"/>
        <v>85</v>
      </c>
      <c r="B88" s="3" t="s">
        <v>195</v>
      </c>
      <c r="C88" s="3" t="s">
        <v>196</v>
      </c>
      <c r="D88" s="3" t="s">
        <v>121</v>
      </c>
      <c r="E88" s="3"/>
      <c r="F88" s="14"/>
      <c r="G88" s="14"/>
      <c r="H88" s="14"/>
      <c r="I88" s="15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</row>
    <row r="89" spans="1:45" x14ac:dyDescent="0.25">
      <c r="A89" s="11">
        <f t="shared" si="2"/>
        <v>86</v>
      </c>
      <c r="B89" s="3" t="s">
        <v>197</v>
      </c>
      <c r="C89" s="20" t="s">
        <v>198</v>
      </c>
      <c r="D89" s="3" t="s">
        <v>121</v>
      </c>
      <c r="E89" s="3"/>
      <c r="F89" s="14"/>
      <c r="G89" s="14"/>
      <c r="H89" s="14"/>
      <c r="I89" s="15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</row>
    <row r="90" spans="1:45" x14ac:dyDescent="0.25">
      <c r="A90" s="11">
        <f t="shared" si="2"/>
        <v>87</v>
      </c>
      <c r="B90" s="3" t="s">
        <v>199</v>
      </c>
      <c r="C90" s="20" t="s">
        <v>200</v>
      </c>
      <c r="D90" s="3" t="s">
        <v>201</v>
      </c>
      <c r="E90" s="3"/>
      <c r="F90" s="14"/>
      <c r="G90" s="14"/>
      <c r="H90" s="14"/>
      <c r="I90" s="15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</row>
    <row r="91" spans="1:45" x14ac:dyDescent="0.25">
      <c r="A91" s="11">
        <f t="shared" si="2"/>
        <v>88</v>
      </c>
      <c r="B91" s="3" t="s">
        <v>202</v>
      </c>
      <c r="C91" s="3" t="s">
        <v>203</v>
      </c>
      <c r="D91" s="3" t="s">
        <v>201</v>
      </c>
      <c r="E91" s="3"/>
      <c r="F91" s="14"/>
      <c r="G91" s="14"/>
      <c r="H91" s="1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</row>
    <row r="92" spans="1:45" x14ac:dyDescent="0.25">
      <c r="A92" s="11">
        <f t="shared" si="2"/>
        <v>89</v>
      </c>
      <c r="B92" s="3" t="s">
        <v>204</v>
      </c>
      <c r="C92" s="3" t="s">
        <v>205</v>
      </c>
      <c r="D92" s="3" t="s">
        <v>206</v>
      </c>
      <c r="E92" s="3"/>
      <c r="F92" s="14"/>
      <c r="G92" s="14"/>
      <c r="H92" s="1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</row>
    <row r="93" spans="1:45" x14ac:dyDescent="0.25">
      <c r="A93" s="11">
        <f t="shared" si="2"/>
        <v>90</v>
      </c>
      <c r="B93" s="12" t="s">
        <v>207</v>
      </c>
      <c r="C93" s="3" t="s">
        <v>208</v>
      </c>
      <c r="D93" s="3" t="s">
        <v>23</v>
      </c>
      <c r="E93" s="3">
        <f>+[28]Main!$I$2</f>
        <v>5310</v>
      </c>
      <c r="F93" s="14">
        <f>+[28]Main!$I$4*FX!C2</f>
        <v>2103.4388983680001</v>
      </c>
      <c r="G93" s="14">
        <f>+([28]Main!$I$6-[28]Main!$I$5)*FX!C2</f>
        <v>-590.64960000000008</v>
      </c>
      <c r="H93" s="14">
        <f>+F93+G93</f>
        <v>1512.7892983679999</v>
      </c>
      <c r="I93" s="33" t="s">
        <v>480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</row>
    <row r="94" spans="1:45" x14ac:dyDescent="0.25">
      <c r="A94" s="11">
        <f t="shared" si="2"/>
        <v>91</v>
      </c>
      <c r="B94" s="3" t="s">
        <v>209</v>
      </c>
      <c r="C94" s="3" t="s">
        <v>210</v>
      </c>
      <c r="D94" s="3" t="s">
        <v>23</v>
      </c>
      <c r="E94" s="3"/>
      <c r="F94" s="14"/>
      <c r="G94" s="14"/>
      <c r="H94" s="1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</row>
    <row r="95" spans="1:45" x14ac:dyDescent="0.25">
      <c r="A95" s="11">
        <f t="shared" si="2"/>
        <v>92</v>
      </c>
      <c r="B95" s="3" t="s">
        <v>211</v>
      </c>
      <c r="C95" s="3" t="s">
        <v>212</v>
      </c>
      <c r="D95" s="3" t="s">
        <v>22</v>
      </c>
      <c r="E95" s="3"/>
      <c r="F95" s="14"/>
      <c r="G95" s="14"/>
      <c r="H95" s="1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</row>
    <row r="96" spans="1:45" x14ac:dyDescent="0.25">
      <c r="A96" s="11">
        <f t="shared" si="2"/>
        <v>93</v>
      </c>
      <c r="B96" s="3" t="s">
        <v>213</v>
      </c>
      <c r="C96" s="20" t="s">
        <v>214</v>
      </c>
      <c r="D96" s="3" t="s">
        <v>121</v>
      </c>
      <c r="E96" s="3"/>
      <c r="F96" s="14"/>
      <c r="G96" s="14"/>
      <c r="H96" s="1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</row>
    <row r="97" spans="1:45" x14ac:dyDescent="0.25">
      <c r="A97" s="11">
        <f t="shared" si="2"/>
        <v>94</v>
      </c>
      <c r="B97" s="3" t="s">
        <v>215</v>
      </c>
      <c r="C97" s="3" t="s">
        <v>216</v>
      </c>
      <c r="D97" s="3" t="s">
        <v>26</v>
      </c>
      <c r="E97" s="3"/>
      <c r="F97" s="14"/>
      <c r="G97" s="14"/>
      <c r="H97" s="1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</row>
    <row r="98" spans="1:45" x14ac:dyDescent="0.25">
      <c r="A98" s="11">
        <f t="shared" si="2"/>
        <v>95</v>
      </c>
      <c r="B98" s="3" t="s">
        <v>217</v>
      </c>
      <c r="C98" s="3" t="s">
        <v>218</v>
      </c>
      <c r="D98" s="3" t="s">
        <v>26</v>
      </c>
      <c r="E98" s="3"/>
      <c r="F98" s="14"/>
      <c r="G98" s="14"/>
      <c r="H98" s="1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</row>
    <row r="99" spans="1:45" x14ac:dyDescent="0.25">
      <c r="A99" s="11">
        <f t="shared" si="2"/>
        <v>96</v>
      </c>
      <c r="B99" s="3" t="s">
        <v>219</v>
      </c>
      <c r="C99" s="3" t="s">
        <v>220</v>
      </c>
      <c r="D99" s="3" t="s">
        <v>160</v>
      </c>
      <c r="E99" s="3"/>
      <c r="F99" s="14"/>
      <c r="G99" s="14"/>
      <c r="H99" s="1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</row>
    <row r="100" spans="1:45" x14ac:dyDescent="0.25">
      <c r="A100" s="11">
        <f t="shared" si="2"/>
        <v>97</v>
      </c>
      <c r="B100" s="3" t="s">
        <v>221</v>
      </c>
      <c r="C100" s="3" t="s">
        <v>222</v>
      </c>
      <c r="D100" s="3" t="s">
        <v>24</v>
      </c>
      <c r="E100" s="3"/>
      <c r="F100" s="14"/>
      <c r="G100" s="14"/>
      <c r="H100" s="1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</row>
    <row r="101" spans="1:45" x14ac:dyDescent="0.25">
      <c r="A101" s="11">
        <f t="shared" si="2"/>
        <v>98</v>
      </c>
      <c r="B101" s="3" t="s">
        <v>223</v>
      </c>
      <c r="C101" s="3" t="s">
        <v>224</v>
      </c>
      <c r="D101" s="3" t="s">
        <v>26</v>
      </c>
      <c r="E101" s="3"/>
      <c r="F101" s="14"/>
      <c r="G101" s="14"/>
      <c r="H101" s="1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</row>
    <row r="102" spans="1:45" x14ac:dyDescent="0.25">
      <c r="A102" s="11">
        <f t="shared" si="2"/>
        <v>99</v>
      </c>
      <c r="B102" s="3" t="s">
        <v>225</v>
      </c>
      <c r="C102" s="3" t="s">
        <v>226</v>
      </c>
      <c r="D102" s="3" t="s">
        <v>24</v>
      </c>
      <c r="E102" s="3"/>
      <c r="F102" s="14"/>
      <c r="G102" s="14"/>
      <c r="H102" s="1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</row>
    <row r="103" spans="1:45" x14ac:dyDescent="0.25">
      <c r="A103" s="11">
        <f t="shared" si="2"/>
        <v>100</v>
      </c>
      <c r="B103" s="12" t="s">
        <v>227</v>
      </c>
      <c r="C103" s="3" t="s">
        <v>228</v>
      </c>
      <c r="D103" s="3" t="s">
        <v>94</v>
      </c>
      <c r="E103" s="3"/>
      <c r="F103" s="14"/>
      <c r="G103" s="14"/>
      <c r="H103" s="1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</row>
    <row r="104" spans="1:45" x14ac:dyDescent="0.25">
      <c r="A104" s="11">
        <f t="shared" si="2"/>
        <v>101</v>
      </c>
      <c r="B104" s="3" t="s">
        <v>229</v>
      </c>
      <c r="C104" s="3" t="s">
        <v>230</v>
      </c>
      <c r="D104" s="3" t="s">
        <v>22</v>
      </c>
      <c r="E104" s="3"/>
      <c r="F104" s="14"/>
      <c r="G104" s="14"/>
      <c r="H104" s="1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</row>
    <row r="105" spans="1:45" x14ac:dyDescent="0.25">
      <c r="A105" s="11">
        <f t="shared" si="2"/>
        <v>102</v>
      </c>
      <c r="B105" s="12" t="s">
        <v>237</v>
      </c>
      <c r="C105" s="3" t="s">
        <v>238</v>
      </c>
      <c r="D105" s="3" t="s">
        <v>22</v>
      </c>
      <c r="E105" s="3">
        <f>+[29]Main!$I$2</f>
        <v>33.76</v>
      </c>
      <c r="F105" s="14">
        <f>+[29]Main!$I$4</f>
        <v>1615.1327198399999</v>
      </c>
      <c r="G105" s="14">
        <f>+[29]Main!$I$6-[29]Main!$I$5</f>
        <v>553.85699999999997</v>
      </c>
      <c r="H105" s="14">
        <f>+F105+G105</f>
        <v>2168.9897198399999</v>
      </c>
      <c r="I105" s="15" t="s">
        <v>240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</row>
    <row r="106" spans="1:45" x14ac:dyDescent="0.25">
      <c r="A106" s="11">
        <f t="shared" si="2"/>
        <v>103</v>
      </c>
      <c r="B106" s="3" t="s">
        <v>235</v>
      </c>
      <c r="C106" s="3" t="s">
        <v>236</v>
      </c>
      <c r="D106" s="3" t="s">
        <v>206</v>
      </c>
      <c r="E106" s="3"/>
      <c r="F106" s="14"/>
      <c r="G106" s="14"/>
      <c r="H106" s="1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</row>
    <row r="107" spans="1:45" x14ac:dyDescent="0.25">
      <c r="A107" s="11">
        <f t="shared" si="2"/>
        <v>104</v>
      </c>
      <c r="B107" s="3" t="s">
        <v>234</v>
      </c>
      <c r="C107" s="3" t="s">
        <v>233</v>
      </c>
      <c r="D107" s="3" t="s">
        <v>85</v>
      </c>
      <c r="E107" s="3"/>
      <c r="F107" s="14"/>
      <c r="G107" s="14"/>
      <c r="H107" s="1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</row>
    <row r="108" spans="1:45" x14ac:dyDescent="0.25">
      <c r="A108" s="11">
        <f t="shared" si="2"/>
        <v>105</v>
      </c>
      <c r="B108" s="12" t="s">
        <v>246</v>
      </c>
      <c r="C108" s="3" t="s">
        <v>247</v>
      </c>
      <c r="D108" s="3" t="s">
        <v>153</v>
      </c>
      <c r="E108" s="3">
        <f>+[30]Main!$H$2</f>
        <v>15.92</v>
      </c>
      <c r="F108" s="14">
        <f>+[30]Main!$H$5*FX!C4</f>
        <v>2707.3869572160002</v>
      </c>
      <c r="G108" s="14">
        <f>+([30]Main!$H$7-[30]Main!$H$6)*FX!C4</f>
        <v>699.94651999999996</v>
      </c>
      <c r="H108" s="14">
        <f>+F108+G108</f>
        <v>3407.3334772160001</v>
      </c>
      <c r="I108" s="15" t="s">
        <v>260</v>
      </c>
      <c r="J108" s="3"/>
      <c r="K108" s="3"/>
      <c r="L108" s="3"/>
      <c r="M108" s="3"/>
      <c r="N108" s="3"/>
      <c r="O108" s="3"/>
      <c r="P108" s="3"/>
      <c r="Q108" s="3"/>
      <c r="R108" s="3"/>
      <c r="S108" s="3" t="s">
        <v>275</v>
      </c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</row>
    <row r="109" spans="1:45" x14ac:dyDescent="0.25">
      <c r="A109" s="11">
        <f t="shared" si="2"/>
        <v>106</v>
      </c>
      <c r="B109" s="3" t="s">
        <v>248</v>
      </c>
      <c r="C109" s="3" t="s">
        <v>249</v>
      </c>
      <c r="D109" s="3" t="s">
        <v>160</v>
      </c>
      <c r="E109" s="3"/>
      <c r="F109" s="14"/>
      <c r="G109" s="14"/>
      <c r="H109" s="1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</row>
    <row r="110" spans="1:45" x14ac:dyDescent="0.25">
      <c r="A110" s="11">
        <f t="shared" si="2"/>
        <v>107</v>
      </c>
      <c r="B110" s="12" t="s">
        <v>250</v>
      </c>
      <c r="C110" s="3" t="s">
        <v>251</v>
      </c>
      <c r="D110" s="3" t="s">
        <v>85</v>
      </c>
      <c r="E110" s="3">
        <f>+[31]Main!$I$2</f>
        <v>3.28</v>
      </c>
      <c r="F110" s="14">
        <f>+[31]Main!$I$4*FX!C3</f>
        <v>372.96258964800001</v>
      </c>
      <c r="G110" s="14">
        <f>+([31]Main!$I$6-[31]Main!$I$5)*FX!C3</f>
        <v>50.842859999999995</v>
      </c>
      <c r="H110" s="14">
        <f>+F110+G110</f>
        <v>423.80544964799998</v>
      </c>
      <c r="I110" s="15" t="s">
        <v>241</v>
      </c>
      <c r="J110" s="3"/>
      <c r="K110" s="3"/>
      <c r="L110" s="3"/>
      <c r="M110" s="3"/>
      <c r="N110" s="3"/>
      <c r="O110" s="3"/>
      <c r="P110" s="3"/>
      <c r="Q110" s="3"/>
      <c r="R110" s="3"/>
      <c r="S110" s="3" t="s">
        <v>275</v>
      </c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</row>
    <row r="111" spans="1:45" x14ac:dyDescent="0.25">
      <c r="A111" s="11">
        <f t="shared" si="2"/>
        <v>108</v>
      </c>
      <c r="B111" s="3" t="s">
        <v>252</v>
      </c>
      <c r="C111" s="3" t="s">
        <v>253</v>
      </c>
      <c r="D111" s="3" t="s">
        <v>94</v>
      </c>
      <c r="E111" s="3"/>
      <c r="F111" s="21"/>
      <c r="G111" s="21"/>
      <c r="H111" s="21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</row>
    <row r="112" spans="1:45" x14ac:dyDescent="0.25">
      <c r="A112" s="11">
        <f t="shared" si="2"/>
        <v>109</v>
      </c>
      <c r="B112" s="3" t="s">
        <v>254</v>
      </c>
      <c r="C112" s="3" t="s">
        <v>255</v>
      </c>
      <c r="D112" s="3" t="s">
        <v>153</v>
      </c>
      <c r="E112" s="3"/>
      <c r="F112" s="21"/>
      <c r="G112" s="21"/>
      <c r="H112" s="21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</row>
    <row r="113" spans="1:45" x14ac:dyDescent="0.25">
      <c r="A113" s="11">
        <f t="shared" si="2"/>
        <v>110</v>
      </c>
      <c r="B113" s="3" t="s">
        <v>256</v>
      </c>
      <c r="C113" s="3" t="s">
        <v>257</v>
      </c>
      <c r="D113" s="3" t="s">
        <v>258</v>
      </c>
      <c r="E113" s="3"/>
      <c r="F113" s="21"/>
      <c r="G113" s="21"/>
      <c r="H113" s="21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</row>
    <row r="114" spans="1:45" x14ac:dyDescent="0.25">
      <c r="A114" s="11"/>
      <c r="B114" s="3"/>
      <c r="C114" s="3"/>
      <c r="D114" s="3"/>
      <c r="E114" s="3"/>
      <c r="F114" s="21"/>
      <c r="G114" s="21"/>
      <c r="H114" s="21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</row>
    <row r="115" spans="1:45" x14ac:dyDescent="0.25">
      <c r="A115" s="11"/>
      <c r="B115" s="22" t="s">
        <v>476</v>
      </c>
      <c r="C115" s="3"/>
      <c r="D115" s="3"/>
      <c r="E115" s="3"/>
      <c r="F115" s="21"/>
      <c r="G115" s="21"/>
      <c r="H115" s="21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</row>
    <row r="116" spans="1:45" x14ac:dyDescent="0.25">
      <c r="A116" s="11"/>
      <c r="B116" s="12" t="s">
        <v>477</v>
      </c>
      <c r="C116" s="35" t="s">
        <v>481</v>
      </c>
      <c r="D116" s="35" t="s">
        <v>482</v>
      </c>
      <c r="E116" s="3"/>
      <c r="F116" s="21"/>
      <c r="G116" s="21"/>
      <c r="H116" s="21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</row>
    <row r="117" spans="1:45" x14ac:dyDescent="0.25">
      <c r="A117" s="11"/>
      <c r="B117" s="3"/>
      <c r="C117" s="3"/>
      <c r="D117" s="3"/>
      <c r="E117" s="3"/>
      <c r="F117" s="21"/>
      <c r="G117" s="21"/>
      <c r="H117" s="21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</row>
    <row r="118" spans="1:45" x14ac:dyDescent="0.25">
      <c r="A118" s="11"/>
      <c r="B118" s="3"/>
      <c r="C118" s="3"/>
      <c r="D118" s="3"/>
      <c r="E118" s="3"/>
      <c r="F118" s="21"/>
      <c r="G118" s="21"/>
      <c r="H118" s="21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</row>
    <row r="119" spans="1:45" x14ac:dyDescent="0.25">
      <c r="A119" s="11"/>
      <c r="B119" s="3"/>
      <c r="C119" s="3"/>
      <c r="D119" s="3"/>
      <c r="E119" s="3"/>
      <c r="F119" s="21"/>
      <c r="G119" s="21"/>
      <c r="H119" s="21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</row>
    <row r="120" spans="1:45" x14ac:dyDescent="0.25">
      <c r="A120" s="11"/>
      <c r="B120" s="3"/>
      <c r="C120" s="3"/>
      <c r="D120" s="3"/>
      <c r="E120" s="3"/>
      <c r="F120" s="21"/>
      <c r="G120" s="21"/>
      <c r="H120" s="21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</row>
    <row r="121" spans="1:45" x14ac:dyDescent="0.25">
      <c r="A121" s="11"/>
      <c r="B121" s="3"/>
      <c r="C121" s="3"/>
      <c r="D121" s="3"/>
      <c r="E121" s="3"/>
      <c r="F121" s="21"/>
      <c r="G121" s="21"/>
      <c r="H121" s="21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</row>
    <row r="122" spans="1:45" x14ac:dyDescent="0.25">
      <c r="A122" s="11"/>
      <c r="B122" s="3"/>
      <c r="C122" s="3"/>
      <c r="D122" s="3"/>
      <c r="E122" s="3"/>
      <c r="F122" s="21"/>
      <c r="G122" s="21"/>
      <c r="H122" s="21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</row>
    <row r="123" spans="1:45" x14ac:dyDescent="0.25">
      <c r="A123" s="11"/>
      <c r="B123" s="3"/>
      <c r="C123" s="3"/>
      <c r="D123" s="3"/>
      <c r="E123" s="3"/>
      <c r="F123" s="21"/>
      <c r="G123" s="21"/>
      <c r="H123" s="21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</row>
    <row r="124" spans="1:45" x14ac:dyDescent="0.25">
      <c r="A124" s="11"/>
      <c r="B124" s="3"/>
      <c r="C124" s="3"/>
      <c r="D124" s="3"/>
      <c r="E124" s="3"/>
      <c r="F124" s="21"/>
      <c r="G124" s="21"/>
      <c r="H124" s="21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</row>
    <row r="125" spans="1:45" x14ac:dyDescent="0.25">
      <c r="A125" s="11"/>
      <c r="B125" s="3"/>
      <c r="C125" s="3"/>
      <c r="D125" s="3"/>
      <c r="E125" s="3"/>
      <c r="F125" s="21"/>
      <c r="G125" s="21"/>
      <c r="H125" s="21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</row>
    <row r="126" spans="1:45" x14ac:dyDescent="0.25">
      <c r="A126" s="11"/>
      <c r="B126" s="3"/>
      <c r="C126" s="3"/>
      <c r="D126" s="3"/>
      <c r="E126" s="3"/>
      <c r="F126" s="21"/>
      <c r="G126" s="21"/>
      <c r="H126" s="21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</row>
    <row r="127" spans="1:45" x14ac:dyDescent="0.25">
      <c r="A127" s="11"/>
      <c r="B127" s="3"/>
      <c r="C127" s="3"/>
      <c r="D127" s="3"/>
      <c r="E127" s="3"/>
      <c r="F127" s="21"/>
      <c r="G127" s="21"/>
      <c r="H127" s="21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</row>
    <row r="128" spans="1:45" x14ac:dyDescent="0.25">
      <c r="A128" s="11"/>
      <c r="B128" s="3"/>
      <c r="C128" s="3"/>
      <c r="D128" s="3"/>
      <c r="E128" s="3"/>
      <c r="F128" s="21"/>
      <c r="G128" s="21"/>
      <c r="H128" s="21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</row>
    <row r="129" spans="1:45" x14ac:dyDescent="0.25">
      <c r="A129" s="11"/>
      <c r="B129" s="3"/>
      <c r="C129" s="3"/>
      <c r="D129" s="3"/>
      <c r="E129" s="3"/>
      <c r="F129" s="21"/>
      <c r="G129" s="21"/>
      <c r="H129" s="21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</row>
    <row r="130" spans="1:45" x14ac:dyDescent="0.25">
      <c r="A130" s="11"/>
      <c r="B130" s="3"/>
      <c r="C130" s="3"/>
      <c r="D130" s="3"/>
      <c r="E130" s="3"/>
      <c r="F130" s="21"/>
      <c r="G130" s="21"/>
      <c r="H130" s="21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</row>
    <row r="131" spans="1:45" x14ac:dyDescent="0.25">
      <c r="A131" s="11"/>
      <c r="B131" s="3"/>
      <c r="C131" s="3"/>
      <c r="D131" s="3"/>
      <c r="E131" s="3"/>
      <c r="F131" s="21"/>
      <c r="G131" s="21"/>
      <c r="H131" s="21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</row>
    <row r="132" spans="1:45" x14ac:dyDescent="0.25">
      <c r="A132" s="11"/>
      <c r="B132" s="3"/>
      <c r="C132" s="3"/>
      <c r="D132" s="3"/>
      <c r="E132" s="3"/>
      <c r="F132" s="21"/>
      <c r="G132" s="21"/>
      <c r="H132" s="21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</row>
    <row r="133" spans="1:45" x14ac:dyDescent="0.25">
      <c r="A133" s="11"/>
      <c r="B133" s="3"/>
      <c r="C133" s="3"/>
      <c r="D133" s="3"/>
      <c r="E133" s="3"/>
      <c r="F133" s="21"/>
      <c r="G133" s="21"/>
      <c r="H133" s="21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</row>
    <row r="134" spans="1:45" x14ac:dyDescent="0.25">
      <c r="A134" s="11"/>
      <c r="B134" s="3"/>
      <c r="C134" s="3"/>
      <c r="D134" s="3"/>
      <c r="E134" s="3"/>
      <c r="F134" s="21"/>
      <c r="G134" s="21"/>
      <c r="H134" s="21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</row>
    <row r="135" spans="1:45" x14ac:dyDescent="0.25">
      <c r="A135" s="11"/>
      <c r="B135" s="3"/>
      <c r="C135" s="3"/>
      <c r="D135" s="3"/>
      <c r="E135" s="3"/>
      <c r="F135" s="21"/>
      <c r="G135" s="21"/>
      <c r="H135" s="21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</row>
    <row r="136" spans="1:45" x14ac:dyDescent="0.25">
      <c r="A136" s="11"/>
      <c r="B136" s="3"/>
      <c r="C136" s="3"/>
      <c r="D136" s="3"/>
      <c r="E136" s="3"/>
      <c r="F136" s="21"/>
      <c r="G136" s="21"/>
      <c r="H136" s="21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</row>
    <row r="137" spans="1:45" x14ac:dyDescent="0.25">
      <c r="A137" s="11"/>
      <c r="B137" s="3"/>
      <c r="C137" s="3"/>
      <c r="D137" s="3"/>
      <c r="E137" s="3"/>
      <c r="F137" s="21"/>
      <c r="G137" s="21"/>
      <c r="H137" s="21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</row>
    <row r="138" spans="1:45" x14ac:dyDescent="0.25">
      <c r="A138" s="11"/>
      <c r="B138" s="3"/>
      <c r="C138" s="3"/>
      <c r="D138" s="3"/>
      <c r="E138" s="3"/>
      <c r="F138" s="21"/>
      <c r="G138" s="21"/>
      <c r="H138" s="21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</row>
    <row r="139" spans="1:45" x14ac:dyDescent="0.25">
      <c r="A139" s="11"/>
      <c r="B139" s="3"/>
      <c r="C139" s="3"/>
      <c r="D139" s="3"/>
      <c r="E139" s="3"/>
      <c r="F139" s="21"/>
      <c r="G139" s="21"/>
      <c r="H139" s="21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</row>
    <row r="140" spans="1:45" x14ac:dyDescent="0.25">
      <c r="A140" s="11"/>
      <c r="B140" s="3"/>
      <c r="C140" s="3"/>
      <c r="D140" s="3"/>
      <c r="E140" s="3"/>
      <c r="F140" s="21"/>
      <c r="G140" s="21"/>
      <c r="H140" s="21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</row>
    <row r="141" spans="1:45" x14ac:dyDescent="0.25">
      <c r="A141" s="11"/>
      <c r="B141" s="3"/>
      <c r="C141" s="3"/>
      <c r="D141" s="3"/>
      <c r="E141" s="3"/>
      <c r="F141" s="21"/>
      <c r="G141" s="21"/>
      <c r="H141" s="21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</row>
    <row r="142" spans="1:45" x14ac:dyDescent="0.25">
      <c r="A142" s="11"/>
      <c r="B142" s="3"/>
      <c r="C142" s="3"/>
      <c r="D142" s="3"/>
      <c r="E142" s="3"/>
      <c r="F142" s="21"/>
      <c r="G142" s="21"/>
      <c r="H142" s="21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</row>
    <row r="143" spans="1:45" x14ac:dyDescent="0.25">
      <c r="A143" s="11"/>
      <c r="B143" s="3"/>
      <c r="C143" s="3"/>
      <c r="D143" s="3"/>
      <c r="E143" s="3"/>
      <c r="F143" s="21"/>
      <c r="G143" s="21"/>
      <c r="H143" s="21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</row>
    <row r="144" spans="1:45" x14ac:dyDescent="0.25">
      <c r="A144" s="11"/>
      <c r="B144" s="3"/>
      <c r="C144" s="3"/>
      <c r="D144" s="3"/>
      <c r="E144" s="3"/>
      <c r="F144" s="21"/>
      <c r="G144" s="21"/>
      <c r="H144" s="21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</row>
    <row r="145" spans="1:45" x14ac:dyDescent="0.25">
      <c r="A145" s="11"/>
      <c r="B145" s="3"/>
      <c r="C145" s="3"/>
      <c r="D145" s="3"/>
      <c r="E145" s="3"/>
      <c r="F145" s="21"/>
      <c r="G145" s="21"/>
      <c r="H145" s="21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</row>
    <row r="146" spans="1:45" x14ac:dyDescent="0.25">
      <c r="A146" s="11"/>
      <c r="B146" s="3"/>
      <c r="C146" s="3"/>
      <c r="D146" s="3"/>
      <c r="E146" s="3"/>
      <c r="F146" s="21"/>
      <c r="G146" s="21"/>
      <c r="H146" s="21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</row>
    <row r="147" spans="1:45" x14ac:dyDescent="0.25">
      <c r="A147" s="11"/>
      <c r="B147" s="3"/>
      <c r="C147" s="3"/>
      <c r="D147" s="3"/>
      <c r="E147" s="3"/>
      <c r="F147" s="21"/>
      <c r="G147" s="21"/>
      <c r="H147" s="21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</row>
    <row r="148" spans="1:45" x14ac:dyDescent="0.25">
      <c r="A148" s="11"/>
      <c r="B148" s="3"/>
      <c r="C148" s="3"/>
      <c r="D148" s="3"/>
      <c r="E148" s="3"/>
      <c r="F148" s="21"/>
      <c r="G148" s="21"/>
      <c r="H148" s="21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</row>
    <row r="149" spans="1:45" x14ac:dyDescent="0.25">
      <c r="A149" s="11"/>
      <c r="B149" s="3"/>
      <c r="C149" s="3"/>
      <c r="D149" s="3"/>
      <c r="E149" s="3"/>
      <c r="F149" s="21"/>
      <c r="G149" s="21"/>
      <c r="H149" s="21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</row>
    <row r="150" spans="1:45" x14ac:dyDescent="0.25">
      <c r="A150" s="11"/>
      <c r="B150" s="3"/>
      <c r="C150" s="3"/>
      <c r="D150" s="3"/>
      <c r="E150" s="3"/>
      <c r="F150" s="21"/>
      <c r="G150" s="21"/>
      <c r="H150" s="21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</row>
    <row r="151" spans="1:45" x14ac:dyDescent="0.25">
      <c r="A151" s="11"/>
      <c r="B151" s="3"/>
      <c r="C151" s="3"/>
      <c r="D151" s="3"/>
      <c r="E151" s="3"/>
      <c r="F151" s="21"/>
      <c r="G151" s="21"/>
      <c r="H151" s="21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</row>
    <row r="152" spans="1:45" x14ac:dyDescent="0.25">
      <c r="A152" s="11"/>
      <c r="B152" s="3"/>
      <c r="C152" s="3"/>
      <c r="D152" s="3"/>
      <c r="E152" s="3"/>
      <c r="F152" s="21"/>
      <c r="G152" s="21"/>
      <c r="H152" s="21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</row>
    <row r="153" spans="1:45" x14ac:dyDescent="0.25">
      <c r="A153" s="11"/>
      <c r="B153" s="3"/>
      <c r="C153" s="3"/>
      <c r="D153" s="3"/>
      <c r="E153" s="3"/>
      <c r="F153" s="21"/>
      <c r="G153" s="21"/>
      <c r="H153" s="21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</row>
    <row r="154" spans="1:45" x14ac:dyDescent="0.25">
      <c r="A154" s="11"/>
      <c r="B154" s="3"/>
      <c r="C154" s="3"/>
      <c r="D154" s="3"/>
      <c r="E154" s="3"/>
      <c r="F154" s="21"/>
      <c r="G154" s="21"/>
      <c r="H154" s="21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</row>
    <row r="155" spans="1:45" x14ac:dyDescent="0.25">
      <c r="A155" s="11"/>
      <c r="B155" s="3"/>
      <c r="C155" s="3"/>
      <c r="D155" s="3"/>
      <c r="E155" s="3"/>
      <c r="F155" s="21"/>
      <c r="G155" s="21"/>
      <c r="H155" s="21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</row>
    <row r="156" spans="1:45" x14ac:dyDescent="0.25">
      <c r="A156" s="11"/>
      <c r="B156" s="3"/>
      <c r="C156" s="3"/>
      <c r="D156" s="3"/>
      <c r="E156" s="3"/>
      <c r="F156" s="21"/>
      <c r="G156" s="21"/>
      <c r="H156" s="21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</row>
    <row r="157" spans="1:45" x14ac:dyDescent="0.25">
      <c r="A157" s="11"/>
      <c r="B157" s="3"/>
      <c r="C157" s="3"/>
      <c r="D157" s="3"/>
      <c r="E157" s="3"/>
      <c r="F157" s="21"/>
      <c r="G157" s="21"/>
      <c r="H157" s="21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</row>
    <row r="158" spans="1:45" x14ac:dyDescent="0.25">
      <c r="A158" s="11"/>
      <c r="B158" s="3"/>
      <c r="C158" s="3"/>
      <c r="D158" s="3"/>
      <c r="E158" s="3"/>
      <c r="F158" s="21"/>
      <c r="G158" s="21"/>
      <c r="H158" s="21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</row>
    <row r="159" spans="1:45" x14ac:dyDescent="0.25">
      <c r="A159" s="11"/>
      <c r="B159" s="3"/>
      <c r="C159" s="3"/>
      <c r="D159" s="3"/>
      <c r="E159" s="3"/>
      <c r="F159" s="21"/>
      <c r="G159" s="21"/>
      <c r="H159" s="21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</row>
    <row r="160" spans="1:45" x14ac:dyDescent="0.25">
      <c r="A160" s="11"/>
      <c r="B160" s="3"/>
      <c r="C160" s="3"/>
      <c r="D160" s="3"/>
      <c r="E160" s="3"/>
      <c r="F160" s="21"/>
      <c r="G160" s="21"/>
      <c r="H160" s="21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</row>
    <row r="161" spans="1:45" x14ac:dyDescent="0.25">
      <c r="A161" s="11"/>
      <c r="B161" s="3"/>
      <c r="C161" s="3"/>
      <c r="D161" s="3"/>
      <c r="E161" s="3"/>
      <c r="F161" s="21"/>
      <c r="G161" s="21"/>
      <c r="H161" s="21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</row>
    <row r="162" spans="1:45" x14ac:dyDescent="0.25">
      <c r="A162" s="11"/>
      <c r="B162" s="3"/>
      <c r="C162" s="3"/>
      <c r="D162" s="3"/>
      <c r="E162" s="3"/>
      <c r="F162" s="21"/>
      <c r="G162" s="21"/>
      <c r="H162" s="21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</row>
    <row r="163" spans="1:45" x14ac:dyDescent="0.25">
      <c r="A163" s="11"/>
      <c r="B163" s="3"/>
      <c r="C163" s="3"/>
      <c r="D163" s="3"/>
      <c r="E163" s="3"/>
      <c r="F163" s="21"/>
      <c r="G163" s="21"/>
      <c r="H163" s="21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</row>
    <row r="164" spans="1:45" x14ac:dyDescent="0.25">
      <c r="A164" s="11"/>
      <c r="B164" s="3"/>
      <c r="C164" s="3"/>
      <c r="D164" s="3"/>
      <c r="E164" s="3"/>
      <c r="F164" s="21"/>
      <c r="G164" s="21"/>
      <c r="H164" s="21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</row>
    <row r="165" spans="1:45" x14ac:dyDescent="0.25">
      <c r="A165" s="11"/>
      <c r="B165" s="3"/>
      <c r="C165" s="3"/>
      <c r="D165" s="3"/>
      <c r="E165" s="3"/>
      <c r="F165" s="21"/>
      <c r="G165" s="21"/>
      <c r="H165" s="21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</row>
    <row r="166" spans="1:45" x14ac:dyDescent="0.25">
      <c r="A166" s="11"/>
      <c r="B166" s="3"/>
      <c r="C166" s="3"/>
      <c r="D166" s="3"/>
      <c r="E166" s="3"/>
      <c r="F166" s="21"/>
      <c r="G166" s="21"/>
      <c r="H166" s="21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</row>
    <row r="167" spans="1:45" x14ac:dyDescent="0.25">
      <c r="A167" s="11"/>
      <c r="B167" s="3"/>
      <c r="C167" s="3"/>
      <c r="D167" s="3"/>
      <c r="E167" s="3"/>
      <c r="F167" s="21"/>
      <c r="G167" s="21"/>
      <c r="H167" s="21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</row>
    <row r="168" spans="1:45" x14ac:dyDescent="0.25">
      <c r="A168" s="11"/>
      <c r="B168" s="3"/>
      <c r="C168" s="3"/>
      <c r="D168" s="3"/>
      <c r="E168" s="3"/>
      <c r="F168" s="21"/>
      <c r="G168" s="21"/>
      <c r="H168" s="21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</row>
    <row r="169" spans="1:45" x14ac:dyDescent="0.25">
      <c r="A169" s="11"/>
      <c r="B169" s="3"/>
      <c r="C169" s="3"/>
      <c r="D169" s="3"/>
      <c r="E169" s="3"/>
      <c r="F169" s="21"/>
      <c r="G169" s="21"/>
      <c r="H169" s="21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</row>
    <row r="170" spans="1:45" x14ac:dyDescent="0.25">
      <c r="A170" s="11"/>
      <c r="B170" s="3"/>
      <c r="C170" s="3"/>
      <c r="D170" s="3"/>
      <c r="E170" s="3"/>
      <c r="F170" s="21"/>
      <c r="G170" s="21"/>
      <c r="H170" s="21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</row>
    <row r="171" spans="1:45" x14ac:dyDescent="0.25">
      <c r="A171" s="11"/>
      <c r="B171" s="3"/>
      <c r="C171" s="3"/>
      <c r="D171" s="3"/>
      <c r="E171" s="3"/>
      <c r="F171" s="21"/>
      <c r="G171" s="21"/>
      <c r="H171" s="21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</row>
    <row r="172" spans="1:45" x14ac:dyDescent="0.25">
      <c r="A172" s="11"/>
      <c r="B172" s="3"/>
      <c r="C172" s="3"/>
      <c r="D172" s="3"/>
      <c r="E172" s="3"/>
      <c r="F172" s="21"/>
      <c r="G172" s="21"/>
      <c r="H172" s="21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</row>
    <row r="173" spans="1:45" x14ac:dyDescent="0.25">
      <c r="A173" s="11"/>
      <c r="B173" s="3"/>
      <c r="C173" s="3"/>
      <c r="D173" s="3"/>
      <c r="E173" s="3"/>
      <c r="F173" s="21"/>
      <c r="G173" s="21"/>
      <c r="H173" s="21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</row>
    <row r="174" spans="1:45" x14ac:dyDescent="0.25">
      <c r="A174" s="11"/>
      <c r="B174" s="3"/>
      <c r="C174" s="3"/>
      <c r="D174" s="3"/>
      <c r="E174" s="3"/>
      <c r="F174" s="21"/>
      <c r="G174" s="21"/>
      <c r="H174" s="21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</row>
    <row r="175" spans="1:45" x14ac:dyDescent="0.25">
      <c r="A175" s="11"/>
      <c r="B175" s="3"/>
      <c r="C175" s="3"/>
      <c r="D175" s="3"/>
      <c r="E175" s="3"/>
      <c r="F175" s="21"/>
      <c r="G175" s="21"/>
      <c r="H175" s="21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</row>
    <row r="176" spans="1:45" x14ac:dyDescent="0.25">
      <c r="A176" s="11"/>
      <c r="B176" s="3"/>
      <c r="C176" s="3"/>
      <c r="D176" s="3"/>
      <c r="E176" s="3"/>
      <c r="F176" s="21"/>
      <c r="G176" s="21"/>
      <c r="H176" s="21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</row>
    <row r="177" spans="1:45" x14ac:dyDescent="0.25">
      <c r="A177" s="11"/>
      <c r="B177" s="3"/>
      <c r="C177" s="3"/>
      <c r="D177" s="3"/>
      <c r="E177" s="3"/>
      <c r="F177" s="21"/>
      <c r="G177" s="21"/>
      <c r="H177" s="21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</row>
    <row r="178" spans="1:45" x14ac:dyDescent="0.25">
      <c r="A178" s="11"/>
      <c r="B178" s="3"/>
      <c r="C178" s="3"/>
      <c r="D178" s="3"/>
      <c r="E178" s="3"/>
      <c r="F178" s="21"/>
      <c r="G178" s="21"/>
      <c r="H178" s="21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</row>
    <row r="179" spans="1:45" x14ac:dyDescent="0.25">
      <c r="A179" s="11"/>
      <c r="B179" s="3"/>
      <c r="C179" s="3"/>
      <c r="D179" s="3"/>
      <c r="E179" s="3"/>
      <c r="F179" s="21"/>
      <c r="G179" s="21"/>
      <c r="H179" s="21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</row>
    <row r="180" spans="1:45" x14ac:dyDescent="0.25">
      <c r="A180" s="11"/>
      <c r="B180" s="3"/>
      <c r="C180" s="3"/>
      <c r="D180" s="3"/>
      <c r="E180" s="3"/>
      <c r="F180" s="21"/>
      <c r="G180" s="21"/>
      <c r="H180" s="21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</row>
    <row r="181" spans="1:45" x14ac:dyDescent="0.25">
      <c r="A181" s="11"/>
      <c r="B181" s="3"/>
      <c r="C181" s="3"/>
      <c r="D181" s="3"/>
      <c r="E181" s="3"/>
      <c r="F181" s="21"/>
      <c r="G181" s="21"/>
      <c r="H181" s="21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</row>
    <row r="182" spans="1:45" x14ac:dyDescent="0.25">
      <c r="A182" s="11"/>
      <c r="B182" s="3"/>
      <c r="C182" s="3"/>
      <c r="D182" s="3"/>
      <c r="E182" s="3"/>
      <c r="F182" s="21"/>
      <c r="G182" s="21"/>
      <c r="H182" s="21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</row>
    <row r="183" spans="1:45" x14ac:dyDescent="0.25">
      <c r="A183" s="11"/>
      <c r="B183" s="3"/>
      <c r="C183" s="3"/>
      <c r="D183" s="3"/>
      <c r="E183" s="3"/>
      <c r="F183" s="21"/>
      <c r="G183" s="21"/>
      <c r="H183" s="21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</row>
    <row r="184" spans="1:45" x14ac:dyDescent="0.25">
      <c r="A184" s="11"/>
      <c r="B184" s="3"/>
      <c r="C184" s="3"/>
      <c r="D184" s="3"/>
      <c r="E184" s="3"/>
      <c r="F184" s="21"/>
      <c r="G184" s="21"/>
      <c r="H184" s="21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</row>
    <row r="185" spans="1:45" x14ac:dyDescent="0.25">
      <c r="A185" s="11"/>
      <c r="B185" s="3"/>
      <c r="C185" s="3"/>
      <c r="D185" s="3"/>
      <c r="E185" s="3"/>
      <c r="F185" s="21"/>
      <c r="G185" s="21"/>
      <c r="H185" s="21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</row>
    <row r="186" spans="1:45" x14ac:dyDescent="0.25">
      <c r="A186" s="11"/>
      <c r="B186" s="3"/>
      <c r="C186" s="3"/>
      <c r="D186" s="3"/>
      <c r="E186" s="3"/>
      <c r="F186" s="21"/>
      <c r="G186" s="21"/>
      <c r="H186" s="21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</row>
    <row r="187" spans="1:45" x14ac:dyDescent="0.25">
      <c r="A187" s="11"/>
      <c r="B187" s="3"/>
      <c r="C187" s="3"/>
      <c r="D187" s="3"/>
      <c r="E187" s="3"/>
      <c r="F187" s="21"/>
      <c r="G187" s="21"/>
      <c r="H187" s="21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</row>
    <row r="188" spans="1:45" x14ac:dyDescent="0.25">
      <c r="A188" s="11"/>
      <c r="B188" s="3"/>
      <c r="C188" s="3"/>
      <c r="D188" s="3"/>
      <c r="E188" s="3"/>
      <c r="F188" s="21"/>
      <c r="G188" s="21"/>
      <c r="H188" s="21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</row>
    <row r="189" spans="1:45" x14ac:dyDescent="0.25">
      <c r="A189" s="11"/>
      <c r="B189" s="3"/>
      <c r="C189" s="3"/>
      <c r="D189" s="3"/>
      <c r="E189" s="3"/>
      <c r="F189" s="21"/>
      <c r="G189" s="21"/>
      <c r="H189" s="21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</row>
    <row r="190" spans="1:45" x14ac:dyDescent="0.25">
      <c r="A190" s="11"/>
      <c r="B190" s="3"/>
      <c r="C190" s="3"/>
      <c r="D190" s="3"/>
      <c r="E190" s="3"/>
      <c r="F190" s="21"/>
      <c r="G190" s="21"/>
      <c r="H190" s="21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</row>
    <row r="191" spans="1:45" x14ac:dyDescent="0.25">
      <c r="A191" s="11"/>
      <c r="B191" s="3"/>
      <c r="C191" s="3"/>
      <c r="D191" s="3"/>
      <c r="E191" s="3"/>
      <c r="F191" s="21"/>
      <c r="G191" s="21"/>
      <c r="H191" s="21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</row>
    <row r="192" spans="1:45" x14ac:dyDescent="0.25">
      <c r="A192" s="11"/>
      <c r="B192" s="3"/>
      <c r="C192" s="3"/>
      <c r="D192" s="3"/>
      <c r="E192" s="3"/>
      <c r="F192" s="21"/>
      <c r="G192" s="21"/>
      <c r="H192" s="21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</row>
    <row r="193" spans="1:45" x14ac:dyDescent="0.25">
      <c r="A193" s="11"/>
      <c r="B193" s="3"/>
      <c r="C193" s="3"/>
      <c r="D193" s="3"/>
      <c r="E193" s="3"/>
      <c r="F193" s="21"/>
      <c r="G193" s="21"/>
      <c r="H193" s="21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</row>
    <row r="194" spans="1:45" x14ac:dyDescent="0.25">
      <c r="A194" s="11"/>
      <c r="B194" s="3"/>
      <c r="C194" s="3"/>
      <c r="D194" s="3"/>
      <c r="E194" s="3"/>
      <c r="F194" s="21"/>
      <c r="G194" s="21"/>
      <c r="H194" s="21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</row>
    <row r="195" spans="1:45" x14ac:dyDescent="0.25">
      <c r="A195" s="11"/>
      <c r="B195" s="3"/>
      <c r="C195" s="3"/>
      <c r="D195" s="3"/>
      <c r="E195" s="3"/>
      <c r="F195" s="21"/>
      <c r="G195" s="21"/>
      <c r="H195" s="21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</row>
    <row r="196" spans="1:45" x14ac:dyDescent="0.25">
      <c r="A196" s="11"/>
      <c r="B196" s="3"/>
      <c r="C196" s="3"/>
      <c r="D196" s="3"/>
      <c r="E196" s="3"/>
      <c r="F196" s="21"/>
      <c r="G196" s="21"/>
      <c r="H196" s="21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</row>
    <row r="197" spans="1:45" x14ac:dyDescent="0.25">
      <c r="A197" s="11"/>
      <c r="B197" s="3"/>
      <c r="C197" s="3"/>
      <c r="D197" s="3"/>
      <c r="E197" s="3"/>
      <c r="F197" s="21"/>
      <c r="G197" s="21"/>
      <c r="H197" s="21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</row>
    <row r="198" spans="1:45" x14ac:dyDescent="0.25">
      <c r="A198" s="11"/>
      <c r="B198" s="3"/>
      <c r="C198" s="3"/>
      <c r="D198" s="3"/>
      <c r="E198" s="3"/>
      <c r="F198" s="21"/>
      <c r="G198" s="21"/>
      <c r="H198" s="21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</row>
    <row r="199" spans="1:45" x14ac:dyDescent="0.25">
      <c r="A199" s="11"/>
      <c r="B199" s="3"/>
      <c r="C199" s="3"/>
      <c r="D199" s="3"/>
      <c r="E199" s="3"/>
      <c r="F199" s="21"/>
      <c r="G199" s="21"/>
      <c r="H199" s="21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</row>
    <row r="200" spans="1:45" x14ac:dyDescent="0.25">
      <c r="A200" s="11"/>
      <c r="B200" s="3"/>
      <c r="C200" s="3"/>
      <c r="D200" s="3"/>
      <c r="E200" s="3"/>
      <c r="F200" s="21"/>
      <c r="G200" s="21"/>
      <c r="H200" s="21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</row>
    <row r="201" spans="1:45" x14ac:dyDescent="0.25">
      <c r="A201" s="11"/>
      <c r="B201" s="3"/>
      <c r="C201" s="3"/>
      <c r="D201" s="3"/>
      <c r="E201" s="3"/>
      <c r="F201" s="21"/>
      <c r="G201" s="21"/>
      <c r="H201" s="21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</row>
    <row r="202" spans="1:45" x14ac:dyDescent="0.25">
      <c r="A202" s="11"/>
      <c r="B202" s="3"/>
      <c r="C202" s="3"/>
      <c r="D202" s="3"/>
      <c r="E202" s="3"/>
      <c r="F202" s="21"/>
      <c r="G202" s="21"/>
      <c r="H202" s="21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</row>
    <row r="203" spans="1:45" x14ac:dyDescent="0.25">
      <c r="A203" s="11"/>
      <c r="B203" s="3"/>
      <c r="C203" s="3"/>
      <c r="D203" s="3"/>
      <c r="E203" s="3"/>
      <c r="F203" s="21"/>
      <c r="G203" s="21"/>
      <c r="H203" s="21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</row>
    <row r="204" spans="1:45" x14ac:dyDescent="0.25">
      <c r="A204" s="11"/>
      <c r="B204" s="3"/>
      <c r="C204" s="3"/>
      <c r="D204" s="3"/>
      <c r="E204" s="3"/>
      <c r="F204" s="21"/>
      <c r="G204" s="21"/>
      <c r="H204" s="21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</row>
    <row r="205" spans="1:45" x14ac:dyDescent="0.25">
      <c r="A205" s="11"/>
      <c r="B205" s="3"/>
      <c r="C205" s="3"/>
      <c r="D205" s="3"/>
      <c r="E205" s="3"/>
      <c r="F205" s="21"/>
      <c r="G205" s="21"/>
      <c r="H205" s="21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</row>
    <row r="206" spans="1:45" x14ac:dyDescent="0.25">
      <c r="A206" s="11"/>
      <c r="B206" s="3"/>
      <c r="C206" s="3"/>
      <c r="D206" s="3"/>
      <c r="E206" s="3"/>
      <c r="F206" s="21"/>
      <c r="G206" s="21"/>
      <c r="H206" s="21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</row>
    <row r="207" spans="1:45" x14ac:dyDescent="0.25">
      <c r="A207" s="11"/>
      <c r="B207" s="3"/>
      <c r="C207" s="3"/>
      <c r="D207" s="3"/>
      <c r="E207" s="3"/>
      <c r="F207" s="21"/>
      <c r="G207" s="21"/>
      <c r="H207" s="21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</row>
    <row r="208" spans="1:45" x14ac:dyDescent="0.25">
      <c r="A208" s="11"/>
      <c r="B208" s="3"/>
      <c r="C208" s="3"/>
      <c r="D208" s="3"/>
      <c r="E208" s="3"/>
      <c r="F208" s="21"/>
      <c r="G208" s="21"/>
      <c r="H208" s="21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</row>
    <row r="209" spans="1:45" x14ac:dyDescent="0.25">
      <c r="A209" s="11"/>
      <c r="B209" s="3"/>
      <c r="C209" s="3"/>
      <c r="D209" s="3"/>
      <c r="E209" s="3"/>
      <c r="F209" s="21"/>
      <c r="G209" s="21"/>
      <c r="H209" s="21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</row>
    <row r="210" spans="1:45" x14ac:dyDescent="0.25">
      <c r="A210" s="11"/>
      <c r="B210" s="3"/>
      <c r="C210" s="3"/>
      <c r="D210" s="3"/>
      <c r="E210" s="3"/>
      <c r="F210" s="21"/>
      <c r="G210" s="21"/>
      <c r="H210" s="21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</row>
    <row r="211" spans="1:45" x14ac:dyDescent="0.25">
      <c r="A211" s="11"/>
      <c r="B211" s="3"/>
      <c r="C211" s="3"/>
      <c r="D211" s="3"/>
      <c r="E211" s="3"/>
      <c r="F211" s="21"/>
      <c r="G211" s="21"/>
      <c r="H211" s="21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</row>
    <row r="212" spans="1:45" x14ac:dyDescent="0.25">
      <c r="A212" s="11"/>
      <c r="B212" s="3"/>
      <c r="C212" s="3"/>
      <c r="D212" s="3"/>
      <c r="E212" s="3"/>
      <c r="F212" s="21"/>
      <c r="G212" s="21"/>
      <c r="H212" s="21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</row>
    <row r="213" spans="1:45" x14ac:dyDescent="0.25">
      <c r="A213" s="11"/>
      <c r="B213" s="3"/>
      <c r="C213" s="3"/>
      <c r="D213" s="3"/>
      <c r="E213" s="3"/>
      <c r="F213" s="21"/>
      <c r="G213" s="21"/>
      <c r="H213" s="21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</row>
    <row r="214" spans="1:45" x14ac:dyDescent="0.25">
      <c r="A214" s="11"/>
      <c r="B214" s="3"/>
      <c r="C214" s="3"/>
      <c r="D214" s="3"/>
      <c r="E214" s="3"/>
      <c r="F214" s="21"/>
      <c r="G214" s="21"/>
      <c r="H214" s="21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</row>
    <row r="215" spans="1:45" x14ac:dyDescent="0.25">
      <c r="A215" s="11"/>
      <c r="B215" s="3"/>
      <c r="C215" s="3"/>
      <c r="D215" s="3"/>
      <c r="E215" s="3"/>
      <c r="F215" s="21"/>
      <c r="G215" s="21"/>
      <c r="H215" s="21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</row>
    <row r="216" spans="1:45" x14ac:dyDescent="0.25">
      <c r="A216" s="11"/>
      <c r="B216" s="3"/>
      <c r="C216" s="3"/>
      <c r="D216" s="3"/>
      <c r="E216" s="3"/>
      <c r="F216" s="21"/>
      <c r="G216" s="21"/>
      <c r="H216" s="21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</row>
    <row r="217" spans="1:45" x14ac:dyDescent="0.25">
      <c r="A217" s="11"/>
      <c r="B217" s="3"/>
      <c r="C217" s="3"/>
      <c r="D217" s="3"/>
      <c r="E217" s="3"/>
      <c r="F217" s="21"/>
      <c r="G217" s="21"/>
      <c r="H217" s="21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</row>
    <row r="218" spans="1:45" x14ac:dyDescent="0.25">
      <c r="A218" s="11"/>
      <c r="B218" s="3"/>
      <c r="C218" s="3"/>
      <c r="D218" s="3"/>
      <c r="E218" s="3"/>
      <c r="F218" s="21"/>
      <c r="G218" s="21"/>
      <c r="H218" s="21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</row>
    <row r="219" spans="1:45" x14ac:dyDescent="0.25">
      <c r="A219" s="11"/>
      <c r="B219" s="3"/>
      <c r="C219" s="3"/>
      <c r="D219" s="3"/>
      <c r="E219" s="3"/>
      <c r="F219" s="21"/>
      <c r="G219" s="21"/>
      <c r="H219" s="21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</row>
    <row r="220" spans="1:45" x14ac:dyDescent="0.25">
      <c r="A220" s="11"/>
      <c r="B220" s="3"/>
      <c r="C220" s="3"/>
      <c r="D220" s="3"/>
      <c r="E220" s="3"/>
      <c r="F220" s="21"/>
      <c r="G220" s="21"/>
      <c r="H220" s="21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</row>
    <row r="221" spans="1:45" x14ac:dyDescent="0.25">
      <c r="A221" s="11"/>
      <c r="B221" s="3"/>
      <c r="C221" s="3"/>
      <c r="D221" s="3"/>
      <c r="E221" s="3"/>
      <c r="F221" s="21"/>
      <c r="G221" s="21"/>
      <c r="H221" s="21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</row>
    <row r="222" spans="1:45" x14ac:dyDescent="0.25">
      <c r="A222" s="11"/>
      <c r="B222" s="3"/>
      <c r="C222" s="3"/>
      <c r="D222" s="3"/>
      <c r="E222" s="3"/>
      <c r="F222" s="21"/>
      <c r="G222" s="21"/>
      <c r="H222" s="21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</row>
    <row r="223" spans="1:45" x14ac:dyDescent="0.25">
      <c r="A223" s="11"/>
      <c r="B223" s="3"/>
      <c r="C223" s="3"/>
      <c r="D223" s="3"/>
      <c r="E223" s="3"/>
      <c r="F223" s="21"/>
      <c r="G223" s="21"/>
      <c r="H223" s="21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</row>
    <row r="224" spans="1:45" x14ac:dyDescent="0.25">
      <c r="A224" s="11"/>
      <c r="B224" s="3"/>
      <c r="C224" s="3"/>
      <c r="D224" s="3"/>
      <c r="E224" s="3"/>
      <c r="F224" s="21"/>
      <c r="G224" s="21"/>
      <c r="H224" s="21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</row>
    <row r="225" spans="1:45" x14ac:dyDescent="0.25">
      <c r="A225" s="1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</row>
    <row r="226" spans="1:45" x14ac:dyDescent="0.25">
      <c r="A226" s="1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</row>
    <row r="227" spans="1:45" x14ac:dyDescent="0.25">
      <c r="A227" s="1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</row>
    <row r="228" spans="1:45" x14ac:dyDescent="0.25">
      <c r="A228" s="1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</row>
    <row r="229" spans="1:45" x14ac:dyDescent="0.25">
      <c r="A229" s="1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</row>
    <row r="230" spans="1:45" x14ac:dyDescent="0.25">
      <c r="A230" s="1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</row>
    <row r="231" spans="1:45" x14ac:dyDescent="0.25">
      <c r="A231" s="1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</row>
    <row r="232" spans="1:45" x14ac:dyDescent="0.25">
      <c r="A232" s="1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</row>
    <row r="233" spans="1:45" x14ac:dyDescent="0.25">
      <c r="A233" s="1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</row>
    <row r="234" spans="1:45" x14ac:dyDescent="0.25">
      <c r="A234" s="1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</row>
    <row r="235" spans="1:45" x14ac:dyDescent="0.25">
      <c r="A235" s="1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</row>
    <row r="236" spans="1:45" x14ac:dyDescent="0.25">
      <c r="A236" s="1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</row>
    <row r="237" spans="1:45" x14ac:dyDescent="0.25">
      <c r="A237" s="1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</row>
    <row r="238" spans="1:45" x14ac:dyDescent="0.25">
      <c r="A238" s="1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</row>
    <row r="239" spans="1:45" x14ac:dyDescent="0.25">
      <c r="A239" s="1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</row>
    <row r="240" spans="1:45" x14ac:dyDescent="0.25">
      <c r="A240" s="1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</row>
  </sheetData>
  <hyperlinks>
    <hyperlink ref="B5" r:id="rId1" xr:uid="{28DCB031-FE72-4DDD-A270-8F54C33B0D07}"/>
    <hyperlink ref="B4" r:id="rId2" xr:uid="{26E5ABC1-BB04-437E-9206-F1C20901DED0}"/>
    <hyperlink ref="B24" r:id="rId3" xr:uid="{90530EB5-2052-4CB4-AF13-B31111EBF67A}"/>
    <hyperlink ref="B23" r:id="rId4" xr:uid="{7F153815-6E43-4099-8156-DC87E23678F8}"/>
    <hyperlink ref="B20" r:id="rId5" xr:uid="{5DC12985-47BA-47C6-AD3C-158905087A9F}"/>
    <hyperlink ref="B16" r:id="rId6" xr:uid="{EF84B852-0E40-42BE-B540-DAB2CF38A7D8}"/>
    <hyperlink ref="B26" r:id="rId7" xr:uid="{0B1A5131-7333-432D-A872-CF71A7AC0540}"/>
    <hyperlink ref="B17" r:id="rId8" xr:uid="{B0DA5556-145A-4727-8860-850C98EAB410}"/>
    <hyperlink ref="B27" r:id="rId9" xr:uid="{1C45EE99-8D08-4692-8B5C-4824C1CCC008}"/>
    <hyperlink ref="B15" r:id="rId10" xr:uid="{6B4B6886-7033-490D-8BAB-89F16B58D022}"/>
    <hyperlink ref="B41" r:id="rId11" xr:uid="{01B4B332-C402-42FD-907A-B7441FE22791}"/>
    <hyperlink ref="B6" r:id="rId12" xr:uid="{29A8336F-7A8A-440D-81B6-8D61FB9E952D}"/>
    <hyperlink ref="B21" r:id="rId13" xr:uid="{34693E39-C404-4A29-AF6E-04DFA48973B1}"/>
    <hyperlink ref="B7" r:id="rId14" xr:uid="{AEC84F4B-AC96-4B2C-9742-70964CE88355}"/>
    <hyperlink ref="B8" r:id="rId15" xr:uid="{555CADF4-767E-4280-A32C-DE081D369605}"/>
    <hyperlink ref="B9" r:id="rId16" xr:uid="{ED0367BF-991D-42F3-9917-454450529D69}"/>
    <hyperlink ref="B50" r:id="rId17" xr:uid="{A2CCB87B-50A6-4FAC-A784-BCC99C531A0C}"/>
    <hyperlink ref="B108" r:id="rId18" xr:uid="{924ECF37-F972-4517-97AA-A46CB7071D84}"/>
    <hyperlink ref="B110" r:id="rId19" xr:uid="{32F77D75-54CA-47B0-850A-36529751389F}"/>
    <hyperlink ref="B39" r:id="rId20" xr:uid="{56071FD0-D9F8-4DBC-B271-5B6B3208455E}"/>
    <hyperlink ref="B10" r:id="rId21" xr:uid="{4E90805E-1BC8-4B3F-BBEA-AFE55F664C5A}"/>
    <hyperlink ref="B30" r:id="rId22" xr:uid="{C7A221F5-614C-4C4A-B853-965FC1172BC6}"/>
    <hyperlink ref="B22" r:id="rId23" xr:uid="{36029B94-59A5-4E11-BE00-520EEA9982EA}"/>
    <hyperlink ref="B32" r:id="rId24" xr:uid="{456E081E-4795-42B4-A042-215BC3BDE8AD}"/>
    <hyperlink ref="B105" r:id="rId25" xr:uid="{6D51229C-82B9-4B3B-8BCD-7E2D8D8D1697}"/>
    <hyperlink ref="B29" r:id="rId26" xr:uid="{725EC800-EAC4-45CD-844A-DCF52C2E49D3}"/>
    <hyperlink ref="B57" r:id="rId27" xr:uid="{34044582-871E-46CA-BEE4-6F8CE2992A03}"/>
    <hyperlink ref="B47" r:id="rId28" xr:uid="{373784ED-2071-41B3-AA12-4F7A1FE107EB}"/>
    <hyperlink ref="B18" r:id="rId29" xr:uid="{23A47D69-4386-4E38-8AD5-1AC2221DA4C3}"/>
    <hyperlink ref="B103" r:id="rId30" xr:uid="{99A434BF-F5F7-467F-AB02-447D8D64F5FB}"/>
    <hyperlink ref="B93" r:id="rId31" xr:uid="{04B6A34E-7F7B-490D-8880-75C12621EECA}"/>
    <hyperlink ref="B84" r:id="rId32" xr:uid="{56024696-67B2-4803-B0DF-95A89BDC0A77}"/>
    <hyperlink ref="B116" r:id="rId33" xr:uid="{165C2902-BD53-4337-94C5-A6EDD7D0D48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9CA2-CEEF-4FD9-95A4-95A07D05EBFE}">
  <dimension ref="A1:BR147"/>
  <sheetViews>
    <sheetView zoomScale="200" zoomScaleNormal="200" workbookViewId="0">
      <selection activeCell="D28" sqref="D28"/>
    </sheetView>
  </sheetViews>
  <sheetFormatPr defaultRowHeight="13.5" x14ac:dyDescent="0.25"/>
  <cols>
    <col min="1" max="1" width="4.42578125" style="4" customWidth="1"/>
    <col min="2" max="2" width="16.42578125" style="4" bestFit="1" customWidth="1"/>
    <col min="3" max="4" width="9.140625" style="4"/>
    <col min="5" max="5" width="9.28515625" style="4" bestFit="1" customWidth="1"/>
    <col min="6" max="6" width="10.85546875" style="4" bestFit="1" customWidth="1"/>
    <col min="7" max="7" width="9.28515625" style="4" bestFit="1" customWidth="1"/>
    <col min="8" max="8" width="10.140625" style="4" bestFit="1" customWidth="1"/>
    <col min="9" max="16384" width="9.140625" style="4"/>
  </cols>
  <sheetData>
    <row r="1" spans="1:70" x14ac:dyDescent="0.25">
      <c r="A1" s="12" t="s">
        <v>470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</row>
    <row r="2" spans="1:70" x14ac:dyDescent="0.25">
      <c r="A2" s="3" t="s">
        <v>279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</row>
    <row r="3" spans="1:70" x14ac:dyDescent="0.25">
      <c r="A3" s="6" t="s">
        <v>138</v>
      </c>
      <c r="B3" s="7" t="s">
        <v>0</v>
      </c>
      <c r="C3" s="7" t="s">
        <v>280</v>
      </c>
      <c r="D3" s="7" t="s">
        <v>21</v>
      </c>
      <c r="E3" s="7" t="s">
        <v>4</v>
      </c>
      <c r="F3" s="7" t="s">
        <v>281</v>
      </c>
      <c r="G3" s="7" t="s">
        <v>53</v>
      </c>
      <c r="H3" s="7" t="s">
        <v>5</v>
      </c>
      <c r="I3" s="7" t="s">
        <v>282</v>
      </c>
      <c r="J3" s="24"/>
      <c r="K3" s="25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</row>
    <row r="4" spans="1:70" x14ac:dyDescent="0.25">
      <c r="A4" s="3"/>
      <c r="B4" s="25" t="s">
        <v>283</v>
      </c>
      <c r="C4" s="13"/>
      <c r="D4" s="13"/>
      <c r="E4" s="26"/>
      <c r="F4" s="26"/>
      <c r="G4" s="26"/>
      <c r="H4" s="26"/>
      <c r="I4" s="27"/>
      <c r="J4" s="13"/>
      <c r="K4" s="1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</row>
    <row r="5" spans="1:70" x14ac:dyDescent="0.25">
      <c r="A5" s="11">
        <v>1</v>
      </c>
      <c r="B5" s="12" t="s">
        <v>284</v>
      </c>
      <c r="C5" s="13" t="s">
        <v>285</v>
      </c>
      <c r="D5" s="13" t="s">
        <v>22</v>
      </c>
      <c r="E5" s="26">
        <f>+[32]Main!$H$2</f>
        <v>432.32</v>
      </c>
      <c r="F5" s="26">
        <f>+[32]Main!$H$4</f>
        <v>3210247.9621363198</v>
      </c>
      <c r="G5" s="26">
        <f>+[32]Main!$H$6-[32]Main!$H$5</f>
        <v>-49200</v>
      </c>
      <c r="H5" s="26">
        <f t="shared" ref="H5:H18" si="0">+F5+G5</f>
        <v>3161047.9621363198</v>
      </c>
      <c r="I5" s="27" t="s">
        <v>240</v>
      </c>
      <c r="J5" s="13"/>
      <c r="K5" s="1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</row>
    <row r="6" spans="1:70" x14ac:dyDescent="0.25">
      <c r="A6" s="11">
        <f>+A5+1</f>
        <v>2</v>
      </c>
      <c r="B6" s="12" t="s">
        <v>286</v>
      </c>
      <c r="C6" s="3" t="s">
        <v>287</v>
      </c>
      <c r="D6" s="3" t="s">
        <v>26</v>
      </c>
      <c r="E6" s="26">
        <f>+[33]Main!$G$2</f>
        <v>617.5</v>
      </c>
      <c r="F6" s="26">
        <f>+[33]Main!$G$4*FX!C6</f>
        <v>1273.5800000000002</v>
      </c>
      <c r="G6" s="26">
        <f>+([33]Main!$G$6-[33]Main!$G$5)*FX!C6</f>
        <v>-674313.59800000011</v>
      </c>
      <c r="H6" s="26">
        <f t="shared" si="0"/>
        <v>-673040.01800000016</v>
      </c>
      <c r="I6" s="15" t="s">
        <v>239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</row>
    <row r="7" spans="1:70" x14ac:dyDescent="0.25">
      <c r="A7" s="11">
        <f t="shared" ref="A7:A18" si="1">+A6+1</f>
        <v>3</v>
      </c>
      <c r="B7" s="12" t="s">
        <v>11</v>
      </c>
      <c r="C7" s="3" t="s">
        <v>12</v>
      </c>
      <c r="D7" s="3" t="s">
        <v>23</v>
      </c>
      <c r="E7" s="26">
        <f>+[4]Main!$H$2</f>
        <v>3214</v>
      </c>
      <c r="F7" s="26">
        <f>+[4]Main!$H$4*FX!C2</f>
        <v>124966.1644815872</v>
      </c>
      <c r="G7" s="26">
        <f>+([4]Main!$H$6-[4]Main!$H$5)*FX!C2</f>
        <v>12550.617600000001</v>
      </c>
      <c r="H7" s="26">
        <f t="shared" si="0"/>
        <v>137516.78208158721</v>
      </c>
      <c r="I7" s="15" t="s">
        <v>243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</row>
    <row r="8" spans="1:70" x14ac:dyDescent="0.25">
      <c r="A8" s="11">
        <f t="shared" si="1"/>
        <v>4</v>
      </c>
      <c r="B8" s="12" t="s">
        <v>288</v>
      </c>
      <c r="C8" s="3" t="s">
        <v>289</v>
      </c>
      <c r="D8" s="3" t="s">
        <v>23</v>
      </c>
      <c r="E8" s="26">
        <f>+[6]Main!$I$2</f>
        <v>12800</v>
      </c>
      <c r="F8" s="26">
        <f>+[6]Main!$I$4*FX!C2</f>
        <v>106388.6848</v>
      </c>
      <c r="G8" s="26">
        <f>+([6]Main!$I$6-[6]Main!$I$5)*FX!C2</f>
        <v>-10152.16</v>
      </c>
      <c r="H8" s="26">
        <f t="shared" si="0"/>
        <v>96236.524799999999</v>
      </c>
      <c r="I8" s="15" t="s">
        <v>290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</row>
    <row r="9" spans="1:70" x14ac:dyDescent="0.25">
      <c r="A9" s="11">
        <f t="shared" si="1"/>
        <v>5</v>
      </c>
      <c r="B9" s="12" t="s">
        <v>291</v>
      </c>
      <c r="C9" s="3" t="s">
        <v>20</v>
      </c>
      <c r="D9" s="3" t="s">
        <v>26</v>
      </c>
      <c r="E9" s="26">
        <f>+[34]Main!$I$2</f>
        <v>2123</v>
      </c>
      <c r="F9" s="26">
        <f>+[35]Main!$H$5*FX!C6</f>
        <v>65131.275185760009</v>
      </c>
      <c r="G9" s="26">
        <f>+([35]Main!$H$7-[35]Main!$H$6)*FX!C6</f>
        <v>-16042.82638</v>
      </c>
      <c r="H9" s="26">
        <f t="shared" si="0"/>
        <v>49088.44880576001</v>
      </c>
      <c r="I9" s="15" t="s">
        <v>245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</row>
    <row r="10" spans="1:70" x14ac:dyDescent="0.25">
      <c r="A10" s="11">
        <f t="shared" si="1"/>
        <v>6</v>
      </c>
      <c r="B10" s="12" t="s">
        <v>17</v>
      </c>
      <c r="C10" s="3" t="s">
        <v>18</v>
      </c>
      <c r="D10" s="3" t="s">
        <v>25</v>
      </c>
      <c r="E10" s="26">
        <f>+[7]Main!$I$2</f>
        <v>141.63</v>
      </c>
      <c r="F10" s="26">
        <f>+[7]Main!$I$4</f>
        <v>82151.979704910002</v>
      </c>
      <c r="G10" s="26">
        <f>+[7]Main!$I$6-[7]Main!$I$5</f>
        <v>1013.5080000000007</v>
      </c>
      <c r="H10" s="26">
        <f t="shared" si="0"/>
        <v>83165.487704910003</v>
      </c>
      <c r="I10" s="15" t="s">
        <v>245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</row>
    <row r="11" spans="1:70" x14ac:dyDescent="0.25">
      <c r="A11" s="11">
        <f t="shared" si="1"/>
        <v>7</v>
      </c>
      <c r="B11" s="12" t="s">
        <v>36</v>
      </c>
      <c r="C11" s="3" t="s">
        <v>37</v>
      </c>
      <c r="D11" s="3" t="s">
        <v>22</v>
      </c>
      <c r="E11" s="26">
        <f>+[8]Main!$I$2</f>
        <v>202.53</v>
      </c>
      <c r="F11" s="26">
        <f>+[8]Main!$I$4</f>
        <v>50674.485076589997</v>
      </c>
      <c r="G11" s="26">
        <f>+[8]Main!$I$6-[8]Main!$I$5</f>
        <v>-1230</v>
      </c>
      <c r="H11" s="26">
        <f t="shared" si="0"/>
        <v>49444.485076589997</v>
      </c>
      <c r="I11" s="15" t="s">
        <v>240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</row>
    <row r="12" spans="1:70" x14ac:dyDescent="0.25">
      <c r="A12" s="11">
        <f t="shared" si="1"/>
        <v>8</v>
      </c>
      <c r="B12" s="12" t="s">
        <v>292</v>
      </c>
      <c r="C12" s="3" t="s">
        <v>45</v>
      </c>
      <c r="D12" s="3" t="s">
        <v>22</v>
      </c>
      <c r="E12" s="26">
        <f>+[12]Main!$L$3</f>
        <v>228.01</v>
      </c>
      <c r="F12" s="26">
        <f>+[12]Main!$L$5</f>
        <v>42061.053038120001</v>
      </c>
      <c r="G12" s="26">
        <f>+[12]Main!$L$7-[12]Main!$L$6</f>
        <v>1030</v>
      </c>
      <c r="H12" s="26">
        <f t="shared" si="0"/>
        <v>43091.053038120001</v>
      </c>
      <c r="I12" s="15" t="s">
        <v>240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</row>
    <row r="13" spans="1:70" x14ac:dyDescent="0.25">
      <c r="A13" s="11">
        <f t="shared" si="1"/>
        <v>9</v>
      </c>
      <c r="B13" s="12" t="s">
        <v>38</v>
      </c>
      <c r="C13" s="3" t="s">
        <v>39</v>
      </c>
      <c r="D13" s="3" t="s">
        <v>22</v>
      </c>
      <c r="E13" s="26">
        <f>+[9]Main!$H$2</f>
        <v>127.88</v>
      </c>
      <c r="F13" s="26">
        <f>+[9]Main!$H$4</f>
        <v>82486.819144840003</v>
      </c>
      <c r="G13" s="26">
        <f>+[9]Main!$H$6-[9]Main!$H$5</f>
        <v>-1634.819</v>
      </c>
      <c r="H13" s="26">
        <f t="shared" si="0"/>
        <v>80852.00014484</v>
      </c>
      <c r="I13" s="15" t="s">
        <v>293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</row>
    <row r="14" spans="1:70" x14ac:dyDescent="0.25">
      <c r="A14" s="11">
        <f t="shared" si="1"/>
        <v>10</v>
      </c>
      <c r="B14" s="12" t="s">
        <v>294</v>
      </c>
      <c r="C14" s="3" t="s">
        <v>49</v>
      </c>
      <c r="D14" s="3" t="s">
        <v>50</v>
      </c>
      <c r="E14" s="26">
        <f>+[14]Main!$I$2</f>
        <v>66.67</v>
      </c>
      <c r="F14" s="26">
        <f>+[14]Main!$I$4*FX!C5</f>
        <v>26732.303286336904</v>
      </c>
      <c r="G14" s="26">
        <f>+([14]Main!$I$6-[14]Main!$I$5)*FX!C5</f>
        <v>718.45199999999988</v>
      </c>
      <c r="H14" s="26">
        <f t="shared" si="0"/>
        <v>27450.755286336906</v>
      </c>
      <c r="I14" s="15" t="s">
        <v>245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</row>
    <row r="15" spans="1:70" x14ac:dyDescent="0.25">
      <c r="A15" s="11">
        <f t="shared" si="1"/>
        <v>11</v>
      </c>
      <c r="B15" s="12" t="s">
        <v>67</v>
      </c>
      <c r="C15" s="3" t="s">
        <v>69</v>
      </c>
      <c r="D15" s="3" t="s">
        <v>23</v>
      </c>
      <c r="E15" s="26">
        <f>+[34]Main!$I$2</f>
        <v>2123</v>
      </c>
      <c r="F15" s="26">
        <f>+[34]Main!$I$4*FX!C2</f>
        <v>11429.0165977856</v>
      </c>
      <c r="G15" s="26">
        <f>+([34]Main!$I$6-[34]Main!$I$5)*FX!C2</f>
        <v>-2117.3888000000002</v>
      </c>
      <c r="H15" s="26">
        <f t="shared" si="0"/>
        <v>9311.6277977855989</v>
      </c>
      <c r="I15" s="15" t="s">
        <v>245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</row>
    <row r="16" spans="1:70" x14ac:dyDescent="0.25">
      <c r="A16" s="11">
        <f t="shared" si="1"/>
        <v>12</v>
      </c>
      <c r="B16" s="12" t="s">
        <v>64</v>
      </c>
      <c r="C16" s="3" t="s">
        <v>65</v>
      </c>
      <c r="D16" s="3" t="s">
        <v>23</v>
      </c>
      <c r="E16" s="26">
        <f>+[19]Main!$I$2</f>
        <v>5241</v>
      </c>
      <c r="F16" s="26">
        <f>+[19]Main!$I$4*FX!C2</f>
        <v>21944.563863571202</v>
      </c>
      <c r="G16" s="26">
        <f>+([19]Main!$I$6-[19]Main!$I$5)*FX!C2</f>
        <v>-2059.9551999999999</v>
      </c>
      <c r="H16" s="26">
        <f t="shared" si="0"/>
        <v>19884.608663571202</v>
      </c>
      <c r="I16" s="15" t="s">
        <v>295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</row>
    <row r="17" spans="1:70" x14ac:dyDescent="0.25">
      <c r="A17" s="11">
        <f t="shared" si="1"/>
        <v>13</v>
      </c>
      <c r="B17" s="12" t="s">
        <v>66</v>
      </c>
      <c r="C17" s="3" t="s">
        <v>68</v>
      </c>
      <c r="D17" s="3" t="s">
        <v>23</v>
      </c>
      <c r="E17" s="26">
        <f>+[20]Main!$I$2</f>
        <v>16735</v>
      </c>
      <c r="F17" s="26">
        <f>+[20]Main!$I$4*FX!C2</f>
        <v>14518.749837375999</v>
      </c>
      <c r="G17" s="26">
        <f>+([20]Main!$I$6-[20]Main!$I$5)*FX!C2</f>
        <v>-1445.152</v>
      </c>
      <c r="H17" s="26">
        <f t="shared" si="0"/>
        <v>13073.597837375999</v>
      </c>
      <c r="I17" s="15" t="s">
        <v>295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</row>
    <row r="18" spans="1:70" x14ac:dyDescent="0.25">
      <c r="A18" s="11">
        <f t="shared" si="1"/>
        <v>14</v>
      </c>
      <c r="B18" s="12" t="s">
        <v>227</v>
      </c>
      <c r="C18" s="3" t="s">
        <v>228</v>
      </c>
      <c r="D18" s="3" t="s">
        <v>94</v>
      </c>
      <c r="E18" s="26">
        <f>+[36]Main!$H$2</f>
        <v>12.11</v>
      </c>
      <c r="F18" s="26">
        <f>+[36]Main!$H$4*FX!C3</f>
        <v>1601.5717199999999</v>
      </c>
      <c r="G18" s="26">
        <f>+([36]Main!$H$6-[36]Main!$H$5)*FX!C3</f>
        <v>1343.7380000000003</v>
      </c>
      <c r="H18" s="26">
        <f t="shared" si="0"/>
        <v>2945.3097200000002</v>
      </c>
      <c r="I18" s="15" t="s">
        <v>245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</row>
    <row r="19" spans="1:70" x14ac:dyDescent="0.25">
      <c r="A19" s="11"/>
      <c r="B19" s="3"/>
      <c r="C19" s="3"/>
      <c r="D19" s="3"/>
      <c r="E19" s="26"/>
      <c r="F19" s="26"/>
      <c r="G19" s="26"/>
      <c r="H19" s="26"/>
      <c r="I19" s="1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</row>
    <row r="20" spans="1:70" x14ac:dyDescent="0.25">
      <c r="A20" s="11"/>
      <c r="B20" s="25" t="s">
        <v>296</v>
      </c>
      <c r="C20" s="3"/>
      <c r="D20" s="3"/>
      <c r="E20" s="26"/>
      <c r="F20" s="26"/>
      <c r="G20" s="26"/>
      <c r="H20" s="26"/>
      <c r="I20" s="15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</row>
    <row r="21" spans="1:70" x14ac:dyDescent="0.25">
      <c r="A21" s="11"/>
      <c r="B21" s="12" t="s">
        <v>297</v>
      </c>
      <c r="C21" s="3" t="s">
        <v>298</v>
      </c>
      <c r="D21" s="3" t="s">
        <v>22</v>
      </c>
      <c r="E21" s="26">
        <f>+[37]Main!$J$2</f>
        <v>21.7</v>
      </c>
      <c r="F21" s="26">
        <f>+[37]Main!$J$4</f>
        <v>9701.7223876999997</v>
      </c>
      <c r="G21" s="26">
        <f>+[37]Main!$J$6-[37]Main!$J$5</f>
        <v>-4758</v>
      </c>
      <c r="H21" s="26">
        <f>+F21+G21</f>
        <v>4943.7223876999997</v>
      </c>
      <c r="I21" s="15" t="s">
        <v>245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</row>
    <row r="22" spans="1:70" x14ac:dyDescent="0.25">
      <c r="A22" s="11"/>
      <c r="B22" s="3"/>
      <c r="C22" s="3"/>
      <c r="D22" s="3"/>
      <c r="E22" s="26"/>
      <c r="F22" s="26"/>
      <c r="G22" s="26"/>
      <c r="H22" s="26"/>
      <c r="I22" s="15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</row>
    <row r="23" spans="1:70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</row>
    <row r="24" spans="1:7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</row>
    <row r="25" spans="1:70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</row>
    <row r="26" spans="1:70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</row>
    <row r="27" spans="1:70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</row>
    <row r="28" spans="1:70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</row>
    <row r="29" spans="1:70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</row>
    <row r="30" spans="1:70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</row>
    <row r="31" spans="1:70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</row>
    <row r="32" spans="1:70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</row>
    <row r="33" spans="1:70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</row>
    <row r="34" spans="1:70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</row>
    <row r="35" spans="1:70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</row>
    <row r="36" spans="1:70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</row>
    <row r="37" spans="1:70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</row>
    <row r="38" spans="1:70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</row>
    <row r="39" spans="1:70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</row>
    <row r="40" spans="1:70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</row>
    <row r="41" spans="1:70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</row>
    <row r="42" spans="1:70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</row>
    <row r="43" spans="1:70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</row>
    <row r="44" spans="1:70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</row>
    <row r="45" spans="1:70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</row>
    <row r="46" spans="1:70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</row>
    <row r="47" spans="1:70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</row>
    <row r="48" spans="1:70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</row>
    <row r="49" spans="1:70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</row>
    <row r="50" spans="1:70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</row>
    <row r="51" spans="1:70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</row>
    <row r="52" spans="1:70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</row>
    <row r="53" spans="1:70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</row>
    <row r="54" spans="1:70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</row>
    <row r="55" spans="1:70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</row>
    <row r="56" spans="1:70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</row>
    <row r="57" spans="1:70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</row>
    <row r="58" spans="1:70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</row>
    <row r="59" spans="1:70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</row>
    <row r="60" spans="1:70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</row>
    <row r="61" spans="1:70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</row>
    <row r="62" spans="1:70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</row>
    <row r="63" spans="1:70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</row>
    <row r="64" spans="1:70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</row>
    <row r="65" spans="1:70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</row>
    <row r="66" spans="1:70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</row>
    <row r="67" spans="1:70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</row>
    <row r="68" spans="1:70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</row>
    <row r="69" spans="1:70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</row>
    <row r="70" spans="1:70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</row>
    <row r="71" spans="1:70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</row>
    <row r="72" spans="1:70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</row>
    <row r="73" spans="1:70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</row>
    <row r="74" spans="1:70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</row>
    <row r="75" spans="1:70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</row>
    <row r="76" spans="1:70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</row>
    <row r="77" spans="1:70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</row>
    <row r="78" spans="1:70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</row>
    <row r="79" spans="1:70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</row>
    <row r="80" spans="1:70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</row>
    <row r="81" spans="1:70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</row>
    <row r="82" spans="1:70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</row>
    <row r="83" spans="1:70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</row>
    <row r="84" spans="1:70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</row>
    <row r="85" spans="1:70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</row>
    <row r="86" spans="1:70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</row>
    <row r="87" spans="1:70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</row>
    <row r="88" spans="1:70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</row>
    <row r="89" spans="1:70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</row>
    <row r="90" spans="1:70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</row>
    <row r="91" spans="1:70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</row>
    <row r="92" spans="1:70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</row>
    <row r="93" spans="1:70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</row>
    <row r="94" spans="1:70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</row>
    <row r="95" spans="1:70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</row>
    <row r="96" spans="1:70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</row>
    <row r="97" spans="1:70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</row>
    <row r="98" spans="1:70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</row>
    <row r="99" spans="1:70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</row>
    <row r="100" spans="1:70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</row>
    <row r="101" spans="1:70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</row>
    <row r="102" spans="1:70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</row>
    <row r="103" spans="1:70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</row>
    <row r="104" spans="1:70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</row>
    <row r="105" spans="1:70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</row>
    <row r="106" spans="1:70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</row>
    <row r="107" spans="1:70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</row>
    <row r="108" spans="1:70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</row>
    <row r="109" spans="1:70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</row>
    <row r="110" spans="1:70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</row>
    <row r="111" spans="1:70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</row>
    <row r="112" spans="1:70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</row>
    <row r="113" spans="1:70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</row>
    <row r="114" spans="1:70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</row>
    <row r="115" spans="1:70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</row>
    <row r="116" spans="1:70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</row>
    <row r="117" spans="1:70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</row>
    <row r="118" spans="1:70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</row>
    <row r="119" spans="1:70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</row>
    <row r="120" spans="1:70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</row>
    <row r="121" spans="1:70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</row>
    <row r="122" spans="1:70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</row>
    <row r="123" spans="1:70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</row>
    <row r="124" spans="1:70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</row>
    <row r="125" spans="1:70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</row>
    <row r="126" spans="1:70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</row>
    <row r="127" spans="1:70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</row>
    <row r="128" spans="1:70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</row>
    <row r="129" spans="1:70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</row>
    <row r="130" spans="1:70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</row>
    <row r="131" spans="1:70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</row>
    <row r="132" spans="1:70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</row>
    <row r="133" spans="1:70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</row>
    <row r="134" spans="1:70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</row>
    <row r="135" spans="1:70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</row>
    <row r="136" spans="1:70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</row>
    <row r="137" spans="1:70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</row>
    <row r="138" spans="1:70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</row>
    <row r="139" spans="1:70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</row>
    <row r="140" spans="1:70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</row>
    <row r="141" spans="1:70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</row>
    <row r="142" spans="1:70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</row>
    <row r="143" spans="1:70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</row>
    <row r="144" spans="1:70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</row>
    <row r="145" spans="1:70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</row>
    <row r="146" spans="1:70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</row>
    <row r="147" spans="1:70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</row>
  </sheetData>
  <hyperlinks>
    <hyperlink ref="B13" r:id="rId1" xr:uid="{4DA0D4F9-A10D-4F2C-9673-1C7C9DFA14B7}"/>
    <hyperlink ref="B11" r:id="rId2" xr:uid="{DE7FC94B-E863-44FA-B05D-A09E8059D064}"/>
    <hyperlink ref="B12" r:id="rId3" xr:uid="{83D2F9E6-7F59-45C8-ABCB-36BFB2B80A02}"/>
    <hyperlink ref="B18" r:id="rId4" xr:uid="{8D062EDA-193B-436B-A150-5E852E1612CF}"/>
    <hyperlink ref="B5" r:id="rId5" xr:uid="{6DD27344-D3DB-427C-B181-DB1BDCBB6748}"/>
    <hyperlink ref="B16" r:id="rId6" xr:uid="{EB14C990-A897-4E56-A2D8-AE626C8C91F2}"/>
    <hyperlink ref="B17" r:id="rId7" xr:uid="{508A735B-12E0-4FE0-BC26-151D77293DB4}"/>
    <hyperlink ref="B6" r:id="rId8" xr:uid="{78983502-238B-4B1D-94EA-2564AB9A6513}"/>
    <hyperlink ref="B7" r:id="rId9" xr:uid="{5E3C0455-FB4B-4D4D-B9A3-BCE10B753AD3}"/>
    <hyperlink ref="B8" r:id="rId10" xr:uid="{0E963644-78AD-45BC-A77E-50C4440BCF6B}"/>
    <hyperlink ref="B10" r:id="rId11" xr:uid="{43F67AF7-3E0C-4F9A-B0A4-0DC0C1D3F4FB}"/>
    <hyperlink ref="B14" r:id="rId12" xr:uid="{89B60E37-E300-4245-B93C-640B5700157A}"/>
    <hyperlink ref="B21" r:id="rId13" xr:uid="{9E320C8F-8928-4C71-A643-E25484F108DF}"/>
    <hyperlink ref="B15" r:id="rId14" xr:uid="{8AF15DB8-662E-4386-B28B-D32C5243D064}"/>
    <hyperlink ref="B9" r:id="rId15" xr:uid="{D13D1D4E-BAE0-4744-B0B7-DEA03D07DA4E}"/>
    <hyperlink ref="A1" location="Main!A1" display="Main" xr:uid="{7C18B3E9-E921-462E-9132-B139C0DD836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B8BB7-A6AF-4603-BAFA-28C123C35E62}">
  <dimension ref="A1:Y93"/>
  <sheetViews>
    <sheetView zoomScale="200" zoomScaleNormal="200" workbookViewId="0">
      <selection activeCell="B10" sqref="B10"/>
    </sheetView>
  </sheetViews>
  <sheetFormatPr defaultRowHeight="13.5" x14ac:dyDescent="0.25"/>
  <cols>
    <col min="1" max="1" width="4.42578125" style="4" customWidth="1"/>
    <col min="2" max="2" width="19.5703125" style="4" bestFit="1" customWidth="1"/>
    <col min="3" max="3" width="15" style="4" bestFit="1" customWidth="1"/>
    <col min="4" max="16384" width="9.140625" style="4"/>
  </cols>
  <sheetData>
    <row r="1" spans="1:25" x14ac:dyDescent="0.25">
      <c r="A1" s="12" t="s">
        <v>470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3" t="s">
        <v>279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6" t="s">
        <v>138</v>
      </c>
      <c r="B3" s="7" t="s">
        <v>0</v>
      </c>
      <c r="C3" s="7" t="s">
        <v>299</v>
      </c>
      <c r="D3" s="7" t="s">
        <v>21</v>
      </c>
      <c r="E3" s="7" t="s">
        <v>4</v>
      </c>
      <c r="F3" s="7" t="s">
        <v>300</v>
      </c>
      <c r="G3" s="7" t="s">
        <v>53</v>
      </c>
      <c r="H3" s="7" t="s">
        <v>5</v>
      </c>
      <c r="I3" s="7" t="s">
        <v>301</v>
      </c>
      <c r="J3" s="7"/>
      <c r="K3" s="7"/>
      <c r="L3" s="7"/>
      <c r="M3" s="28"/>
      <c r="N3" s="28"/>
      <c r="O3" s="24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A4" s="11">
        <v>1</v>
      </c>
      <c r="B4" s="12" t="s">
        <v>9</v>
      </c>
      <c r="C4" s="3" t="s">
        <v>10</v>
      </c>
      <c r="D4" s="3" t="s">
        <v>22</v>
      </c>
      <c r="E4" s="14">
        <f>+[3]Main!$I$2</f>
        <v>29.6</v>
      </c>
      <c r="F4" s="14">
        <f>+[3]Main!$I$4</f>
        <v>107859.27734800002</v>
      </c>
      <c r="G4" s="14">
        <f>+[3]Main!$I$6-[3]Main!$I$5</f>
        <v>89738</v>
      </c>
      <c r="H4" s="14">
        <f>+F4+G4</f>
        <v>197597.27734800003</v>
      </c>
      <c r="I4" s="37" t="s">
        <v>295</v>
      </c>
      <c r="J4" s="15"/>
      <c r="K4" s="15"/>
      <c r="L4" s="15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x14ac:dyDescent="0.25">
      <c r="A5" s="11">
        <f>+A4+1</f>
        <v>2</v>
      </c>
      <c r="B5" s="3" t="s">
        <v>302</v>
      </c>
      <c r="C5" s="3" t="s">
        <v>303</v>
      </c>
      <c r="D5" s="3" t="s">
        <v>304</v>
      </c>
      <c r="E5" s="14"/>
      <c r="F5" s="14"/>
      <c r="G5" s="14"/>
      <c r="H5" s="14"/>
      <c r="I5" s="15"/>
      <c r="J5" s="15"/>
      <c r="K5" s="15"/>
      <c r="L5" s="15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11">
        <f t="shared" ref="A6:A69" si="0">+A5+1</f>
        <v>3</v>
      </c>
      <c r="B6" s="3" t="s">
        <v>33</v>
      </c>
      <c r="C6" s="3" t="s">
        <v>34</v>
      </c>
      <c r="D6" s="3" t="s">
        <v>305</v>
      </c>
      <c r="E6" s="14"/>
      <c r="F6" s="14"/>
      <c r="G6" s="14"/>
      <c r="H6" s="14"/>
      <c r="I6" s="15"/>
      <c r="J6" s="15"/>
      <c r="K6" s="15"/>
      <c r="L6" s="15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11">
        <f t="shared" si="0"/>
        <v>4</v>
      </c>
      <c r="B7" s="12" t="s">
        <v>306</v>
      </c>
      <c r="C7" s="3" t="s">
        <v>52</v>
      </c>
      <c r="D7" s="3" t="s">
        <v>22</v>
      </c>
      <c r="E7" s="14">
        <f>+[15]Main!$H$2</f>
        <v>25.88</v>
      </c>
      <c r="F7" s="14">
        <f>+[15]Main!$H$4</f>
        <v>64072.986658159993</v>
      </c>
      <c r="G7" s="14">
        <f>+[15]Main!$H$6-[15]Main!$H$5</f>
        <v>29744</v>
      </c>
      <c r="H7" s="14">
        <f>+F7+G7</f>
        <v>93816.986658159993</v>
      </c>
      <c r="I7" s="15" t="s">
        <v>239</v>
      </c>
      <c r="J7" s="15"/>
      <c r="K7" s="15"/>
      <c r="L7" s="15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11">
        <f t="shared" si="0"/>
        <v>5</v>
      </c>
      <c r="B8" s="12" t="s">
        <v>307</v>
      </c>
      <c r="C8" s="3" t="s">
        <v>308</v>
      </c>
      <c r="D8" s="3" t="s">
        <v>22</v>
      </c>
      <c r="E8" s="14">
        <f>+[38]Main!$I$2</f>
        <v>50.5</v>
      </c>
      <c r="F8" s="14">
        <f>+[38]Main!$I$4</f>
        <v>22898.106829</v>
      </c>
      <c r="G8" s="14">
        <f>+[38]Main!$I$6-[38]Main!$I$5</f>
        <v>3878</v>
      </c>
      <c r="H8" s="14">
        <f>+F8+G8</f>
        <v>26776.106829</v>
      </c>
      <c r="I8" s="15" t="s">
        <v>240</v>
      </c>
      <c r="J8" s="15"/>
      <c r="K8" s="15"/>
      <c r="L8" s="1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5">
      <c r="A9" s="11">
        <f t="shared" si="0"/>
        <v>6</v>
      </c>
      <c r="B9" s="3" t="s">
        <v>309</v>
      </c>
      <c r="C9" s="3" t="s">
        <v>309</v>
      </c>
      <c r="D9" s="3" t="s">
        <v>304</v>
      </c>
      <c r="E9" s="14"/>
      <c r="F9" s="14"/>
      <c r="G9" s="14"/>
      <c r="H9" s="14"/>
      <c r="I9" s="15"/>
      <c r="J9" s="15"/>
      <c r="K9" s="15"/>
      <c r="L9" s="15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5">
      <c r="A10" s="11">
        <f t="shared" si="0"/>
        <v>7</v>
      </c>
      <c r="B10" s="3" t="s">
        <v>310</v>
      </c>
      <c r="C10" s="3" t="s">
        <v>311</v>
      </c>
      <c r="D10" s="3" t="s">
        <v>304</v>
      </c>
      <c r="E10" s="14"/>
      <c r="F10" s="14"/>
      <c r="G10" s="14"/>
      <c r="H10" s="14"/>
      <c r="I10" s="15"/>
      <c r="J10" s="15"/>
      <c r="K10" s="15"/>
      <c r="L10" s="15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25">
      <c r="A11" s="11">
        <f t="shared" si="0"/>
        <v>8</v>
      </c>
      <c r="B11" s="12" t="s">
        <v>312</v>
      </c>
      <c r="C11" s="3" t="s">
        <v>313</v>
      </c>
      <c r="D11" s="3" t="s">
        <v>22</v>
      </c>
      <c r="E11" s="14">
        <f>+[39]Main!$I$2</f>
        <v>30.44</v>
      </c>
      <c r="F11" s="14">
        <f>+[39]Main!$I$4</f>
        <v>17310.539416759999</v>
      </c>
      <c r="G11" s="14">
        <f>+[39]Main!$I$6-[39]Main!$I$5</f>
        <v>1122</v>
      </c>
      <c r="H11" s="14">
        <f>+F11+G11</f>
        <v>18432.539416759999</v>
      </c>
      <c r="I11" s="15" t="s">
        <v>239</v>
      </c>
      <c r="J11" s="15"/>
      <c r="K11" s="15"/>
      <c r="L11" s="15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11">
        <f t="shared" si="0"/>
        <v>9</v>
      </c>
      <c r="B12" s="3" t="s">
        <v>314</v>
      </c>
      <c r="C12" s="3" t="s">
        <v>315</v>
      </c>
      <c r="D12" s="3" t="s">
        <v>22</v>
      </c>
      <c r="E12" s="14"/>
      <c r="F12" s="14"/>
      <c r="G12" s="14"/>
      <c r="H12" s="14"/>
      <c r="I12" s="15"/>
      <c r="J12" s="15"/>
      <c r="K12" s="15"/>
      <c r="L12" s="15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11">
        <f t="shared" si="0"/>
        <v>10</v>
      </c>
      <c r="B13" s="12" t="s">
        <v>316</v>
      </c>
      <c r="C13" s="3" t="s">
        <v>317</v>
      </c>
      <c r="D13" s="3" t="s">
        <v>22</v>
      </c>
      <c r="E13" s="14">
        <f>+[40]Main!$H$2</f>
        <v>41.21</v>
      </c>
      <c r="F13" s="14">
        <f>+[40]Main!$H$4</f>
        <v>8939.4565020800001</v>
      </c>
      <c r="G13" s="14">
        <f>+[40]Main!$H$6-[40]Main!$H$5</f>
        <v>-663.44470000000001</v>
      </c>
      <c r="H13" s="14">
        <f>+F13+G13</f>
        <v>8276.0118020800001</v>
      </c>
      <c r="I13" s="15" t="s">
        <v>239</v>
      </c>
      <c r="J13" s="15"/>
      <c r="K13" s="15"/>
      <c r="L13" s="15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25">
      <c r="A14" s="11">
        <f t="shared" si="0"/>
        <v>11</v>
      </c>
      <c r="B14" s="12" t="s">
        <v>318</v>
      </c>
      <c r="C14" s="3" t="s">
        <v>319</v>
      </c>
      <c r="D14" s="3" t="s">
        <v>22</v>
      </c>
      <c r="E14" s="14">
        <f>+[41]Main!$H$2</f>
        <v>69.87</v>
      </c>
      <c r="F14" s="14">
        <f>+[41]Main!$H$4</f>
        <v>11343.32525883</v>
      </c>
      <c r="G14" s="14">
        <f>+[41]Main!$H$6-[41]Main!$H$5</f>
        <v>-617.35199999999998</v>
      </c>
      <c r="H14" s="14">
        <f>+F14+G14</f>
        <v>10725.973258829999</v>
      </c>
      <c r="I14" s="36" t="s">
        <v>295</v>
      </c>
      <c r="J14" s="15"/>
      <c r="K14" s="15"/>
      <c r="L14" s="15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x14ac:dyDescent="0.25">
      <c r="A15" s="11">
        <f t="shared" si="0"/>
        <v>12</v>
      </c>
      <c r="B15" s="12" t="s">
        <v>320</v>
      </c>
      <c r="C15" s="3" t="s">
        <v>91</v>
      </c>
      <c r="D15" s="3" t="s">
        <v>22</v>
      </c>
      <c r="E15" s="14">
        <f>+[23]Main!$I$2</f>
        <v>13.8</v>
      </c>
      <c r="F15" s="14">
        <f>+[23]Main!$I$4</f>
        <v>9315</v>
      </c>
      <c r="G15" s="14">
        <f>+[23]Main!$I$6-[23]Main!$I$5</f>
        <v>11775</v>
      </c>
      <c r="H15" s="14">
        <f>+F15+G15</f>
        <v>21090</v>
      </c>
      <c r="I15" s="15" t="s">
        <v>245</v>
      </c>
      <c r="J15" s="15"/>
      <c r="K15" s="15"/>
      <c r="L15" s="1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x14ac:dyDescent="0.25">
      <c r="A16" s="11">
        <f t="shared" si="0"/>
        <v>13</v>
      </c>
      <c r="B16" s="3" t="s">
        <v>321</v>
      </c>
      <c r="C16" s="3" t="s">
        <v>322</v>
      </c>
      <c r="D16" s="3" t="s">
        <v>323</v>
      </c>
      <c r="E16" s="14"/>
      <c r="F16" s="14"/>
      <c r="G16" s="14"/>
      <c r="H16" s="1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11">
        <f t="shared" si="0"/>
        <v>14</v>
      </c>
      <c r="B17" s="12" t="s">
        <v>324</v>
      </c>
      <c r="C17" s="3" t="s">
        <v>108</v>
      </c>
      <c r="D17" s="3" t="s">
        <v>22</v>
      </c>
      <c r="E17" s="14">
        <f>+[42]Main!$K$2</f>
        <v>78.55</v>
      </c>
      <c r="F17" s="14">
        <f>+[42]Main!$K$4</f>
        <v>7215.2325581999994</v>
      </c>
      <c r="G17" s="14">
        <f>+[42]Main!$K$6-[42]Main!$K$5</f>
        <v>1417</v>
      </c>
      <c r="H17" s="14">
        <f>+F17+G17</f>
        <v>8632.2325581999994</v>
      </c>
      <c r="I17" s="15" t="s">
        <v>260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11">
        <f t="shared" si="0"/>
        <v>15</v>
      </c>
      <c r="B18" s="3" t="s">
        <v>325</v>
      </c>
      <c r="C18" s="3" t="s">
        <v>326</v>
      </c>
      <c r="D18" s="3" t="s">
        <v>327</v>
      </c>
      <c r="E18" s="14"/>
      <c r="F18" s="14"/>
      <c r="G18" s="14"/>
      <c r="H18" s="1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11">
        <f t="shared" si="0"/>
        <v>16</v>
      </c>
      <c r="B19" s="3" t="s">
        <v>328</v>
      </c>
      <c r="C19" s="3" t="s">
        <v>329</v>
      </c>
      <c r="D19" s="3" t="s">
        <v>304</v>
      </c>
      <c r="E19" s="14"/>
      <c r="F19" s="14"/>
      <c r="G19" s="14"/>
      <c r="H19" s="1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11">
        <f t="shared" si="0"/>
        <v>17</v>
      </c>
      <c r="B20" s="3" t="s">
        <v>330</v>
      </c>
      <c r="C20" s="3" t="s">
        <v>137</v>
      </c>
      <c r="D20" s="3" t="s">
        <v>35</v>
      </c>
      <c r="E20" s="14"/>
      <c r="F20" s="14"/>
      <c r="G20" s="14"/>
      <c r="H20" s="1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11">
        <f t="shared" si="0"/>
        <v>18</v>
      </c>
      <c r="B21" s="3" t="s">
        <v>331</v>
      </c>
      <c r="C21" s="3" t="s">
        <v>126</v>
      </c>
      <c r="D21" s="3" t="s">
        <v>22</v>
      </c>
      <c r="E21" s="14"/>
      <c r="F21" s="14"/>
      <c r="G21" s="14"/>
      <c r="H21" s="1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11">
        <f t="shared" si="0"/>
        <v>19</v>
      </c>
      <c r="B22" s="3" t="s">
        <v>332</v>
      </c>
      <c r="C22" s="3" t="s">
        <v>333</v>
      </c>
      <c r="D22" s="3" t="s">
        <v>334</v>
      </c>
      <c r="E22" s="14"/>
      <c r="F22" s="14"/>
      <c r="G22" s="14"/>
      <c r="H22" s="14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11">
        <f t="shared" si="0"/>
        <v>20</v>
      </c>
      <c r="B23" s="3" t="s">
        <v>335</v>
      </c>
      <c r="C23" s="3" t="s">
        <v>336</v>
      </c>
      <c r="D23" s="3" t="s">
        <v>23</v>
      </c>
      <c r="E23" s="14"/>
      <c r="F23" s="14"/>
      <c r="G23" s="14"/>
      <c r="H23" s="1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11">
        <f t="shared" si="0"/>
        <v>21</v>
      </c>
      <c r="B24" s="3" t="s">
        <v>337</v>
      </c>
      <c r="C24" s="3" t="s">
        <v>338</v>
      </c>
      <c r="D24" s="3" t="s">
        <v>334</v>
      </c>
      <c r="E24" s="14"/>
      <c r="F24" s="14"/>
      <c r="G24" s="14"/>
      <c r="H24" s="1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11">
        <f t="shared" si="0"/>
        <v>22</v>
      </c>
      <c r="B25" s="3" t="s">
        <v>339</v>
      </c>
      <c r="C25" s="3" t="s">
        <v>340</v>
      </c>
      <c r="D25" s="3" t="s">
        <v>22</v>
      </c>
      <c r="E25" s="14"/>
      <c r="F25" s="14"/>
      <c r="G25" s="14"/>
      <c r="H25" s="1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11">
        <f t="shared" si="0"/>
        <v>23</v>
      </c>
      <c r="B26" s="3" t="s">
        <v>341</v>
      </c>
      <c r="C26" s="3" t="s">
        <v>341</v>
      </c>
      <c r="D26" s="3" t="s">
        <v>22</v>
      </c>
      <c r="E26" s="14"/>
      <c r="F26" s="14"/>
      <c r="G26" s="14"/>
      <c r="H26" s="14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x14ac:dyDescent="0.25">
      <c r="A27" s="11">
        <f t="shared" si="0"/>
        <v>24</v>
      </c>
      <c r="B27" s="3" t="s">
        <v>342</v>
      </c>
      <c r="C27" s="3" t="s">
        <v>343</v>
      </c>
      <c r="D27" s="3" t="s">
        <v>22</v>
      </c>
      <c r="E27" s="14"/>
      <c r="F27" s="14"/>
      <c r="G27" s="14"/>
      <c r="H27" s="1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x14ac:dyDescent="0.25">
      <c r="A28" s="11">
        <f t="shared" si="0"/>
        <v>25</v>
      </c>
      <c r="B28" s="3" t="s">
        <v>344</v>
      </c>
      <c r="C28" s="3" t="s">
        <v>345</v>
      </c>
      <c r="D28" s="3" t="s">
        <v>153</v>
      </c>
      <c r="E28" s="14"/>
      <c r="F28" s="14"/>
      <c r="G28" s="14"/>
      <c r="H28" s="14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5">
      <c r="A29" s="11">
        <f t="shared" si="0"/>
        <v>26</v>
      </c>
      <c r="B29" s="3" t="s">
        <v>346</v>
      </c>
      <c r="C29" s="3" t="s">
        <v>347</v>
      </c>
      <c r="D29" s="3" t="s">
        <v>22</v>
      </c>
      <c r="E29" s="14"/>
      <c r="F29" s="14"/>
      <c r="G29" s="14"/>
      <c r="H29" s="1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5">
      <c r="A30" s="11">
        <f t="shared" si="0"/>
        <v>27</v>
      </c>
      <c r="B30" s="3" t="s">
        <v>185</v>
      </c>
      <c r="C30" s="3" t="s">
        <v>186</v>
      </c>
      <c r="D30" s="3" t="s">
        <v>23</v>
      </c>
      <c r="E30" s="14"/>
      <c r="F30" s="14"/>
      <c r="G30" s="14"/>
      <c r="H30" s="14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x14ac:dyDescent="0.25">
      <c r="A31" s="11">
        <f t="shared" si="0"/>
        <v>28</v>
      </c>
      <c r="B31" s="3" t="s">
        <v>348</v>
      </c>
      <c r="C31" s="3" t="s">
        <v>349</v>
      </c>
      <c r="D31" s="3" t="s">
        <v>350</v>
      </c>
      <c r="E31" s="14"/>
      <c r="F31" s="14"/>
      <c r="G31" s="14"/>
      <c r="H31" s="1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25">
      <c r="A32" s="11">
        <f t="shared" si="0"/>
        <v>29</v>
      </c>
      <c r="B32" s="3" t="s">
        <v>351</v>
      </c>
      <c r="C32" s="3" t="s">
        <v>174</v>
      </c>
      <c r="D32" s="3" t="s">
        <v>352</v>
      </c>
      <c r="E32" s="14"/>
      <c r="F32" s="14"/>
      <c r="G32" s="14"/>
      <c r="H32" s="14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11">
        <f t="shared" si="0"/>
        <v>30</v>
      </c>
      <c r="B33" s="3" t="s">
        <v>353</v>
      </c>
      <c r="C33" s="3" t="s">
        <v>354</v>
      </c>
      <c r="D33" s="3" t="s">
        <v>22</v>
      </c>
      <c r="E33" s="14"/>
      <c r="F33" s="14"/>
      <c r="G33" s="14"/>
      <c r="H33" s="14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11">
        <f t="shared" si="0"/>
        <v>31</v>
      </c>
      <c r="B34" s="3" t="s">
        <v>355</v>
      </c>
      <c r="C34" s="3" t="s">
        <v>188</v>
      </c>
      <c r="D34" s="3" t="s">
        <v>305</v>
      </c>
      <c r="E34" s="14"/>
      <c r="F34" s="14"/>
      <c r="G34" s="14"/>
      <c r="H34" s="14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11">
        <f t="shared" si="0"/>
        <v>32</v>
      </c>
      <c r="B35" s="3" t="s">
        <v>356</v>
      </c>
      <c r="C35" s="3"/>
      <c r="D35" s="3"/>
      <c r="E35" s="14"/>
      <c r="F35" s="14"/>
      <c r="G35" s="14"/>
      <c r="H35" s="14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11">
        <f t="shared" si="0"/>
        <v>33</v>
      </c>
      <c r="B36" s="3" t="s">
        <v>357</v>
      </c>
      <c r="C36" s="3" t="s">
        <v>358</v>
      </c>
      <c r="D36" s="3" t="s">
        <v>22</v>
      </c>
      <c r="E36" s="14"/>
      <c r="F36" s="14"/>
      <c r="G36" s="14"/>
      <c r="H36" s="1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11">
        <f t="shared" si="0"/>
        <v>34</v>
      </c>
      <c r="B37" s="3" t="s">
        <v>359</v>
      </c>
      <c r="C37" s="3" t="s">
        <v>360</v>
      </c>
      <c r="D37" s="3" t="s">
        <v>361</v>
      </c>
      <c r="E37" s="14"/>
      <c r="F37" s="14"/>
      <c r="G37" s="14"/>
      <c r="H37" s="1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11">
        <f t="shared" si="0"/>
        <v>35</v>
      </c>
      <c r="B38" s="3" t="s">
        <v>362</v>
      </c>
      <c r="C38" s="3" t="s">
        <v>363</v>
      </c>
      <c r="D38" s="3" t="s">
        <v>304</v>
      </c>
      <c r="E38" s="14"/>
      <c r="F38" s="14"/>
      <c r="G38" s="14"/>
      <c r="H38" s="1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11">
        <f t="shared" si="0"/>
        <v>36</v>
      </c>
      <c r="B39" s="3" t="s">
        <v>219</v>
      </c>
      <c r="C39" s="3" t="s">
        <v>364</v>
      </c>
      <c r="D39" s="3" t="s">
        <v>160</v>
      </c>
      <c r="E39" s="14"/>
      <c r="F39" s="14"/>
      <c r="G39" s="14"/>
      <c r="H39" s="1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11">
        <f t="shared" si="0"/>
        <v>37</v>
      </c>
      <c r="B40" s="3" t="s">
        <v>365</v>
      </c>
      <c r="C40" s="3" t="s">
        <v>366</v>
      </c>
      <c r="D40" s="3" t="s">
        <v>350</v>
      </c>
      <c r="E40" s="14"/>
      <c r="F40" s="14"/>
      <c r="G40" s="14"/>
      <c r="H40" s="1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11">
        <f t="shared" si="0"/>
        <v>38</v>
      </c>
      <c r="B41" s="3" t="s">
        <v>367</v>
      </c>
      <c r="C41" s="3" t="s">
        <v>368</v>
      </c>
      <c r="D41" s="3" t="s">
        <v>258</v>
      </c>
      <c r="E41" s="14"/>
      <c r="F41" s="14"/>
      <c r="G41" s="14"/>
      <c r="H41" s="14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11">
        <f t="shared" si="0"/>
        <v>39</v>
      </c>
      <c r="B42" s="3" t="s">
        <v>369</v>
      </c>
      <c r="C42" s="3" t="s">
        <v>370</v>
      </c>
      <c r="D42" s="3" t="s">
        <v>352</v>
      </c>
      <c r="E42" s="14"/>
      <c r="F42" s="14"/>
      <c r="G42" s="14"/>
      <c r="H42" s="14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11">
        <f t="shared" si="0"/>
        <v>40</v>
      </c>
      <c r="B43" s="3" t="s">
        <v>371</v>
      </c>
      <c r="C43" s="3" t="s">
        <v>372</v>
      </c>
      <c r="D43" s="3" t="s">
        <v>352</v>
      </c>
      <c r="E43" s="14"/>
      <c r="F43" s="14"/>
      <c r="G43" s="14"/>
      <c r="H43" s="1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11">
        <f t="shared" si="0"/>
        <v>41</v>
      </c>
      <c r="B44" s="3" t="s">
        <v>373</v>
      </c>
      <c r="C44" s="3" t="s">
        <v>374</v>
      </c>
      <c r="D44" s="3" t="s">
        <v>22</v>
      </c>
      <c r="E44" s="14"/>
      <c r="F44" s="14"/>
      <c r="G44" s="14"/>
      <c r="H44" s="14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25">
      <c r="A45" s="11">
        <f t="shared" si="0"/>
        <v>42</v>
      </c>
      <c r="B45" s="3" t="s">
        <v>375</v>
      </c>
      <c r="C45" s="3" t="s">
        <v>376</v>
      </c>
      <c r="D45" s="3" t="s">
        <v>377</v>
      </c>
      <c r="E45" s="14"/>
      <c r="F45" s="14"/>
      <c r="G45" s="14"/>
      <c r="H45" s="1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11">
        <f t="shared" si="0"/>
        <v>43</v>
      </c>
      <c r="B46" s="3" t="s">
        <v>378</v>
      </c>
      <c r="C46" s="3" t="s">
        <v>379</v>
      </c>
      <c r="D46" s="3" t="s">
        <v>380</v>
      </c>
      <c r="E46" s="14"/>
      <c r="F46" s="14"/>
      <c r="G46" s="14"/>
      <c r="H46" s="1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5">
      <c r="A47" s="11">
        <f t="shared" si="0"/>
        <v>44</v>
      </c>
      <c r="B47" s="3" t="s">
        <v>381</v>
      </c>
      <c r="C47" s="3" t="s">
        <v>382</v>
      </c>
      <c r="D47" s="3" t="s">
        <v>383</v>
      </c>
      <c r="E47" s="14"/>
      <c r="F47" s="14"/>
      <c r="G47" s="14"/>
      <c r="H47" s="1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5">
      <c r="A48" s="11">
        <f t="shared" si="0"/>
        <v>45</v>
      </c>
      <c r="B48" s="3" t="s">
        <v>384</v>
      </c>
      <c r="C48" s="3" t="s">
        <v>385</v>
      </c>
      <c r="D48" s="3" t="s">
        <v>153</v>
      </c>
      <c r="E48" s="14"/>
      <c r="F48" s="14"/>
      <c r="G48" s="14"/>
      <c r="H48" s="1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5">
      <c r="A49" s="11">
        <f t="shared" si="0"/>
        <v>46</v>
      </c>
      <c r="B49" s="3" t="s">
        <v>386</v>
      </c>
      <c r="C49" s="3" t="s">
        <v>233</v>
      </c>
      <c r="D49" s="3" t="s">
        <v>387</v>
      </c>
      <c r="E49" s="14"/>
      <c r="F49" s="14"/>
      <c r="G49" s="14"/>
      <c r="H49" s="1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5">
      <c r="A50" s="11">
        <f t="shared" si="0"/>
        <v>47</v>
      </c>
      <c r="B50" s="3" t="s">
        <v>388</v>
      </c>
      <c r="C50" s="3" t="s">
        <v>389</v>
      </c>
      <c r="D50" s="3" t="s">
        <v>22</v>
      </c>
      <c r="E50" s="14"/>
      <c r="F50" s="14"/>
      <c r="G50" s="14"/>
      <c r="H50" s="1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5">
      <c r="A51" s="11">
        <f t="shared" si="0"/>
        <v>48</v>
      </c>
      <c r="B51" s="3" t="s">
        <v>390</v>
      </c>
      <c r="C51" s="3" t="s">
        <v>391</v>
      </c>
      <c r="D51" s="3" t="s">
        <v>392</v>
      </c>
      <c r="E51" s="14"/>
      <c r="F51" s="14"/>
      <c r="G51" s="14"/>
      <c r="H51" s="14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x14ac:dyDescent="0.25">
      <c r="A52" s="11">
        <f t="shared" si="0"/>
        <v>49</v>
      </c>
      <c r="B52" s="3" t="s">
        <v>393</v>
      </c>
      <c r="C52" s="3" t="s">
        <v>394</v>
      </c>
      <c r="D52" s="3" t="s">
        <v>395</v>
      </c>
      <c r="E52" s="14"/>
      <c r="F52" s="14"/>
      <c r="G52" s="14"/>
      <c r="H52" s="1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x14ac:dyDescent="0.25">
      <c r="A53" s="11">
        <f t="shared" si="0"/>
        <v>50</v>
      </c>
      <c r="B53" s="3" t="s">
        <v>396</v>
      </c>
      <c r="C53" s="3" t="s">
        <v>397</v>
      </c>
      <c r="D53" s="3" t="s">
        <v>398</v>
      </c>
      <c r="E53" s="14"/>
      <c r="F53" s="14"/>
      <c r="G53" s="14"/>
      <c r="H53" s="1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x14ac:dyDescent="0.25">
      <c r="A54" s="11">
        <f t="shared" si="0"/>
        <v>51</v>
      </c>
      <c r="B54" s="3" t="s">
        <v>399</v>
      </c>
      <c r="C54" s="3" t="s">
        <v>400</v>
      </c>
      <c r="D54" s="3" t="s">
        <v>377</v>
      </c>
      <c r="E54" s="14"/>
      <c r="F54" s="14"/>
      <c r="G54" s="14"/>
      <c r="H54" s="14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x14ac:dyDescent="0.25">
      <c r="A55" s="11">
        <f t="shared" si="0"/>
        <v>52</v>
      </c>
      <c r="B55" s="3" t="s">
        <v>401</v>
      </c>
      <c r="C55" s="3" t="s">
        <v>402</v>
      </c>
      <c r="D55" s="3" t="s">
        <v>22</v>
      </c>
      <c r="E55" s="14"/>
      <c r="F55" s="14"/>
      <c r="G55" s="14"/>
      <c r="H55" s="1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x14ac:dyDescent="0.25">
      <c r="A56" s="11">
        <f t="shared" si="0"/>
        <v>53</v>
      </c>
      <c r="B56" s="3" t="s">
        <v>403</v>
      </c>
      <c r="C56" s="3" t="s">
        <v>404</v>
      </c>
      <c r="D56" s="3" t="s">
        <v>22</v>
      </c>
      <c r="E56" s="14"/>
      <c r="F56" s="14"/>
      <c r="G56" s="14"/>
      <c r="H56" s="1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x14ac:dyDescent="0.25">
      <c r="A57" s="11">
        <f t="shared" si="0"/>
        <v>54</v>
      </c>
      <c r="B57" s="3" t="s">
        <v>405</v>
      </c>
      <c r="C57" s="3" t="s">
        <v>406</v>
      </c>
      <c r="D57" s="3" t="s">
        <v>22</v>
      </c>
      <c r="E57" s="14"/>
      <c r="F57" s="14"/>
      <c r="G57" s="14"/>
      <c r="H57" s="1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x14ac:dyDescent="0.25">
      <c r="A58" s="11">
        <f t="shared" si="0"/>
        <v>55</v>
      </c>
      <c r="B58" s="3" t="s">
        <v>407</v>
      </c>
      <c r="C58" s="3" t="s">
        <v>408</v>
      </c>
      <c r="D58" s="3" t="s">
        <v>23</v>
      </c>
      <c r="E58" s="14"/>
      <c r="F58" s="14"/>
      <c r="G58" s="14"/>
      <c r="H58" s="1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x14ac:dyDescent="0.25">
      <c r="A59" s="11">
        <f t="shared" si="0"/>
        <v>56</v>
      </c>
      <c r="B59" s="3" t="s">
        <v>409</v>
      </c>
      <c r="C59" s="3" t="s">
        <v>410</v>
      </c>
      <c r="D59" s="3" t="s">
        <v>23</v>
      </c>
      <c r="E59" s="14"/>
      <c r="F59" s="14"/>
      <c r="G59" s="14"/>
      <c r="H59" s="1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x14ac:dyDescent="0.25">
      <c r="A60" s="11">
        <f t="shared" si="0"/>
        <v>57</v>
      </c>
      <c r="B60" s="3" t="s">
        <v>411</v>
      </c>
      <c r="C60" s="3" t="s">
        <v>412</v>
      </c>
      <c r="D60" s="3" t="s">
        <v>22</v>
      </c>
      <c r="E60" s="14"/>
      <c r="F60" s="14"/>
      <c r="G60" s="14"/>
      <c r="H60" s="1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x14ac:dyDescent="0.25">
      <c r="A61" s="11">
        <f t="shared" si="0"/>
        <v>58</v>
      </c>
      <c r="B61" s="3" t="s">
        <v>413</v>
      </c>
      <c r="C61" s="3" t="s">
        <v>414</v>
      </c>
      <c r="D61" s="3" t="s">
        <v>23</v>
      </c>
      <c r="E61" s="14"/>
      <c r="F61" s="14"/>
      <c r="G61" s="14"/>
      <c r="H61" s="1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x14ac:dyDescent="0.25">
      <c r="A62" s="11">
        <f t="shared" si="0"/>
        <v>59</v>
      </c>
      <c r="B62" s="3" t="s">
        <v>415</v>
      </c>
      <c r="C62" s="3" t="s">
        <v>416</v>
      </c>
      <c r="D62" s="3" t="s">
        <v>160</v>
      </c>
      <c r="E62" s="14"/>
      <c r="F62" s="14"/>
      <c r="G62" s="14"/>
      <c r="H62" s="1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x14ac:dyDescent="0.25">
      <c r="A63" s="11">
        <f t="shared" si="0"/>
        <v>60</v>
      </c>
      <c r="B63" s="3" t="s">
        <v>417</v>
      </c>
      <c r="C63" s="3" t="s">
        <v>418</v>
      </c>
      <c r="D63" s="3" t="s">
        <v>22</v>
      </c>
      <c r="E63" s="14"/>
      <c r="F63" s="14"/>
      <c r="G63" s="14"/>
      <c r="H63" s="1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x14ac:dyDescent="0.25">
      <c r="A64" s="11">
        <f t="shared" si="0"/>
        <v>61</v>
      </c>
      <c r="B64" s="3" t="s">
        <v>419</v>
      </c>
      <c r="C64" s="3" t="s">
        <v>420</v>
      </c>
      <c r="D64" s="3" t="s">
        <v>22</v>
      </c>
      <c r="E64" s="14"/>
      <c r="F64" s="14"/>
      <c r="G64" s="14"/>
      <c r="H64" s="1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x14ac:dyDescent="0.25">
      <c r="A65" s="11">
        <f t="shared" si="0"/>
        <v>62</v>
      </c>
      <c r="B65" s="3" t="s">
        <v>421</v>
      </c>
      <c r="C65" s="3" t="s">
        <v>422</v>
      </c>
      <c r="D65" s="3" t="s">
        <v>304</v>
      </c>
      <c r="E65" s="14"/>
      <c r="F65" s="14"/>
      <c r="G65" s="14"/>
      <c r="H65" s="1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x14ac:dyDescent="0.25">
      <c r="A66" s="11">
        <f t="shared" si="0"/>
        <v>63</v>
      </c>
      <c r="B66" s="3" t="s">
        <v>423</v>
      </c>
      <c r="C66" s="3" t="s">
        <v>424</v>
      </c>
      <c r="D66" s="3" t="s">
        <v>160</v>
      </c>
      <c r="E66" s="14"/>
      <c r="F66" s="14"/>
      <c r="G66" s="14"/>
      <c r="H66" s="1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x14ac:dyDescent="0.25">
      <c r="A67" s="11">
        <f t="shared" si="0"/>
        <v>64</v>
      </c>
      <c r="B67" s="3" t="s">
        <v>425</v>
      </c>
      <c r="C67" s="3" t="s">
        <v>426</v>
      </c>
      <c r="D67" s="3" t="s">
        <v>22</v>
      </c>
      <c r="E67" s="14"/>
      <c r="F67" s="14"/>
      <c r="G67" s="14"/>
      <c r="H67" s="1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x14ac:dyDescent="0.25">
      <c r="A68" s="11">
        <f t="shared" si="0"/>
        <v>65</v>
      </c>
      <c r="B68" s="3" t="s">
        <v>427</v>
      </c>
      <c r="C68" s="3" t="s">
        <v>428</v>
      </c>
      <c r="D68" s="3" t="s">
        <v>24</v>
      </c>
      <c r="E68" s="14"/>
      <c r="F68" s="14"/>
      <c r="G68" s="14"/>
      <c r="H68" s="1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x14ac:dyDescent="0.25">
      <c r="A69" s="11">
        <f t="shared" si="0"/>
        <v>66</v>
      </c>
      <c r="B69" s="3" t="s">
        <v>429</v>
      </c>
      <c r="C69" s="3" t="s">
        <v>430</v>
      </c>
      <c r="D69" s="3" t="s">
        <v>22</v>
      </c>
      <c r="E69" s="14"/>
      <c r="F69" s="14"/>
      <c r="G69" s="14"/>
      <c r="H69" s="1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x14ac:dyDescent="0.25">
      <c r="A70" s="11">
        <f t="shared" ref="A70:A93" si="1">+A69+1</f>
        <v>67</v>
      </c>
      <c r="B70" s="3" t="s">
        <v>431</v>
      </c>
      <c r="C70" s="3" t="s">
        <v>432</v>
      </c>
      <c r="D70" s="3" t="s">
        <v>23</v>
      </c>
      <c r="E70" s="14"/>
      <c r="F70" s="14"/>
      <c r="G70" s="14"/>
      <c r="H70" s="1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x14ac:dyDescent="0.25">
      <c r="A71" s="11">
        <f t="shared" si="1"/>
        <v>68</v>
      </c>
      <c r="B71" s="3" t="s">
        <v>433</v>
      </c>
      <c r="C71" s="3" t="s">
        <v>434</v>
      </c>
      <c r="D71" s="3" t="s">
        <v>22</v>
      </c>
      <c r="E71" s="14"/>
      <c r="F71" s="14"/>
      <c r="G71" s="14"/>
      <c r="H71" s="1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x14ac:dyDescent="0.25">
      <c r="A72" s="11">
        <f t="shared" si="1"/>
        <v>69</v>
      </c>
      <c r="B72" s="3" t="s">
        <v>435</v>
      </c>
      <c r="C72" s="3" t="s">
        <v>436</v>
      </c>
      <c r="D72" s="3" t="s">
        <v>392</v>
      </c>
      <c r="E72" s="14"/>
      <c r="F72" s="14"/>
      <c r="G72" s="14"/>
      <c r="H72" s="1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x14ac:dyDescent="0.25">
      <c r="A73" s="11">
        <f t="shared" si="1"/>
        <v>70</v>
      </c>
      <c r="B73" s="3" t="s">
        <v>437</v>
      </c>
      <c r="C73" s="3" t="s">
        <v>438</v>
      </c>
      <c r="D73" s="3" t="s">
        <v>392</v>
      </c>
      <c r="E73" s="14"/>
      <c r="F73" s="14"/>
      <c r="G73" s="14"/>
      <c r="H73" s="1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x14ac:dyDescent="0.25">
      <c r="A74" s="11">
        <f t="shared" si="1"/>
        <v>71</v>
      </c>
      <c r="B74" s="3" t="s">
        <v>439</v>
      </c>
      <c r="C74" s="3" t="s">
        <v>440</v>
      </c>
      <c r="D74" s="3" t="s">
        <v>201</v>
      </c>
      <c r="E74" s="14"/>
      <c r="F74" s="14"/>
      <c r="G74" s="14"/>
      <c r="H74" s="1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5">
      <c r="A75" s="11">
        <f t="shared" si="1"/>
        <v>72</v>
      </c>
      <c r="B75" s="3" t="s">
        <v>441</v>
      </c>
      <c r="C75" s="3" t="s">
        <v>442</v>
      </c>
      <c r="D75" s="3" t="s">
        <v>23</v>
      </c>
      <c r="E75" s="14"/>
      <c r="F75" s="14"/>
      <c r="G75" s="14"/>
      <c r="H75" s="1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5">
      <c r="A76" s="11">
        <f t="shared" si="1"/>
        <v>73</v>
      </c>
      <c r="B76" s="3" t="s">
        <v>443</v>
      </c>
      <c r="C76" s="3" t="s">
        <v>444</v>
      </c>
      <c r="D76" s="3" t="s">
        <v>445</v>
      </c>
      <c r="E76" s="14"/>
      <c r="F76" s="14"/>
      <c r="G76" s="14"/>
      <c r="H76" s="1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11">
        <f t="shared" si="1"/>
        <v>74</v>
      </c>
      <c r="B77" s="3" t="s">
        <v>446</v>
      </c>
      <c r="C77" s="3" t="s">
        <v>447</v>
      </c>
      <c r="D77" s="3" t="s">
        <v>392</v>
      </c>
      <c r="E77" s="14"/>
      <c r="F77" s="14"/>
      <c r="G77" s="14"/>
      <c r="H77" s="1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11">
        <f t="shared" si="1"/>
        <v>75</v>
      </c>
      <c r="B78" s="12" t="s">
        <v>448</v>
      </c>
      <c r="C78" s="3" t="s">
        <v>449</v>
      </c>
      <c r="D78" s="3" t="s">
        <v>22</v>
      </c>
      <c r="E78" s="14">
        <f>+[43]Main!$H$2</f>
        <v>1.7</v>
      </c>
      <c r="F78" s="14">
        <f>+[43]Main!$H$4</f>
        <v>183.18753240000001</v>
      </c>
      <c r="G78" s="14">
        <f>+[43]Main!$H$6-[43]Main!$H$5</f>
        <v>149.33199999999999</v>
      </c>
      <c r="H78" s="14">
        <f>+F78+G78</f>
        <v>332.5195324</v>
      </c>
      <c r="I78" s="15" t="s">
        <v>239</v>
      </c>
      <c r="J78" s="15"/>
      <c r="K78" s="15"/>
      <c r="L78" s="15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11">
        <f t="shared" si="1"/>
        <v>76</v>
      </c>
      <c r="B79" s="3" t="s">
        <v>450</v>
      </c>
      <c r="C79" s="3" t="s">
        <v>451</v>
      </c>
      <c r="D79" s="3" t="s">
        <v>22</v>
      </c>
      <c r="E79" s="14"/>
      <c r="F79" s="14"/>
      <c r="G79" s="14"/>
      <c r="H79" s="1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x14ac:dyDescent="0.25">
      <c r="A80" s="11">
        <f t="shared" si="1"/>
        <v>77</v>
      </c>
      <c r="B80" s="3" t="s">
        <v>452</v>
      </c>
      <c r="C80" s="3" t="s">
        <v>453</v>
      </c>
      <c r="D80" s="3" t="s">
        <v>395</v>
      </c>
      <c r="E80" s="14"/>
      <c r="F80" s="14"/>
      <c r="G80" s="14"/>
      <c r="H80" s="1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x14ac:dyDescent="0.25">
      <c r="A81" s="11">
        <f t="shared" si="1"/>
        <v>78</v>
      </c>
      <c r="B81" s="3" t="s">
        <v>454</v>
      </c>
      <c r="C81" s="3" t="s">
        <v>455</v>
      </c>
      <c r="D81" s="3" t="s">
        <v>383</v>
      </c>
      <c r="E81" s="14"/>
      <c r="F81" s="14"/>
      <c r="G81" s="14"/>
      <c r="H81" s="1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x14ac:dyDescent="0.25">
      <c r="A82" s="11">
        <f t="shared" si="1"/>
        <v>79</v>
      </c>
      <c r="B82" s="3" t="s">
        <v>456</v>
      </c>
      <c r="C82" s="3" t="s">
        <v>457</v>
      </c>
      <c r="D82" s="3" t="s">
        <v>85</v>
      </c>
      <c r="E82" s="14"/>
      <c r="F82" s="14"/>
      <c r="G82" s="14"/>
      <c r="H82" s="1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x14ac:dyDescent="0.25">
      <c r="A83" s="11">
        <f t="shared" si="1"/>
        <v>80</v>
      </c>
      <c r="B83" s="3" t="s">
        <v>458</v>
      </c>
      <c r="C83" s="3" t="s">
        <v>459</v>
      </c>
      <c r="D83" s="3" t="s">
        <v>460</v>
      </c>
      <c r="E83" s="14"/>
      <c r="F83" s="14"/>
      <c r="G83" s="14"/>
      <c r="H83" s="1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x14ac:dyDescent="0.25">
      <c r="A84" s="11">
        <f t="shared" si="1"/>
        <v>81</v>
      </c>
      <c r="B84" s="3" t="s">
        <v>461</v>
      </c>
      <c r="C84" s="3" t="s">
        <v>462</v>
      </c>
      <c r="D84" s="3" t="s">
        <v>22</v>
      </c>
      <c r="E84" s="14"/>
      <c r="F84" s="14"/>
      <c r="G84" s="14"/>
      <c r="H84" s="1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x14ac:dyDescent="0.25">
      <c r="A85" s="11">
        <f t="shared" si="1"/>
        <v>82</v>
      </c>
      <c r="B85" s="3" t="s">
        <v>463</v>
      </c>
      <c r="C85" s="3" t="s">
        <v>464</v>
      </c>
      <c r="D85" s="3" t="s">
        <v>22</v>
      </c>
      <c r="E85" s="14"/>
      <c r="F85" s="14"/>
      <c r="G85" s="14"/>
      <c r="H85" s="1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x14ac:dyDescent="0.25">
      <c r="A86" s="11">
        <f t="shared" si="1"/>
        <v>83</v>
      </c>
      <c r="B86" s="3" t="s">
        <v>465</v>
      </c>
      <c r="C86" s="3"/>
      <c r="D86" s="3"/>
      <c r="E86" s="14"/>
      <c r="F86" s="14"/>
      <c r="G86" s="14"/>
      <c r="H86" s="1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x14ac:dyDescent="0.25">
      <c r="A87" s="11">
        <f t="shared" si="1"/>
        <v>84</v>
      </c>
      <c r="B87" s="3" t="s">
        <v>466</v>
      </c>
      <c r="C87" s="3" t="s">
        <v>467</v>
      </c>
      <c r="D87" s="3" t="s">
        <v>22</v>
      </c>
      <c r="E87" s="14"/>
      <c r="F87" s="14"/>
      <c r="G87" s="14"/>
      <c r="H87" s="1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x14ac:dyDescent="0.25">
      <c r="A88" s="11">
        <f t="shared" si="1"/>
        <v>85</v>
      </c>
      <c r="B88" s="3" t="s">
        <v>468</v>
      </c>
      <c r="C88" s="3" t="s">
        <v>469</v>
      </c>
      <c r="D88" s="3" t="s">
        <v>304</v>
      </c>
      <c r="E88" s="14"/>
      <c r="F88" s="14"/>
      <c r="G88" s="14"/>
      <c r="H88" s="1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x14ac:dyDescent="0.25">
      <c r="A89" s="11">
        <f t="shared" si="1"/>
        <v>86</v>
      </c>
      <c r="B89" s="38" t="s">
        <v>483</v>
      </c>
      <c r="C89" s="38" t="s">
        <v>484</v>
      </c>
      <c r="D89" s="38" t="s">
        <v>22</v>
      </c>
      <c r="E89" s="14"/>
      <c r="F89" s="14"/>
      <c r="G89" s="14"/>
      <c r="H89" s="1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x14ac:dyDescent="0.25">
      <c r="A90" s="11">
        <f t="shared" si="1"/>
        <v>87</v>
      </c>
      <c r="B90" s="3"/>
      <c r="C90" s="3"/>
      <c r="D90" s="3"/>
      <c r="E90" s="14"/>
      <c r="F90" s="14"/>
      <c r="G90" s="14"/>
      <c r="H90" s="1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x14ac:dyDescent="0.25">
      <c r="A91" s="11">
        <f t="shared" si="1"/>
        <v>88</v>
      </c>
      <c r="B91" s="3"/>
      <c r="C91" s="3"/>
      <c r="D91" s="3"/>
      <c r="E91" s="14"/>
      <c r="F91" s="14"/>
      <c r="G91" s="14"/>
      <c r="H91" s="1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x14ac:dyDescent="0.25">
      <c r="A92" s="11">
        <f t="shared" si="1"/>
        <v>89</v>
      </c>
      <c r="B92" s="3"/>
      <c r="C92" s="3"/>
      <c r="D92" s="3"/>
      <c r="E92" s="14"/>
      <c r="F92" s="14"/>
      <c r="G92" s="14"/>
      <c r="H92" s="1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x14ac:dyDescent="0.25">
      <c r="A93" s="11">
        <f t="shared" si="1"/>
        <v>90</v>
      </c>
      <c r="B93" s="3"/>
      <c r="C93" s="3"/>
      <c r="D93" s="3"/>
      <c r="E93" s="14"/>
      <c r="F93" s="14"/>
      <c r="G93" s="14"/>
      <c r="H93" s="1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</sheetData>
  <hyperlinks>
    <hyperlink ref="B7" r:id="rId1" xr:uid="{291901C1-3207-44FC-9D62-11B2974551BB}"/>
    <hyperlink ref="B78" r:id="rId2" xr:uid="{434C1612-D0CB-4475-B5B4-3C41E23F53C4}"/>
    <hyperlink ref="B14" r:id="rId3" xr:uid="{8BD3E7F5-7FD2-46BF-8769-B4A06108EAD7}"/>
    <hyperlink ref="B11" r:id="rId4" xr:uid="{55C3E0E8-8B7A-42F6-AA91-B10DB0CD4FDA}"/>
    <hyperlink ref="B13" r:id="rId5" xr:uid="{2F7D9B9E-5F46-4802-87BD-37B87C5F409A}"/>
    <hyperlink ref="B15" r:id="rId6" xr:uid="{FDDC01C1-EDEE-4EC5-9053-DC55A119BC7A}"/>
    <hyperlink ref="B4" r:id="rId7" xr:uid="{6C512839-983B-4910-8439-E8D08BE2B5E6}"/>
    <hyperlink ref="B8" r:id="rId8" xr:uid="{5881067F-840F-4EE3-A6A6-49A5D5599E05}"/>
    <hyperlink ref="A1" location="Main!A1" display="Main" xr:uid="{AE554250-8BDC-41F6-B028-39BB218027C1}"/>
    <hyperlink ref="B17" r:id="rId9" xr:uid="{C10C3CEA-F36C-41AB-B9D5-0C29F9468CC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FDBCA-9632-4AF3-AB84-E13E4D7323C7}">
  <dimension ref="B1:E12"/>
  <sheetViews>
    <sheetView zoomScale="200" zoomScaleNormal="200" workbookViewId="0">
      <selection activeCell="B2" sqref="B2:C6"/>
    </sheetView>
  </sheetViews>
  <sheetFormatPr defaultRowHeight="15" x14ac:dyDescent="0.25"/>
  <cols>
    <col min="1" max="1" width="4.140625" customWidth="1"/>
    <col min="2" max="2" width="10.5703125" bestFit="1" customWidth="1"/>
  </cols>
  <sheetData>
    <row r="1" spans="2:5" x14ac:dyDescent="0.25">
      <c r="B1" s="1"/>
      <c r="C1" s="1"/>
      <c r="D1" s="1"/>
      <c r="E1" s="1"/>
    </row>
    <row r="2" spans="2:5" x14ac:dyDescent="0.25">
      <c r="B2" s="3" t="s">
        <v>242</v>
      </c>
      <c r="C2" s="3">
        <v>6.4000000000000003E-3</v>
      </c>
      <c r="D2" s="1"/>
      <c r="E2" s="1"/>
    </row>
    <row r="3" spans="2:5" x14ac:dyDescent="0.25">
      <c r="B3" s="3" t="s">
        <v>244</v>
      </c>
      <c r="C3" s="3">
        <v>1.03</v>
      </c>
      <c r="D3" s="1"/>
      <c r="E3" s="1"/>
    </row>
    <row r="4" spans="2:5" x14ac:dyDescent="0.25">
      <c r="B4" s="3" t="s">
        <v>259</v>
      </c>
      <c r="C4" s="3">
        <v>1.24</v>
      </c>
      <c r="D4" s="1"/>
      <c r="E4" s="1"/>
    </row>
    <row r="5" spans="2:5" x14ac:dyDescent="0.25">
      <c r="B5" s="3" t="s">
        <v>277</v>
      </c>
      <c r="C5" s="3">
        <v>0.63</v>
      </c>
      <c r="D5" s="1"/>
      <c r="E5" s="1"/>
    </row>
    <row r="6" spans="2:5" x14ac:dyDescent="0.25">
      <c r="B6" s="3" t="s">
        <v>472</v>
      </c>
      <c r="C6" s="3">
        <v>0.14000000000000001</v>
      </c>
      <c r="D6" s="1"/>
      <c r="E6" s="1"/>
    </row>
    <row r="7" spans="2:5" x14ac:dyDescent="0.25">
      <c r="B7" s="1"/>
      <c r="C7" s="1"/>
      <c r="D7" s="1"/>
      <c r="E7" s="1"/>
    </row>
    <row r="8" spans="2:5" x14ac:dyDescent="0.25">
      <c r="B8" s="1"/>
      <c r="C8" s="1"/>
      <c r="D8" s="1"/>
      <c r="E8" s="1"/>
    </row>
    <row r="9" spans="2:5" x14ac:dyDescent="0.25">
      <c r="B9" s="1"/>
      <c r="C9" s="1"/>
      <c r="D9" s="1"/>
      <c r="E9" s="1"/>
    </row>
    <row r="10" spans="2:5" x14ac:dyDescent="0.25">
      <c r="B10" s="1"/>
      <c r="C10" s="1"/>
      <c r="D10" s="1"/>
      <c r="E10" s="1"/>
    </row>
    <row r="11" spans="2:5" x14ac:dyDescent="0.25">
      <c r="B11" s="1"/>
      <c r="C11" s="1"/>
      <c r="D11" s="1"/>
      <c r="E11" s="1"/>
    </row>
    <row r="12" spans="2:5" x14ac:dyDescent="0.25">
      <c r="B12" s="1"/>
      <c r="C12" s="1"/>
      <c r="D12" s="1"/>
      <c r="E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Gaming</vt:lpstr>
      <vt:lpstr>Media</vt:lpstr>
      <vt:lpstr>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2024-06-04T11:15:59Z</dcterms:created>
  <dcterms:modified xsi:type="dcterms:W3CDTF">2026-03-11T15:46:14Z</dcterms:modified>
</cp:coreProperties>
</file>